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/>
  </bookViews>
  <sheets>
    <sheet name="pokemon" sheetId="1" r:id="rId1"/>
    <sheet name="convert" sheetId="2" r:id="rId2"/>
  </sheets>
  <calcPr calcId="144525"/>
</workbook>
</file>

<file path=xl/sharedStrings.xml><?xml version="1.0" encoding="utf-8"?>
<sst xmlns="http://schemas.openxmlformats.org/spreadsheetml/2006/main" count="5754" uniqueCount="2437">
  <si>
    <t>pokedex_id</t>
  </si>
  <si>
    <t>name</t>
  </si>
  <si>
    <t>hp</t>
  </si>
  <si>
    <t>attack</t>
  </si>
  <si>
    <t>defense</t>
  </si>
  <si>
    <t>special_attack</t>
  </si>
  <si>
    <t>special_defense</t>
  </si>
  <si>
    <t>speed</t>
  </si>
  <si>
    <t>remarks</t>
  </si>
  <si>
    <t>type1</t>
  </si>
  <si>
    <t>type2</t>
  </si>
  <si>
    <t>gen</t>
  </si>
  <si>
    <t>image1</t>
  </si>
  <si>
    <t>image2</t>
  </si>
  <si>
    <t>impl_flg</t>
  </si>
  <si>
    <t>bpchar</t>
  </si>
  <si>
    <t>varchar</t>
  </si>
  <si>
    <t>number</t>
  </si>
  <si>
    <t>boolean</t>
  </si>
  <si>
    <t>作業用</t>
  </si>
  <si>
    <t>varchar(20) not null</t>
  </si>
  <si>
    <t>integer not null</t>
  </si>
  <si>
    <t>varchar(256) not null</t>
  </si>
  <si>
    <t>varchar(10) not null</t>
  </si>
  <si>
    <t>varchar(10)</t>
  </si>
  <si>
    <t>varchar(16) not null</t>
  </si>
  <si>
    <t>varchar(256)</t>
  </si>
  <si>
    <t>boolean not null</t>
  </si>
  <si>
    <t>0001N01</t>
  </si>
  <si>
    <t>フシギダネ</t>
  </si>
  <si>
    <t>grass</t>
  </si>
  <si>
    <t>poison</t>
  </si>
  <si>
    <t>g1</t>
  </si>
  <si>
    <t>0002N01</t>
  </si>
  <si>
    <t>フシギソウ</t>
  </si>
  <si>
    <t>0003N01</t>
  </si>
  <si>
    <t>フシギバナ</t>
  </si>
  <si>
    <t>0003M01</t>
  </si>
  <si>
    <t>メガフシギバナ</t>
  </si>
  <si>
    <t>g6</t>
  </si>
  <si>
    <t>0004N01</t>
  </si>
  <si>
    <t>ヒトカゲ</t>
  </si>
  <si>
    <t>fire</t>
  </si>
  <si>
    <t>0005N01</t>
  </si>
  <si>
    <t>リザード</t>
  </si>
  <si>
    <t>0006N01</t>
  </si>
  <si>
    <t>リザードン</t>
  </si>
  <si>
    <t>flying</t>
  </si>
  <si>
    <t>0006M01</t>
  </si>
  <si>
    <t>メガリザードンX</t>
  </si>
  <si>
    <t>dragon</t>
  </si>
  <si>
    <t>0006M02</t>
  </si>
  <si>
    <t>メガリザードンY</t>
  </si>
  <si>
    <t>0007N01</t>
  </si>
  <si>
    <t>ゼニガメ</t>
  </si>
  <si>
    <t>water</t>
  </si>
  <si>
    <t>0008N01</t>
  </si>
  <si>
    <t>カメール</t>
  </si>
  <si>
    <t>0009N01</t>
  </si>
  <si>
    <t>カメックス</t>
  </si>
  <si>
    <t>0009M01</t>
  </si>
  <si>
    <t>メガカメックス</t>
  </si>
  <si>
    <t>0010N01</t>
  </si>
  <si>
    <t>キャタピー</t>
  </si>
  <si>
    <t>bug</t>
  </si>
  <si>
    <t>0011N01</t>
  </si>
  <si>
    <t>トランセル</t>
  </si>
  <si>
    <t>0012N01</t>
  </si>
  <si>
    <t>バタフリー</t>
  </si>
  <si>
    <t>0013N01</t>
  </si>
  <si>
    <t>ビードル</t>
  </si>
  <si>
    <t>0014N01</t>
  </si>
  <si>
    <t>コクーン</t>
  </si>
  <si>
    <t>0015N01</t>
  </si>
  <si>
    <t>スピアー</t>
  </si>
  <si>
    <t>0015M01</t>
  </si>
  <si>
    <t>メガスピアー</t>
  </si>
  <si>
    <t>g6oras</t>
  </si>
  <si>
    <t>0016N01</t>
  </si>
  <si>
    <t>ポッポ</t>
  </si>
  <si>
    <t>normal</t>
  </si>
  <si>
    <t>0017N01</t>
  </si>
  <si>
    <t>ピジョン</t>
  </si>
  <si>
    <t>0018N01</t>
  </si>
  <si>
    <t>ピジョット</t>
  </si>
  <si>
    <t>0018M01</t>
  </si>
  <si>
    <t>メガピジョット</t>
  </si>
  <si>
    <t>0019N01</t>
  </si>
  <si>
    <t>コラッタ</t>
  </si>
  <si>
    <t>0019A01</t>
  </si>
  <si>
    <t>アローラのすがた</t>
  </si>
  <si>
    <t>dark</t>
  </si>
  <si>
    <t>g7</t>
  </si>
  <si>
    <t>0020N01</t>
  </si>
  <si>
    <t>ラッタ</t>
  </si>
  <si>
    <t>0020A01</t>
  </si>
  <si>
    <t>0021N01</t>
  </si>
  <si>
    <t>オニスズメ</t>
  </si>
  <si>
    <t>0022N01</t>
  </si>
  <si>
    <t>オニドリル</t>
  </si>
  <si>
    <t>0023N01</t>
  </si>
  <si>
    <t>アーボ</t>
  </si>
  <si>
    <t>0024N01</t>
  </si>
  <si>
    <t>アーボック</t>
  </si>
  <si>
    <t>0025N01</t>
  </si>
  <si>
    <t>ピカチュウ</t>
  </si>
  <si>
    <t>electric</t>
  </si>
  <si>
    <t>0025N02</t>
  </si>
  <si>
    <t>相棒</t>
  </si>
  <si>
    <t>g7pv</t>
  </si>
  <si>
    <t>0026N01</t>
  </si>
  <si>
    <t>ライチュウ</t>
  </si>
  <si>
    <t>0026A01</t>
  </si>
  <si>
    <t>psychic</t>
  </si>
  <si>
    <t>0027N01</t>
  </si>
  <si>
    <t>サンド</t>
  </si>
  <si>
    <t>ground</t>
  </si>
  <si>
    <t>0027A01</t>
  </si>
  <si>
    <t>ice</t>
  </si>
  <si>
    <t>steel</t>
  </si>
  <si>
    <t>0028N01</t>
  </si>
  <si>
    <t>サンドパン</t>
  </si>
  <si>
    <t>0028A01</t>
  </si>
  <si>
    <t>0029N01</t>
  </si>
  <si>
    <t>ニドラン♀</t>
  </si>
  <si>
    <t>0030N01</t>
  </si>
  <si>
    <t>ニドリーナ</t>
  </si>
  <si>
    <t>0031N01</t>
  </si>
  <si>
    <t>ニドクイン</t>
  </si>
  <si>
    <t>0032N01</t>
  </si>
  <si>
    <t>ニドラン♂</t>
  </si>
  <si>
    <t>0033N01</t>
  </si>
  <si>
    <t>ニドリーノ</t>
  </si>
  <si>
    <t>0034N01</t>
  </si>
  <si>
    <t>ニドキング</t>
  </si>
  <si>
    <t>0035N01</t>
  </si>
  <si>
    <t>ピッピ</t>
  </si>
  <si>
    <t>fairy</t>
  </si>
  <si>
    <t>0036N01</t>
  </si>
  <si>
    <t>ピクシー</t>
  </si>
  <si>
    <t>0037N01</t>
  </si>
  <si>
    <t>ロコン</t>
  </si>
  <si>
    <t>0037A01</t>
  </si>
  <si>
    <t>0038N01</t>
  </si>
  <si>
    <t>キュウコン</t>
  </si>
  <si>
    <t>0038A01</t>
  </si>
  <si>
    <t>0039N01</t>
  </si>
  <si>
    <t>プリン</t>
  </si>
  <si>
    <t>0040N01</t>
  </si>
  <si>
    <t>プクリン</t>
  </si>
  <si>
    <t>0041N01</t>
  </si>
  <si>
    <t>ズバット</t>
  </si>
  <si>
    <t>0042N01</t>
  </si>
  <si>
    <t>ゴルバット</t>
  </si>
  <si>
    <t>0043N01</t>
  </si>
  <si>
    <t>ナゾノクサ</t>
  </si>
  <si>
    <t>0044N01</t>
  </si>
  <si>
    <t>クサイハナ</t>
  </si>
  <si>
    <t>0045N01</t>
  </si>
  <si>
    <t>ラフレシア</t>
  </si>
  <si>
    <t>0046N01</t>
  </si>
  <si>
    <t>パラス</t>
  </si>
  <si>
    <t>0047N01</t>
  </si>
  <si>
    <t>パラセクト</t>
  </si>
  <si>
    <t>0048N01</t>
  </si>
  <si>
    <t>コンパン</t>
  </si>
  <si>
    <t>0049N01</t>
  </si>
  <si>
    <t>モルフォン</t>
  </si>
  <si>
    <t>0050N01</t>
  </si>
  <si>
    <t>ディグダ</t>
  </si>
  <si>
    <t>0050A01</t>
  </si>
  <si>
    <t>0051N01</t>
  </si>
  <si>
    <t>ダグトリオ</t>
  </si>
  <si>
    <t>0051A01</t>
  </si>
  <si>
    <t>0052N01</t>
  </si>
  <si>
    <t>ニャース</t>
  </si>
  <si>
    <t>0052A01</t>
  </si>
  <si>
    <t>0052G01</t>
  </si>
  <si>
    <t>ガラルのすがた</t>
  </si>
  <si>
    <t>g8</t>
  </si>
  <si>
    <t>0053N01</t>
  </si>
  <si>
    <t>ペルシアン</t>
  </si>
  <si>
    <t>0053A01</t>
  </si>
  <si>
    <t>0054N01</t>
  </si>
  <si>
    <t>コダック</t>
  </si>
  <si>
    <t>0055N01</t>
  </si>
  <si>
    <t>ゴルダック</t>
  </si>
  <si>
    <t>0056N01</t>
  </si>
  <si>
    <t>マンキー</t>
  </si>
  <si>
    <t>fighting</t>
  </si>
  <si>
    <t>0057N01</t>
  </si>
  <si>
    <t>オコリザル</t>
  </si>
  <si>
    <t>0058N01</t>
  </si>
  <si>
    <t>ガーディ</t>
  </si>
  <si>
    <t>0058H01</t>
  </si>
  <si>
    <t>ヒスイのすがた</t>
  </si>
  <si>
    <t>rock</t>
  </si>
  <si>
    <t>g8arceus</t>
  </si>
  <si>
    <t>0059N01</t>
  </si>
  <si>
    <t>ウインディ</t>
  </si>
  <si>
    <t>0059H01</t>
  </si>
  <si>
    <t>0060N01</t>
  </si>
  <si>
    <t>ニョロモ</t>
  </si>
  <si>
    <t>0061N01</t>
  </si>
  <si>
    <t>ニョロゾ</t>
  </si>
  <si>
    <t>0062N01</t>
  </si>
  <si>
    <t>ニョロボン</t>
  </si>
  <si>
    <t>0063N01</t>
  </si>
  <si>
    <t>ケーシィ</t>
  </si>
  <si>
    <t>0064N01</t>
  </si>
  <si>
    <t>ユンゲラー</t>
  </si>
  <si>
    <t>0065N01</t>
  </si>
  <si>
    <t>フーディン</t>
  </si>
  <si>
    <t>0065M01</t>
  </si>
  <si>
    <t>メガフーディン</t>
  </si>
  <si>
    <t>0066N01</t>
  </si>
  <si>
    <t>ワンリキー</t>
  </si>
  <si>
    <t>0067N01</t>
  </si>
  <si>
    <t>ゴーリキー</t>
  </si>
  <si>
    <t>0068N01</t>
  </si>
  <si>
    <t>カイリキー</t>
  </si>
  <si>
    <t>0069N01</t>
  </si>
  <si>
    <t>マダツボミ</t>
  </si>
  <si>
    <t>0070N01</t>
  </si>
  <si>
    <t>ウツドン</t>
  </si>
  <si>
    <t>0071N01</t>
  </si>
  <si>
    <t>ウツボット</t>
  </si>
  <si>
    <t>0072N01</t>
  </si>
  <si>
    <t>メノクラゲ</t>
  </si>
  <si>
    <t>0073N01</t>
  </si>
  <si>
    <t>ドククラゲ</t>
  </si>
  <si>
    <t>0074N01</t>
  </si>
  <si>
    <t>イシツブテ</t>
  </si>
  <si>
    <t>0074A01</t>
  </si>
  <si>
    <t>0075N01</t>
  </si>
  <si>
    <t>ゴローン</t>
  </si>
  <si>
    <t>0075A01</t>
  </si>
  <si>
    <t>0076N01</t>
  </si>
  <si>
    <t>ゴローニャ</t>
  </si>
  <si>
    <t>0076A01</t>
  </si>
  <si>
    <t>0077N01</t>
  </si>
  <si>
    <t>ポニータ</t>
  </si>
  <si>
    <t>0077G01</t>
  </si>
  <si>
    <t>0078N01</t>
  </si>
  <si>
    <t>ギャロップ</t>
  </si>
  <si>
    <t>0078G01</t>
  </si>
  <si>
    <t>0079N01</t>
  </si>
  <si>
    <t>ヤドン</t>
  </si>
  <si>
    <t>0079G01</t>
  </si>
  <si>
    <t>0080N01</t>
  </si>
  <si>
    <t>ヤドラン</t>
  </si>
  <si>
    <t>0080M01</t>
  </si>
  <si>
    <t>メガヤドラン</t>
  </si>
  <si>
    <t>0080G01</t>
  </si>
  <si>
    <t>0081N01</t>
  </si>
  <si>
    <t>コイル</t>
  </si>
  <si>
    <t>0082N01</t>
  </si>
  <si>
    <t>レアコイル</t>
  </si>
  <si>
    <t>0083N01</t>
  </si>
  <si>
    <t>カモネギ</t>
  </si>
  <si>
    <t>0083G01</t>
  </si>
  <si>
    <t>0084N01</t>
  </si>
  <si>
    <t>ドードー</t>
  </si>
  <si>
    <t>0085N01</t>
  </si>
  <si>
    <t>ドードリオ</t>
  </si>
  <si>
    <t>0086N01</t>
  </si>
  <si>
    <t>パウワウ</t>
  </si>
  <si>
    <t>0087N01</t>
  </si>
  <si>
    <t>ジュゴン</t>
  </si>
  <si>
    <t>0088N01</t>
  </si>
  <si>
    <t>ベトベター</t>
  </si>
  <si>
    <t>0088A01</t>
  </si>
  <si>
    <t>0089N01</t>
  </si>
  <si>
    <t>ベトベトン</t>
  </si>
  <si>
    <t>0089A01</t>
  </si>
  <si>
    <t>0090N01</t>
  </si>
  <si>
    <t>シェルダー</t>
  </si>
  <si>
    <t>0091N01</t>
  </si>
  <si>
    <t>パルシェン</t>
  </si>
  <si>
    <t>0092N01</t>
  </si>
  <si>
    <t>ゴース</t>
  </si>
  <si>
    <t>ghost</t>
  </si>
  <si>
    <t>0093N01</t>
  </si>
  <si>
    <t>ゴースト</t>
  </si>
  <si>
    <t>0094N01</t>
  </si>
  <si>
    <t>ゲンガー</t>
  </si>
  <si>
    <t>0094M01</t>
  </si>
  <si>
    <t>メガゲンガー</t>
  </si>
  <si>
    <t>0095N01</t>
  </si>
  <si>
    <t>イワーク</t>
  </si>
  <si>
    <t>0096N01</t>
  </si>
  <si>
    <t>スリープ</t>
  </si>
  <si>
    <t>0097N01</t>
  </si>
  <si>
    <t>スリーパー</t>
  </si>
  <si>
    <t>0098N01</t>
  </si>
  <si>
    <t>クラブ</t>
  </si>
  <si>
    <t>0099N01</t>
  </si>
  <si>
    <t>キングラー</t>
  </si>
  <si>
    <t>0100N01</t>
  </si>
  <si>
    <t>ビリリダマ</t>
  </si>
  <si>
    <t>0100H01</t>
  </si>
  <si>
    <t>0101N01</t>
  </si>
  <si>
    <t>マルマイン</t>
  </si>
  <si>
    <t>0101H01</t>
  </si>
  <si>
    <t>0102N01</t>
  </si>
  <si>
    <t>タマタマ</t>
  </si>
  <si>
    <t>0103N01</t>
  </si>
  <si>
    <t>ナッシー</t>
  </si>
  <si>
    <t>0103A01</t>
  </si>
  <si>
    <t>0104N01</t>
  </si>
  <si>
    <t>カラカラ</t>
  </si>
  <si>
    <t>0105N01</t>
  </si>
  <si>
    <t>ガラガラ</t>
  </si>
  <si>
    <t>0105A01</t>
  </si>
  <si>
    <t>0106N01</t>
  </si>
  <si>
    <t>サワムラー</t>
  </si>
  <si>
    <t>0107N01</t>
  </si>
  <si>
    <t>エビワラー</t>
  </si>
  <si>
    <t>0108N01</t>
  </si>
  <si>
    <t>ベロリンガ</t>
  </si>
  <si>
    <t>0109N01</t>
  </si>
  <si>
    <t>ドガース</t>
  </si>
  <si>
    <t>0110N01</t>
  </si>
  <si>
    <t>マタドガス</t>
  </si>
  <si>
    <t>0110G01</t>
  </si>
  <si>
    <t>0111N01</t>
  </si>
  <si>
    <t>サイホーン</t>
  </si>
  <si>
    <t>0112N01</t>
  </si>
  <si>
    <t>サイドン</t>
  </si>
  <si>
    <t>0113N01</t>
  </si>
  <si>
    <t>ラッキー</t>
  </si>
  <si>
    <t>0114N01</t>
  </si>
  <si>
    <t>モンジャラ</t>
  </si>
  <si>
    <t>0115N01</t>
  </si>
  <si>
    <t>ガルーラ</t>
  </si>
  <si>
    <t>0115M01</t>
  </si>
  <si>
    <t>メガガルーラ</t>
  </si>
  <si>
    <t>0116N01</t>
  </si>
  <si>
    <t>タッツー</t>
  </si>
  <si>
    <t>0117N01</t>
  </si>
  <si>
    <t>シードラ</t>
  </si>
  <si>
    <t>0118N01</t>
  </si>
  <si>
    <t>トサキント</t>
  </si>
  <si>
    <t>0119N01</t>
  </si>
  <si>
    <t>アズマオウ</t>
  </si>
  <si>
    <t>0120N01</t>
  </si>
  <si>
    <t>ヒトデマン</t>
  </si>
  <si>
    <t>0121N01</t>
  </si>
  <si>
    <t>スターミー</t>
  </si>
  <si>
    <t>0122N01</t>
  </si>
  <si>
    <t>バリヤード</t>
  </si>
  <si>
    <t>0122G01</t>
  </si>
  <si>
    <t>0123N01</t>
  </si>
  <si>
    <t>ストライク</t>
  </si>
  <si>
    <t>0124N01</t>
  </si>
  <si>
    <t>ルージュラ</t>
  </si>
  <si>
    <t>0125N01</t>
  </si>
  <si>
    <t>エレブー</t>
  </si>
  <si>
    <t>0126N01</t>
  </si>
  <si>
    <t>ブーバー</t>
  </si>
  <si>
    <t>0127N01</t>
  </si>
  <si>
    <t>カイロス</t>
  </si>
  <si>
    <t>0127M01</t>
  </si>
  <si>
    <t>メガカイロス</t>
  </si>
  <si>
    <t>0128N01</t>
  </si>
  <si>
    <t>ケンタロス</t>
  </si>
  <si>
    <t>0128P01</t>
  </si>
  <si>
    <t>パルデアのすがた(コンバットしゅ）</t>
  </si>
  <si>
    <t>g9</t>
  </si>
  <si>
    <t>0128P02</t>
  </si>
  <si>
    <t>パルデアのすがた(ブレイズしゅ)</t>
  </si>
  <si>
    <t>0128P03</t>
  </si>
  <si>
    <t>パルデアのすがた(ウォーターしゅ)</t>
  </si>
  <si>
    <t>0129N01</t>
  </si>
  <si>
    <t>コイキング</t>
  </si>
  <si>
    <t>0130N01</t>
  </si>
  <si>
    <t>ギャラドス</t>
  </si>
  <si>
    <t>0130M01</t>
  </si>
  <si>
    <t>メガギャラドス</t>
  </si>
  <si>
    <t>0131N01</t>
  </si>
  <si>
    <t>ラプラス</t>
  </si>
  <si>
    <t>0132N01</t>
  </si>
  <si>
    <t>メタモン</t>
  </si>
  <si>
    <t>0133N01</t>
  </si>
  <si>
    <t>イーブイ</t>
  </si>
  <si>
    <t>0133N02</t>
  </si>
  <si>
    <t>0134N01</t>
  </si>
  <si>
    <t>シャワーズ</t>
  </si>
  <si>
    <t>0135N01</t>
  </si>
  <si>
    <t>サンダース</t>
  </si>
  <si>
    <t>0136N01</t>
  </si>
  <si>
    <t>ブースター</t>
  </si>
  <si>
    <t>0137N01</t>
  </si>
  <si>
    <t>ポリゴン</t>
  </si>
  <si>
    <t>0138N01</t>
  </si>
  <si>
    <t>オムナイト</t>
  </si>
  <si>
    <t>0139N01</t>
  </si>
  <si>
    <t>オムスター</t>
  </si>
  <si>
    <t>0140N01</t>
  </si>
  <si>
    <t>カブト</t>
  </si>
  <si>
    <t>0141N01</t>
  </si>
  <si>
    <t>カブトプス</t>
  </si>
  <si>
    <t>0142N01</t>
  </si>
  <si>
    <t>プテラ</t>
  </si>
  <si>
    <t>0142M01</t>
  </si>
  <si>
    <t>メガプテラ</t>
  </si>
  <si>
    <t>0143N01</t>
  </si>
  <si>
    <t>カビゴン</t>
  </si>
  <si>
    <t>0144N01</t>
  </si>
  <si>
    <t>フリーザー</t>
  </si>
  <si>
    <t>0144G01</t>
  </si>
  <si>
    <t>0145N01</t>
  </si>
  <si>
    <t>サンダー</t>
  </si>
  <si>
    <t>0145G01</t>
  </si>
  <si>
    <t>0146N01</t>
  </si>
  <si>
    <t>ファイヤー</t>
  </si>
  <si>
    <t>0146G01</t>
  </si>
  <si>
    <t>0147N01</t>
  </si>
  <si>
    <t>ミニリュウ</t>
  </si>
  <si>
    <t>0148N01</t>
  </si>
  <si>
    <t>ハクリュー</t>
  </si>
  <si>
    <t>0149N01</t>
  </si>
  <si>
    <t>カイリュー</t>
  </si>
  <si>
    <t>0150N01</t>
  </si>
  <si>
    <t>ミュウツー</t>
  </si>
  <si>
    <t>0150N02</t>
  </si>
  <si>
    <t>アーマード</t>
  </si>
  <si>
    <t>g7mov</t>
  </si>
  <si>
    <t>0150M01</t>
  </si>
  <si>
    <t>メガミュウツーX</t>
  </si>
  <si>
    <t>0150M02</t>
  </si>
  <si>
    <t>メガミュウツーY</t>
  </si>
  <si>
    <t>0151N01</t>
  </si>
  <si>
    <t>ミュウ</t>
  </si>
  <si>
    <t>0152N01</t>
  </si>
  <si>
    <t>チコリータ</t>
  </si>
  <si>
    <t>g2</t>
  </si>
  <si>
    <t>0153N01</t>
  </si>
  <si>
    <t>ベイリーフ</t>
  </si>
  <si>
    <t>0154N01</t>
  </si>
  <si>
    <t>メガニウム</t>
  </si>
  <si>
    <t>0155N01</t>
  </si>
  <si>
    <t>ヒノアラシ</t>
  </si>
  <si>
    <t>0156N01</t>
  </si>
  <si>
    <t>マグマラシ</t>
  </si>
  <si>
    <t>0157N01</t>
  </si>
  <si>
    <t>バクフーン</t>
  </si>
  <si>
    <t>0157H01</t>
  </si>
  <si>
    <t>0158N01</t>
  </si>
  <si>
    <t>ワニノコ</t>
  </si>
  <si>
    <t>0159N01</t>
  </si>
  <si>
    <t>アリゲイツ</t>
  </si>
  <si>
    <t>0160N01</t>
  </si>
  <si>
    <t>オーダイル</t>
  </si>
  <si>
    <t>0161N01</t>
  </si>
  <si>
    <t>オタチ</t>
  </si>
  <si>
    <t>0162N01</t>
  </si>
  <si>
    <t>オオタチ</t>
  </si>
  <si>
    <t>0163N01</t>
  </si>
  <si>
    <t>ホーホー</t>
  </si>
  <si>
    <t>0164N01</t>
  </si>
  <si>
    <t>ヨルノズク</t>
  </si>
  <si>
    <t>0165N01</t>
  </si>
  <si>
    <t>レディバ</t>
  </si>
  <si>
    <t>0166N01</t>
  </si>
  <si>
    <t>レディアン</t>
  </si>
  <si>
    <t>0167N01</t>
  </si>
  <si>
    <t>イトマル</t>
  </si>
  <si>
    <t>0168N01</t>
  </si>
  <si>
    <t>アリアドス</t>
  </si>
  <si>
    <t>0169N01</t>
  </si>
  <si>
    <t>クロバット</t>
  </si>
  <si>
    <t>0170N01</t>
  </si>
  <si>
    <t>チョンチー</t>
  </si>
  <si>
    <t>0171N01</t>
  </si>
  <si>
    <t>ランターン</t>
  </si>
  <si>
    <t>0172N01</t>
  </si>
  <si>
    <t>ピチュー</t>
  </si>
  <si>
    <t>0173N01</t>
  </si>
  <si>
    <t>ピィ</t>
  </si>
  <si>
    <t>0174N01</t>
  </si>
  <si>
    <t>ププリン</t>
  </si>
  <si>
    <t>0175N01</t>
  </si>
  <si>
    <t>トゲピー</t>
  </si>
  <si>
    <t>0176N01</t>
  </si>
  <si>
    <t>トゲチック</t>
  </si>
  <si>
    <t>0177N01</t>
  </si>
  <si>
    <t>ネイティ</t>
  </si>
  <si>
    <t>0178N01</t>
  </si>
  <si>
    <t>ネイティオ</t>
  </si>
  <si>
    <t>0179N01</t>
  </si>
  <si>
    <t>メリープ</t>
  </si>
  <si>
    <t>0180N01</t>
  </si>
  <si>
    <t>モココ</t>
  </si>
  <si>
    <t>0181N01</t>
  </si>
  <si>
    <t>デンリュウ</t>
  </si>
  <si>
    <t>0181M01</t>
  </si>
  <si>
    <t>メガデンリュウ</t>
  </si>
  <si>
    <t>0182N01</t>
  </si>
  <si>
    <t>キレイハナ</t>
  </si>
  <si>
    <t>0183N01</t>
  </si>
  <si>
    <t>マリル</t>
  </si>
  <si>
    <t>0184N01</t>
  </si>
  <si>
    <t>マリルリ</t>
  </si>
  <si>
    <t>0185N01</t>
  </si>
  <si>
    <t>ウソッキー</t>
  </si>
  <si>
    <t>0186N01</t>
  </si>
  <si>
    <t>ニョロトノ</t>
  </si>
  <si>
    <t>0187N01</t>
  </si>
  <si>
    <t>ハネッコ</t>
  </si>
  <si>
    <t>0188N01</t>
  </si>
  <si>
    <t>ポポッコ</t>
  </si>
  <si>
    <t>0189N01</t>
  </si>
  <si>
    <t>ワタッコ</t>
  </si>
  <si>
    <t>0190N01</t>
  </si>
  <si>
    <t>エイパム</t>
  </si>
  <si>
    <t>0191N01</t>
  </si>
  <si>
    <t>ヒマナッツ</t>
  </si>
  <si>
    <t>0192N01</t>
  </si>
  <si>
    <t>キマワリ</t>
  </si>
  <si>
    <t>0193N01</t>
  </si>
  <si>
    <t>ヤンヤンマ</t>
  </si>
  <si>
    <t>0194N01</t>
  </si>
  <si>
    <t>ウパー</t>
  </si>
  <si>
    <t>0194P01</t>
  </si>
  <si>
    <t>パルデアのすがた</t>
  </si>
  <si>
    <t>0195N01</t>
  </si>
  <si>
    <t>ヌオー</t>
  </si>
  <si>
    <t>0196N01</t>
  </si>
  <si>
    <t>エーフィ</t>
  </si>
  <si>
    <t>0197N01</t>
  </si>
  <si>
    <t>ブラッキー</t>
  </si>
  <si>
    <t>0198N01</t>
  </si>
  <si>
    <t>ヤミカラス</t>
  </si>
  <si>
    <t>0199N01</t>
  </si>
  <si>
    <t>ヤドキング</t>
  </si>
  <si>
    <t>0199G01</t>
  </si>
  <si>
    <t>0200N01</t>
  </si>
  <si>
    <t>ムウマ</t>
  </si>
  <si>
    <t>0201N01</t>
  </si>
  <si>
    <t>アンノーン</t>
  </si>
  <si>
    <t>0202N01</t>
  </si>
  <si>
    <t>ソーナンス</t>
  </si>
  <si>
    <t>0203N01</t>
  </si>
  <si>
    <t>キリンリキ</t>
  </si>
  <si>
    <t>0204N01</t>
  </si>
  <si>
    <t>クヌギダマ</t>
  </si>
  <si>
    <t>0205N01</t>
  </si>
  <si>
    <t>フォレトス</t>
  </si>
  <si>
    <t>0206N01</t>
  </si>
  <si>
    <t>ノコッチ</t>
  </si>
  <si>
    <t>0207N01</t>
  </si>
  <si>
    <t>グライガー</t>
  </si>
  <si>
    <t>0208N01</t>
  </si>
  <si>
    <t>ハガネール</t>
  </si>
  <si>
    <t>0208M01</t>
  </si>
  <si>
    <t>メガハガネール</t>
  </si>
  <si>
    <t>0209N01</t>
  </si>
  <si>
    <t>ブルー</t>
  </si>
  <si>
    <t>0210N01</t>
  </si>
  <si>
    <t>グランブル</t>
  </si>
  <si>
    <t>0211N01</t>
  </si>
  <si>
    <t>ハリーセン</t>
  </si>
  <si>
    <t>0211H01</t>
  </si>
  <si>
    <t>0212N01</t>
  </si>
  <si>
    <t>ハッサム</t>
  </si>
  <si>
    <t>0212M01</t>
  </si>
  <si>
    <t>メガハッサム</t>
  </si>
  <si>
    <t>0213N01</t>
  </si>
  <si>
    <t>ツボツボ</t>
  </si>
  <si>
    <t>0214N01</t>
  </si>
  <si>
    <t>ヘラクロス</t>
  </si>
  <si>
    <t>0214M01</t>
  </si>
  <si>
    <t>メガヘラクロス</t>
  </si>
  <si>
    <t>0215N01</t>
  </si>
  <si>
    <t>ニューラ</t>
  </si>
  <si>
    <t>0215H01</t>
  </si>
  <si>
    <t>0216N01</t>
  </si>
  <si>
    <t>ヒメグマ</t>
  </si>
  <si>
    <t>0217N01</t>
  </si>
  <si>
    <t>リングマ</t>
  </si>
  <si>
    <t>0218N01</t>
  </si>
  <si>
    <t>マグマッグ</t>
  </si>
  <si>
    <t>0219N01</t>
  </si>
  <si>
    <t>マグカルゴ</t>
  </si>
  <si>
    <t>0220N01</t>
  </si>
  <si>
    <t>ウリムー</t>
  </si>
  <si>
    <t>0221N01</t>
  </si>
  <si>
    <t>イノムー</t>
  </si>
  <si>
    <t>0222N01</t>
  </si>
  <si>
    <t>サニーゴ</t>
  </si>
  <si>
    <t>0222G01</t>
  </si>
  <si>
    <t>0223N01</t>
  </si>
  <si>
    <t>テッポウオ</t>
  </si>
  <si>
    <t>0224N01</t>
  </si>
  <si>
    <t>オクタン</t>
  </si>
  <si>
    <t>0225N01</t>
  </si>
  <si>
    <t>デリバード</t>
  </si>
  <si>
    <t>0226N01</t>
  </si>
  <si>
    <t>マンタイン</t>
  </si>
  <si>
    <t>0227N01</t>
  </si>
  <si>
    <t>エアームド</t>
  </si>
  <si>
    <t>0228N01</t>
  </si>
  <si>
    <t>デルビル</t>
  </si>
  <si>
    <t>0229N01</t>
  </si>
  <si>
    <t>ヘルガー</t>
  </si>
  <si>
    <t>0229M01</t>
  </si>
  <si>
    <t>メガヘルガー</t>
  </si>
  <si>
    <t>0230N01</t>
  </si>
  <si>
    <t>キングドラ</t>
  </si>
  <si>
    <t>0231N01</t>
  </si>
  <si>
    <t>ゴマゾウ</t>
  </si>
  <si>
    <t>0232N01</t>
  </si>
  <si>
    <t>ドンファン</t>
  </si>
  <si>
    <t>0233N01</t>
  </si>
  <si>
    <t>ポリゴン2</t>
  </si>
  <si>
    <t>0234N01</t>
  </si>
  <si>
    <t>オドシシ</t>
  </si>
  <si>
    <t>0235N01</t>
  </si>
  <si>
    <t>ドーブル</t>
  </si>
  <si>
    <t>0236N01</t>
  </si>
  <si>
    <t>バルキー</t>
  </si>
  <si>
    <t>0237N01</t>
  </si>
  <si>
    <t>カポエラー</t>
  </si>
  <si>
    <t>0238N01</t>
  </si>
  <si>
    <t>ムチュール</t>
  </si>
  <si>
    <t>0239N01</t>
  </si>
  <si>
    <t>エレキッド</t>
  </si>
  <si>
    <t>0240N01</t>
  </si>
  <si>
    <t>ブビィ</t>
  </si>
  <si>
    <t>0241N01</t>
  </si>
  <si>
    <t>ミルタンク</t>
  </si>
  <si>
    <t>0242N01</t>
  </si>
  <si>
    <t>ハピナス</t>
  </si>
  <si>
    <t>0243N01</t>
  </si>
  <si>
    <t>ライコウ</t>
  </si>
  <si>
    <t>0244N01</t>
  </si>
  <si>
    <t>エンテイ</t>
  </si>
  <si>
    <t>0245N01</t>
  </si>
  <si>
    <t>スイクン</t>
  </si>
  <si>
    <t>0246N01</t>
  </si>
  <si>
    <t>ヨーギラス</t>
  </si>
  <si>
    <t>0247N01</t>
  </si>
  <si>
    <t>サナギラス</t>
  </si>
  <si>
    <t>0248N01</t>
  </si>
  <si>
    <t>バンギラス</t>
  </si>
  <si>
    <t>0248M01</t>
  </si>
  <si>
    <t>メガバンギラス</t>
  </si>
  <si>
    <t>0249N01</t>
  </si>
  <si>
    <t>ルギア</t>
  </si>
  <si>
    <t>0250N01</t>
  </si>
  <si>
    <t>ホウオウ</t>
  </si>
  <si>
    <t>0251N01</t>
  </si>
  <si>
    <t>セレビィ</t>
  </si>
  <si>
    <t>0252N01</t>
  </si>
  <si>
    <t>キモリ</t>
  </si>
  <si>
    <t>g3</t>
  </si>
  <si>
    <t>0253N01</t>
  </si>
  <si>
    <t>ジュプトル</t>
  </si>
  <si>
    <t>0254N01</t>
  </si>
  <si>
    <t>ジュカイン</t>
  </si>
  <si>
    <t>0254M01</t>
  </si>
  <si>
    <t>メガジュカイン</t>
  </si>
  <si>
    <t>0255N01</t>
  </si>
  <si>
    <t>アチャモ</t>
  </si>
  <si>
    <t>0256N01</t>
  </si>
  <si>
    <t>ワカシャモ</t>
  </si>
  <si>
    <t>0257N01</t>
  </si>
  <si>
    <t>バシャーモ</t>
  </si>
  <si>
    <t>0257M01</t>
  </si>
  <si>
    <t>メガバシャーモ</t>
  </si>
  <si>
    <t>0258N01</t>
  </si>
  <si>
    <t>ミズゴロウ</t>
  </si>
  <si>
    <t>0259N01</t>
  </si>
  <si>
    <t>ヌマクロー</t>
  </si>
  <si>
    <t>0260N01</t>
  </si>
  <si>
    <t>ラグラージ</t>
  </si>
  <si>
    <t>0260M01</t>
  </si>
  <si>
    <t>メガラグラージ</t>
  </si>
  <si>
    <t>0261N01</t>
  </si>
  <si>
    <t>ポチエナ</t>
  </si>
  <si>
    <t>0262N01</t>
  </si>
  <si>
    <t>グラエナ</t>
  </si>
  <si>
    <t>0263N01</t>
  </si>
  <si>
    <t>ジグザグマ</t>
  </si>
  <si>
    <t>0263G01</t>
  </si>
  <si>
    <t>0264N01</t>
  </si>
  <si>
    <t>マッスグマ</t>
  </si>
  <si>
    <t>0264G01</t>
  </si>
  <si>
    <t>0265N01</t>
  </si>
  <si>
    <t>ケムッソ</t>
  </si>
  <si>
    <t>0266N01</t>
  </si>
  <si>
    <t>カラサリス</t>
  </si>
  <si>
    <t>0267N01</t>
  </si>
  <si>
    <t>アゲハント</t>
  </si>
  <si>
    <t>0268N01</t>
  </si>
  <si>
    <t>マユルド</t>
  </si>
  <si>
    <t>0269N01</t>
  </si>
  <si>
    <t>ドクケイル</t>
  </si>
  <si>
    <t>0270N01</t>
  </si>
  <si>
    <t>ハスボー</t>
  </si>
  <si>
    <t>0271N01</t>
  </si>
  <si>
    <t>ハスブレロ</t>
  </si>
  <si>
    <t>0272N01</t>
  </si>
  <si>
    <t>ルンパッパ</t>
  </si>
  <si>
    <t>0273N01</t>
  </si>
  <si>
    <t>タネボー</t>
  </si>
  <si>
    <t>0274N01</t>
  </si>
  <si>
    <t>コノハナ</t>
  </si>
  <si>
    <t>0275N01</t>
  </si>
  <si>
    <t>ダーテング</t>
  </si>
  <si>
    <t>0276N01</t>
  </si>
  <si>
    <t>スバメ</t>
  </si>
  <si>
    <t>0277N01</t>
  </si>
  <si>
    <t>オオスバメ</t>
  </si>
  <si>
    <t>0278N01</t>
  </si>
  <si>
    <t>キャモメ</t>
  </si>
  <si>
    <t>0279N01</t>
  </si>
  <si>
    <t>ペリッパー</t>
  </si>
  <si>
    <t>0280N01</t>
  </si>
  <si>
    <t>ラルトス</t>
  </si>
  <si>
    <t>0281N01</t>
  </si>
  <si>
    <t>キルリア</t>
  </si>
  <si>
    <t>0282N01</t>
  </si>
  <si>
    <t>サーナイト</t>
  </si>
  <si>
    <t>0282M01</t>
  </si>
  <si>
    <t>メガサーナイト</t>
  </si>
  <si>
    <t>0283N01</t>
  </si>
  <si>
    <t>アメタマ</t>
  </si>
  <si>
    <t>0284N01</t>
  </si>
  <si>
    <t>アメモース</t>
  </si>
  <si>
    <t>0285N01</t>
  </si>
  <si>
    <t>キノココ</t>
  </si>
  <si>
    <t>0286N01</t>
  </si>
  <si>
    <t>キノガッサ</t>
  </si>
  <si>
    <t>0287N01</t>
  </si>
  <si>
    <t>ナマケロ</t>
  </si>
  <si>
    <t>0288N01</t>
  </si>
  <si>
    <t>ヤルキモノ</t>
  </si>
  <si>
    <t>0289N01</t>
  </si>
  <si>
    <t>ケッキング</t>
  </si>
  <si>
    <t>0290N01</t>
  </si>
  <si>
    <t>ツチニン</t>
  </si>
  <si>
    <t>0291N01</t>
  </si>
  <si>
    <t>テッカニン</t>
  </si>
  <si>
    <t>0292N01</t>
  </si>
  <si>
    <t>ヌケニン</t>
  </si>
  <si>
    <t>0293N01</t>
  </si>
  <si>
    <t>ゴニョニョ</t>
  </si>
  <si>
    <t>0294N01</t>
  </si>
  <si>
    <t>ドゴーム</t>
  </si>
  <si>
    <t>0295N01</t>
  </si>
  <si>
    <t>バクオング</t>
  </si>
  <si>
    <t>0296N01</t>
  </si>
  <si>
    <t>マクノシタ</t>
  </si>
  <si>
    <t>0297N01</t>
  </si>
  <si>
    <t>ハリテヤマ</t>
  </si>
  <si>
    <t>0298N01</t>
  </si>
  <si>
    <t>ルリリ</t>
  </si>
  <si>
    <t>0299N01</t>
  </si>
  <si>
    <t>ノズパス</t>
  </si>
  <si>
    <t>0300N01</t>
  </si>
  <si>
    <t>エネコ</t>
  </si>
  <si>
    <t>0301N01</t>
  </si>
  <si>
    <t>エネコロロ</t>
  </si>
  <si>
    <t>0302N01</t>
  </si>
  <si>
    <t>ヤミラミ</t>
  </si>
  <si>
    <t>0302M01</t>
  </si>
  <si>
    <t>メガヤミラミ</t>
  </si>
  <si>
    <t>0303N01</t>
  </si>
  <si>
    <t>クチート</t>
  </si>
  <si>
    <t>0303M01</t>
  </si>
  <si>
    <t>メガクチート</t>
  </si>
  <si>
    <t>0304N01</t>
  </si>
  <si>
    <t>ココドラ</t>
  </si>
  <si>
    <t>0305N01</t>
  </si>
  <si>
    <t>コドラ</t>
  </si>
  <si>
    <t>0306N01</t>
  </si>
  <si>
    <t>ボスゴドラ</t>
  </si>
  <si>
    <t>0306M01</t>
  </si>
  <si>
    <t>メガボスゴドラ</t>
  </si>
  <si>
    <t>0307N01</t>
  </si>
  <si>
    <t>アサナン</t>
  </si>
  <si>
    <t>0308N01</t>
  </si>
  <si>
    <t>チャーレム</t>
  </si>
  <si>
    <t>0308M01</t>
  </si>
  <si>
    <t>メガチャーレム</t>
  </si>
  <si>
    <t>0309N01</t>
  </si>
  <si>
    <t>ラクライ</t>
  </si>
  <si>
    <t>0310N01</t>
  </si>
  <si>
    <t>ライボルト</t>
  </si>
  <si>
    <t>0310M01</t>
  </si>
  <si>
    <t>メガライボルト</t>
  </si>
  <si>
    <t>0311N01</t>
  </si>
  <si>
    <t>プラスル</t>
  </si>
  <si>
    <t>0312N01</t>
  </si>
  <si>
    <t>マイナン</t>
  </si>
  <si>
    <t>0313N01</t>
  </si>
  <si>
    <t>バルビート</t>
  </si>
  <si>
    <t>0314N01</t>
  </si>
  <si>
    <t>イルミーゼ</t>
  </si>
  <si>
    <t>0315N01</t>
  </si>
  <si>
    <t>ロゼリア</t>
  </si>
  <si>
    <t>0316N01</t>
  </si>
  <si>
    <t>ゴクリン</t>
  </si>
  <si>
    <t>0317N01</t>
  </si>
  <si>
    <t>マルノーム</t>
  </si>
  <si>
    <t>0318N01</t>
  </si>
  <si>
    <t>キバニア</t>
  </si>
  <si>
    <t>0319N01</t>
  </si>
  <si>
    <t>サメハダー</t>
  </si>
  <si>
    <t>0319M01</t>
  </si>
  <si>
    <t>メガサメハダー</t>
  </si>
  <si>
    <t>0320N01</t>
  </si>
  <si>
    <t>ホエルコ</t>
  </si>
  <si>
    <t>0321N01</t>
  </si>
  <si>
    <t>ホエルオー</t>
  </si>
  <si>
    <t>0322N01</t>
  </si>
  <si>
    <t>ドンメル</t>
  </si>
  <si>
    <t>0323N01</t>
  </si>
  <si>
    <t>バクーダ</t>
  </si>
  <si>
    <t>0323M01</t>
  </si>
  <si>
    <t>メガバクーダ</t>
  </si>
  <si>
    <t>0324N01</t>
  </si>
  <si>
    <t>コータス</t>
  </si>
  <si>
    <t>0325N01</t>
  </si>
  <si>
    <t>バネブー</t>
  </si>
  <si>
    <t>0326N01</t>
  </si>
  <si>
    <t>ブーピッグ</t>
  </si>
  <si>
    <t>0327N01</t>
  </si>
  <si>
    <t>パッチール</t>
  </si>
  <si>
    <t>0328N01</t>
  </si>
  <si>
    <t>ナックラー</t>
  </si>
  <si>
    <t>0329N01</t>
  </si>
  <si>
    <t>ビブラーバ</t>
  </si>
  <si>
    <t>0330N01</t>
  </si>
  <si>
    <t>フライゴン</t>
  </si>
  <si>
    <t>0331N01</t>
  </si>
  <si>
    <t>サボネア</t>
  </si>
  <si>
    <t>0332N01</t>
  </si>
  <si>
    <t>ノクタス</t>
  </si>
  <si>
    <t>0333N01</t>
  </si>
  <si>
    <t>チルット</t>
  </si>
  <si>
    <t>0334N01</t>
  </si>
  <si>
    <t>チルタリス</t>
  </si>
  <si>
    <t>0334M01</t>
  </si>
  <si>
    <t>メガチルタリス</t>
  </si>
  <si>
    <t>0335N01</t>
  </si>
  <si>
    <t>ザングース</t>
  </si>
  <si>
    <t>0336N01</t>
  </si>
  <si>
    <t>ハブネーク</t>
  </si>
  <si>
    <t>0337N01</t>
  </si>
  <si>
    <t>ルナトーン</t>
  </si>
  <si>
    <t>0338N01</t>
  </si>
  <si>
    <t>ソルロック</t>
  </si>
  <si>
    <t>0339N01</t>
  </si>
  <si>
    <t>ドジョッチ</t>
  </si>
  <si>
    <t>0340N01</t>
  </si>
  <si>
    <t>ナマズン</t>
  </si>
  <si>
    <t>0341N01</t>
  </si>
  <si>
    <t>ヘイガニ</t>
  </si>
  <si>
    <t>0342N01</t>
  </si>
  <si>
    <t>シザリガー</t>
  </si>
  <si>
    <t>0343N01</t>
  </si>
  <si>
    <t>ヤジロン</t>
  </si>
  <si>
    <t>0344N01</t>
  </si>
  <si>
    <t>ネンドール</t>
  </si>
  <si>
    <t>0345N01</t>
  </si>
  <si>
    <t>リリーラ</t>
  </si>
  <si>
    <t>0346N01</t>
  </si>
  <si>
    <t>ユレイドル</t>
  </si>
  <si>
    <t>0347N01</t>
  </si>
  <si>
    <t>アノプス</t>
  </si>
  <si>
    <t>0348N01</t>
  </si>
  <si>
    <t>アーマルド</t>
  </si>
  <si>
    <t>0349N01</t>
  </si>
  <si>
    <t>ヒンバス</t>
  </si>
  <si>
    <t>0350N01</t>
  </si>
  <si>
    <t>ミロカロス</t>
  </si>
  <si>
    <t>0351N01</t>
  </si>
  <si>
    <t>ポワルン</t>
  </si>
  <si>
    <t>0351N02</t>
  </si>
  <si>
    <t>たいようのすがた</t>
  </si>
  <si>
    <t>0351N03</t>
  </si>
  <si>
    <t>あまみずのすがた</t>
  </si>
  <si>
    <t>0351N04</t>
  </si>
  <si>
    <t>ゆきぐものすがた</t>
  </si>
  <si>
    <t>0352N01</t>
  </si>
  <si>
    <t>カクレオン</t>
  </si>
  <si>
    <t>0353N01</t>
  </si>
  <si>
    <t>カゲボウズ</t>
  </si>
  <si>
    <t>0354N01</t>
  </si>
  <si>
    <t>ジュペッタ</t>
  </si>
  <si>
    <t>0354M01</t>
  </si>
  <si>
    <t>メガジュペッタ</t>
  </si>
  <si>
    <t>0355N01</t>
  </si>
  <si>
    <t>ヨマワル</t>
  </si>
  <si>
    <t>0356N01</t>
  </si>
  <si>
    <t>サマヨール</t>
  </si>
  <si>
    <t>0357N01</t>
  </si>
  <si>
    <t>トロピウス</t>
  </si>
  <si>
    <t>0358N01</t>
  </si>
  <si>
    <t>チリーン</t>
  </si>
  <si>
    <t>0359N01</t>
  </si>
  <si>
    <t>アブソル</t>
  </si>
  <si>
    <t>0359M01</t>
  </si>
  <si>
    <t>メガアブソル</t>
  </si>
  <si>
    <t>0360N01</t>
  </si>
  <si>
    <t>ソーナノ</t>
  </si>
  <si>
    <t>0361N01</t>
  </si>
  <si>
    <t>ユキワラシ</t>
  </si>
  <si>
    <t>0362N01</t>
  </si>
  <si>
    <t>オニゴーリ</t>
  </si>
  <si>
    <t>0362M01</t>
  </si>
  <si>
    <t>メガオニゴーリ</t>
  </si>
  <si>
    <t>0363N01</t>
  </si>
  <si>
    <t>タマザラシ</t>
  </si>
  <si>
    <t>0364N01</t>
  </si>
  <si>
    <t>トドグラー</t>
  </si>
  <si>
    <t>0365N01</t>
  </si>
  <si>
    <t>トドゼルガ</t>
  </si>
  <si>
    <t>0366N01</t>
  </si>
  <si>
    <t>パールル</t>
  </si>
  <si>
    <t>0367N01</t>
  </si>
  <si>
    <t>ハンテール</t>
  </si>
  <si>
    <t>0368N01</t>
  </si>
  <si>
    <t>サクラビス</t>
  </si>
  <si>
    <t>0369N01</t>
  </si>
  <si>
    <t>ジーランス</t>
  </si>
  <si>
    <t>0370N01</t>
  </si>
  <si>
    <t>ラブカス</t>
  </si>
  <si>
    <t>0371N01</t>
  </si>
  <si>
    <t>タツベイ</t>
  </si>
  <si>
    <t>0372N01</t>
  </si>
  <si>
    <t>コモルー</t>
  </si>
  <si>
    <t>0373N01</t>
  </si>
  <si>
    <t>ボーマンダ</t>
  </si>
  <si>
    <t>0373M01</t>
  </si>
  <si>
    <t>メガボーマンダ</t>
  </si>
  <si>
    <t>0374N01</t>
  </si>
  <si>
    <t>ダンバル</t>
  </si>
  <si>
    <t>0375N01</t>
  </si>
  <si>
    <t>メタング</t>
  </si>
  <si>
    <t>0376N01</t>
  </si>
  <si>
    <t>メタグロス</t>
  </si>
  <si>
    <t>0376M01</t>
  </si>
  <si>
    <t>メガメタグロス</t>
  </si>
  <si>
    <t>0377N01</t>
  </si>
  <si>
    <t>レジロック</t>
  </si>
  <si>
    <t>0378N01</t>
  </si>
  <si>
    <t>レジアイス</t>
  </si>
  <si>
    <t>0379N01</t>
  </si>
  <si>
    <t>レジスチル</t>
  </si>
  <si>
    <t>0380N01</t>
  </si>
  <si>
    <t>ラティアス</t>
  </si>
  <si>
    <t>0380M01</t>
  </si>
  <si>
    <t>メガラティアス</t>
  </si>
  <si>
    <t>0381N01</t>
  </si>
  <si>
    <t>ラティオス</t>
  </si>
  <si>
    <t>0381M01</t>
  </si>
  <si>
    <t>メガラティオス</t>
  </si>
  <si>
    <t>0382N01</t>
  </si>
  <si>
    <t>カイオーガ</t>
  </si>
  <si>
    <t>0382M01</t>
  </si>
  <si>
    <t>ゲンシカイオーガ</t>
  </si>
  <si>
    <t>0383N01</t>
  </si>
  <si>
    <t>グラードン</t>
  </si>
  <si>
    <t>0383M01</t>
  </si>
  <si>
    <t>ゲンシグラードン</t>
  </si>
  <si>
    <t>0384N01</t>
  </si>
  <si>
    <t>レックウザ</t>
  </si>
  <si>
    <t>0384M01</t>
  </si>
  <si>
    <t>メガレックウザ</t>
  </si>
  <si>
    <t>0385N01</t>
  </si>
  <si>
    <t>ジラーチ</t>
  </si>
  <si>
    <t>0386N01</t>
  </si>
  <si>
    <t>デオキシス</t>
  </si>
  <si>
    <t>ノーマルフォルム</t>
  </si>
  <si>
    <t>0386N02</t>
  </si>
  <si>
    <t>アタックフォルム</t>
  </si>
  <si>
    <t>0386N03</t>
  </si>
  <si>
    <t>ディフェンスフォルム</t>
  </si>
  <si>
    <t>0386N04</t>
  </si>
  <si>
    <t>スピードフォルム</t>
  </si>
  <si>
    <t>0387N01</t>
  </si>
  <si>
    <t>ナエトル</t>
  </si>
  <si>
    <t>g4</t>
  </si>
  <si>
    <t>0388N01</t>
  </si>
  <si>
    <t>ハヤシガメ</t>
  </si>
  <si>
    <t>0389N01</t>
  </si>
  <si>
    <t>ドダイトス</t>
  </si>
  <si>
    <t>0390N01</t>
  </si>
  <si>
    <t>ヒコザル</t>
  </si>
  <si>
    <t>0391N01</t>
  </si>
  <si>
    <t>モウカザル</t>
  </si>
  <si>
    <t>0392N01</t>
  </si>
  <si>
    <t>ゴウカザル</t>
  </si>
  <si>
    <t>0393N01</t>
  </si>
  <si>
    <t>ポッチャマ</t>
  </si>
  <si>
    <t>0394N01</t>
  </si>
  <si>
    <t>ポッタイシ</t>
  </si>
  <si>
    <t>0395N01</t>
  </si>
  <si>
    <t>エンペルト</t>
  </si>
  <si>
    <t>0396N01</t>
  </si>
  <si>
    <t>ムックル</t>
  </si>
  <si>
    <t>0397N01</t>
  </si>
  <si>
    <t>ムクバード</t>
  </si>
  <si>
    <t>0398N01</t>
  </si>
  <si>
    <t>ムクホーク</t>
  </si>
  <si>
    <t>0399N01</t>
  </si>
  <si>
    <t>ビッパ</t>
  </si>
  <si>
    <t>0400N01</t>
  </si>
  <si>
    <t>ビーダル</t>
  </si>
  <si>
    <t>0401N01</t>
  </si>
  <si>
    <t>コロボーシ</t>
  </si>
  <si>
    <t>0402N01</t>
  </si>
  <si>
    <t>コロトック</t>
  </si>
  <si>
    <t>0403N01</t>
  </si>
  <si>
    <t>コリンク</t>
  </si>
  <si>
    <t>0404N01</t>
  </si>
  <si>
    <t>ルクシオ</t>
  </si>
  <si>
    <t>0405N01</t>
  </si>
  <si>
    <t>レントラー</t>
  </si>
  <si>
    <t>0406N01</t>
  </si>
  <si>
    <t>スボミー</t>
  </si>
  <si>
    <t>0407N01</t>
  </si>
  <si>
    <t>ロズレイド</t>
  </si>
  <si>
    <t>0408N01</t>
  </si>
  <si>
    <t>ズガイドス</t>
  </si>
  <si>
    <t>0409N01</t>
  </si>
  <si>
    <t>ラムパルド</t>
  </si>
  <si>
    <t>0410N01</t>
  </si>
  <si>
    <t>タテトプス</t>
  </si>
  <si>
    <t>0411N01</t>
  </si>
  <si>
    <t>トリデプス</t>
  </si>
  <si>
    <t>0412N01</t>
  </si>
  <si>
    <t>ミノムッチ</t>
  </si>
  <si>
    <t>くさきのミノ</t>
  </si>
  <si>
    <t>0412N02</t>
  </si>
  <si>
    <t>すなちのミノ</t>
  </si>
  <si>
    <t>0412N03</t>
  </si>
  <si>
    <t>ゴミのミノ</t>
  </si>
  <si>
    <t>0413N01</t>
  </si>
  <si>
    <t>ミノマダム</t>
  </si>
  <si>
    <t>0413N02</t>
  </si>
  <si>
    <t>0413N03</t>
  </si>
  <si>
    <t>0414N01</t>
  </si>
  <si>
    <t>ガーメイル</t>
  </si>
  <si>
    <t>0415N01</t>
  </si>
  <si>
    <t>ミツハニー</t>
  </si>
  <si>
    <t>0416N01</t>
  </si>
  <si>
    <t>ビークイン</t>
  </si>
  <si>
    <t>0417N01</t>
  </si>
  <si>
    <t>パチリス</t>
  </si>
  <si>
    <t>0418N01</t>
  </si>
  <si>
    <t>ブイゼル</t>
  </si>
  <si>
    <t>0419N01</t>
  </si>
  <si>
    <t>フローゼル</t>
  </si>
  <si>
    <t>0420N01</t>
  </si>
  <si>
    <t>チェリンボ</t>
  </si>
  <si>
    <t>0421N01</t>
  </si>
  <si>
    <t>チェリム</t>
  </si>
  <si>
    <t>ポジフォルム</t>
  </si>
  <si>
    <t>0421N02</t>
  </si>
  <si>
    <t>ネガフォルム</t>
  </si>
  <si>
    <t>0422N01</t>
  </si>
  <si>
    <t>カラナクシ</t>
  </si>
  <si>
    <t>にしのうみ</t>
  </si>
  <si>
    <t>0422N02</t>
  </si>
  <si>
    <t>ひがしのうみ</t>
  </si>
  <si>
    <t>0423N01</t>
  </si>
  <si>
    <t>トリトドン</t>
  </si>
  <si>
    <t>0423N02</t>
  </si>
  <si>
    <t>0424N01</t>
  </si>
  <si>
    <t>エテボース</t>
  </si>
  <si>
    <t>0425N01</t>
  </si>
  <si>
    <t>フワンテ</t>
  </si>
  <si>
    <t>0426N01</t>
  </si>
  <si>
    <t>フワライド</t>
  </si>
  <si>
    <t>0427N01</t>
  </si>
  <si>
    <t>ミミロル</t>
  </si>
  <si>
    <t>0428N01</t>
  </si>
  <si>
    <t>ミミロップ</t>
  </si>
  <si>
    <t>0428M01</t>
  </si>
  <si>
    <t>メガミミロップ</t>
  </si>
  <si>
    <t>0429N01</t>
  </si>
  <si>
    <t>ムウマージ</t>
  </si>
  <si>
    <t>0430N01</t>
  </si>
  <si>
    <t>ドンカラス</t>
  </si>
  <si>
    <t>0431N01</t>
  </si>
  <si>
    <t>ニャルマー</t>
  </si>
  <si>
    <t>0432N01</t>
  </si>
  <si>
    <t>ブニャット</t>
  </si>
  <si>
    <t>0433N01</t>
  </si>
  <si>
    <t>リーシャン</t>
  </si>
  <si>
    <t>0434N01</t>
  </si>
  <si>
    <t>スカンプー</t>
  </si>
  <si>
    <t>0435N01</t>
  </si>
  <si>
    <t>スカタンク</t>
  </si>
  <si>
    <t>0436N01</t>
  </si>
  <si>
    <t>ドーミラー</t>
  </si>
  <si>
    <t>0437N01</t>
  </si>
  <si>
    <t>ドータクン</t>
  </si>
  <si>
    <t>0438N01</t>
  </si>
  <si>
    <t>ウソハチ</t>
  </si>
  <si>
    <t>0439N01</t>
  </si>
  <si>
    <t>マネネ</t>
  </si>
  <si>
    <t>0440N01</t>
  </si>
  <si>
    <t>ピンプク</t>
  </si>
  <si>
    <t>0441N01</t>
  </si>
  <si>
    <t>ペラップ</t>
  </si>
  <si>
    <t>0442N01</t>
  </si>
  <si>
    <t>ミカルゲ</t>
  </si>
  <si>
    <t>0443N01</t>
  </si>
  <si>
    <t>フカマル</t>
  </si>
  <si>
    <t>0444N01</t>
  </si>
  <si>
    <t>ガバイト</t>
  </si>
  <si>
    <t>0445N01</t>
  </si>
  <si>
    <t>ガブリアス</t>
  </si>
  <si>
    <t>0445M01</t>
  </si>
  <si>
    <t>メガガブリアス</t>
  </si>
  <si>
    <t>0446N01</t>
  </si>
  <si>
    <t>ゴンベ</t>
  </si>
  <si>
    <t>0447N01</t>
  </si>
  <si>
    <t>リオル</t>
  </si>
  <si>
    <t>0448N01</t>
  </si>
  <si>
    <t>ルカリオ</t>
  </si>
  <si>
    <t>0448M01</t>
  </si>
  <si>
    <t>メガルカリオ</t>
  </si>
  <si>
    <t>0449N01</t>
  </si>
  <si>
    <t>ヒポポタス</t>
  </si>
  <si>
    <t>0450N01</t>
  </si>
  <si>
    <t>カバルドン</t>
  </si>
  <si>
    <t>0451N01</t>
  </si>
  <si>
    <t>スコルピ</t>
  </si>
  <si>
    <t>0452N01</t>
  </si>
  <si>
    <t>ドラピオン</t>
  </si>
  <si>
    <t>0453N01</t>
  </si>
  <si>
    <t>グレッグル</t>
  </si>
  <si>
    <t>0454N01</t>
  </si>
  <si>
    <t>ドクロッグ</t>
  </si>
  <si>
    <t>0455N01</t>
  </si>
  <si>
    <t>マスキッパ</t>
  </si>
  <si>
    <t>0456N01</t>
  </si>
  <si>
    <t>ケイコウオ</t>
  </si>
  <si>
    <t>0457N01</t>
  </si>
  <si>
    <t>ネオラント</t>
  </si>
  <si>
    <t>0458N01</t>
  </si>
  <si>
    <t>タマンタ</t>
  </si>
  <si>
    <t>0459N01</t>
  </si>
  <si>
    <t>ユキカブリ</t>
  </si>
  <si>
    <t>0460N01</t>
  </si>
  <si>
    <t>ユキノオー</t>
  </si>
  <si>
    <t>0460M01</t>
  </si>
  <si>
    <t>メガユキノオー</t>
  </si>
  <si>
    <t>0461N01</t>
  </si>
  <si>
    <t>マニューラ</t>
  </si>
  <si>
    <t>0462N01</t>
  </si>
  <si>
    <t>ジバコイル</t>
  </si>
  <si>
    <t>0463N01</t>
  </si>
  <si>
    <t>ベロベルト</t>
  </si>
  <si>
    <t>0464N01</t>
  </si>
  <si>
    <t>ドサイドン</t>
  </si>
  <si>
    <t>0465N01</t>
  </si>
  <si>
    <t>モジャンボ</t>
  </si>
  <si>
    <t>0466N01</t>
  </si>
  <si>
    <t>エレキブル</t>
  </si>
  <si>
    <t>0467N01</t>
  </si>
  <si>
    <t>ブーバーン</t>
  </si>
  <si>
    <t>0468N01</t>
  </si>
  <si>
    <t>トゲキッス</t>
  </si>
  <si>
    <t>0469N01</t>
  </si>
  <si>
    <t>メガヤンマ</t>
  </si>
  <si>
    <t>0470N01</t>
  </si>
  <si>
    <t>リーフィア</t>
  </si>
  <si>
    <t>0471N01</t>
  </si>
  <si>
    <t>グレイシア</t>
  </si>
  <si>
    <t>0472N01</t>
  </si>
  <si>
    <t>グライオン</t>
  </si>
  <si>
    <t>0473N01</t>
  </si>
  <si>
    <t>マンムー</t>
  </si>
  <si>
    <t>0474N01</t>
  </si>
  <si>
    <t>ポリゴンZ</t>
  </si>
  <si>
    <t>0475N01</t>
  </si>
  <si>
    <t>エルレイド</t>
  </si>
  <si>
    <t>0475M01</t>
  </si>
  <si>
    <t>メガエルレイド</t>
  </si>
  <si>
    <t>0476N01</t>
  </si>
  <si>
    <t>ダイノーズ</t>
  </si>
  <si>
    <t>0477N01</t>
  </si>
  <si>
    <t>ヨノワール</t>
  </si>
  <si>
    <t>0478N01</t>
  </si>
  <si>
    <t>ユキメノコ</t>
  </si>
  <si>
    <t>0479N01</t>
  </si>
  <si>
    <t>ロトム</t>
  </si>
  <si>
    <t>0479N02</t>
  </si>
  <si>
    <t>ヒートロトム</t>
  </si>
  <si>
    <t>0479N03</t>
  </si>
  <si>
    <t>ウォッシュロトム</t>
  </si>
  <si>
    <t>0479N04</t>
  </si>
  <si>
    <t>フロストロトム</t>
  </si>
  <si>
    <t>0479N05</t>
  </si>
  <si>
    <t>スピンロトム</t>
  </si>
  <si>
    <t>0479N06</t>
  </si>
  <si>
    <t>カットロトム</t>
  </si>
  <si>
    <t>0480N01</t>
  </si>
  <si>
    <t>ユクシー</t>
  </si>
  <si>
    <t>0481N01</t>
  </si>
  <si>
    <t>エムリット</t>
  </si>
  <si>
    <t>0482N01</t>
  </si>
  <si>
    <t>アグノム</t>
  </si>
  <si>
    <t>0483N01</t>
  </si>
  <si>
    <t>ディアルガ</t>
  </si>
  <si>
    <t>0483N02</t>
  </si>
  <si>
    <t>オリジンフォルム</t>
  </si>
  <si>
    <t>0484N01</t>
  </si>
  <si>
    <t>パルキア</t>
  </si>
  <si>
    <t>0484N02</t>
  </si>
  <si>
    <t>0485N01</t>
  </si>
  <si>
    <t>ヒードラン</t>
  </si>
  <si>
    <t>0486N01</t>
  </si>
  <si>
    <t>レジギガス</t>
  </si>
  <si>
    <t>0487N01</t>
  </si>
  <si>
    <t>ギラティナ</t>
  </si>
  <si>
    <t>アナザーフォルム</t>
  </si>
  <si>
    <t>0487N02</t>
  </si>
  <si>
    <t>0488N01</t>
  </si>
  <si>
    <t>クレセリア</t>
  </si>
  <si>
    <t>0489N01</t>
  </si>
  <si>
    <t>フィオネ</t>
  </si>
  <si>
    <t>0490N01</t>
  </si>
  <si>
    <t>マナフィ</t>
  </si>
  <si>
    <t>0491N01</t>
  </si>
  <si>
    <t>ダークライ</t>
  </si>
  <si>
    <t>0492N01</t>
  </si>
  <si>
    <t>シェイミ</t>
  </si>
  <si>
    <t>ランドフォルム</t>
  </si>
  <si>
    <t>0492N02</t>
  </si>
  <si>
    <t>スカイフォルム</t>
  </si>
  <si>
    <t>0493N01</t>
  </si>
  <si>
    <t>アルセウス</t>
  </si>
  <si>
    <t>0494N01</t>
  </si>
  <si>
    <t>ビクティニ</t>
  </si>
  <si>
    <t>g5</t>
  </si>
  <si>
    <t>0495N01</t>
  </si>
  <si>
    <t>ツタージャ</t>
  </si>
  <si>
    <t>0496N01</t>
  </si>
  <si>
    <t>ジャノビー</t>
  </si>
  <si>
    <t>0497N01</t>
  </si>
  <si>
    <t>ジャローダ</t>
  </si>
  <si>
    <t>0498N01</t>
  </si>
  <si>
    <t>ポカブ</t>
  </si>
  <si>
    <t>0499N01</t>
  </si>
  <si>
    <t>チャオブー</t>
  </si>
  <si>
    <t>0500N01</t>
  </si>
  <si>
    <t>エンブオー</t>
  </si>
  <si>
    <t>0501N01</t>
  </si>
  <si>
    <t>ミジュマル</t>
  </si>
  <si>
    <t>0502N01</t>
  </si>
  <si>
    <t>フタチマル</t>
  </si>
  <si>
    <t>0503N01</t>
  </si>
  <si>
    <t>ダイケンキ</t>
  </si>
  <si>
    <t>0503H01</t>
  </si>
  <si>
    <t>0504N01</t>
  </si>
  <si>
    <t>ミネズミ</t>
  </si>
  <si>
    <t>0505N01</t>
  </si>
  <si>
    <t>ミルホッグ</t>
  </si>
  <si>
    <t>0506N01</t>
  </si>
  <si>
    <t>ヨーテリー</t>
  </si>
  <si>
    <t>0507N01</t>
  </si>
  <si>
    <t>ハーデリア</t>
  </si>
  <si>
    <t>0508N01</t>
  </si>
  <si>
    <t>ムーランド</t>
  </si>
  <si>
    <t>0509N01</t>
  </si>
  <si>
    <t>チョロネコ</t>
  </si>
  <si>
    <t>0510N01</t>
  </si>
  <si>
    <t>レパルダス</t>
  </si>
  <si>
    <t>0511N01</t>
  </si>
  <si>
    <t>ヤナップ</t>
  </si>
  <si>
    <t>0512N01</t>
  </si>
  <si>
    <t>ヤナッキー</t>
  </si>
  <si>
    <t>0513N01</t>
  </si>
  <si>
    <t>バオップ</t>
  </si>
  <si>
    <t>0514N01</t>
  </si>
  <si>
    <t>バオッキー</t>
  </si>
  <si>
    <t>0515N01</t>
  </si>
  <si>
    <t>ヒヤップ</t>
  </si>
  <si>
    <t>0516N01</t>
  </si>
  <si>
    <t>ヒヤッキー</t>
  </si>
  <si>
    <t>0517N01</t>
  </si>
  <si>
    <t>ムンナ</t>
  </si>
  <si>
    <t>0518N01</t>
  </si>
  <si>
    <t>ムシャーナ</t>
  </si>
  <si>
    <t>0519N01</t>
  </si>
  <si>
    <t>マメパト</t>
  </si>
  <si>
    <t>0520N01</t>
  </si>
  <si>
    <t>ハトーボー</t>
  </si>
  <si>
    <t>0521N01</t>
  </si>
  <si>
    <t>ケンホロウ</t>
  </si>
  <si>
    <t>0522N01</t>
  </si>
  <si>
    <t>シママ</t>
  </si>
  <si>
    <t>0523N01</t>
  </si>
  <si>
    <t>ゼブライカ</t>
  </si>
  <si>
    <t>0524N01</t>
  </si>
  <si>
    <t>ダンゴロ</t>
  </si>
  <si>
    <t>0525N01</t>
  </si>
  <si>
    <t>ガントル</t>
  </si>
  <si>
    <t>0526N01</t>
  </si>
  <si>
    <t>ギガイアス</t>
  </si>
  <si>
    <t>0527N01</t>
  </si>
  <si>
    <t>コロモリ</t>
  </si>
  <si>
    <t>0528N01</t>
  </si>
  <si>
    <t>ココロモリ</t>
  </si>
  <si>
    <t>0529N01</t>
  </si>
  <si>
    <t>モグリュー</t>
  </si>
  <si>
    <t>0530N01</t>
  </si>
  <si>
    <t>ドリュウズ</t>
  </si>
  <si>
    <t>0531N01</t>
  </si>
  <si>
    <t>タブンネ</t>
  </si>
  <si>
    <t>0531M01</t>
  </si>
  <si>
    <t>メガタブンネ</t>
  </si>
  <si>
    <t>0532N01</t>
  </si>
  <si>
    <t>ドッコラー</t>
  </si>
  <si>
    <t>0533N01</t>
  </si>
  <si>
    <t>ドテッコツ</t>
  </si>
  <si>
    <t>0534N01</t>
  </si>
  <si>
    <t>ローブシン</t>
  </si>
  <si>
    <t>0535N01</t>
  </si>
  <si>
    <t>オタマロ</t>
  </si>
  <si>
    <t>0536N01</t>
  </si>
  <si>
    <t>ガマガル</t>
  </si>
  <si>
    <t>0537N01</t>
  </si>
  <si>
    <t>ガマゲロゲ</t>
  </si>
  <si>
    <t>0538N01</t>
  </si>
  <si>
    <t>ナゲキ</t>
  </si>
  <si>
    <t>0539N01</t>
  </si>
  <si>
    <t>ダゲキ</t>
  </si>
  <si>
    <t>0540N01</t>
  </si>
  <si>
    <t>クルミル</t>
  </si>
  <si>
    <t>0541N01</t>
  </si>
  <si>
    <t>クルマユ</t>
  </si>
  <si>
    <t>0542N01</t>
  </si>
  <si>
    <t>ハハコモリ</t>
  </si>
  <si>
    <t>0543N01</t>
  </si>
  <si>
    <t>フシデ</t>
  </si>
  <si>
    <t>0544N01</t>
  </si>
  <si>
    <t>ホイーガ</t>
  </si>
  <si>
    <t>0545N01</t>
  </si>
  <si>
    <t>ペンドラー</t>
  </si>
  <si>
    <t>0546N01</t>
  </si>
  <si>
    <t>モンメン</t>
  </si>
  <si>
    <t>0547N01</t>
  </si>
  <si>
    <t>エルフーン</t>
  </si>
  <si>
    <t>0548N01</t>
  </si>
  <si>
    <t>チュリネ</t>
  </si>
  <si>
    <t>0549N01</t>
  </si>
  <si>
    <t>ドレディア</t>
  </si>
  <si>
    <t>0549H01</t>
  </si>
  <si>
    <t>0550N01</t>
  </si>
  <si>
    <t>バスラオ</t>
  </si>
  <si>
    <t>あかすじ</t>
  </si>
  <si>
    <t>0550N02</t>
  </si>
  <si>
    <t>あおすじ</t>
  </si>
  <si>
    <t>0550N03</t>
  </si>
  <si>
    <t>しろすじ</t>
  </si>
  <si>
    <t>0551N01</t>
  </si>
  <si>
    <t>メグロコ</t>
  </si>
  <si>
    <t>0552N01</t>
  </si>
  <si>
    <t>ワルビル</t>
  </si>
  <si>
    <t>0553N01</t>
  </si>
  <si>
    <t>ワルビアル</t>
  </si>
  <si>
    <t>0554N01</t>
  </si>
  <si>
    <t>ダルマッカ</t>
  </si>
  <si>
    <t>0554G01</t>
  </si>
  <si>
    <t>0555N01</t>
  </si>
  <si>
    <t>ヒヒダルマ</t>
  </si>
  <si>
    <t>0555N02</t>
  </si>
  <si>
    <t>ダルマモード</t>
  </si>
  <si>
    <t>0555G01</t>
  </si>
  <si>
    <t>0555G02</t>
  </si>
  <si>
    <t>ダルマモード(ガラルのすがた)</t>
  </si>
  <si>
    <t>0556N01</t>
  </si>
  <si>
    <t>マラカッチ</t>
  </si>
  <si>
    <t>0557N01</t>
  </si>
  <si>
    <t>イシズマイ</t>
  </si>
  <si>
    <t>0558N01</t>
  </si>
  <si>
    <t>イワパレス</t>
  </si>
  <si>
    <t>0559N01</t>
  </si>
  <si>
    <t>ズルッグ</t>
  </si>
  <si>
    <t>0560N01</t>
  </si>
  <si>
    <t>ズルズキン</t>
  </si>
  <si>
    <t>0561N01</t>
  </si>
  <si>
    <t>シンボラー</t>
  </si>
  <si>
    <t>0562N01</t>
  </si>
  <si>
    <t>デスマス</t>
  </si>
  <si>
    <t>0562G01</t>
  </si>
  <si>
    <t>0563N01</t>
  </si>
  <si>
    <t>デスカーン</t>
  </si>
  <si>
    <t>0564N01</t>
  </si>
  <si>
    <t>プロトーガ</t>
  </si>
  <si>
    <t>0565N01</t>
  </si>
  <si>
    <t>アバゴーラ</t>
  </si>
  <si>
    <t>0566N01</t>
  </si>
  <si>
    <t>アーケン</t>
  </si>
  <si>
    <t>0567N01</t>
  </si>
  <si>
    <t>アーケオス</t>
  </si>
  <si>
    <t>0568N01</t>
  </si>
  <si>
    <t>ヤブクロン</t>
  </si>
  <si>
    <t>0569N01</t>
  </si>
  <si>
    <t>ダストダス</t>
  </si>
  <si>
    <t>0570N01</t>
  </si>
  <si>
    <t>ゾロア</t>
  </si>
  <si>
    <t>0570H01</t>
  </si>
  <si>
    <t>0571N01</t>
  </si>
  <si>
    <t>ゾロアーク</t>
  </si>
  <si>
    <t>0571H01</t>
  </si>
  <si>
    <t>0572N01</t>
  </si>
  <si>
    <t>チラーミィ</t>
  </si>
  <si>
    <t>0573N01</t>
  </si>
  <si>
    <t>チラチーノ</t>
  </si>
  <si>
    <t>0574N01</t>
  </si>
  <si>
    <t>ゴチム</t>
  </si>
  <si>
    <t>0575N01</t>
  </si>
  <si>
    <t>ゴチミル</t>
  </si>
  <si>
    <t>0576N01</t>
  </si>
  <si>
    <t>ゴチルゼル</t>
  </si>
  <si>
    <t>0577N01</t>
  </si>
  <si>
    <t>ユニラン</t>
  </si>
  <si>
    <t>0578N01</t>
  </si>
  <si>
    <t>ダブラン</t>
  </si>
  <si>
    <t>0579N01</t>
  </si>
  <si>
    <t>ランクルス</t>
  </si>
  <si>
    <t>0580N01</t>
  </si>
  <si>
    <t>コアルヒー</t>
  </si>
  <si>
    <t>0581N01</t>
  </si>
  <si>
    <t>スワンナ</t>
  </si>
  <si>
    <t>0582N01</t>
  </si>
  <si>
    <t>バニプッチ</t>
  </si>
  <si>
    <t>0583N01</t>
  </si>
  <si>
    <t>バニリッチ</t>
  </si>
  <si>
    <t>0584N01</t>
  </si>
  <si>
    <t>バイバニラ</t>
  </si>
  <si>
    <t>0585N01</t>
  </si>
  <si>
    <t>シキジカ</t>
  </si>
  <si>
    <t>はるのすがた</t>
  </si>
  <si>
    <t>0585N02</t>
  </si>
  <si>
    <t>なつのすがた</t>
  </si>
  <si>
    <t>0585N03</t>
  </si>
  <si>
    <t>あきのすがた</t>
  </si>
  <si>
    <t>0585N04</t>
  </si>
  <si>
    <t>ふゆのすがた</t>
  </si>
  <si>
    <t>0586N01</t>
  </si>
  <si>
    <t>メブキジカ</t>
  </si>
  <si>
    <t>0586N02</t>
  </si>
  <si>
    <t>0586N03</t>
  </si>
  <si>
    <t>0586N04</t>
  </si>
  <si>
    <t>0587N01</t>
  </si>
  <si>
    <t>エモンガ</t>
  </si>
  <si>
    <t>0588N01</t>
  </si>
  <si>
    <t>カブルモ</t>
  </si>
  <si>
    <t>0589N01</t>
  </si>
  <si>
    <t>シュバルゴ</t>
  </si>
  <si>
    <t>0590N01</t>
  </si>
  <si>
    <t>タマゲタケ</t>
  </si>
  <si>
    <t>0591N01</t>
  </si>
  <si>
    <t>モロバレル</t>
  </si>
  <si>
    <t>0592N01</t>
  </si>
  <si>
    <t>プルリル</t>
  </si>
  <si>
    <t>オスのすがた</t>
  </si>
  <si>
    <t>0592N02</t>
  </si>
  <si>
    <t>メスのすがた</t>
  </si>
  <si>
    <t>0593N01</t>
  </si>
  <si>
    <t>ブルンゲル</t>
  </si>
  <si>
    <t>0593N02</t>
  </si>
  <si>
    <t>0594N01</t>
  </si>
  <si>
    <t>ママンボウ</t>
  </si>
  <si>
    <t>0595N01</t>
  </si>
  <si>
    <t>バチュル</t>
  </si>
  <si>
    <t>0596N01</t>
  </si>
  <si>
    <t>デンチュラ</t>
  </si>
  <si>
    <t>0597N01</t>
  </si>
  <si>
    <t>テッシード</t>
  </si>
  <si>
    <t>0598N01</t>
  </si>
  <si>
    <t>ナットレイ</t>
  </si>
  <si>
    <t>0599N01</t>
  </si>
  <si>
    <t>ギアル</t>
  </si>
  <si>
    <t>0600N01</t>
  </si>
  <si>
    <t>ギギアル</t>
  </si>
  <si>
    <t>0601N01</t>
  </si>
  <si>
    <t>ギギギアル</t>
  </si>
  <si>
    <t>0602N01</t>
  </si>
  <si>
    <t>シビシラス</t>
  </si>
  <si>
    <t>0603N01</t>
  </si>
  <si>
    <t>シビビール</t>
  </si>
  <si>
    <t>0604N01</t>
  </si>
  <si>
    <t>シビルドン</t>
  </si>
  <si>
    <t>0605N01</t>
  </si>
  <si>
    <t>リグレー</t>
  </si>
  <si>
    <t>0606N01</t>
  </si>
  <si>
    <t>オーベム</t>
  </si>
  <si>
    <t>0607N01</t>
  </si>
  <si>
    <t>ヒトモシ</t>
  </si>
  <si>
    <t>0608N01</t>
  </si>
  <si>
    <t>ランプラー</t>
  </si>
  <si>
    <t>0609N01</t>
  </si>
  <si>
    <t>シャンデラ</t>
  </si>
  <si>
    <t>0610N01</t>
  </si>
  <si>
    <t>キバゴ</t>
  </si>
  <si>
    <t>0611N01</t>
  </si>
  <si>
    <t>オノンド</t>
  </si>
  <si>
    <t>0612N01</t>
  </si>
  <si>
    <t>オノノクス</t>
  </si>
  <si>
    <t>0613N01</t>
  </si>
  <si>
    <t>クマシュン</t>
  </si>
  <si>
    <t>0614N01</t>
  </si>
  <si>
    <t>ツンベアー</t>
  </si>
  <si>
    <t>0615N01</t>
  </si>
  <si>
    <t>フリージオ</t>
  </si>
  <si>
    <t>0616N01</t>
  </si>
  <si>
    <t>チョボマキ</t>
  </si>
  <si>
    <t>0617N01</t>
  </si>
  <si>
    <t>アギルダー</t>
  </si>
  <si>
    <t>0618N01</t>
  </si>
  <si>
    <t>マッギョ</t>
  </si>
  <si>
    <t>0618G01</t>
  </si>
  <si>
    <t>0619N01</t>
  </si>
  <si>
    <t>コジョフー</t>
  </si>
  <si>
    <t>0620N01</t>
  </si>
  <si>
    <t>コジョンド</t>
  </si>
  <si>
    <t>0621N01</t>
  </si>
  <si>
    <t>クリムガン</t>
  </si>
  <si>
    <t>0622N01</t>
  </si>
  <si>
    <t>ゴビット</t>
  </si>
  <si>
    <t>0623N01</t>
  </si>
  <si>
    <t>ゴルーグ</t>
  </si>
  <si>
    <t>0624N01</t>
  </si>
  <si>
    <t>コマタナ</t>
  </si>
  <si>
    <t>0625N01</t>
  </si>
  <si>
    <t>キリキザン</t>
  </si>
  <si>
    <t>0626N01</t>
  </si>
  <si>
    <t>バッフロン</t>
  </si>
  <si>
    <t>0627N01</t>
  </si>
  <si>
    <t>ワシボン</t>
  </si>
  <si>
    <t>0628N01</t>
  </si>
  <si>
    <t>ウォーグル</t>
  </si>
  <si>
    <t>0628H01</t>
  </si>
  <si>
    <t>0629N01</t>
  </si>
  <si>
    <t>バルチャイ</t>
  </si>
  <si>
    <t>0630N01</t>
  </si>
  <si>
    <t>バルジーナ</t>
  </si>
  <si>
    <t>0631N01</t>
  </si>
  <si>
    <t>クイタラン</t>
  </si>
  <si>
    <t>0632N01</t>
  </si>
  <si>
    <t>アイアント</t>
  </si>
  <si>
    <t>0633N01</t>
  </si>
  <si>
    <t>モノズ</t>
  </si>
  <si>
    <t>0634N01</t>
  </si>
  <si>
    <t>ジヘッド</t>
  </si>
  <si>
    <t>0635N01</t>
  </si>
  <si>
    <t>サザンドラ</t>
  </si>
  <si>
    <t>0636N01</t>
  </si>
  <si>
    <t>メラルバ</t>
  </si>
  <si>
    <t>0637N01</t>
  </si>
  <si>
    <t>ウルガモス</t>
  </si>
  <si>
    <t>0638N01</t>
  </si>
  <si>
    <t>コバルオン</t>
  </si>
  <si>
    <t>0639N01</t>
  </si>
  <si>
    <t>テラキオン</t>
  </si>
  <si>
    <t>0640N01</t>
  </si>
  <si>
    <t>ビリジオン</t>
  </si>
  <si>
    <t>0641N01</t>
  </si>
  <si>
    <t>トルネロス</t>
  </si>
  <si>
    <t>けしんフォルム</t>
  </si>
  <si>
    <t>0641N02</t>
  </si>
  <si>
    <t>れいじゅうフォルム</t>
  </si>
  <si>
    <t>0642N01</t>
  </si>
  <si>
    <t>ボルトロス</t>
  </si>
  <si>
    <t>0642N02</t>
  </si>
  <si>
    <t>0643N01</t>
  </si>
  <si>
    <t>レシラム</t>
  </si>
  <si>
    <t>0644N01</t>
  </si>
  <si>
    <t>ゼクロム</t>
  </si>
  <si>
    <t>0645N01</t>
  </si>
  <si>
    <t>ランドロス</t>
  </si>
  <si>
    <t>0645N02</t>
  </si>
  <si>
    <t>0646N01</t>
  </si>
  <si>
    <t>キュレム</t>
  </si>
  <si>
    <t>0646N02</t>
  </si>
  <si>
    <t>ホワイトキュレム</t>
  </si>
  <si>
    <t>0646N03</t>
  </si>
  <si>
    <t>ブラックキュレム</t>
  </si>
  <si>
    <t>0647N01</t>
  </si>
  <si>
    <t>ケルディオ</t>
  </si>
  <si>
    <t>いつものすがた</t>
  </si>
  <si>
    <t>0647N02</t>
  </si>
  <si>
    <t>かくごのすがた</t>
  </si>
  <si>
    <t>0648N01</t>
  </si>
  <si>
    <t>メロエッタ</t>
  </si>
  <si>
    <t>ボイスフォルム</t>
  </si>
  <si>
    <t>0648N02</t>
  </si>
  <si>
    <t>ステップフォルム</t>
  </si>
  <si>
    <t>0649N01</t>
  </si>
  <si>
    <t>ゲノセクト</t>
  </si>
  <si>
    <t>0650N01</t>
  </si>
  <si>
    <t>ハリマロン</t>
  </si>
  <si>
    <t>0651N01</t>
  </si>
  <si>
    <t>ハリボーグ</t>
  </si>
  <si>
    <t>0652N01</t>
  </si>
  <si>
    <t>ブリガロン</t>
  </si>
  <si>
    <t>0653N01</t>
  </si>
  <si>
    <t>フォッコ</t>
  </si>
  <si>
    <t>0654N01</t>
  </si>
  <si>
    <t>テールナー</t>
  </si>
  <si>
    <t>0655N01</t>
  </si>
  <si>
    <t>マフォクシー</t>
  </si>
  <si>
    <t>0656N01</t>
  </si>
  <si>
    <t>ケロマツ</t>
  </si>
  <si>
    <t>0657N01</t>
  </si>
  <si>
    <t>ゲコガシラ</t>
  </si>
  <si>
    <t>0658N01</t>
  </si>
  <si>
    <t>ゲッコウガ</t>
  </si>
  <si>
    <t>0658N02</t>
  </si>
  <si>
    <t>サトシゲッコウガ</t>
  </si>
  <si>
    <t>0659N01</t>
  </si>
  <si>
    <t>ホルビー</t>
  </si>
  <si>
    <t>0660N01</t>
  </si>
  <si>
    <t>ホルード</t>
  </si>
  <si>
    <t>0661N01</t>
  </si>
  <si>
    <t>ヤヤコマ</t>
  </si>
  <si>
    <t>0662N01</t>
  </si>
  <si>
    <t>ヒノヤコマ</t>
  </si>
  <si>
    <t>0663N01</t>
  </si>
  <si>
    <t>ファイアロー</t>
  </si>
  <si>
    <t>0664N01</t>
  </si>
  <si>
    <t>コフキムシ</t>
  </si>
  <si>
    <t>0665N01</t>
  </si>
  <si>
    <t>コフーライ</t>
  </si>
  <si>
    <t>0666N01</t>
  </si>
  <si>
    <t>ビビヨン</t>
  </si>
  <si>
    <t>0667N01</t>
  </si>
  <si>
    <t>シシコ</t>
  </si>
  <si>
    <t>0668N01</t>
  </si>
  <si>
    <t>カエンジシ</t>
  </si>
  <si>
    <t>0668N02</t>
  </si>
  <si>
    <t>0669N01</t>
  </si>
  <si>
    <t>フラベベ</t>
  </si>
  <si>
    <t>0670N01</t>
  </si>
  <si>
    <t>フラエッテ</t>
  </si>
  <si>
    <t>0671N01</t>
  </si>
  <si>
    <t>フラージェス</t>
  </si>
  <si>
    <t>0672N01</t>
  </si>
  <si>
    <t>メェークル</t>
  </si>
  <si>
    <t>0673N01</t>
  </si>
  <si>
    <t>ゴーゴート</t>
  </si>
  <si>
    <t>0674N01</t>
  </si>
  <si>
    <t>ヤンチャム</t>
  </si>
  <si>
    <t>0675N01</t>
  </si>
  <si>
    <t>ゴロンダ</t>
  </si>
  <si>
    <t>0676N01</t>
  </si>
  <si>
    <t>トリミアン</t>
  </si>
  <si>
    <t>0677N01</t>
  </si>
  <si>
    <t>ニャスパー</t>
  </si>
  <si>
    <t>0678N01</t>
  </si>
  <si>
    <t>ニャオニクス</t>
  </si>
  <si>
    <t>0678N02</t>
  </si>
  <si>
    <t>0679N01</t>
  </si>
  <si>
    <t>ヒトツキ</t>
  </si>
  <si>
    <t>0680N01</t>
  </si>
  <si>
    <t>ニダンギル</t>
  </si>
  <si>
    <t>0681N01</t>
  </si>
  <si>
    <t>ギルガルド</t>
  </si>
  <si>
    <t>シールドフォルム</t>
  </si>
  <si>
    <t>0681N02</t>
  </si>
  <si>
    <t>ブレードフォルム</t>
  </si>
  <si>
    <t>0682N01</t>
  </si>
  <si>
    <t>シュシュプ</t>
  </si>
  <si>
    <t>0683N01</t>
  </si>
  <si>
    <t>フレフワン</t>
  </si>
  <si>
    <t>0684N01</t>
  </si>
  <si>
    <t>ペロッパフ</t>
  </si>
  <si>
    <t>0685N01</t>
  </si>
  <si>
    <t>ペロリーム</t>
  </si>
  <si>
    <t>0686N01</t>
  </si>
  <si>
    <t>マーイーカ</t>
  </si>
  <si>
    <t>0687N01</t>
  </si>
  <si>
    <t>カラマネロ</t>
  </si>
  <si>
    <t>0688N01</t>
  </si>
  <si>
    <t>カメテテ</t>
  </si>
  <si>
    <t>0689N01</t>
  </si>
  <si>
    <t>ガメノデス</t>
  </si>
  <si>
    <t>0690N01</t>
  </si>
  <si>
    <t>クズモー</t>
  </si>
  <si>
    <t>0691N01</t>
  </si>
  <si>
    <t>ドラミドロ</t>
  </si>
  <si>
    <t>0692N01</t>
  </si>
  <si>
    <t>ウデッポウ</t>
  </si>
  <si>
    <t>0693N01</t>
  </si>
  <si>
    <t>ブロスター</t>
  </si>
  <si>
    <t>0694N01</t>
  </si>
  <si>
    <t>エリキテル</t>
  </si>
  <si>
    <t>0695N01</t>
  </si>
  <si>
    <t>エレザード</t>
  </si>
  <si>
    <t>0696N01</t>
  </si>
  <si>
    <t>チゴラス</t>
  </si>
  <si>
    <t>0697N01</t>
  </si>
  <si>
    <t>ガチゴラス</t>
  </si>
  <si>
    <t>0698N01</t>
  </si>
  <si>
    <t>アマルス</t>
  </si>
  <si>
    <t>0699N01</t>
  </si>
  <si>
    <t>アマルルガ</t>
  </si>
  <si>
    <t>0700N01</t>
  </si>
  <si>
    <t>ニンフィア</t>
  </si>
  <si>
    <t>0701N01</t>
  </si>
  <si>
    <t>ルチャブル</t>
  </si>
  <si>
    <t>0702N01</t>
  </si>
  <si>
    <t>デデンネ</t>
  </si>
  <si>
    <t>0703N01</t>
  </si>
  <si>
    <t>メレシー</t>
  </si>
  <si>
    <t>0704N01</t>
  </si>
  <si>
    <t>ヌメラ</t>
  </si>
  <si>
    <t>0705N01</t>
  </si>
  <si>
    <t>ヌメイル</t>
  </si>
  <si>
    <t>0705H01</t>
  </si>
  <si>
    <t>0706N01</t>
  </si>
  <si>
    <t>ヌメルゴン</t>
  </si>
  <si>
    <t>0706H01</t>
  </si>
  <si>
    <t>0707N01</t>
  </si>
  <si>
    <t>クレッフィ</t>
  </si>
  <si>
    <t>0708N01</t>
  </si>
  <si>
    <t>ボクレー</t>
  </si>
  <si>
    <t>0709N01</t>
  </si>
  <si>
    <t>オーロット</t>
  </si>
  <si>
    <t>0710N01</t>
  </si>
  <si>
    <t>バケッチャ</t>
  </si>
  <si>
    <t>ふつうのサイズ</t>
  </si>
  <si>
    <t>0710N02</t>
  </si>
  <si>
    <t>ちいさいサイズ</t>
  </si>
  <si>
    <t>0710N03</t>
  </si>
  <si>
    <t>おおきいサイズ</t>
  </si>
  <si>
    <t>0710N04</t>
  </si>
  <si>
    <t>とくだいサイズ</t>
  </si>
  <si>
    <t>0711N01</t>
  </si>
  <si>
    <t>パンプジン</t>
  </si>
  <si>
    <t>0711N02</t>
  </si>
  <si>
    <t>0711N03</t>
  </si>
  <si>
    <t>0711N04</t>
  </si>
  <si>
    <t>0712N01</t>
  </si>
  <si>
    <t>カチコール</t>
  </si>
  <si>
    <t>0713N01</t>
  </si>
  <si>
    <t>クレベース</t>
  </si>
  <si>
    <t>0713H01</t>
  </si>
  <si>
    <t>0714N01</t>
  </si>
  <si>
    <t>オンバット</t>
  </si>
  <si>
    <t>0715N01</t>
  </si>
  <si>
    <t>オンバーン</t>
  </si>
  <si>
    <t>0716N01</t>
  </si>
  <si>
    <t>ゼルネアス</t>
  </si>
  <si>
    <t>0717N01</t>
  </si>
  <si>
    <t>イベルタル</t>
  </si>
  <si>
    <t>0718N01</t>
  </si>
  <si>
    <t>ジガルデ</t>
  </si>
  <si>
    <t>50%フォルム</t>
  </si>
  <si>
    <t>0718N02</t>
  </si>
  <si>
    <t>10%フォルム</t>
  </si>
  <si>
    <t>0718N03</t>
  </si>
  <si>
    <t>パーフェクトフォルム</t>
  </si>
  <si>
    <t>0719N01</t>
  </si>
  <si>
    <t>ディアンシー</t>
  </si>
  <si>
    <t>0719M01</t>
  </si>
  <si>
    <t>メガディアンシー</t>
  </si>
  <si>
    <t>0720N01</t>
  </si>
  <si>
    <t>フーパ</t>
  </si>
  <si>
    <t>いましめられしフーパ</t>
  </si>
  <si>
    <t>0720N02</t>
  </si>
  <si>
    <t>ときはなたれしフーパ</t>
  </si>
  <si>
    <t>0721N01</t>
  </si>
  <si>
    <t>ボルケニオン</t>
  </si>
  <si>
    <t>0722N01</t>
  </si>
  <si>
    <t>モクロー</t>
  </si>
  <si>
    <t>pokego/pokemon/0772_rowlet/rowlet_300.jpg</t>
  </si>
  <si>
    <t>pokego/pokemon/0772_rowlet/rowlet_motion.gif</t>
  </si>
  <si>
    <t>0723N01</t>
  </si>
  <si>
    <t>フクスロー</t>
  </si>
  <si>
    <t>0724N01</t>
  </si>
  <si>
    <t>ジュナイパー</t>
  </si>
  <si>
    <t>0724H01</t>
  </si>
  <si>
    <t>0725N01</t>
  </si>
  <si>
    <t>ニャビー</t>
  </si>
  <si>
    <t>0726N01</t>
  </si>
  <si>
    <t>ニャヒート</t>
  </si>
  <si>
    <t>0727N01</t>
  </si>
  <si>
    <t>ガオガエン</t>
  </si>
  <si>
    <t>0728N01</t>
  </si>
  <si>
    <t>アシマリ</t>
  </si>
  <si>
    <t>0729N01</t>
  </si>
  <si>
    <t>オシャマリ</t>
  </si>
  <si>
    <t>0730N01</t>
  </si>
  <si>
    <t>アシレーヌ</t>
  </si>
  <si>
    <t>0731N01</t>
  </si>
  <si>
    <t>ツツケラ</t>
  </si>
  <si>
    <t>0732N01</t>
  </si>
  <si>
    <t>ケララッパ</t>
  </si>
  <si>
    <t>0733N01</t>
  </si>
  <si>
    <t>ドデカバシ</t>
  </si>
  <si>
    <t>0734N01</t>
  </si>
  <si>
    <t>ヤングース</t>
  </si>
  <si>
    <t>0735N01</t>
  </si>
  <si>
    <t>デカグース</t>
  </si>
  <si>
    <t>0736N01</t>
  </si>
  <si>
    <t>アゴジムシ</t>
  </si>
  <si>
    <t>0737N01</t>
  </si>
  <si>
    <t>デンヂムシ</t>
  </si>
  <si>
    <t>0738N01</t>
  </si>
  <si>
    <t>クワガノン</t>
  </si>
  <si>
    <t>0739N01</t>
  </si>
  <si>
    <t>マケンカニ</t>
  </si>
  <si>
    <t>0740N01</t>
  </si>
  <si>
    <t>ケケンカニ</t>
  </si>
  <si>
    <t>0741N01</t>
  </si>
  <si>
    <t>オドリドリ</t>
  </si>
  <si>
    <t>めらめらスタイル</t>
  </si>
  <si>
    <t>0741N02</t>
  </si>
  <si>
    <t>ぱちぱちスタイル</t>
  </si>
  <si>
    <t>0741N03</t>
  </si>
  <si>
    <t>ふらふらスタイル</t>
  </si>
  <si>
    <t>0741N04</t>
  </si>
  <si>
    <t>まいまいスタイル</t>
  </si>
  <si>
    <t>0742N01</t>
  </si>
  <si>
    <t>アブリー</t>
  </si>
  <si>
    <t>0743N01</t>
  </si>
  <si>
    <t>アブリボン</t>
  </si>
  <si>
    <t>0744N01</t>
  </si>
  <si>
    <t>イワンコ</t>
  </si>
  <si>
    <t>0745N01</t>
  </si>
  <si>
    <t>ルガルガン</t>
  </si>
  <si>
    <t>まひるのすがた</t>
  </si>
  <si>
    <t>0745N02</t>
  </si>
  <si>
    <t>まよなかのすがた</t>
  </si>
  <si>
    <t>0745N03</t>
  </si>
  <si>
    <t>たそがれのすがた</t>
  </si>
  <si>
    <t>0746N01</t>
  </si>
  <si>
    <t>ヨワシ</t>
  </si>
  <si>
    <t>たんどくのすがた</t>
  </si>
  <si>
    <t>0746N02</t>
  </si>
  <si>
    <t>むれたすがた</t>
  </si>
  <si>
    <t>0747N01</t>
  </si>
  <si>
    <t>ヒドイデ</t>
  </si>
  <si>
    <t>0748N01</t>
  </si>
  <si>
    <t>ドヒドイデ</t>
  </si>
  <si>
    <t>0749N01</t>
  </si>
  <si>
    <t>ドロバンコ</t>
  </si>
  <si>
    <t>0750N01</t>
  </si>
  <si>
    <t>バンバドロ</t>
  </si>
  <si>
    <t>0751N01</t>
  </si>
  <si>
    <t>シズクモ</t>
  </si>
  <si>
    <t>0752N01</t>
  </si>
  <si>
    <t>オニシズクモ</t>
  </si>
  <si>
    <t>0753N01</t>
  </si>
  <si>
    <t>カリキリ</t>
  </si>
  <si>
    <t>0754N01</t>
  </si>
  <si>
    <t>ラランテス</t>
  </si>
  <si>
    <t>0755N01</t>
  </si>
  <si>
    <t>ネマシュ</t>
  </si>
  <si>
    <t>0756N01</t>
  </si>
  <si>
    <t>マシェード</t>
  </si>
  <si>
    <t>0757N01</t>
  </si>
  <si>
    <t>ヤトウモリ</t>
  </si>
  <si>
    <t>0758N01</t>
  </si>
  <si>
    <t>エンニュート</t>
  </si>
  <si>
    <t>0759N01</t>
  </si>
  <si>
    <t>ヌイコグマ</t>
  </si>
  <si>
    <t>0760N01</t>
  </si>
  <si>
    <t>キテルグマ</t>
  </si>
  <si>
    <t>0761N01</t>
  </si>
  <si>
    <t>アマカジ</t>
  </si>
  <si>
    <t>0762N01</t>
  </si>
  <si>
    <t>アママイコ</t>
  </si>
  <si>
    <t>0763N01</t>
  </si>
  <si>
    <t>アマージョ</t>
  </si>
  <si>
    <t>0764N01</t>
  </si>
  <si>
    <t>キュワワー</t>
  </si>
  <si>
    <t>0765N01</t>
  </si>
  <si>
    <t>ヤレユータン</t>
  </si>
  <si>
    <t>0766N01</t>
  </si>
  <si>
    <t>ナゲツケサル</t>
  </si>
  <si>
    <t>0767N01</t>
  </si>
  <si>
    <t>コソクムシ</t>
  </si>
  <si>
    <t>0768N01</t>
  </si>
  <si>
    <t>グソクムシャ</t>
  </si>
  <si>
    <t>0769N01</t>
  </si>
  <si>
    <t>スナバァ</t>
  </si>
  <si>
    <t>0770N01</t>
  </si>
  <si>
    <t>シロデスナ</t>
  </si>
  <si>
    <t>0771N01</t>
  </si>
  <si>
    <t>ナマコブシ</t>
  </si>
  <si>
    <t>0772N01</t>
  </si>
  <si>
    <t>タイプ：ヌル</t>
  </si>
  <si>
    <t>0773N01</t>
  </si>
  <si>
    <t>シルヴァディ</t>
  </si>
  <si>
    <t>0774N01</t>
  </si>
  <si>
    <t>メテノ</t>
  </si>
  <si>
    <t>りゅうせいのすがた</t>
  </si>
  <si>
    <t>0774N02</t>
  </si>
  <si>
    <t>コア</t>
  </si>
  <si>
    <t>0775N01</t>
  </si>
  <si>
    <t>ネッコアラ</t>
  </si>
  <si>
    <t>0776N01</t>
  </si>
  <si>
    <t>バクガメス</t>
  </si>
  <si>
    <t>0777N01</t>
  </si>
  <si>
    <t>トゲデマル</t>
  </si>
  <si>
    <t>0778N01</t>
  </si>
  <si>
    <t>ミミッキュ</t>
  </si>
  <si>
    <t>0779N01</t>
  </si>
  <si>
    <t>ハギギシリ</t>
  </si>
  <si>
    <t>0780N01</t>
  </si>
  <si>
    <t>ジジーロン</t>
  </si>
  <si>
    <t>0781N01</t>
  </si>
  <si>
    <t>ダダリン</t>
  </si>
  <si>
    <t>0782N01</t>
  </si>
  <si>
    <t>ジャラコ</t>
  </si>
  <si>
    <t>0783N01</t>
  </si>
  <si>
    <t>ジャランゴ</t>
  </si>
  <si>
    <t>0784N01</t>
  </si>
  <si>
    <t>ジャラランガ</t>
  </si>
  <si>
    <t>0785N01</t>
  </si>
  <si>
    <t>カプ・コケコ</t>
  </si>
  <si>
    <t>0786N01</t>
  </si>
  <si>
    <t>カプ・テテフ</t>
  </si>
  <si>
    <t>0787N01</t>
  </si>
  <si>
    <t>カプ・ブルル</t>
  </si>
  <si>
    <t>0788N01</t>
  </si>
  <si>
    <t>カプ・レヒレ</t>
  </si>
  <si>
    <t>0789N01</t>
  </si>
  <si>
    <t>コスモッグ</t>
  </si>
  <si>
    <t>0790N01</t>
  </si>
  <si>
    <t>コスモウム</t>
  </si>
  <si>
    <t>0791N01</t>
  </si>
  <si>
    <t>ソルガレオ</t>
  </si>
  <si>
    <t>0792N01</t>
  </si>
  <si>
    <t>ルナアーラ</t>
  </si>
  <si>
    <t>0793N01</t>
  </si>
  <si>
    <t>ウツロイド</t>
  </si>
  <si>
    <t>0794N01</t>
  </si>
  <si>
    <t>マッシブーン</t>
  </si>
  <si>
    <t>0795N01</t>
  </si>
  <si>
    <t>フェローチェ</t>
  </si>
  <si>
    <t>0796N01</t>
  </si>
  <si>
    <t>デンジュモク</t>
  </si>
  <si>
    <t>0797N01</t>
  </si>
  <si>
    <t>テッカグヤ</t>
  </si>
  <si>
    <t>0798N01</t>
  </si>
  <si>
    <t>カミツルギ</t>
  </si>
  <si>
    <t>0799N01</t>
  </si>
  <si>
    <t>アクジキング</t>
  </si>
  <si>
    <t>0800N01</t>
  </si>
  <si>
    <t>ネクロズマ</t>
  </si>
  <si>
    <t>0800N02</t>
  </si>
  <si>
    <t>たそがれのたてがみ(日食)</t>
  </si>
  <si>
    <t>0800N03</t>
  </si>
  <si>
    <t>あかつきのつばさ(月食)</t>
  </si>
  <si>
    <t>0800N04</t>
  </si>
  <si>
    <t>ウルトラネクロズマ</t>
  </si>
  <si>
    <t>0801N01</t>
  </si>
  <si>
    <t>マギアナ</t>
  </si>
  <si>
    <t>0802N01</t>
  </si>
  <si>
    <t>マーシャドー</t>
  </si>
  <si>
    <t>0803N01</t>
  </si>
  <si>
    <t>ベベノム</t>
  </si>
  <si>
    <t>0804N01</t>
  </si>
  <si>
    <t>アーゴヨン</t>
  </si>
  <si>
    <t>0805N01</t>
  </si>
  <si>
    <t>ツンデツンデ</t>
  </si>
  <si>
    <t>0806N01</t>
  </si>
  <si>
    <t>ズガドーン</t>
  </si>
  <si>
    <t>0807N01</t>
  </si>
  <si>
    <t>ゼラオラ</t>
  </si>
  <si>
    <t>0808N01</t>
  </si>
  <si>
    <t>メルタン</t>
  </si>
  <si>
    <t>0809N01</t>
  </si>
  <si>
    <t>メルメタル</t>
  </si>
  <si>
    <t>0810N01</t>
  </si>
  <si>
    <t>サルノリ</t>
  </si>
  <si>
    <t>0811N01</t>
  </si>
  <si>
    <t>バチンキー</t>
  </si>
  <si>
    <t>0812N01</t>
  </si>
  <si>
    <t>ゴリランダー</t>
  </si>
  <si>
    <t>0813N01</t>
  </si>
  <si>
    <t>ヒバニー</t>
  </si>
  <si>
    <t>0814N01</t>
  </si>
  <si>
    <t>ラビフット</t>
  </si>
  <si>
    <t>0815N01</t>
  </si>
  <si>
    <t>エースバーン</t>
  </si>
  <si>
    <t>0816N01</t>
  </si>
  <si>
    <t>メッソン</t>
  </si>
  <si>
    <t>0817N01</t>
  </si>
  <si>
    <t>ジメレオン</t>
  </si>
  <si>
    <t>0818N01</t>
  </si>
  <si>
    <t>インテレオン</t>
  </si>
  <si>
    <t>0819N01</t>
  </si>
  <si>
    <t>ホシガリス</t>
  </si>
  <si>
    <t>0820N01</t>
  </si>
  <si>
    <t>ヨクバリス</t>
  </si>
  <si>
    <t>0821N01</t>
  </si>
  <si>
    <t>ココガラ</t>
  </si>
  <si>
    <t>0822N01</t>
  </si>
  <si>
    <t>アオガラス</t>
  </si>
  <si>
    <t>0823N01</t>
  </si>
  <si>
    <t>アーマーガア</t>
  </si>
  <si>
    <t>0824N01</t>
  </si>
  <si>
    <t>サッチムシ</t>
  </si>
  <si>
    <t>0825N01</t>
  </si>
  <si>
    <t>レドームシ</t>
  </si>
  <si>
    <t>0826N01</t>
  </si>
  <si>
    <t>イオルブ</t>
  </si>
  <si>
    <t>0827N01</t>
  </si>
  <si>
    <t>クスネ</t>
  </si>
  <si>
    <t>0828N01</t>
  </si>
  <si>
    <t>フォクスライ</t>
  </si>
  <si>
    <t>0829N01</t>
  </si>
  <si>
    <t>ヒメンカ</t>
  </si>
  <si>
    <t>0830N01</t>
  </si>
  <si>
    <t>ワタシラガ</t>
  </si>
  <si>
    <t>0831N01</t>
  </si>
  <si>
    <t>ウールー</t>
  </si>
  <si>
    <t>0832N01</t>
  </si>
  <si>
    <t>バイウールー</t>
  </si>
  <si>
    <t>0833N01</t>
  </si>
  <si>
    <t>カムカメ</t>
  </si>
  <si>
    <t>0834N01</t>
  </si>
  <si>
    <t>カジリガメ</t>
  </si>
  <si>
    <t>0835N01</t>
  </si>
  <si>
    <t>ワンパチ</t>
  </si>
  <si>
    <t>0836N01</t>
  </si>
  <si>
    <t>パルスワン</t>
  </si>
  <si>
    <t>0837N01</t>
  </si>
  <si>
    <t>タンドン</t>
  </si>
  <si>
    <t>0838N01</t>
  </si>
  <si>
    <t>トロッゴン</t>
  </si>
  <si>
    <t>0839N01</t>
  </si>
  <si>
    <t>セキタンザン</t>
  </si>
  <si>
    <t>0840N01</t>
  </si>
  <si>
    <t>カジッチュ</t>
  </si>
  <si>
    <t>0841N01</t>
  </si>
  <si>
    <t>アップリュー</t>
  </si>
  <si>
    <t>0842N01</t>
  </si>
  <si>
    <t>タルップル</t>
  </si>
  <si>
    <t>0843N01</t>
  </si>
  <si>
    <t>スナヘビ</t>
  </si>
  <si>
    <t>0844N01</t>
  </si>
  <si>
    <t>サダイジャ</t>
  </si>
  <si>
    <t>0845N01</t>
  </si>
  <si>
    <t>ウッウ</t>
  </si>
  <si>
    <t>0846N01</t>
  </si>
  <si>
    <t>サシカマス</t>
  </si>
  <si>
    <t>0847N01</t>
  </si>
  <si>
    <t>カマスジョー</t>
  </si>
  <si>
    <t>0848N01</t>
  </si>
  <si>
    <t>エレズン</t>
  </si>
  <si>
    <t>0849N01</t>
  </si>
  <si>
    <t>ストリンダー</t>
  </si>
  <si>
    <t>ハイなすがた</t>
  </si>
  <si>
    <t>0849N02</t>
  </si>
  <si>
    <t>ローなすがた</t>
  </si>
  <si>
    <t>0850N01</t>
  </si>
  <si>
    <t>ヤクデ</t>
  </si>
  <si>
    <t>0851N01</t>
  </si>
  <si>
    <t>マルヤクデ</t>
  </si>
  <si>
    <t>0852N01</t>
  </si>
  <si>
    <t>タタッコ</t>
  </si>
  <si>
    <t>0853N01</t>
  </si>
  <si>
    <t>オトスパス</t>
  </si>
  <si>
    <t>0854N01</t>
  </si>
  <si>
    <t>ヤバチャ</t>
  </si>
  <si>
    <t>がんさくフォルム</t>
  </si>
  <si>
    <t>0854N02</t>
  </si>
  <si>
    <t>しんさくフォルム</t>
  </si>
  <si>
    <t>0855N01</t>
  </si>
  <si>
    <t>ポットデス</t>
  </si>
  <si>
    <t>0855N02</t>
  </si>
  <si>
    <t>0856N01</t>
  </si>
  <si>
    <t>ミブリム</t>
  </si>
  <si>
    <t>0857N01</t>
  </si>
  <si>
    <t>テブリム</t>
  </si>
  <si>
    <t>0858N01</t>
  </si>
  <si>
    <t>ブリムオン</t>
  </si>
  <si>
    <t>0859N01</t>
  </si>
  <si>
    <t>ベロバー</t>
  </si>
  <si>
    <t>0860N01</t>
  </si>
  <si>
    <t>ギモー</t>
  </si>
  <si>
    <t>0861N01</t>
  </si>
  <si>
    <t>オーロンゲ</t>
  </si>
  <si>
    <t>0862N01</t>
  </si>
  <si>
    <t>タチフサグマ</t>
  </si>
  <si>
    <t>0863N01</t>
  </si>
  <si>
    <t>ニャイキング</t>
  </si>
  <si>
    <t>0864N01</t>
  </si>
  <si>
    <t>サニゴーン</t>
  </si>
  <si>
    <t>0865N01</t>
  </si>
  <si>
    <t>ネギガナイト</t>
  </si>
  <si>
    <t>0866N01</t>
  </si>
  <si>
    <t>バリコオル</t>
  </si>
  <si>
    <t>0867N01</t>
  </si>
  <si>
    <t>デスバーン</t>
  </si>
  <si>
    <t>0868N01</t>
  </si>
  <si>
    <t>マホミル</t>
  </si>
  <si>
    <t>0869N01</t>
  </si>
  <si>
    <t>マホイップ</t>
  </si>
  <si>
    <t>0870N01</t>
  </si>
  <si>
    <t>タイレーツ</t>
  </si>
  <si>
    <t>0871N01</t>
  </si>
  <si>
    <t>バチンウニ</t>
  </si>
  <si>
    <t>0872N01</t>
  </si>
  <si>
    <t>ユキハミ</t>
  </si>
  <si>
    <t>0873N01</t>
  </si>
  <si>
    <t>モスノウ</t>
  </si>
  <si>
    <t>0874N01</t>
  </si>
  <si>
    <t>イシヘンジン</t>
  </si>
  <si>
    <t>0875N01</t>
  </si>
  <si>
    <t>コオリッポ</t>
  </si>
  <si>
    <t>アイスフェイス</t>
  </si>
  <si>
    <t>0875N02</t>
  </si>
  <si>
    <t>ナイスフェイス</t>
  </si>
  <si>
    <t>0876N01</t>
  </si>
  <si>
    <t>イエッサン</t>
  </si>
  <si>
    <t>0876N02</t>
  </si>
  <si>
    <t>0877N01</t>
  </si>
  <si>
    <t>モルペコ</t>
  </si>
  <si>
    <t>まんぷくもよう</t>
  </si>
  <si>
    <t>0877N02</t>
  </si>
  <si>
    <t>はらぺこもよう</t>
  </si>
  <si>
    <t>0878N01</t>
  </si>
  <si>
    <t>ゾウドウ</t>
  </si>
  <si>
    <t>0879N01</t>
  </si>
  <si>
    <t>ダイオウドウ</t>
  </si>
  <si>
    <t>0880N01</t>
  </si>
  <si>
    <t>パッチラゴン</t>
  </si>
  <si>
    <t>0881N01</t>
  </si>
  <si>
    <t>パッチルドン</t>
  </si>
  <si>
    <t>0882N01</t>
  </si>
  <si>
    <t>ウオノラゴン</t>
  </si>
  <si>
    <t>0883N01</t>
  </si>
  <si>
    <t>ウオチルドン</t>
  </si>
  <si>
    <t>0884N01</t>
  </si>
  <si>
    <t>ジュラルドン</t>
  </si>
  <si>
    <t>0885N01</t>
  </si>
  <si>
    <t>ドラメシヤ</t>
  </si>
  <si>
    <t>0886N01</t>
  </si>
  <si>
    <t>ドロンチ</t>
  </si>
  <si>
    <t>0887N01</t>
  </si>
  <si>
    <t>ドラパルト</t>
  </si>
  <si>
    <t>0888N01</t>
  </si>
  <si>
    <t>ザシアン</t>
  </si>
  <si>
    <t>れきせんのゆうしゃ</t>
  </si>
  <si>
    <t>0888N02</t>
  </si>
  <si>
    <t>けんのおう</t>
  </si>
  <si>
    <t>0889N01</t>
  </si>
  <si>
    <t>ザマゼンタ</t>
  </si>
  <si>
    <t>0889N02</t>
  </si>
  <si>
    <t>たてのおう</t>
  </si>
  <si>
    <t>0890N01</t>
  </si>
  <si>
    <t>ムゲンダイナ</t>
  </si>
  <si>
    <t>0891N01</t>
  </si>
  <si>
    <t>ダクマ</t>
  </si>
  <si>
    <t>0892N01</t>
  </si>
  <si>
    <t>ウーラオス</t>
  </si>
  <si>
    <t>いちげきのかた</t>
  </si>
  <si>
    <t>0892N02</t>
  </si>
  <si>
    <t>れんげきのかた</t>
  </si>
  <si>
    <t>0893N01</t>
  </si>
  <si>
    <t>ザルード</t>
  </si>
  <si>
    <t>0894N01</t>
  </si>
  <si>
    <t>レジエレキ</t>
  </si>
  <si>
    <t>0895N01</t>
  </si>
  <si>
    <t>レジドラゴ</t>
  </si>
  <si>
    <t>0896N01</t>
  </si>
  <si>
    <t>ブリザポス</t>
  </si>
  <si>
    <t>0897N01</t>
  </si>
  <si>
    <t>レイスポス</t>
  </si>
  <si>
    <t>0898N01</t>
  </si>
  <si>
    <t>バドレックス</t>
  </si>
  <si>
    <t>0898N02</t>
  </si>
  <si>
    <t>はくばじょうのすがた</t>
  </si>
  <si>
    <t>0898N03</t>
  </si>
  <si>
    <t>こくばじょうのすがた</t>
  </si>
  <si>
    <t>0899N01</t>
  </si>
  <si>
    <t>アヤシシ</t>
  </si>
  <si>
    <t>0900N01</t>
  </si>
  <si>
    <t>バサギリ</t>
  </si>
  <si>
    <t>0901N01</t>
  </si>
  <si>
    <t>ガチグマ</t>
  </si>
  <si>
    <t>0902N01</t>
  </si>
  <si>
    <t>イダイトウ</t>
  </si>
  <si>
    <t>0902N02</t>
  </si>
  <si>
    <t>0903N01</t>
  </si>
  <si>
    <t>オオニューラ</t>
  </si>
  <si>
    <t>0904N01</t>
  </si>
  <si>
    <t>ハリーマン</t>
  </si>
  <si>
    <t>0905N01</t>
  </si>
  <si>
    <t>ラブトロス</t>
  </si>
  <si>
    <t>0905N02</t>
  </si>
  <si>
    <t>0906N01</t>
  </si>
  <si>
    <t>ニャオハ</t>
  </si>
  <si>
    <t>0907N01</t>
  </si>
  <si>
    <t>ニャローテ</t>
  </si>
  <si>
    <t>0908N01</t>
  </si>
  <si>
    <t>マスカーニャ</t>
  </si>
  <si>
    <t>0909N01</t>
  </si>
  <si>
    <t>ホゲータ</t>
  </si>
  <si>
    <t>0910N01</t>
  </si>
  <si>
    <t>アチゲータ</t>
  </si>
  <si>
    <t>0911N01</t>
  </si>
  <si>
    <t>ラウドボーン</t>
  </si>
  <si>
    <t>0912N01</t>
  </si>
  <si>
    <t>クワッス</t>
  </si>
  <si>
    <t>0913N01</t>
  </si>
  <si>
    <t>ウェルカモ</t>
  </si>
  <si>
    <t>0914N01</t>
  </si>
  <si>
    <t>ウェーニバル</t>
  </si>
  <si>
    <t>0915N01</t>
  </si>
  <si>
    <t>グルトン</t>
  </si>
  <si>
    <t>0916N01</t>
  </si>
  <si>
    <t>パフュートン</t>
  </si>
  <si>
    <t>0916N02</t>
  </si>
  <si>
    <t>0917N01</t>
  </si>
  <si>
    <t>タマンチュラ</t>
  </si>
  <si>
    <t>0918N01</t>
  </si>
  <si>
    <t>ワナイダー</t>
  </si>
  <si>
    <t>0919N01</t>
  </si>
  <si>
    <t>マメバッタ</t>
  </si>
  <si>
    <t>0920N01</t>
  </si>
  <si>
    <t>エクスレッグ</t>
  </si>
  <si>
    <t>0921N01</t>
  </si>
  <si>
    <t>パモ</t>
  </si>
  <si>
    <t>0922N01</t>
  </si>
  <si>
    <t>パモット</t>
  </si>
  <si>
    <t>0923N01</t>
  </si>
  <si>
    <t>パーモット</t>
  </si>
  <si>
    <t>0924N01</t>
  </si>
  <si>
    <t>ワッカネズミ</t>
  </si>
  <si>
    <t>0925N01</t>
  </si>
  <si>
    <t>イッカネズミ</t>
  </si>
  <si>
    <t>３びきかぞく</t>
  </si>
  <si>
    <t>0925N02</t>
  </si>
  <si>
    <t>４ひきかぞく</t>
  </si>
  <si>
    <t>0926N01</t>
  </si>
  <si>
    <t>パピモッチ</t>
  </si>
  <si>
    <t>0927N01</t>
  </si>
  <si>
    <t>バウッツェル</t>
  </si>
  <si>
    <t>0928N01</t>
  </si>
  <si>
    <t>ミニーブ</t>
  </si>
  <si>
    <t>0929N01</t>
  </si>
  <si>
    <t>オリーニョ</t>
  </si>
  <si>
    <t>0930N01</t>
  </si>
  <si>
    <t>オリーヴァ</t>
  </si>
  <si>
    <t>0931N01</t>
  </si>
  <si>
    <t>イキリンコ</t>
  </si>
  <si>
    <t>グリーンフェザー</t>
  </si>
  <si>
    <t>0931N02</t>
  </si>
  <si>
    <t>ブルーフェザー</t>
  </si>
  <si>
    <t>0931N03</t>
  </si>
  <si>
    <t>イエローフェザー</t>
  </si>
  <si>
    <t>0931N04</t>
  </si>
  <si>
    <t>ホワイトフェザー</t>
  </si>
  <si>
    <t>0932N01</t>
  </si>
  <si>
    <t>コジオ</t>
  </si>
  <si>
    <t>0933N01</t>
  </si>
  <si>
    <t>ジオヅム</t>
  </si>
  <si>
    <t>0934N01</t>
  </si>
  <si>
    <t>キョジオーン</t>
  </si>
  <si>
    <t>0935N01</t>
  </si>
  <si>
    <t>カルボウ</t>
  </si>
  <si>
    <t>0936N01</t>
  </si>
  <si>
    <t>グレンアルマ</t>
  </si>
  <si>
    <t>0937N01</t>
  </si>
  <si>
    <t>ソウブレイズ</t>
  </si>
  <si>
    <t>0938N01</t>
  </si>
  <si>
    <t>ズピカ</t>
  </si>
  <si>
    <t>0939N01</t>
  </si>
  <si>
    <t>ハラバリー</t>
  </si>
  <si>
    <t>0940N01</t>
  </si>
  <si>
    <t>カイデン</t>
  </si>
  <si>
    <t>0941N01</t>
  </si>
  <si>
    <t>タイカイデン</t>
  </si>
  <si>
    <t>0942N01</t>
  </si>
  <si>
    <t>オラチフ</t>
  </si>
  <si>
    <t>0943N01</t>
  </si>
  <si>
    <t>マフィティフ</t>
  </si>
  <si>
    <t>0944N01</t>
  </si>
  <si>
    <t>シルシュルー</t>
  </si>
  <si>
    <t>0945N01</t>
  </si>
  <si>
    <t>タギングル</t>
  </si>
  <si>
    <t>0946N01</t>
  </si>
  <si>
    <t>アノクサ</t>
  </si>
  <si>
    <t>0947N01</t>
  </si>
  <si>
    <t>アノホラグサ</t>
  </si>
  <si>
    <t>0948N01</t>
  </si>
  <si>
    <t>ノノクラゲ</t>
  </si>
  <si>
    <t>0949N01</t>
  </si>
  <si>
    <t>リククラゲ</t>
  </si>
  <si>
    <t>0950N01</t>
  </si>
  <si>
    <t>ガケガニ</t>
  </si>
  <si>
    <t>0951N01</t>
  </si>
  <si>
    <t>カプサイジ</t>
  </si>
  <si>
    <t>0952N01</t>
  </si>
  <si>
    <t>スコヴィラン</t>
  </si>
  <si>
    <t>0953N01</t>
  </si>
  <si>
    <t>シガロコ</t>
  </si>
  <si>
    <t>0954N01</t>
  </si>
  <si>
    <t>ベラカス</t>
  </si>
  <si>
    <t>0955N01</t>
  </si>
  <si>
    <t>ヒラヒナ</t>
  </si>
  <si>
    <t>0956N01</t>
  </si>
  <si>
    <t>クエスパトラ</t>
  </si>
  <si>
    <t>0957N01</t>
  </si>
  <si>
    <t>カヌチャン</t>
  </si>
  <si>
    <t>0958N01</t>
  </si>
  <si>
    <t>ナカヌチャン</t>
  </si>
  <si>
    <t>0959N01</t>
  </si>
  <si>
    <t>デカヌチャン</t>
  </si>
  <si>
    <t>0960N01</t>
  </si>
  <si>
    <t>ウミディグダ</t>
  </si>
  <si>
    <t>0961N01</t>
  </si>
  <si>
    <t>ウミトリオ</t>
  </si>
  <si>
    <t>0962N01</t>
  </si>
  <si>
    <t>オトシドリ</t>
  </si>
  <si>
    <t>0963N01</t>
  </si>
  <si>
    <t>ナミイルカ</t>
  </si>
  <si>
    <t>0964N01</t>
  </si>
  <si>
    <t>イルカマン</t>
  </si>
  <si>
    <t>ナイーブ</t>
  </si>
  <si>
    <t>0964N02</t>
  </si>
  <si>
    <t>マイティ</t>
  </si>
  <si>
    <t>0965N01</t>
  </si>
  <si>
    <t>ブロロン</t>
  </si>
  <si>
    <t>0966N01</t>
  </si>
  <si>
    <t>ブロロローム</t>
  </si>
  <si>
    <t>0967N01</t>
  </si>
  <si>
    <t>モトトカゲ</t>
  </si>
  <si>
    <t>0968N01</t>
  </si>
  <si>
    <t>ミミズズ</t>
  </si>
  <si>
    <t>0969N01</t>
  </si>
  <si>
    <t>キラーメ</t>
  </si>
  <si>
    <t>0970N01</t>
  </si>
  <si>
    <t>キラフロル</t>
  </si>
  <si>
    <t>0971N01</t>
  </si>
  <si>
    <t>ボチ</t>
  </si>
  <si>
    <t>0972N01</t>
  </si>
  <si>
    <t>ハカドッグ</t>
  </si>
  <si>
    <t>0973N01</t>
  </si>
  <si>
    <t>カラミンゴ</t>
  </si>
  <si>
    <t>0974N01</t>
  </si>
  <si>
    <t>アルクジラ</t>
  </si>
  <si>
    <t>0975N01</t>
  </si>
  <si>
    <t>ハルクジラ</t>
  </si>
  <si>
    <t>0976N01</t>
  </si>
  <si>
    <t>ミガルーサ</t>
  </si>
  <si>
    <t>0977N01</t>
  </si>
  <si>
    <t>ヘイラッシャ</t>
  </si>
  <si>
    <t>0978N01</t>
  </si>
  <si>
    <t>シャリタツ</t>
  </si>
  <si>
    <t>そった</t>
  </si>
  <si>
    <t>0978N02</t>
  </si>
  <si>
    <t>たれた</t>
  </si>
  <si>
    <t>0978N03</t>
  </si>
  <si>
    <t>のびた</t>
  </si>
  <si>
    <t>0979N01</t>
  </si>
  <si>
    <t>コノヨザル</t>
  </si>
  <si>
    <t>0980N01</t>
  </si>
  <si>
    <t>ドオー</t>
  </si>
  <si>
    <t>0981N01</t>
  </si>
  <si>
    <t>リキキリン</t>
  </si>
  <si>
    <t>0982N01</t>
  </si>
  <si>
    <t>ノココッチ</t>
  </si>
  <si>
    <t>ふたふしフォルム</t>
  </si>
  <si>
    <t>0982N02</t>
  </si>
  <si>
    <t>みつふしフォルム</t>
  </si>
  <si>
    <t>0983N01</t>
  </si>
  <si>
    <t>ドドゲザン</t>
  </si>
  <si>
    <t>0984N01</t>
  </si>
  <si>
    <t>イダイナキバ</t>
  </si>
  <si>
    <t>0985N01</t>
  </si>
  <si>
    <t>サケブシッポ</t>
  </si>
  <si>
    <t>0986N01</t>
  </si>
  <si>
    <t>アラブルタケ</t>
  </si>
  <si>
    <t>0987N01</t>
  </si>
  <si>
    <t>ハバタクカミ</t>
  </si>
  <si>
    <t>0988N01</t>
  </si>
  <si>
    <t>チヲハウハネ</t>
  </si>
  <si>
    <t>0989N01</t>
  </si>
  <si>
    <t>スナノケガワ</t>
  </si>
  <si>
    <t>0990N01</t>
  </si>
  <si>
    <t>テツノワダチ</t>
  </si>
  <si>
    <t>0991N01</t>
  </si>
  <si>
    <t>テツノツツミ</t>
  </si>
  <si>
    <t>0992N01</t>
  </si>
  <si>
    <t>テツノカイナ</t>
  </si>
  <si>
    <t>0993N01</t>
  </si>
  <si>
    <t>テツノコウベ</t>
  </si>
  <si>
    <t>0994N01</t>
  </si>
  <si>
    <t>テツノドクガ</t>
  </si>
  <si>
    <t>0995N01</t>
  </si>
  <si>
    <t>テツノイバラ</t>
  </si>
  <si>
    <t>0996N01</t>
  </si>
  <si>
    <t>セビエ</t>
  </si>
  <si>
    <t>0997N01</t>
  </si>
  <si>
    <t>セゴール</t>
  </si>
  <si>
    <t>0998N01</t>
  </si>
  <si>
    <t>セグレイブ</t>
  </si>
  <si>
    <t>0999N01</t>
  </si>
  <si>
    <t>コレクレー</t>
  </si>
  <si>
    <t>はこ</t>
  </si>
  <si>
    <t>0999N02</t>
  </si>
  <si>
    <t>とほ</t>
  </si>
  <si>
    <t>1000N01</t>
  </si>
  <si>
    <t>サーフゴー</t>
  </si>
  <si>
    <t>1001N01</t>
  </si>
  <si>
    <t>チオンジェン</t>
  </si>
  <si>
    <t>1002N01</t>
  </si>
  <si>
    <t>パオジアン</t>
  </si>
  <si>
    <t>1003N01</t>
  </si>
  <si>
    <t>ディンルー</t>
  </si>
  <si>
    <t>1004N01</t>
  </si>
  <si>
    <t>イーユイ</t>
  </si>
  <si>
    <t>1005N01</t>
  </si>
  <si>
    <t>トドロクツキ</t>
  </si>
  <si>
    <t>1006N01</t>
  </si>
  <si>
    <t>テツノブジン</t>
  </si>
  <si>
    <t>1007N01</t>
  </si>
  <si>
    <t>コライドン</t>
  </si>
  <si>
    <t>1008N01</t>
  </si>
  <si>
    <t>ミライドン</t>
  </si>
  <si>
    <t>1009N01</t>
  </si>
  <si>
    <t>ウネルミナモ</t>
  </si>
  <si>
    <t>1010N01</t>
  </si>
  <si>
    <t>テツノイサハ</t>
  </si>
  <si>
    <t>'@@@'</t>
  </si>
  <si>
    <t>@@@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</si>
</sst>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 * #,##0_ ;_ * \-#,##0_ ;_ * &quot;-&quot;??_ ;_ @_ "/>
    <numFmt numFmtId="43" formatCode="_ * #,##0.00_ ;_ * \-#,##0.00_ ;_ * &quot;-&quot;??_ ;_ @_ "/>
    <numFmt numFmtId="178" formatCode="_-&quot;\&quot;* #,##0_-\ ;\-&quot;\&quot;* #,##0_-\ ;_-&quot;\&quot;* &quot;-&quot;??_-\ ;_-@_-"/>
  </numFmts>
  <fonts count="22">
    <font>
      <sz val="11"/>
      <color theme="1"/>
      <name val="ＭＳ Ｐゴシック"/>
      <charset val="134"/>
      <scheme val="minor"/>
    </font>
    <font>
      <sz val="11"/>
      <color theme="1"/>
      <name val="ＭＳ ゴシック"/>
      <charset val="134"/>
    </font>
    <font>
      <b/>
      <sz val="11"/>
      <color theme="0"/>
      <name val="ＭＳ ゴシック"/>
      <charset val="134"/>
    </font>
    <font>
      <sz val="11"/>
      <color theme="1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9C65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9" borderId="2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8" borderId="2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9" fillId="19" borderId="8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2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49" fontId="0" fillId="0" borderId="0" xfId="0" applyNumberFormat="1" quotePrefix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210"/>
  <sheetViews>
    <sheetView tabSelected="1" zoomScaleSheetLayoutView="60" topLeftCell="P1187" workbookViewId="0">
      <selection activeCell="AE4" sqref="AE4:AE1210"/>
    </sheetView>
  </sheetViews>
  <sheetFormatPr defaultColWidth="9.81818181818182" defaultRowHeight="13"/>
  <cols>
    <col min="1" max="1" width="11.5454545454545" style="2" customWidth="1"/>
    <col min="2" max="16384" width="9.81818181818182" style="2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6" t="s">
        <v>0</v>
      </c>
      <c r="Q1" s="6" t="s">
        <v>1</v>
      </c>
      <c r="R1" s="6" t="s">
        <v>2</v>
      </c>
      <c r="S1" s="6" t="s">
        <v>3</v>
      </c>
      <c r="T1" s="6" t="s">
        <v>4</v>
      </c>
      <c r="U1" s="6" t="s">
        <v>5</v>
      </c>
      <c r="V1" s="6" t="s">
        <v>6</v>
      </c>
      <c r="W1" s="6" t="s">
        <v>7</v>
      </c>
      <c r="X1" s="6" t="s">
        <v>8</v>
      </c>
      <c r="Y1" s="6" t="s">
        <v>9</v>
      </c>
      <c r="Z1" s="6" t="s">
        <v>10</v>
      </c>
      <c r="AA1" s="6" t="s">
        <v>11</v>
      </c>
      <c r="AB1" s="6" t="s">
        <v>12</v>
      </c>
      <c r="AC1" s="6" t="s">
        <v>13</v>
      </c>
      <c r="AD1" s="6" t="s">
        <v>14</v>
      </c>
      <c r="AE1" s="5" t="str">
        <f>"INSERT INTO pokedex ("&amp;_xlfn.TEXTJOIN(", ",FALSE,$A$1:$O$1)&amp;") VALUES"</f>
        <v>INSERT INTO pokedex (pokedex_id, name, hp, attack, defense, special_attack, special_defense, speed, remarks, type1, type2, gen, image1, image2, impl_flg) VALUES</v>
      </c>
    </row>
    <row r="2" spans="1:31">
      <c r="A2" s="3" t="s">
        <v>15</v>
      </c>
      <c r="B2" s="3" t="s">
        <v>16</v>
      </c>
      <c r="C2" s="3" t="s">
        <v>17</v>
      </c>
      <c r="D2" s="3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16</v>
      </c>
      <c r="J2" s="3" t="s">
        <v>16</v>
      </c>
      <c r="K2" s="3" t="s">
        <v>16</v>
      </c>
      <c r="L2" s="3" t="s">
        <v>16</v>
      </c>
      <c r="M2" s="3" t="s">
        <v>16</v>
      </c>
      <c r="N2" s="3" t="s">
        <v>16</v>
      </c>
      <c r="O2" s="3" t="s">
        <v>18</v>
      </c>
      <c r="P2" s="6" t="s">
        <v>19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5"/>
    </row>
    <row r="3" spans="1:31">
      <c r="A3" s="3" t="s">
        <v>15</v>
      </c>
      <c r="B3" s="3" t="s">
        <v>20</v>
      </c>
      <c r="C3" s="3" t="s">
        <v>21</v>
      </c>
      <c r="D3" s="3" t="s">
        <v>21</v>
      </c>
      <c r="E3" s="3" t="s">
        <v>21</v>
      </c>
      <c r="F3" s="3" t="s">
        <v>21</v>
      </c>
      <c r="G3" s="3" t="s">
        <v>21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3" t="s">
        <v>26</v>
      </c>
      <c r="O3" s="3" t="s">
        <v>27</v>
      </c>
      <c r="P3" s="6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>
        <f>SEARCH("NOT NULL",UPPER(E$3))</f>
        <v>9</v>
      </c>
      <c r="AC3" s="7"/>
      <c r="AD3" s="7"/>
      <c r="AE3" s="5"/>
    </row>
    <row r="4" spans="1:31">
      <c r="A4" s="4" t="s">
        <v>28</v>
      </c>
      <c r="B4" s="4" t="s">
        <v>29</v>
      </c>
      <c r="C4" s="5">
        <v>45</v>
      </c>
      <c r="D4" s="5">
        <v>49</v>
      </c>
      <c r="E4" s="5">
        <v>49</v>
      </c>
      <c r="F4" s="5">
        <v>65</v>
      </c>
      <c r="G4" s="5">
        <v>65</v>
      </c>
      <c r="H4" s="5">
        <v>45</v>
      </c>
      <c r="I4" s="5"/>
      <c r="J4" s="4" t="s">
        <v>30</v>
      </c>
      <c r="K4" s="4" t="s">
        <v>31</v>
      </c>
      <c r="L4" s="4" t="s">
        <v>32</v>
      </c>
      <c r="M4" s="5"/>
      <c r="N4" s="5"/>
      <c r="O4" s="5" t="b">
        <v>1</v>
      </c>
      <c r="P4" s="4" t="str">
        <f>IF(A4="",IF(ISNUMBER(SEARCH("NOT NULL",UPPER(A$3))),"''","null"),SUBSTITUTE(VLOOKUP(A$2,convert!$A$1:$B$4,2,0),"@@@",A4))</f>
        <v>'0001N01'</v>
      </c>
      <c r="Q4" s="4" t="str">
        <f>IF(B4="",IF(ISNUMBER(SEARCH("NOT NULL",UPPER(B$3))),"''","null"),SUBSTITUTE(VLOOKUP(B$2,convert!$A$1:$B$4,2,0),"@@@",B4))</f>
        <v>'フシギダネ'</v>
      </c>
      <c r="R4" s="4" t="str">
        <f>IF(C4="",IF(ISNUMBER(SEARCH("NOT NULL",UPPER(C$3))),"''","null"),SUBSTITUTE(VLOOKUP(C$2,convert!$A$1:$B$4,2,0),"@@@",C4))</f>
        <v>45</v>
      </c>
      <c r="S4" s="4" t="str">
        <f>IF(D4="",IF(ISNUMBER(SEARCH("NOT NULL",UPPER(D$3))),"''","null"),SUBSTITUTE(VLOOKUP(D$2,convert!$A$1:$B$4,2,0),"@@@",D4))</f>
        <v>49</v>
      </c>
      <c r="T4" s="4" t="str">
        <f>IF(E4="",IF(ISNUMBER(SEARCH("NOT NULL",UPPER(E$3))),"''","null"),SUBSTITUTE(VLOOKUP(E$2,convert!$A$1:$B$4,2,0),"@@@",E4))</f>
        <v>49</v>
      </c>
      <c r="U4" s="4" t="str">
        <f>IF(F4="",IF(ISNUMBER(SEARCH("NOT NULL",UPPER(F$3))),"''","null"),SUBSTITUTE(VLOOKUP(F$2,convert!$A$1:$B$4,2,0),"@@@",F4))</f>
        <v>65</v>
      </c>
      <c r="V4" s="4" t="str">
        <f>IF(G4="",IF(ISNUMBER(SEARCH("NOT NULL",UPPER(G$3))),"''","null"),SUBSTITUTE(VLOOKUP(G$2,convert!$A$1:$B$4,2,0),"@@@",G4))</f>
        <v>65</v>
      </c>
      <c r="W4" s="4" t="str">
        <f>IF(H4="",IF(ISNUMBER(SEARCH("NOT NULL",UPPER(H$3))),"''","null"),SUBSTITUTE(VLOOKUP(H$2,convert!$A$1:$B$4,2,0),"@@@",H4))</f>
        <v>45</v>
      </c>
      <c r="X4" s="4" t="str">
        <f>IF(I4="",IF(ISNUMBER(SEARCH("NOT NULL",UPPER(I$3))),"''","null"),SUBSTITUTE(VLOOKUP(I$2,convert!$A$1:$B$4,2,0),"@@@",I4))</f>
        <v>''</v>
      </c>
      <c r="Y4" s="4" t="str">
        <f>IF(J4="",IF(ISNUMBER(SEARCH("NOT NULL",UPPER(J$3))),"''","null"),SUBSTITUTE(VLOOKUP(J$2,convert!$A$1:$B$4,2,0),"@@@",J4))</f>
        <v>'grass'</v>
      </c>
      <c r="Z4" s="4" t="str">
        <f>IF(K4="",IF(ISNUMBER(SEARCH("NOT NULL",UPPER(K$3))),"''","null"),SUBSTITUTE(VLOOKUP(K$2,convert!$A$1:$B$4,2,0),"@@@",K4))</f>
        <v>'poison'</v>
      </c>
      <c r="AA4" s="4" t="str">
        <f>IF(L4="",IF(ISNUMBER(SEARCH("NOT NULL",UPPER(L$3))),"''","null"),SUBSTITUTE(VLOOKUP(L$2,convert!$A$1:$B$4,2,0),"@@@",L4))</f>
        <v>'g1'</v>
      </c>
      <c r="AB4" s="4" t="str">
        <f>IF(M4="",IF(ISNUMBER(SEARCH("NOT NULL",UPPER(M$3))),"''","null"),SUBSTITUTE(VLOOKUP(M$2,convert!$A$1:$B$4,2,0),"@@@",M4))</f>
        <v>null</v>
      </c>
      <c r="AC4" s="4" t="str">
        <f>IF(N4="",IF(ISNUMBER(SEARCH("NOT NULL",UPPER(N$3))),"''","null"),SUBSTITUTE(VLOOKUP(N$2,convert!$A$1:$B$4,2,0),"@@@",N4))</f>
        <v>null</v>
      </c>
      <c r="AD4" s="4" t="str">
        <f>IF(O4="",IF(ISNUMBER(SEARCH("NOT NULL",UPPER(O$3))),"''","null"),SUBSTITUTE(VLOOKUP(O$2,convert!$A$1:$B$4,2,0),"@@@",O4))</f>
        <v>TRUE</v>
      </c>
      <c r="AE4" s="4" t="str">
        <f>"    ("&amp;_xlfn.TEXTJOIN(", ",FALSE,P4:AD4)&amp;"),"</f>
        <v>    ('0001N01', 'フシギダネ', 45, 49, 49, 65, 65, 45, '', 'grass', 'poison', 'g1', null, null, TRUE),</v>
      </c>
    </row>
    <row r="5" spans="1:31">
      <c r="A5" s="4" t="s">
        <v>33</v>
      </c>
      <c r="B5" s="4" t="s">
        <v>34</v>
      </c>
      <c r="C5" s="5">
        <v>60</v>
      </c>
      <c r="D5" s="5">
        <v>62</v>
      </c>
      <c r="E5" s="5">
        <v>63</v>
      </c>
      <c r="F5" s="5">
        <v>80</v>
      </c>
      <c r="G5" s="5">
        <v>80</v>
      </c>
      <c r="H5" s="5">
        <v>60</v>
      </c>
      <c r="I5" s="5"/>
      <c r="J5" s="4" t="s">
        <v>30</v>
      </c>
      <c r="K5" s="4" t="s">
        <v>31</v>
      </c>
      <c r="L5" s="4" t="s">
        <v>32</v>
      </c>
      <c r="M5" s="5"/>
      <c r="N5" s="5"/>
      <c r="O5" s="5" t="b">
        <v>1</v>
      </c>
      <c r="P5" s="4" t="str">
        <f>IF(A5="",IF(ISNUMBER(SEARCH("NOT NULL",UPPER(A$3))),"''","null"),SUBSTITUTE(VLOOKUP(A$2,convert!$A$1:$B$4,2,0),"@@@",A5))</f>
        <v>'0002N01'</v>
      </c>
      <c r="Q5" s="4" t="str">
        <f>IF(B5="",IF(ISNUMBER(SEARCH("NOT NULL",UPPER(B$3))),"''","null"),SUBSTITUTE(VLOOKUP(B$2,convert!$A$1:$B$4,2,0),"@@@",B5))</f>
        <v>'フシギソウ'</v>
      </c>
      <c r="R5" s="4" t="str">
        <f>IF(C5="",IF(ISNUMBER(SEARCH("NOT NULL",UPPER(C$3))),"''","null"),SUBSTITUTE(VLOOKUP(C$2,convert!$A$1:$B$4,2,0),"@@@",C5))</f>
        <v>60</v>
      </c>
      <c r="S5" s="4" t="str">
        <f>IF(D5="",IF(ISNUMBER(SEARCH("NOT NULL",UPPER(D$3))),"''","null"),SUBSTITUTE(VLOOKUP(D$2,convert!$A$1:$B$4,2,0),"@@@",D5))</f>
        <v>62</v>
      </c>
      <c r="T5" s="4" t="str">
        <f>IF(E5="",IF(ISNUMBER(SEARCH("NOT NULL",UPPER(E$3))),"''","null"),SUBSTITUTE(VLOOKUP(E$2,convert!$A$1:$B$4,2,0),"@@@",E5))</f>
        <v>63</v>
      </c>
      <c r="U5" s="4" t="str">
        <f>IF(F5="",IF(ISNUMBER(SEARCH("NOT NULL",UPPER(F$3))),"''","null"),SUBSTITUTE(VLOOKUP(F$2,convert!$A$1:$B$4,2,0),"@@@",F5))</f>
        <v>80</v>
      </c>
      <c r="V5" s="4" t="str">
        <f>IF(G5="",IF(ISNUMBER(SEARCH("NOT NULL",UPPER(G$3))),"''","null"),SUBSTITUTE(VLOOKUP(G$2,convert!$A$1:$B$4,2,0),"@@@",G5))</f>
        <v>80</v>
      </c>
      <c r="W5" s="4" t="str">
        <f>IF(H5="",IF(ISNUMBER(SEARCH("NOT NULL",UPPER(H$3))),"''","null"),SUBSTITUTE(VLOOKUP(H$2,convert!$A$1:$B$4,2,0),"@@@",H5))</f>
        <v>60</v>
      </c>
      <c r="X5" s="4" t="str">
        <f>IF(I5="",IF(ISNUMBER(SEARCH("NOT NULL",UPPER(I$3))),"''","null"),SUBSTITUTE(VLOOKUP(I$2,convert!$A$1:$B$4,2,0),"@@@",I5))</f>
        <v>''</v>
      </c>
      <c r="Y5" s="4" t="str">
        <f>IF(J5="",IF(ISNUMBER(SEARCH("NOT NULL",UPPER(J$3))),"''","null"),SUBSTITUTE(VLOOKUP(J$2,convert!$A$1:$B$4,2,0),"@@@",J5))</f>
        <v>'grass'</v>
      </c>
      <c r="Z5" s="4" t="str">
        <f>IF(K5="",IF(ISNUMBER(SEARCH("NOT NULL",UPPER(K$3))),"''","null"),SUBSTITUTE(VLOOKUP(K$2,convert!$A$1:$B$4,2,0),"@@@",K5))</f>
        <v>'poison'</v>
      </c>
      <c r="AA5" s="4" t="str">
        <f>IF(L5="",IF(ISNUMBER(SEARCH("NOT NULL",UPPER(L$3))),"''","null"),SUBSTITUTE(VLOOKUP(L$2,convert!$A$1:$B$4,2,0),"@@@",L5))</f>
        <v>'g1'</v>
      </c>
      <c r="AB5" s="4" t="str">
        <f>IF(M5="",IF(ISNUMBER(SEARCH("NOT NULL",UPPER(M$3))),"''","null"),SUBSTITUTE(VLOOKUP(M$2,convert!$A$1:$B$4,2,0),"@@@",M5))</f>
        <v>null</v>
      </c>
      <c r="AC5" s="4" t="str">
        <f>IF(N5="",IF(ISNUMBER(SEARCH("NOT NULL",UPPER(N$3))),"''","null"),SUBSTITUTE(VLOOKUP(N$2,convert!$A$1:$B$4,2,0),"@@@",N5))</f>
        <v>null</v>
      </c>
      <c r="AD5" s="4" t="str">
        <f>IF(O5="",IF(ISNUMBER(SEARCH("NOT NULL",UPPER(O$3))),"''","null"),SUBSTITUTE(VLOOKUP(O$2,convert!$A$1:$B$4,2,0),"@@@",O5))</f>
        <v>TRUE</v>
      </c>
      <c r="AE5" s="4" t="str">
        <f t="shared" ref="AE5:AE68" si="0">"    ("&amp;_xlfn.TEXTJOIN(", ",FALSE,P5:AD5)&amp;"),"</f>
        <v>    ('0002N01', 'フシギソウ', 60, 62, 63, 80, 80, 60, '', 'grass', 'poison', 'g1', null, null, TRUE),</v>
      </c>
    </row>
    <row r="6" spans="1:31">
      <c r="A6" s="4" t="s">
        <v>35</v>
      </c>
      <c r="B6" s="4" t="s">
        <v>36</v>
      </c>
      <c r="C6" s="5">
        <v>80</v>
      </c>
      <c r="D6" s="5">
        <v>82</v>
      </c>
      <c r="E6" s="5">
        <v>83</v>
      </c>
      <c r="F6" s="5">
        <v>100</v>
      </c>
      <c r="G6" s="5">
        <v>100</v>
      </c>
      <c r="H6" s="5">
        <v>80</v>
      </c>
      <c r="I6" s="5"/>
      <c r="J6" s="4" t="s">
        <v>30</v>
      </c>
      <c r="K6" s="4" t="s">
        <v>31</v>
      </c>
      <c r="L6" s="4" t="s">
        <v>32</v>
      </c>
      <c r="M6" s="5"/>
      <c r="N6" s="5"/>
      <c r="O6" s="5" t="b">
        <v>1</v>
      </c>
      <c r="P6" s="4" t="str">
        <f>IF(A6="",IF(ISNUMBER(SEARCH("NOT NULL",UPPER(A$3))),"''","null"),SUBSTITUTE(VLOOKUP(A$2,convert!$A$1:$B$4,2,0),"@@@",A6))</f>
        <v>'0003N01'</v>
      </c>
      <c r="Q6" s="4" t="str">
        <f>IF(B6="",IF(ISNUMBER(SEARCH("NOT NULL",UPPER(B$3))),"''","null"),SUBSTITUTE(VLOOKUP(B$2,convert!$A$1:$B$4,2,0),"@@@",B6))</f>
        <v>'フシギバナ'</v>
      </c>
      <c r="R6" s="4" t="str">
        <f>IF(C6="",IF(ISNUMBER(SEARCH("NOT NULL",UPPER(C$3))),"''","null"),SUBSTITUTE(VLOOKUP(C$2,convert!$A$1:$B$4,2,0),"@@@",C6))</f>
        <v>80</v>
      </c>
      <c r="S6" s="4" t="str">
        <f>IF(D6="",IF(ISNUMBER(SEARCH("NOT NULL",UPPER(D$3))),"''","null"),SUBSTITUTE(VLOOKUP(D$2,convert!$A$1:$B$4,2,0),"@@@",D6))</f>
        <v>82</v>
      </c>
      <c r="T6" s="4" t="str">
        <f>IF(E6="",IF(ISNUMBER(SEARCH("NOT NULL",UPPER(E$3))),"''","null"),SUBSTITUTE(VLOOKUP(E$2,convert!$A$1:$B$4,2,0),"@@@",E6))</f>
        <v>83</v>
      </c>
      <c r="U6" s="4" t="str">
        <f>IF(F6="",IF(ISNUMBER(SEARCH("NOT NULL",UPPER(F$3))),"''","null"),SUBSTITUTE(VLOOKUP(F$2,convert!$A$1:$B$4,2,0),"@@@",F6))</f>
        <v>100</v>
      </c>
      <c r="V6" s="4" t="str">
        <f>IF(G6="",IF(ISNUMBER(SEARCH("NOT NULL",UPPER(G$3))),"''","null"),SUBSTITUTE(VLOOKUP(G$2,convert!$A$1:$B$4,2,0),"@@@",G6))</f>
        <v>100</v>
      </c>
      <c r="W6" s="4" t="str">
        <f>IF(H6="",IF(ISNUMBER(SEARCH("NOT NULL",UPPER(H$3))),"''","null"),SUBSTITUTE(VLOOKUP(H$2,convert!$A$1:$B$4,2,0),"@@@",H6))</f>
        <v>80</v>
      </c>
      <c r="X6" s="4" t="str">
        <f>IF(I6="",IF(ISNUMBER(SEARCH("NOT NULL",UPPER(I$3))),"''","null"),SUBSTITUTE(VLOOKUP(I$2,convert!$A$1:$B$4,2,0),"@@@",I6))</f>
        <v>''</v>
      </c>
      <c r="Y6" s="4" t="str">
        <f>IF(J6="",IF(ISNUMBER(SEARCH("NOT NULL",UPPER(J$3))),"''","null"),SUBSTITUTE(VLOOKUP(J$2,convert!$A$1:$B$4,2,0),"@@@",J6))</f>
        <v>'grass'</v>
      </c>
      <c r="Z6" s="4" t="str">
        <f>IF(K6="",IF(ISNUMBER(SEARCH("NOT NULL",UPPER(K$3))),"''","null"),SUBSTITUTE(VLOOKUP(K$2,convert!$A$1:$B$4,2,0),"@@@",K6))</f>
        <v>'poison'</v>
      </c>
      <c r="AA6" s="4" t="str">
        <f>IF(L6="",IF(ISNUMBER(SEARCH("NOT NULL",UPPER(L$3))),"''","null"),SUBSTITUTE(VLOOKUP(L$2,convert!$A$1:$B$4,2,0),"@@@",L6))</f>
        <v>'g1'</v>
      </c>
      <c r="AB6" s="4" t="str">
        <f>IF(M6="",IF(ISNUMBER(SEARCH("NOT NULL",UPPER(M$3))),"''","null"),SUBSTITUTE(VLOOKUP(M$2,convert!$A$1:$B$4,2,0),"@@@",M6))</f>
        <v>null</v>
      </c>
      <c r="AC6" s="4" t="str">
        <f>IF(N6="",IF(ISNUMBER(SEARCH("NOT NULL",UPPER(N$3))),"''","null"),SUBSTITUTE(VLOOKUP(N$2,convert!$A$1:$B$4,2,0),"@@@",N6))</f>
        <v>null</v>
      </c>
      <c r="AD6" s="4" t="str">
        <f>IF(O6="",IF(ISNUMBER(SEARCH("NOT NULL",UPPER(O$3))),"''","null"),SUBSTITUTE(VLOOKUP(O$2,convert!$A$1:$B$4,2,0),"@@@",O6))</f>
        <v>TRUE</v>
      </c>
      <c r="AE6" s="4" t="str">
        <f t="shared" si="0"/>
        <v>    ('0003N01', 'フシギバナ', 80, 82, 83, 100, 100, 80, '', 'grass', 'poison', 'g1', null, null, TRUE),</v>
      </c>
    </row>
    <row r="7" spans="1:31">
      <c r="A7" s="4" t="s">
        <v>37</v>
      </c>
      <c r="B7" s="4" t="s">
        <v>38</v>
      </c>
      <c r="C7" s="5">
        <v>80</v>
      </c>
      <c r="D7" s="5">
        <v>100</v>
      </c>
      <c r="E7" s="5">
        <v>123</v>
      </c>
      <c r="F7" s="5">
        <v>122</v>
      </c>
      <c r="G7" s="5">
        <v>120</v>
      </c>
      <c r="H7" s="5">
        <v>80</v>
      </c>
      <c r="I7" s="5"/>
      <c r="J7" s="4" t="s">
        <v>30</v>
      </c>
      <c r="K7" s="4" t="s">
        <v>31</v>
      </c>
      <c r="L7" s="4" t="s">
        <v>39</v>
      </c>
      <c r="M7" s="5"/>
      <c r="N7" s="5"/>
      <c r="O7" s="5" t="b">
        <v>1</v>
      </c>
      <c r="P7" s="4" t="str">
        <f>IF(A7="",IF(ISNUMBER(SEARCH("NOT NULL",UPPER(A$3))),"''","null"),SUBSTITUTE(VLOOKUP(A$2,convert!$A$1:$B$4,2,0),"@@@",A7))</f>
        <v>'0003M01'</v>
      </c>
      <c r="Q7" s="4" t="str">
        <f>IF(B7="",IF(ISNUMBER(SEARCH("NOT NULL",UPPER(B$3))),"''","null"),SUBSTITUTE(VLOOKUP(B$2,convert!$A$1:$B$4,2,0),"@@@",B7))</f>
        <v>'メガフシギバナ'</v>
      </c>
      <c r="R7" s="4" t="str">
        <f>IF(C7="",IF(ISNUMBER(SEARCH("NOT NULL",UPPER(C$3))),"''","null"),SUBSTITUTE(VLOOKUP(C$2,convert!$A$1:$B$4,2,0),"@@@",C7))</f>
        <v>80</v>
      </c>
      <c r="S7" s="4" t="str">
        <f>IF(D7="",IF(ISNUMBER(SEARCH("NOT NULL",UPPER(D$3))),"''","null"),SUBSTITUTE(VLOOKUP(D$2,convert!$A$1:$B$4,2,0),"@@@",D7))</f>
        <v>100</v>
      </c>
      <c r="T7" s="4" t="str">
        <f>IF(E7="",IF(ISNUMBER(SEARCH("NOT NULL",UPPER(E$3))),"''","null"),SUBSTITUTE(VLOOKUP(E$2,convert!$A$1:$B$4,2,0),"@@@",E7))</f>
        <v>123</v>
      </c>
      <c r="U7" s="4" t="str">
        <f>IF(F7="",IF(ISNUMBER(SEARCH("NOT NULL",UPPER(F$3))),"''","null"),SUBSTITUTE(VLOOKUP(F$2,convert!$A$1:$B$4,2,0),"@@@",F7))</f>
        <v>122</v>
      </c>
      <c r="V7" s="4" t="str">
        <f>IF(G7="",IF(ISNUMBER(SEARCH("NOT NULL",UPPER(G$3))),"''","null"),SUBSTITUTE(VLOOKUP(G$2,convert!$A$1:$B$4,2,0),"@@@",G7))</f>
        <v>120</v>
      </c>
      <c r="W7" s="4" t="str">
        <f>IF(H7="",IF(ISNUMBER(SEARCH("NOT NULL",UPPER(H$3))),"''","null"),SUBSTITUTE(VLOOKUP(H$2,convert!$A$1:$B$4,2,0),"@@@",H7))</f>
        <v>80</v>
      </c>
      <c r="X7" s="4" t="str">
        <f>IF(I7="",IF(ISNUMBER(SEARCH("NOT NULL",UPPER(I$3))),"''","null"),SUBSTITUTE(VLOOKUP(I$2,convert!$A$1:$B$4,2,0),"@@@",I7))</f>
        <v>''</v>
      </c>
      <c r="Y7" s="4" t="str">
        <f>IF(J7="",IF(ISNUMBER(SEARCH("NOT NULL",UPPER(J$3))),"''","null"),SUBSTITUTE(VLOOKUP(J$2,convert!$A$1:$B$4,2,0),"@@@",J7))</f>
        <v>'grass'</v>
      </c>
      <c r="Z7" s="4" t="str">
        <f>IF(K7="",IF(ISNUMBER(SEARCH("NOT NULL",UPPER(K$3))),"''","null"),SUBSTITUTE(VLOOKUP(K$2,convert!$A$1:$B$4,2,0),"@@@",K7))</f>
        <v>'poison'</v>
      </c>
      <c r="AA7" s="4" t="str">
        <f>IF(L7="",IF(ISNUMBER(SEARCH("NOT NULL",UPPER(L$3))),"''","null"),SUBSTITUTE(VLOOKUP(L$2,convert!$A$1:$B$4,2,0),"@@@",L7))</f>
        <v>'g6'</v>
      </c>
      <c r="AB7" s="4" t="str">
        <f>IF(M7="",IF(ISNUMBER(SEARCH("NOT NULL",UPPER(M$3))),"''","null"),SUBSTITUTE(VLOOKUP(M$2,convert!$A$1:$B$4,2,0),"@@@",M7))</f>
        <v>null</v>
      </c>
      <c r="AC7" s="4" t="str">
        <f>IF(N7="",IF(ISNUMBER(SEARCH("NOT NULL",UPPER(N$3))),"''","null"),SUBSTITUTE(VLOOKUP(N$2,convert!$A$1:$B$4,2,0),"@@@",N7))</f>
        <v>null</v>
      </c>
      <c r="AD7" s="4" t="str">
        <f>IF(O7="",IF(ISNUMBER(SEARCH("NOT NULL",UPPER(O$3))),"''","null"),SUBSTITUTE(VLOOKUP(O$2,convert!$A$1:$B$4,2,0),"@@@",O7))</f>
        <v>TRUE</v>
      </c>
      <c r="AE7" s="4" t="str">
        <f t="shared" si="0"/>
        <v>    ('0003M01', 'メガフシギバナ', 80, 100, 123, 122, 120, 80, '', 'grass', 'poison', 'g6', null, null, TRUE),</v>
      </c>
    </row>
    <row r="8" spans="1:31">
      <c r="A8" s="4" t="s">
        <v>40</v>
      </c>
      <c r="B8" s="4" t="s">
        <v>41</v>
      </c>
      <c r="C8" s="5">
        <v>39</v>
      </c>
      <c r="D8" s="5">
        <v>52</v>
      </c>
      <c r="E8" s="5">
        <v>43</v>
      </c>
      <c r="F8" s="5">
        <v>60</v>
      </c>
      <c r="G8" s="5">
        <v>50</v>
      </c>
      <c r="H8" s="5">
        <v>65</v>
      </c>
      <c r="I8" s="5"/>
      <c r="J8" s="4" t="s">
        <v>42</v>
      </c>
      <c r="K8" s="5"/>
      <c r="L8" s="4" t="s">
        <v>32</v>
      </c>
      <c r="M8" s="5"/>
      <c r="N8" s="5"/>
      <c r="O8" s="5" t="b">
        <v>1</v>
      </c>
      <c r="P8" s="4" t="str">
        <f>IF(A8="",IF(ISNUMBER(SEARCH("NOT NULL",UPPER(A$3))),"''","null"),SUBSTITUTE(VLOOKUP(A$2,convert!$A$1:$B$4,2,0),"@@@",A8))</f>
        <v>'0004N01'</v>
      </c>
      <c r="Q8" s="4" t="str">
        <f>IF(B8="",IF(ISNUMBER(SEARCH("NOT NULL",UPPER(B$3))),"''","null"),SUBSTITUTE(VLOOKUP(B$2,convert!$A$1:$B$4,2,0),"@@@",B8))</f>
        <v>'ヒトカゲ'</v>
      </c>
      <c r="R8" s="4" t="str">
        <f>IF(C8="",IF(ISNUMBER(SEARCH("NOT NULL",UPPER(C$3))),"''","null"),SUBSTITUTE(VLOOKUP(C$2,convert!$A$1:$B$4,2,0),"@@@",C8))</f>
        <v>39</v>
      </c>
      <c r="S8" s="4" t="str">
        <f>IF(D8="",IF(ISNUMBER(SEARCH("NOT NULL",UPPER(D$3))),"''","null"),SUBSTITUTE(VLOOKUP(D$2,convert!$A$1:$B$4,2,0),"@@@",D8))</f>
        <v>52</v>
      </c>
      <c r="T8" s="4" t="str">
        <f>IF(E8="",IF(ISNUMBER(SEARCH("NOT NULL",UPPER(E$3))),"''","null"),SUBSTITUTE(VLOOKUP(E$2,convert!$A$1:$B$4,2,0),"@@@",E8))</f>
        <v>43</v>
      </c>
      <c r="U8" s="4" t="str">
        <f>IF(F8="",IF(ISNUMBER(SEARCH("NOT NULL",UPPER(F$3))),"''","null"),SUBSTITUTE(VLOOKUP(F$2,convert!$A$1:$B$4,2,0),"@@@",F8))</f>
        <v>60</v>
      </c>
      <c r="V8" s="4" t="str">
        <f>IF(G8="",IF(ISNUMBER(SEARCH("NOT NULL",UPPER(G$3))),"''","null"),SUBSTITUTE(VLOOKUP(G$2,convert!$A$1:$B$4,2,0),"@@@",G8))</f>
        <v>50</v>
      </c>
      <c r="W8" s="4" t="str">
        <f>IF(H8="",IF(ISNUMBER(SEARCH("NOT NULL",UPPER(H$3))),"''","null"),SUBSTITUTE(VLOOKUP(H$2,convert!$A$1:$B$4,2,0),"@@@",H8))</f>
        <v>65</v>
      </c>
      <c r="X8" s="4" t="str">
        <f>IF(I8="",IF(ISNUMBER(SEARCH("NOT NULL",UPPER(I$3))),"''","null"),SUBSTITUTE(VLOOKUP(I$2,convert!$A$1:$B$4,2,0),"@@@",I8))</f>
        <v>''</v>
      </c>
      <c r="Y8" s="4" t="str">
        <f>IF(J8="",IF(ISNUMBER(SEARCH("NOT NULL",UPPER(J$3))),"''","null"),SUBSTITUTE(VLOOKUP(J$2,convert!$A$1:$B$4,2,0),"@@@",J8))</f>
        <v>'fire'</v>
      </c>
      <c r="Z8" s="4" t="str">
        <f>IF(K8="",IF(ISNUMBER(SEARCH("NOT NULL",UPPER(K$3))),"''","null"),SUBSTITUTE(VLOOKUP(K$2,convert!$A$1:$B$4,2,0),"@@@",K8))</f>
        <v>null</v>
      </c>
      <c r="AA8" s="4" t="str">
        <f>IF(L8="",IF(ISNUMBER(SEARCH("NOT NULL",UPPER(L$3))),"''","null"),SUBSTITUTE(VLOOKUP(L$2,convert!$A$1:$B$4,2,0),"@@@",L8))</f>
        <v>'g1'</v>
      </c>
      <c r="AB8" s="4" t="str">
        <f>IF(M8="",IF(ISNUMBER(SEARCH("NOT NULL",UPPER(M$3))),"''","null"),SUBSTITUTE(VLOOKUP(M$2,convert!$A$1:$B$4,2,0),"@@@",M8))</f>
        <v>null</v>
      </c>
      <c r="AC8" s="4" t="str">
        <f>IF(N8="",IF(ISNUMBER(SEARCH("NOT NULL",UPPER(N$3))),"''","null"),SUBSTITUTE(VLOOKUP(N$2,convert!$A$1:$B$4,2,0),"@@@",N8))</f>
        <v>null</v>
      </c>
      <c r="AD8" s="4" t="str">
        <f>IF(O8="",IF(ISNUMBER(SEARCH("NOT NULL",UPPER(O$3))),"''","null"),SUBSTITUTE(VLOOKUP(O$2,convert!$A$1:$B$4,2,0),"@@@",O8))</f>
        <v>TRUE</v>
      </c>
      <c r="AE8" s="4" t="str">
        <f t="shared" si="0"/>
        <v>    ('0004N01', 'ヒトカゲ', 39, 52, 43, 60, 50, 65, '', 'fire', null, 'g1', null, null, TRUE),</v>
      </c>
    </row>
    <row r="9" spans="1:31">
      <c r="A9" s="4" t="s">
        <v>43</v>
      </c>
      <c r="B9" s="4" t="s">
        <v>44</v>
      </c>
      <c r="C9" s="5">
        <v>58</v>
      </c>
      <c r="D9" s="5">
        <v>64</v>
      </c>
      <c r="E9" s="5">
        <v>58</v>
      </c>
      <c r="F9" s="5">
        <v>80</v>
      </c>
      <c r="G9" s="5">
        <v>65</v>
      </c>
      <c r="H9" s="5">
        <v>80</v>
      </c>
      <c r="I9" s="5"/>
      <c r="J9" s="4" t="s">
        <v>42</v>
      </c>
      <c r="K9" s="5"/>
      <c r="L9" s="4" t="s">
        <v>32</v>
      </c>
      <c r="M9" s="5"/>
      <c r="N9" s="5"/>
      <c r="O9" s="5" t="b">
        <v>1</v>
      </c>
      <c r="P9" s="4" t="str">
        <f>IF(A9="",IF(ISNUMBER(SEARCH("NOT NULL",UPPER(A$3))),"''","null"),SUBSTITUTE(VLOOKUP(A$2,convert!$A$1:$B$4,2,0),"@@@",A9))</f>
        <v>'0005N01'</v>
      </c>
      <c r="Q9" s="4" t="str">
        <f>IF(B9="",IF(ISNUMBER(SEARCH("NOT NULL",UPPER(B$3))),"''","null"),SUBSTITUTE(VLOOKUP(B$2,convert!$A$1:$B$4,2,0),"@@@",B9))</f>
        <v>'リザード'</v>
      </c>
      <c r="R9" s="4" t="str">
        <f>IF(C9="",IF(ISNUMBER(SEARCH("NOT NULL",UPPER(C$3))),"''","null"),SUBSTITUTE(VLOOKUP(C$2,convert!$A$1:$B$4,2,0),"@@@",C9))</f>
        <v>58</v>
      </c>
      <c r="S9" s="4" t="str">
        <f>IF(D9="",IF(ISNUMBER(SEARCH("NOT NULL",UPPER(D$3))),"''","null"),SUBSTITUTE(VLOOKUP(D$2,convert!$A$1:$B$4,2,0),"@@@",D9))</f>
        <v>64</v>
      </c>
      <c r="T9" s="4" t="str">
        <f>IF(E9="",IF(ISNUMBER(SEARCH("NOT NULL",UPPER(E$3))),"''","null"),SUBSTITUTE(VLOOKUP(E$2,convert!$A$1:$B$4,2,0),"@@@",E9))</f>
        <v>58</v>
      </c>
      <c r="U9" s="4" t="str">
        <f>IF(F9="",IF(ISNUMBER(SEARCH("NOT NULL",UPPER(F$3))),"''","null"),SUBSTITUTE(VLOOKUP(F$2,convert!$A$1:$B$4,2,0),"@@@",F9))</f>
        <v>80</v>
      </c>
      <c r="V9" s="4" t="str">
        <f>IF(G9="",IF(ISNUMBER(SEARCH("NOT NULL",UPPER(G$3))),"''","null"),SUBSTITUTE(VLOOKUP(G$2,convert!$A$1:$B$4,2,0),"@@@",G9))</f>
        <v>65</v>
      </c>
      <c r="W9" s="4" t="str">
        <f>IF(H9="",IF(ISNUMBER(SEARCH("NOT NULL",UPPER(H$3))),"''","null"),SUBSTITUTE(VLOOKUP(H$2,convert!$A$1:$B$4,2,0),"@@@",H9))</f>
        <v>80</v>
      </c>
      <c r="X9" s="4" t="str">
        <f>IF(I9="",IF(ISNUMBER(SEARCH("NOT NULL",UPPER(I$3))),"''","null"),SUBSTITUTE(VLOOKUP(I$2,convert!$A$1:$B$4,2,0),"@@@",I9))</f>
        <v>''</v>
      </c>
      <c r="Y9" s="4" t="str">
        <f>IF(J9="",IF(ISNUMBER(SEARCH("NOT NULL",UPPER(J$3))),"''","null"),SUBSTITUTE(VLOOKUP(J$2,convert!$A$1:$B$4,2,0),"@@@",J9))</f>
        <v>'fire'</v>
      </c>
      <c r="Z9" s="4" t="str">
        <f>IF(K9="",IF(ISNUMBER(SEARCH("NOT NULL",UPPER(K$3))),"''","null"),SUBSTITUTE(VLOOKUP(K$2,convert!$A$1:$B$4,2,0),"@@@",K9))</f>
        <v>null</v>
      </c>
      <c r="AA9" s="4" t="str">
        <f>IF(L9="",IF(ISNUMBER(SEARCH("NOT NULL",UPPER(L$3))),"''","null"),SUBSTITUTE(VLOOKUP(L$2,convert!$A$1:$B$4,2,0),"@@@",L9))</f>
        <v>'g1'</v>
      </c>
      <c r="AB9" s="4" t="str">
        <f>IF(M9="",IF(ISNUMBER(SEARCH("NOT NULL",UPPER(M$3))),"''","null"),SUBSTITUTE(VLOOKUP(M$2,convert!$A$1:$B$4,2,0),"@@@",M9))</f>
        <v>null</v>
      </c>
      <c r="AC9" s="4" t="str">
        <f>IF(N9="",IF(ISNUMBER(SEARCH("NOT NULL",UPPER(N$3))),"''","null"),SUBSTITUTE(VLOOKUP(N$2,convert!$A$1:$B$4,2,0),"@@@",N9))</f>
        <v>null</v>
      </c>
      <c r="AD9" s="4" t="str">
        <f>IF(O9="",IF(ISNUMBER(SEARCH("NOT NULL",UPPER(O$3))),"''","null"),SUBSTITUTE(VLOOKUP(O$2,convert!$A$1:$B$4,2,0),"@@@",O9))</f>
        <v>TRUE</v>
      </c>
      <c r="AE9" s="4" t="str">
        <f t="shared" si="0"/>
        <v>    ('0005N01', 'リザード', 58, 64, 58, 80, 65, 80, '', 'fire', null, 'g1', null, null, TRUE),</v>
      </c>
    </row>
    <row r="10" spans="1:31">
      <c r="A10" s="4" t="s">
        <v>45</v>
      </c>
      <c r="B10" s="4" t="s">
        <v>46</v>
      </c>
      <c r="C10" s="5">
        <v>78</v>
      </c>
      <c r="D10" s="5">
        <v>84</v>
      </c>
      <c r="E10" s="5">
        <v>78</v>
      </c>
      <c r="F10" s="5">
        <v>109</v>
      </c>
      <c r="G10" s="5">
        <v>85</v>
      </c>
      <c r="H10" s="5">
        <v>100</v>
      </c>
      <c r="I10" s="5"/>
      <c r="J10" s="4" t="s">
        <v>42</v>
      </c>
      <c r="K10" s="4" t="s">
        <v>47</v>
      </c>
      <c r="L10" s="4" t="s">
        <v>32</v>
      </c>
      <c r="M10" s="5"/>
      <c r="N10" s="5"/>
      <c r="O10" s="5" t="b">
        <v>1</v>
      </c>
      <c r="P10" s="4" t="str">
        <f>IF(A10="",IF(ISNUMBER(SEARCH("NOT NULL",UPPER(A$3))),"''","null"),SUBSTITUTE(VLOOKUP(A$2,convert!$A$1:$B$4,2,0),"@@@",A10))</f>
        <v>'0006N01'</v>
      </c>
      <c r="Q10" s="4" t="str">
        <f>IF(B10="",IF(ISNUMBER(SEARCH("NOT NULL",UPPER(B$3))),"''","null"),SUBSTITUTE(VLOOKUP(B$2,convert!$A$1:$B$4,2,0),"@@@",B10))</f>
        <v>'リザードン'</v>
      </c>
      <c r="R10" s="4" t="str">
        <f>IF(C10="",IF(ISNUMBER(SEARCH("NOT NULL",UPPER(C$3))),"''","null"),SUBSTITUTE(VLOOKUP(C$2,convert!$A$1:$B$4,2,0),"@@@",C10))</f>
        <v>78</v>
      </c>
      <c r="S10" s="4" t="str">
        <f>IF(D10="",IF(ISNUMBER(SEARCH("NOT NULL",UPPER(D$3))),"''","null"),SUBSTITUTE(VLOOKUP(D$2,convert!$A$1:$B$4,2,0),"@@@",D10))</f>
        <v>84</v>
      </c>
      <c r="T10" s="4" t="str">
        <f>IF(E10="",IF(ISNUMBER(SEARCH("NOT NULL",UPPER(E$3))),"''","null"),SUBSTITUTE(VLOOKUP(E$2,convert!$A$1:$B$4,2,0),"@@@",E10))</f>
        <v>78</v>
      </c>
      <c r="U10" s="4" t="str">
        <f>IF(F10="",IF(ISNUMBER(SEARCH("NOT NULL",UPPER(F$3))),"''","null"),SUBSTITUTE(VLOOKUP(F$2,convert!$A$1:$B$4,2,0),"@@@",F10))</f>
        <v>109</v>
      </c>
      <c r="V10" s="4" t="str">
        <f>IF(G10="",IF(ISNUMBER(SEARCH("NOT NULL",UPPER(G$3))),"''","null"),SUBSTITUTE(VLOOKUP(G$2,convert!$A$1:$B$4,2,0),"@@@",G10))</f>
        <v>85</v>
      </c>
      <c r="W10" s="4" t="str">
        <f>IF(H10="",IF(ISNUMBER(SEARCH("NOT NULL",UPPER(H$3))),"''","null"),SUBSTITUTE(VLOOKUP(H$2,convert!$A$1:$B$4,2,0),"@@@",H10))</f>
        <v>100</v>
      </c>
      <c r="X10" s="4" t="str">
        <f>IF(I10="",IF(ISNUMBER(SEARCH("NOT NULL",UPPER(I$3))),"''","null"),SUBSTITUTE(VLOOKUP(I$2,convert!$A$1:$B$4,2,0),"@@@",I10))</f>
        <v>''</v>
      </c>
      <c r="Y10" s="4" t="str">
        <f>IF(J10="",IF(ISNUMBER(SEARCH("NOT NULL",UPPER(J$3))),"''","null"),SUBSTITUTE(VLOOKUP(J$2,convert!$A$1:$B$4,2,0),"@@@",J10))</f>
        <v>'fire'</v>
      </c>
      <c r="Z10" s="4" t="str">
        <f>IF(K10="",IF(ISNUMBER(SEARCH("NOT NULL",UPPER(K$3))),"''","null"),SUBSTITUTE(VLOOKUP(K$2,convert!$A$1:$B$4,2,0),"@@@",K10))</f>
        <v>'flying'</v>
      </c>
      <c r="AA10" s="4" t="str">
        <f>IF(L10="",IF(ISNUMBER(SEARCH("NOT NULL",UPPER(L$3))),"''","null"),SUBSTITUTE(VLOOKUP(L$2,convert!$A$1:$B$4,2,0),"@@@",L10))</f>
        <v>'g1'</v>
      </c>
      <c r="AB10" s="4" t="str">
        <f>IF(M10="",IF(ISNUMBER(SEARCH("NOT NULL",UPPER(M$3))),"''","null"),SUBSTITUTE(VLOOKUP(M$2,convert!$A$1:$B$4,2,0),"@@@",M10))</f>
        <v>null</v>
      </c>
      <c r="AC10" s="4" t="str">
        <f>IF(N10="",IF(ISNUMBER(SEARCH("NOT NULL",UPPER(N$3))),"''","null"),SUBSTITUTE(VLOOKUP(N$2,convert!$A$1:$B$4,2,0),"@@@",N10))</f>
        <v>null</v>
      </c>
      <c r="AD10" s="4" t="str">
        <f>IF(O10="",IF(ISNUMBER(SEARCH("NOT NULL",UPPER(O$3))),"''","null"),SUBSTITUTE(VLOOKUP(O$2,convert!$A$1:$B$4,2,0),"@@@",O10))</f>
        <v>TRUE</v>
      </c>
      <c r="AE10" s="4" t="str">
        <f t="shared" si="0"/>
        <v>    ('0006N01', 'リザードン', 78, 84, 78, 109, 85, 100, '', 'fire', 'flying', 'g1', null, null, TRUE),</v>
      </c>
    </row>
    <row r="11" spans="1:31">
      <c r="A11" s="4" t="s">
        <v>48</v>
      </c>
      <c r="B11" s="4" t="s">
        <v>49</v>
      </c>
      <c r="C11" s="5">
        <v>78</v>
      </c>
      <c r="D11" s="5">
        <v>130</v>
      </c>
      <c r="E11" s="5">
        <v>111</v>
      </c>
      <c r="F11" s="5">
        <v>130</v>
      </c>
      <c r="G11" s="5">
        <v>85</v>
      </c>
      <c r="H11" s="5">
        <v>100</v>
      </c>
      <c r="I11" s="5"/>
      <c r="J11" s="4" t="s">
        <v>42</v>
      </c>
      <c r="K11" s="4" t="s">
        <v>50</v>
      </c>
      <c r="L11" s="4" t="s">
        <v>39</v>
      </c>
      <c r="M11" s="5"/>
      <c r="N11" s="5"/>
      <c r="O11" s="5" t="b">
        <v>1</v>
      </c>
      <c r="P11" s="4" t="str">
        <f>IF(A11="",IF(ISNUMBER(SEARCH("NOT NULL",UPPER(A$3))),"''","null"),SUBSTITUTE(VLOOKUP(A$2,convert!$A$1:$B$4,2,0),"@@@",A11))</f>
        <v>'0006M01'</v>
      </c>
      <c r="Q11" s="4" t="str">
        <f>IF(B11="",IF(ISNUMBER(SEARCH("NOT NULL",UPPER(B$3))),"''","null"),SUBSTITUTE(VLOOKUP(B$2,convert!$A$1:$B$4,2,0),"@@@",B11))</f>
        <v>'メガリザードンX'</v>
      </c>
      <c r="R11" s="4" t="str">
        <f>IF(C11="",IF(ISNUMBER(SEARCH("NOT NULL",UPPER(C$3))),"''","null"),SUBSTITUTE(VLOOKUP(C$2,convert!$A$1:$B$4,2,0),"@@@",C11))</f>
        <v>78</v>
      </c>
      <c r="S11" s="4" t="str">
        <f>IF(D11="",IF(ISNUMBER(SEARCH("NOT NULL",UPPER(D$3))),"''","null"),SUBSTITUTE(VLOOKUP(D$2,convert!$A$1:$B$4,2,0),"@@@",D11))</f>
        <v>130</v>
      </c>
      <c r="T11" s="4" t="str">
        <f>IF(E11="",IF(ISNUMBER(SEARCH("NOT NULL",UPPER(E$3))),"''","null"),SUBSTITUTE(VLOOKUP(E$2,convert!$A$1:$B$4,2,0),"@@@",E11))</f>
        <v>111</v>
      </c>
      <c r="U11" s="4" t="str">
        <f>IF(F11="",IF(ISNUMBER(SEARCH("NOT NULL",UPPER(F$3))),"''","null"),SUBSTITUTE(VLOOKUP(F$2,convert!$A$1:$B$4,2,0),"@@@",F11))</f>
        <v>130</v>
      </c>
      <c r="V11" s="4" t="str">
        <f>IF(G11="",IF(ISNUMBER(SEARCH("NOT NULL",UPPER(G$3))),"''","null"),SUBSTITUTE(VLOOKUP(G$2,convert!$A$1:$B$4,2,0),"@@@",G11))</f>
        <v>85</v>
      </c>
      <c r="W11" s="4" t="str">
        <f>IF(H11="",IF(ISNUMBER(SEARCH("NOT NULL",UPPER(H$3))),"''","null"),SUBSTITUTE(VLOOKUP(H$2,convert!$A$1:$B$4,2,0),"@@@",H11))</f>
        <v>100</v>
      </c>
      <c r="X11" s="4" t="str">
        <f>IF(I11="",IF(ISNUMBER(SEARCH("NOT NULL",UPPER(I$3))),"''","null"),SUBSTITUTE(VLOOKUP(I$2,convert!$A$1:$B$4,2,0),"@@@",I11))</f>
        <v>''</v>
      </c>
      <c r="Y11" s="4" t="str">
        <f>IF(J11="",IF(ISNUMBER(SEARCH("NOT NULL",UPPER(J$3))),"''","null"),SUBSTITUTE(VLOOKUP(J$2,convert!$A$1:$B$4,2,0),"@@@",J11))</f>
        <v>'fire'</v>
      </c>
      <c r="Z11" s="4" t="str">
        <f>IF(K11="",IF(ISNUMBER(SEARCH("NOT NULL",UPPER(K$3))),"''","null"),SUBSTITUTE(VLOOKUP(K$2,convert!$A$1:$B$4,2,0),"@@@",K11))</f>
        <v>'dragon'</v>
      </c>
      <c r="AA11" s="4" t="str">
        <f>IF(L11="",IF(ISNUMBER(SEARCH("NOT NULL",UPPER(L$3))),"''","null"),SUBSTITUTE(VLOOKUP(L$2,convert!$A$1:$B$4,2,0),"@@@",L11))</f>
        <v>'g6'</v>
      </c>
      <c r="AB11" s="4" t="str">
        <f>IF(M11="",IF(ISNUMBER(SEARCH("NOT NULL",UPPER(M$3))),"''","null"),SUBSTITUTE(VLOOKUP(M$2,convert!$A$1:$B$4,2,0),"@@@",M11))</f>
        <v>null</v>
      </c>
      <c r="AC11" s="4" t="str">
        <f>IF(N11="",IF(ISNUMBER(SEARCH("NOT NULL",UPPER(N$3))),"''","null"),SUBSTITUTE(VLOOKUP(N$2,convert!$A$1:$B$4,2,0),"@@@",N11))</f>
        <v>null</v>
      </c>
      <c r="AD11" s="4" t="str">
        <f>IF(O11="",IF(ISNUMBER(SEARCH("NOT NULL",UPPER(O$3))),"''","null"),SUBSTITUTE(VLOOKUP(O$2,convert!$A$1:$B$4,2,0),"@@@",O11))</f>
        <v>TRUE</v>
      </c>
      <c r="AE11" s="4" t="str">
        <f t="shared" si="0"/>
        <v>    ('0006M01', 'メガリザードンX', 78, 130, 111, 130, 85, 100, '', 'fire', 'dragon', 'g6', null, null, TRUE),</v>
      </c>
    </row>
    <row r="12" spans="1:31">
      <c r="A12" s="4" t="s">
        <v>51</v>
      </c>
      <c r="B12" s="4" t="s">
        <v>52</v>
      </c>
      <c r="C12" s="5">
        <v>78</v>
      </c>
      <c r="D12" s="5">
        <v>104</v>
      </c>
      <c r="E12" s="5">
        <v>78</v>
      </c>
      <c r="F12" s="5">
        <v>159</v>
      </c>
      <c r="G12" s="5">
        <v>115</v>
      </c>
      <c r="H12" s="5">
        <v>100</v>
      </c>
      <c r="I12" s="5"/>
      <c r="J12" s="4" t="s">
        <v>42</v>
      </c>
      <c r="K12" s="4" t="s">
        <v>47</v>
      </c>
      <c r="L12" s="4" t="s">
        <v>39</v>
      </c>
      <c r="M12" s="5"/>
      <c r="N12" s="5"/>
      <c r="O12" s="5" t="b">
        <v>1</v>
      </c>
      <c r="P12" s="4" t="str">
        <f>IF(A12="",IF(ISNUMBER(SEARCH("NOT NULL",UPPER(A$3))),"''","null"),SUBSTITUTE(VLOOKUP(A$2,convert!$A$1:$B$4,2,0),"@@@",A12))</f>
        <v>'0006M02'</v>
      </c>
      <c r="Q12" s="4" t="str">
        <f>IF(B12="",IF(ISNUMBER(SEARCH("NOT NULL",UPPER(B$3))),"''","null"),SUBSTITUTE(VLOOKUP(B$2,convert!$A$1:$B$4,2,0),"@@@",B12))</f>
        <v>'メガリザードンY'</v>
      </c>
      <c r="R12" s="4" t="str">
        <f>IF(C12="",IF(ISNUMBER(SEARCH("NOT NULL",UPPER(C$3))),"''","null"),SUBSTITUTE(VLOOKUP(C$2,convert!$A$1:$B$4,2,0),"@@@",C12))</f>
        <v>78</v>
      </c>
      <c r="S12" s="4" t="str">
        <f>IF(D12="",IF(ISNUMBER(SEARCH("NOT NULL",UPPER(D$3))),"''","null"),SUBSTITUTE(VLOOKUP(D$2,convert!$A$1:$B$4,2,0),"@@@",D12))</f>
        <v>104</v>
      </c>
      <c r="T12" s="4" t="str">
        <f>IF(E12="",IF(ISNUMBER(SEARCH("NOT NULL",UPPER(E$3))),"''","null"),SUBSTITUTE(VLOOKUP(E$2,convert!$A$1:$B$4,2,0),"@@@",E12))</f>
        <v>78</v>
      </c>
      <c r="U12" s="4" t="str">
        <f>IF(F12="",IF(ISNUMBER(SEARCH("NOT NULL",UPPER(F$3))),"''","null"),SUBSTITUTE(VLOOKUP(F$2,convert!$A$1:$B$4,2,0),"@@@",F12))</f>
        <v>159</v>
      </c>
      <c r="V12" s="4" t="str">
        <f>IF(G12="",IF(ISNUMBER(SEARCH("NOT NULL",UPPER(G$3))),"''","null"),SUBSTITUTE(VLOOKUP(G$2,convert!$A$1:$B$4,2,0),"@@@",G12))</f>
        <v>115</v>
      </c>
      <c r="W12" s="4" t="str">
        <f>IF(H12="",IF(ISNUMBER(SEARCH("NOT NULL",UPPER(H$3))),"''","null"),SUBSTITUTE(VLOOKUP(H$2,convert!$A$1:$B$4,2,0),"@@@",H12))</f>
        <v>100</v>
      </c>
      <c r="X12" s="4" t="str">
        <f>IF(I12="",IF(ISNUMBER(SEARCH("NOT NULL",UPPER(I$3))),"''","null"),SUBSTITUTE(VLOOKUP(I$2,convert!$A$1:$B$4,2,0),"@@@",I12))</f>
        <v>''</v>
      </c>
      <c r="Y12" s="4" t="str">
        <f>IF(J12="",IF(ISNUMBER(SEARCH("NOT NULL",UPPER(J$3))),"''","null"),SUBSTITUTE(VLOOKUP(J$2,convert!$A$1:$B$4,2,0),"@@@",J12))</f>
        <v>'fire'</v>
      </c>
      <c r="Z12" s="4" t="str">
        <f>IF(K12="",IF(ISNUMBER(SEARCH("NOT NULL",UPPER(K$3))),"''","null"),SUBSTITUTE(VLOOKUP(K$2,convert!$A$1:$B$4,2,0),"@@@",K12))</f>
        <v>'flying'</v>
      </c>
      <c r="AA12" s="4" t="str">
        <f>IF(L12="",IF(ISNUMBER(SEARCH("NOT NULL",UPPER(L$3))),"''","null"),SUBSTITUTE(VLOOKUP(L$2,convert!$A$1:$B$4,2,0),"@@@",L12))</f>
        <v>'g6'</v>
      </c>
      <c r="AB12" s="4" t="str">
        <f>IF(M12="",IF(ISNUMBER(SEARCH("NOT NULL",UPPER(M$3))),"''","null"),SUBSTITUTE(VLOOKUP(M$2,convert!$A$1:$B$4,2,0),"@@@",M12))</f>
        <v>null</v>
      </c>
      <c r="AC12" s="4" t="str">
        <f>IF(N12="",IF(ISNUMBER(SEARCH("NOT NULL",UPPER(N$3))),"''","null"),SUBSTITUTE(VLOOKUP(N$2,convert!$A$1:$B$4,2,0),"@@@",N12))</f>
        <v>null</v>
      </c>
      <c r="AD12" s="4" t="str">
        <f>IF(O12="",IF(ISNUMBER(SEARCH("NOT NULL",UPPER(O$3))),"''","null"),SUBSTITUTE(VLOOKUP(O$2,convert!$A$1:$B$4,2,0),"@@@",O12))</f>
        <v>TRUE</v>
      </c>
      <c r="AE12" s="4" t="str">
        <f t="shared" si="0"/>
        <v>    ('0006M02', 'メガリザードンY', 78, 104, 78, 159, 115, 100, '', 'fire', 'flying', 'g6', null, null, TRUE),</v>
      </c>
    </row>
    <row r="13" spans="1:31">
      <c r="A13" s="4" t="s">
        <v>53</v>
      </c>
      <c r="B13" s="4" t="s">
        <v>54</v>
      </c>
      <c r="C13" s="5">
        <v>44</v>
      </c>
      <c r="D13" s="5">
        <v>48</v>
      </c>
      <c r="E13" s="5">
        <v>65</v>
      </c>
      <c r="F13" s="5">
        <v>50</v>
      </c>
      <c r="G13" s="5">
        <v>64</v>
      </c>
      <c r="H13" s="5">
        <v>43</v>
      </c>
      <c r="I13" s="5"/>
      <c r="J13" s="4" t="s">
        <v>55</v>
      </c>
      <c r="K13" s="5"/>
      <c r="L13" s="4" t="s">
        <v>32</v>
      </c>
      <c r="M13" s="5"/>
      <c r="N13" s="5"/>
      <c r="O13" s="5" t="b">
        <v>1</v>
      </c>
      <c r="P13" s="4" t="str">
        <f>IF(A13="",IF(ISNUMBER(SEARCH("NOT NULL",UPPER(A$3))),"''","null"),SUBSTITUTE(VLOOKUP(A$2,convert!$A$1:$B$4,2,0),"@@@",A13))</f>
        <v>'0007N01'</v>
      </c>
      <c r="Q13" s="4" t="str">
        <f>IF(B13="",IF(ISNUMBER(SEARCH("NOT NULL",UPPER(B$3))),"''","null"),SUBSTITUTE(VLOOKUP(B$2,convert!$A$1:$B$4,2,0),"@@@",B13))</f>
        <v>'ゼニガメ'</v>
      </c>
      <c r="R13" s="4" t="str">
        <f>IF(C13="",IF(ISNUMBER(SEARCH("NOT NULL",UPPER(C$3))),"''","null"),SUBSTITUTE(VLOOKUP(C$2,convert!$A$1:$B$4,2,0),"@@@",C13))</f>
        <v>44</v>
      </c>
      <c r="S13" s="4" t="str">
        <f>IF(D13="",IF(ISNUMBER(SEARCH("NOT NULL",UPPER(D$3))),"''","null"),SUBSTITUTE(VLOOKUP(D$2,convert!$A$1:$B$4,2,0),"@@@",D13))</f>
        <v>48</v>
      </c>
      <c r="T13" s="4" t="str">
        <f>IF(E13="",IF(ISNUMBER(SEARCH("NOT NULL",UPPER(E$3))),"''","null"),SUBSTITUTE(VLOOKUP(E$2,convert!$A$1:$B$4,2,0),"@@@",E13))</f>
        <v>65</v>
      </c>
      <c r="U13" s="4" t="str">
        <f>IF(F13="",IF(ISNUMBER(SEARCH("NOT NULL",UPPER(F$3))),"''","null"),SUBSTITUTE(VLOOKUP(F$2,convert!$A$1:$B$4,2,0),"@@@",F13))</f>
        <v>50</v>
      </c>
      <c r="V13" s="4" t="str">
        <f>IF(G13="",IF(ISNUMBER(SEARCH("NOT NULL",UPPER(G$3))),"''","null"),SUBSTITUTE(VLOOKUP(G$2,convert!$A$1:$B$4,2,0),"@@@",G13))</f>
        <v>64</v>
      </c>
      <c r="W13" s="4" t="str">
        <f>IF(H13="",IF(ISNUMBER(SEARCH("NOT NULL",UPPER(H$3))),"''","null"),SUBSTITUTE(VLOOKUP(H$2,convert!$A$1:$B$4,2,0),"@@@",H13))</f>
        <v>43</v>
      </c>
      <c r="X13" s="4" t="str">
        <f>IF(I13="",IF(ISNUMBER(SEARCH("NOT NULL",UPPER(I$3))),"''","null"),SUBSTITUTE(VLOOKUP(I$2,convert!$A$1:$B$4,2,0),"@@@",I13))</f>
        <v>''</v>
      </c>
      <c r="Y13" s="4" t="str">
        <f>IF(J13="",IF(ISNUMBER(SEARCH("NOT NULL",UPPER(J$3))),"''","null"),SUBSTITUTE(VLOOKUP(J$2,convert!$A$1:$B$4,2,0),"@@@",J13))</f>
        <v>'water'</v>
      </c>
      <c r="Z13" s="4" t="str">
        <f>IF(K13="",IF(ISNUMBER(SEARCH("NOT NULL",UPPER(K$3))),"''","null"),SUBSTITUTE(VLOOKUP(K$2,convert!$A$1:$B$4,2,0),"@@@",K13))</f>
        <v>null</v>
      </c>
      <c r="AA13" s="4" t="str">
        <f>IF(L13="",IF(ISNUMBER(SEARCH("NOT NULL",UPPER(L$3))),"''","null"),SUBSTITUTE(VLOOKUP(L$2,convert!$A$1:$B$4,2,0),"@@@",L13))</f>
        <v>'g1'</v>
      </c>
      <c r="AB13" s="4" t="str">
        <f>IF(M13="",IF(ISNUMBER(SEARCH("NOT NULL",UPPER(M$3))),"''","null"),SUBSTITUTE(VLOOKUP(M$2,convert!$A$1:$B$4,2,0),"@@@",M13))</f>
        <v>null</v>
      </c>
      <c r="AC13" s="4" t="str">
        <f>IF(N13="",IF(ISNUMBER(SEARCH("NOT NULL",UPPER(N$3))),"''","null"),SUBSTITUTE(VLOOKUP(N$2,convert!$A$1:$B$4,2,0),"@@@",N13))</f>
        <v>null</v>
      </c>
      <c r="AD13" s="4" t="str">
        <f>IF(O13="",IF(ISNUMBER(SEARCH("NOT NULL",UPPER(O$3))),"''","null"),SUBSTITUTE(VLOOKUP(O$2,convert!$A$1:$B$4,2,0),"@@@",O13))</f>
        <v>TRUE</v>
      </c>
      <c r="AE13" s="4" t="str">
        <f t="shared" si="0"/>
        <v>    ('0007N01', 'ゼニガメ', 44, 48, 65, 50, 64, 43, '', 'water', null, 'g1', null, null, TRUE),</v>
      </c>
    </row>
    <row r="14" spans="1:31">
      <c r="A14" s="4" t="s">
        <v>56</v>
      </c>
      <c r="B14" s="4" t="s">
        <v>57</v>
      </c>
      <c r="C14" s="5">
        <v>59</v>
      </c>
      <c r="D14" s="5">
        <v>63</v>
      </c>
      <c r="E14" s="5">
        <v>80</v>
      </c>
      <c r="F14" s="5">
        <v>65</v>
      </c>
      <c r="G14" s="5">
        <v>80</v>
      </c>
      <c r="H14" s="5">
        <v>58</v>
      </c>
      <c r="I14" s="5"/>
      <c r="J14" s="4" t="s">
        <v>55</v>
      </c>
      <c r="K14" s="5"/>
      <c r="L14" s="4" t="s">
        <v>32</v>
      </c>
      <c r="M14" s="5"/>
      <c r="N14" s="5"/>
      <c r="O14" s="5" t="b">
        <v>1</v>
      </c>
      <c r="P14" s="4" t="str">
        <f>IF(A14="",IF(ISNUMBER(SEARCH("NOT NULL",UPPER(A$3))),"''","null"),SUBSTITUTE(VLOOKUP(A$2,convert!$A$1:$B$4,2,0),"@@@",A14))</f>
        <v>'0008N01'</v>
      </c>
      <c r="Q14" s="4" t="str">
        <f>IF(B14="",IF(ISNUMBER(SEARCH("NOT NULL",UPPER(B$3))),"''","null"),SUBSTITUTE(VLOOKUP(B$2,convert!$A$1:$B$4,2,0),"@@@",B14))</f>
        <v>'カメール'</v>
      </c>
      <c r="R14" s="4" t="str">
        <f>IF(C14="",IF(ISNUMBER(SEARCH("NOT NULL",UPPER(C$3))),"''","null"),SUBSTITUTE(VLOOKUP(C$2,convert!$A$1:$B$4,2,0),"@@@",C14))</f>
        <v>59</v>
      </c>
      <c r="S14" s="4" t="str">
        <f>IF(D14="",IF(ISNUMBER(SEARCH("NOT NULL",UPPER(D$3))),"''","null"),SUBSTITUTE(VLOOKUP(D$2,convert!$A$1:$B$4,2,0),"@@@",D14))</f>
        <v>63</v>
      </c>
      <c r="T14" s="4" t="str">
        <f>IF(E14="",IF(ISNUMBER(SEARCH("NOT NULL",UPPER(E$3))),"''","null"),SUBSTITUTE(VLOOKUP(E$2,convert!$A$1:$B$4,2,0),"@@@",E14))</f>
        <v>80</v>
      </c>
      <c r="U14" s="4" t="str">
        <f>IF(F14="",IF(ISNUMBER(SEARCH("NOT NULL",UPPER(F$3))),"''","null"),SUBSTITUTE(VLOOKUP(F$2,convert!$A$1:$B$4,2,0),"@@@",F14))</f>
        <v>65</v>
      </c>
      <c r="V14" s="4" t="str">
        <f>IF(G14="",IF(ISNUMBER(SEARCH("NOT NULL",UPPER(G$3))),"''","null"),SUBSTITUTE(VLOOKUP(G$2,convert!$A$1:$B$4,2,0),"@@@",G14))</f>
        <v>80</v>
      </c>
      <c r="W14" s="4" t="str">
        <f>IF(H14="",IF(ISNUMBER(SEARCH("NOT NULL",UPPER(H$3))),"''","null"),SUBSTITUTE(VLOOKUP(H$2,convert!$A$1:$B$4,2,0),"@@@",H14))</f>
        <v>58</v>
      </c>
      <c r="X14" s="4" t="str">
        <f>IF(I14="",IF(ISNUMBER(SEARCH("NOT NULL",UPPER(I$3))),"''","null"),SUBSTITUTE(VLOOKUP(I$2,convert!$A$1:$B$4,2,0),"@@@",I14))</f>
        <v>''</v>
      </c>
      <c r="Y14" s="4" t="str">
        <f>IF(J14="",IF(ISNUMBER(SEARCH("NOT NULL",UPPER(J$3))),"''","null"),SUBSTITUTE(VLOOKUP(J$2,convert!$A$1:$B$4,2,0),"@@@",J14))</f>
        <v>'water'</v>
      </c>
      <c r="Z14" s="4" t="str">
        <f>IF(K14="",IF(ISNUMBER(SEARCH("NOT NULL",UPPER(K$3))),"''","null"),SUBSTITUTE(VLOOKUP(K$2,convert!$A$1:$B$4,2,0),"@@@",K14))</f>
        <v>null</v>
      </c>
      <c r="AA14" s="4" t="str">
        <f>IF(L14="",IF(ISNUMBER(SEARCH("NOT NULL",UPPER(L$3))),"''","null"),SUBSTITUTE(VLOOKUP(L$2,convert!$A$1:$B$4,2,0),"@@@",L14))</f>
        <v>'g1'</v>
      </c>
      <c r="AB14" s="4" t="str">
        <f>IF(M14="",IF(ISNUMBER(SEARCH("NOT NULL",UPPER(M$3))),"''","null"),SUBSTITUTE(VLOOKUP(M$2,convert!$A$1:$B$4,2,0),"@@@",M14))</f>
        <v>null</v>
      </c>
      <c r="AC14" s="4" t="str">
        <f>IF(N14="",IF(ISNUMBER(SEARCH("NOT NULL",UPPER(N$3))),"''","null"),SUBSTITUTE(VLOOKUP(N$2,convert!$A$1:$B$4,2,0),"@@@",N14))</f>
        <v>null</v>
      </c>
      <c r="AD14" s="4" t="str">
        <f>IF(O14="",IF(ISNUMBER(SEARCH("NOT NULL",UPPER(O$3))),"''","null"),SUBSTITUTE(VLOOKUP(O$2,convert!$A$1:$B$4,2,0),"@@@",O14))</f>
        <v>TRUE</v>
      </c>
      <c r="AE14" s="4" t="str">
        <f t="shared" si="0"/>
        <v>    ('0008N01', 'カメール', 59, 63, 80, 65, 80, 58, '', 'water', null, 'g1', null, null, TRUE),</v>
      </c>
    </row>
    <row r="15" spans="1:31">
      <c r="A15" s="4" t="s">
        <v>58</v>
      </c>
      <c r="B15" s="4" t="s">
        <v>59</v>
      </c>
      <c r="C15" s="5">
        <v>79</v>
      </c>
      <c r="D15" s="5">
        <v>83</v>
      </c>
      <c r="E15" s="5">
        <v>100</v>
      </c>
      <c r="F15" s="5">
        <v>85</v>
      </c>
      <c r="G15" s="5">
        <v>105</v>
      </c>
      <c r="H15" s="5">
        <v>78</v>
      </c>
      <c r="I15" s="5"/>
      <c r="J15" s="4" t="s">
        <v>55</v>
      </c>
      <c r="K15" s="5"/>
      <c r="L15" s="4" t="s">
        <v>32</v>
      </c>
      <c r="M15" s="5"/>
      <c r="N15" s="5"/>
      <c r="O15" s="5" t="b">
        <v>1</v>
      </c>
      <c r="P15" s="4" t="str">
        <f>IF(A15="",IF(ISNUMBER(SEARCH("NOT NULL",UPPER(A$3))),"''","null"),SUBSTITUTE(VLOOKUP(A$2,convert!$A$1:$B$4,2,0),"@@@",A15))</f>
        <v>'0009N01'</v>
      </c>
      <c r="Q15" s="4" t="str">
        <f>IF(B15="",IF(ISNUMBER(SEARCH("NOT NULL",UPPER(B$3))),"''","null"),SUBSTITUTE(VLOOKUP(B$2,convert!$A$1:$B$4,2,0),"@@@",B15))</f>
        <v>'カメックス'</v>
      </c>
      <c r="R15" s="4" t="str">
        <f>IF(C15="",IF(ISNUMBER(SEARCH("NOT NULL",UPPER(C$3))),"''","null"),SUBSTITUTE(VLOOKUP(C$2,convert!$A$1:$B$4,2,0),"@@@",C15))</f>
        <v>79</v>
      </c>
      <c r="S15" s="4" t="str">
        <f>IF(D15="",IF(ISNUMBER(SEARCH("NOT NULL",UPPER(D$3))),"''","null"),SUBSTITUTE(VLOOKUP(D$2,convert!$A$1:$B$4,2,0),"@@@",D15))</f>
        <v>83</v>
      </c>
      <c r="T15" s="4" t="str">
        <f>IF(E15="",IF(ISNUMBER(SEARCH("NOT NULL",UPPER(E$3))),"''","null"),SUBSTITUTE(VLOOKUP(E$2,convert!$A$1:$B$4,2,0),"@@@",E15))</f>
        <v>100</v>
      </c>
      <c r="U15" s="4" t="str">
        <f>IF(F15="",IF(ISNUMBER(SEARCH("NOT NULL",UPPER(F$3))),"''","null"),SUBSTITUTE(VLOOKUP(F$2,convert!$A$1:$B$4,2,0),"@@@",F15))</f>
        <v>85</v>
      </c>
      <c r="V15" s="4" t="str">
        <f>IF(G15="",IF(ISNUMBER(SEARCH("NOT NULL",UPPER(G$3))),"''","null"),SUBSTITUTE(VLOOKUP(G$2,convert!$A$1:$B$4,2,0),"@@@",G15))</f>
        <v>105</v>
      </c>
      <c r="W15" s="4" t="str">
        <f>IF(H15="",IF(ISNUMBER(SEARCH("NOT NULL",UPPER(H$3))),"''","null"),SUBSTITUTE(VLOOKUP(H$2,convert!$A$1:$B$4,2,0),"@@@",H15))</f>
        <v>78</v>
      </c>
      <c r="X15" s="4" t="str">
        <f>IF(I15="",IF(ISNUMBER(SEARCH("NOT NULL",UPPER(I$3))),"''","null"),SUBSTITUTE(VLOOKUP(I$2,convert!$A$1:$B$4,2,0),"@@@",I15))</f>
        <v>''</v>
      </c>
      <c r="Y15" s="4" t="str">
        <f>IF(J15="",IF(ISNUMBER(SEARCH("NOT NULL",UPPER(J$3))),"''","null"),SUBSTITUTE(VLOOKUP(J$2,convert!$A$1:$B$4,2,0),"@@@",J15))</f>
        <v>'water'</v>
      </c>
      <c r="Z15" s="4" t="str">
        <f>IF(K15="",IF(ISNUMBER(SEARCH("NOT NULL",UPPER(K$3))),"''","null"),SUBSTITUTE(VLOOKUP(K$2,convert!$A$1:$B$4,2,0),"@@@",K15))</f>
        <v>null</v>
      </c>
      <c r="AA15" s="4" t="str">
        <f>IF(L15="",IF(ISNUMBER(SEARCH("NOT NULL",UPPER(L$3))),"''","null"),SUBSTITUTE(VLOOKUP(L$2,convert!$A$1:$B$4,2,0),"@@@",L15))</f>
        <v>'g1'</v>
      </c>
      <c r="AB15" s="4" t="str">
        <f>IF(M15="",IF(ISNUMBER(SEARCH("NOT NULL",UPPER(M$3))),"''","null"),SUBSTITUTE(VLOOKUP(M$2,convert!$A$1:$B$4,2,0),"@@@",M15))</f>
        <v>null</v>
      </c>
      <c r="AC15" s="4" t="str">
        <f>IF(N15="",IF(ISNUMBER(SEARCH("NOT NULL",UPPER(N$3))),"''","null"),SUBSTITUTE(VLOOKUP(N$2,convert!$A$1:$B$4,2,0),"@@@",N15))</f>
        <v>null</v>
      </c>
      <c r="AD15" s="4" t="str">
        <f>IF(O15="",IF(ISNUMBER(SEARCH("NOT NULL",UPPER(O$3))),"''","null"),SUBSTITUTE(VLOOKUP(O$2,convert!$A$1:$B$4,2,0),"@@@",O15))</f>
        <v>TRUE</v>
      </c>
      <c r="AE15" s="4" t="str">
        <f t="shared" si="0"/>
        <v>    ('0009N01', 'カメックス', 79, 83, 100, 85, 105, 78, '', 'water', null, 'g1', null, null, TRUE),</v>
      </c>
    </row>
    <row r="16" spans="1:31">
      <c r="A16" s="4" t="s">
        <v>60</v>
      </c>
      <c r="B16" s="4" t="s">
        <v>61</v>
      </c>
      <c r="C16" s="5">
        <v>79</v>
      </c>
      <c r="D16" s="5">
        <v>103</v>
      </c>
      <c r="E16" s="5">
        <v>120</v>
      </c>
      <c r="F16" s="5">
        <v>135</v>
      </c>
      <c r="G16" s="5">
        <v>115</v>
      </c>
      <c r="H16" s="5">
        <v>78</v>
      </c>
      <c r="I16" s="5"/>
      <c r="J16" s="4" t="s">
        <v>55</v>
      </c>
      <c r="K16" s="5"/>
      <c r="L16" s="4" t="s">
        <v>39</v>
      </c>
      <c r="M16" s="5"/>
      <c r="N16" s="5"/>
      <c r="O16" s="5" t="b">
        <v>1</v>
      </c>
      <c r="P16" s="4" t="str">
        <f>IF(A16="",IF(ISNUMBER(SEARCH("NOT NULL",UPPER(A$3))),"''","null"),SUBSTITUTE(VLOOKUP(A$2,convert!$A$1:$B$4,2,0),"@@@",A16))</f>
        <v>'0009M01'</v>
      </c>
      <c r="Q16" s="4" t="str">
        <f>IF(B16="",IF(ISNUMBER(SEARCH("NOT NULL",UPPER(B$3))),"''","null"),SUBSTITUTE(VLOOKUP(B$2,convert!$A$1:$B$4,2,0),"@@@",B16))</f>
        <v>'メガカメックス'</v>
      </c>
      <c r="R16" s="4" t="str">
        <f>IF(C16="",IF(ISNUMBER(SEARCH("NOT NULL",UPPER(C$3))),"''","null"),SUBSTITUTE(VLOOKUP(C$2,convert!$A$1:$B$4,2,0),"@@@",C16))</f>
        <v>79</v>
      </c>
      <c r="S16" s="4" t="str">
        <f>IF(D16="",IF(ISNUMBER(SEARCH("NOT NULL",UPPER(D$3))),"''","null"),SUBSTITUTE(VLOOKUP(D$2,convert!$A$1:$B$4,2,0),"@@@",D16))</f>
        <v>103</v>
      </c>
      <c r="T16" s="4" t="str">
        <f>IF(E16="",IF(ISNUMBER(SEARCH("NOT NULL",UPPER(E$3))),"''","null"),SUBSTITUTE(VLOOKUP(E$2,convert!$A$1:$B$4,2,0),"@@@",E16))</f>
        <v>120</v>
      </c>
      <c r="U16" s="4" t="str">
        <f>IF(F16="",IF(ISNUMBER(SEARCH("NOT NULL",UPPER(F$3))),"''","null"),SUBSTITUTE(VLOOKUP(F$2,convert!$A$1:$B$4,2,0),"@@@",F16))</f>
        <v>135</v>
      </c>
      <c r="V16" s="4" t="str">
        <f>IF(G16="",IF(ISNUMBER(SEARCH("NOT NULL",UPPER(G$3))),"''","null"),SUBSTITUTE(VLOOKUP(G$2,convert!$A$1:$B$4,2,0),"@@@",G16))</f>
        <v>115</v>
      </c>
      <c r="W16" s="4" t="str">
        <f>IF(H16="",IF(ISNUMBER(SEARCH("NOT NULL",UPPER(H$3))),"''","null"),SUBSTITUTE(VLOOKUP(H$2,convert!$A$1:$B$4,2,0),"@@@",H16))</f>
        <v>78</v>
      </c>
      <c r="X16" s="4" t="str">
        <f>IF(I16="",IF(ISNUMBER(SEARCH("NOT NULL",UPPER(I$3))),"''","null"),SUBSTITUTE(VLOOKUP(I$2,convert!$A$1:$B$4,2,0),"@@@",I16))</f>
        <v>''</v>
      </c>
      <c r="Y16" s="4" t="str">
        <f>IF(J16="",IF(ISNUMBER(SEARCH("NOT NULL",UPPER(J$3))),"''","null"),SUBSTITUTE(VLOOKUP(J$2,convert!$A$1:$B$4,2,0),"@@@",J16))</f>
        <v>'water'</v>
      </c>
      <c r="Z16" s="4" t="str">
        <f>IF(K16="",IF(ISNUMBER(SEARCH("NOT NULL",UPPER(K$3))),"''","null"),SUBSTITUTE(VLOOKUP(K$2,convert!$A$1:$B$4,2,0),"@@@",K16))</f>
        <v>null</v>
      </c>
      <c r="AA16" s="4" t="str">
        <f>IF(L16="",IF(ISNUMBER(SEARCH("NOT NULL",UPPER(L$3))),"''","null"),SUBSTITUTE(VLOOKUP(L$2,convert!$A$1:$B$4,2,0),"@@@",L16))</f>
        <v>'g6'</v>
      </c>
      <c r="AB16" s="4" t="str">
        <f>IF(M16="",IF(ISNUMBER(SEARCH("NOT NULL",UPPER(M$3))),"''","null"),SUBSTITUTE(VLOOKUP(M$2,convert!$A$1:$B$4,2,0),"@@@",M16))</f>
        <v>null</v>
      </c>
      <c r="AC16" s="4" t="str">
        <f>IF(N16="",IF(ISNUMBER(SEARCH("NOT NULL",UPPER(N$3))),"''","null"),SUBSTITUTE(VLOOKUP(N$2,convert!$A$1:$B$4,2,0),"@@@",N16))</f>
        <v>null</v>
      </c>
      <c r="AD16" s="4" t="str">
        <f>IF(O16="",IF(ISNUMBER(SEARCH("NOT NULL",UPPER(O$3))),"''","null"),SUBSTITUTE(VLOOKUP(O$2,convert!$A$1:$B$4,2,0),"@@@",O16))</f>
        <v>TRUE</v>
      </c>
      <c r="AE16" s="4" t="str">
        <f t="shared" si="0"/>
        <v>    ('0009M01', 'メガカメックス', 79, 103, 120, 135, 115, 78, '', 'water', null, 'g6', null, null, TRUE),</v>
      </c>
    </row>
    <row r="17" spans="1:31">
      <c r="A17" s="4" t="s">
        <v>62</v>
      </c>
      <c r="B17" s="4" t="s">
        <v>63</v>
      </c>
      <c r="C17" s="5">
        <v>45</v>
      </c>
      <c r="D17" s="5">
        <v>30</v>
      </c>
      <c r="E17" s="5">
        <v>35</v>
      </c>
      <c r="F17" s="5">
        <v>20</v>
      </c>
      <c r="G17" s="5">
        <v>20</v>
      </c>
      <c r="H17" s="5">
        <v>45</v>
      </c>
      <c r="I17" s="5"/>
      <c r="J17" s="4" t="s">
        <v>64</v>
      </c>
      <c r="K17" s="5"/>
      <c r="L17" s="4" t="s">
        <v>32</v>
      </c>
      <c r="M17" s="5"/>
      <c r="N17" s="5"/>
      <c r="O17" s="5" t="b">
        <v>1</v>
      </c>
      <c r="P17" s="4" t="str">
        <f>IF(A17="",IF(ISNUMBER(SEARCH("NOT NULL",UPPER(A$3))),"''","null"),SUBSTITUTE(VLOOKUP(A$2,convert!$A$1:$B$4,2,0),"@@@",A17))</f>
        <v>'0010N01'</v>
      </c>
      <c r="Q17" s="4" t="str">
        <f>IF(B17="",IF(ISNUMBER(SEARCH("NOT NULL",UPPER(B$3))),"''","null"),SUBSTITUTE(VLOOKUP(B$2,convert!$A$1:$B$4,2,0),"@@@",B17))</f>
        <v>'キャタピー'</v>
      </c>
      <c r="R17" s="4" t="str">
        <f>IF(C17="",IF(ISNUMBER(SEARCH("NOT NULL",UPPER(C$3))),"''","null"),SUBSTITUTE(VLOOKUP(C$2,convert!$A$1:$B$4,2,0),"@@@",C17))</f>
        <v>45</v>
      </c>
      <c r="S17" s="4" t="str">
        <f>IF(D17="",IF(ISNUMBER(SEARCH("NOT NULL",UPPER(D$3))),"''","null"),SUBSTITUTE(VLOOKUP(D$2,convert!$A$1:$B$4,2,0),"@@@",D17))</f>
        <v>30</v>
      </c>
      <c r="T17" s="4" t="str">
        <f>IF(E17="",IF(ISNUMBER(SEARCH("NOT NULL",UPPER(E$3))),"''","null"),SUBSTITUTE(VLOOKUP(E$2,convert!$A$1:$B$4,2,0),"@@@",E17))</f>
        <v>35</v>
      </c>
      <c r="U17" s="4" t="str">
        <f>IF(F17="",IF(ISNUMBER(SEARCH("NOT NULL",UPPER(F$3))),"''","null"),SUBSTITUTE(VLOOKUP(F$2,convert!$A$1:$B$4,2,0),"@@@",F17))</f>
        <v>20</v>
      </c>
      <c r="V17" s="4" t="str">
        <f>IF(G17="",IF(ISNUMBER(SEARCH("NOT NULL",UPPER(G$3))),"''","null"),SUBSTITUTE(VLOOKUP(G$2,convert!$A$1:$B$4,2,0),"@@@",G17))</f>
        <v>20</v>
      </c>
      <c r="W17" s="4" t="str">
        <f>IF(H17="",IF(ISNUMBER(SEARCH("NOT NULL",UPPER(H$3))),"''","null"),SUBSTITUTE(VLOOKUP(H$2,convert!$A$1:$B$4,2,0),"@@@",H17))</f>
        <v>45</v>
      </c>
      <c r="X17" s="4" t="str">
        <f>IF(I17="",IF(ISNUMBER(SEARCH("NOT NULL",UPPER(I$3))),"''","null"),SUBSTITUTE(VLOOKUP(I$2,convert!$A$1:$B$4,2,0),"@@@",I17))</f>
        <v>''</v>
      </c>
      <c r="Y17" s="4" t="str">
        <f>IF(J17="",IF(ISNUMBER(SEARCH("NOT NULL",UPPER(J$3))),"''","null"),SUBSTITUTE(VLOOKUP(J$2,convert!$A$1:$B$4,2,0),"@@@",J17))</f>
        <v>'bug'</v>
      </c>
      <c r="Z17" s="4" t="str">
        <f>IF(K17="",IF(ISNUMBER(SEARCH("NOT NULL",UPPER(K$3))),"''","null"),SUBSTITUTE(VLOOKUP(K$2,convert!$A$1:$B$4,2,0),"@@@",K17))</f>
        <v>null</v>
      </c>
      <c r="AA17" s="4" t="str">
        <f>IF(L17="",IF(ISNUMBER(SEARCH("NOT NULL",UPPER(L$3))),"''","null"),SUBSTITUTE(VLOOKUP(L$2,convert!$A$1:$B$4,2,0),"@@@",L17))</f>
        <v>'g1'</v>
      </c>
      <c r="AB17" s="4" t="str">
        <f>IF(M17="",IF(ISNUMBER(SEARCH("NOT NULL",UPPER(M$3))),"''","null"),SUBSTITUTE(VLOOKUP(M$2,convert!$A$1:$B$4,2,0),"@@@",M17))</f>
        <v>null</v>
      </c>
      <c r="AC17" s="4" t="str">
        <f>IF(N17="",IF(ISNUMBER(SEARCH("NOT NULL",UPPER(N$3))),"''","null"),SUBSTITUTE(VLOOKUP(N$2,convert!$A$1:$B$4,2,0),"@@@",N17))</f>
        <v>null</v>
      </c>
      <c r="AD17" s="4" t="str">
        <f>IF(O17="",IF(ISNUMBER(SEARCH("NOT NULL",UPPER(O$3))),"''","null"),SUBSTITUTE(VLOOKUP(O$2,convert!$A$1:$B$4,2,0),"@@@",O17))</f>
        <v>TRUE</v>
      </c>
      <c r="AE17" s="4" t="str">
        <f t="shared" si="0"/>
        <v>    ('0010N01', 'キャタピー', 45, 30, 35, 20, 20, 45, '', 'bug', null, 'g1', null, null, TRUE),</v>
      </c>
    </row>
    <row r="18" spans="1:31">
      <c r="A18" s="4" t="s">
        <v>65</v>
      </c>
      <c r="B18" s="4" t="s">
        <v>66</v>
      </c>
      <c r="C18" s="5">
        <v>50</v>
      </c>
      <c r="D18" s="5">
        <v>20</v>
      </c>
      <c r="E18" s="5">
        <v>55</v>
      </c>
      <c r="F18" s="5">
        <v>25</v>
      </c>
      <c r="G18" s="5">
        <v>25</v>
      </c>
      <c r="H18" s="5">
        <v>30</v>
      </c>
      <c r="I18" s="5"/>
      <c r="J18" s="4" t="s">
        <v>64</v>
      </c>
      <c r="K18" s="5"/>
      <c r="L18" s="4" t="s">
        <v>32</v>
      </c>
      <c r="M18" s="5"/>
      <c r="N18" s="5"/>
      <c r="O18" s="5" t="b">
        <v>1</v>
      </c>
      <c r="P18" s="4" t="str">
        <f>IF(A18="",IF(ISNUMBER(SEARCH("NOT NULL",UPPER(A$3))),"''","null"),SUBSTITUTE(VLOOKUP(A$2,convert!$A$1:$B$4,2,0),"@@@",A18))</f>
        <v>'0011N01'</v>
      </c>
      <c r="Q18" s="4" t="str">
        <f>IF(B18="",IF(ISNUMBER(SEARCH("NOT NULL",UPPER(B$3))),"''","null"),SUBSTITUTE(VLOOKUP(B$2,convert!$A$1:$B$4,2,0),"@@@",B18))</f>
        <v>'トランセル'</v>
      </c>
      <c r="R18" s="4" t="str">
        <f>IF(C18="",IF(ISNUMBER(SEARCH("NOT NULL",UPPER(C$3))),"''","null"),SUBSTITUTE(VLOOKUP(C$2,convert!$A$1:$B$4,2,0),"@@@",C18))</f>
        <v>50</v>
      </c>
      <c r="S18" s="4" t="str">
        <f>IF(D18="",IF(ISNUMBER(SEARCH("NOT NULL",UPPER(D$3))),"''","null"),SUBSTITUTE(VLOOKUP(D$2,convert!$A$1:$B$4,2,0),"@@@",D18))</f>
        <v>20</v>
      </c>
      <c r="T18" s="4" t="str">
        <f>IF(E18="",IF(ISNUMBER(SEARCH("NOT NULL",UPPER(E$3))),"''","null"),SUBSTITUTE(VLOOKUP(E$2,convert!$A$1:$B$4,2,0),"@@@",E18))</f>
        <v>55</v>
      </c>
      <c r="U18" s="4" t="str">
        <f>IF(F18="",IF(ISNUMBER(SEARCH("NOT NULL",UPPER(F$3))),"''","null"),SUBSTITUTE(VLOOKUP(F$2,convert!$A$1:$B$4,2,0),"@@@",F18))</f>
        <v>25</v>
      </c>
      <c r="V18" s="4" t="str">
        <f>IF(G18="",IF(ISNUMBER(SEARCH("NOT NULL",UPPER(G$3))),"''","null"),SUBSTITUTE(VLOOKUP(G$2,convert!$A$1:$B$4,2,0),"@@@",G18))</f>
        <v>25</v>
      </c>
      <c r="W18" s="4" t="str">
        <f>IF(H18="",IF(ISNUMBER(SEARCH("NOT NULL",UPPER(H$3))),"''","null"),SUBSTITUTE(VLOOKUP(H$2,convert!$A$1:$B$4,2,0),"@@@",H18))</f>
        <v>30</v>
      </c>
      <c r="X18" s="4" t="str">
        <f>IF(I18="",IF(ISNUMBER(SEARCH("NOT NULL",UPPER(I$3))),"''","null"),SUBSTITUTE(VLOOKUP(I$2,convert!$A$1:$B$4,2,0),"@@@",I18))</f>
        <v>''</v>
      </c>
      <c r="Y18" s="4" t="str">
        <f>IF(J18="",IF(ISNUMBER(SEARCH("NOT NULL",UPPER(J$3))),"''","null"),SUBSTITUTE(VLOOKUP(J$2,convert!$A$1:$B$4,2,0),"@@@",J18))</f>
        <v>'bug'</v>
      </c>
      <c r="Z18" s="4" t="str">
        <f>IF(K18="",IF(ISNUMBER(SEARCH("NOT NULL",UPPER(K$3))),"''","null"),SUBSTITUTE(VLOOKUP(K$2,convert!$A$1:$B$4,2,0),"@@@",K18))</f>
        <v>null</v>
      </c>
      <c r="AA18" s="4" t="str">
        <f>IF(L18="",IF(ISNUMBER(SEARCH("NOT NULL",UPPER(L$3))),"''","null"),SUBSTITUTE(VLOOKUP(L$2,convert!$A$1:$B$4,2,0),"@@@",L18))</f>
        <v>'g1'</v>
      </c>
      <c r="AB18" s="4" t="str">
        <f>IF(M18="",IF(ISNUMBER(SEARCH("NOT NULL",UPPER(M$3))),"''","null"),SUBSTITUTE(VLOOKUP(M$2,convert!$A$1:$B$4,2,0),"@@@",M18))</f>
        <v>null</v>
      </c>
      <c r="AC18" s="4" t="str">
        <f>IF(N18="",IF(ISNUMBER(SEARCH("NOT NULL",UPPER(N$3))),"''","null"),SUBSTITUTE(VLOOKUP(N$2,convert!$A$1:$B$4,2,0),"@@@",N18))</f>
        <v>null</v>
      </c>
      <c r="AD18" s="4" t="str">
        <f>IF(O18="",IF(ISNUMBER(SEARCH("NOT NULL",UPPER(O$3))),"''","null"),SUBSTITUTE(VLOOKUP(O$2,convert!$A$1:$B$4,2,0),"@@@",O18))</f>
        <v>TRUE</v>
      </c>
      <c r="AE18" s="4" t="str">
        <f t="shared" si="0"/>
        <v>    ('0011N01', 'トランセル', 50, 20, 55, 25, 25, 30, '', 'bug', null, 'g1', null, null, TRUE),</v>
      </c>
    </row>
    <row r="19" spans="1:31">
      <c r="A19" s="4" t="s">
        <v>67</v>
      </c>
      <c r="B19" s="4" t="s">
        <v>68</v>
      </c>
      <c r="C19" s="5">
        <v>60</v>
      </c>
      <c r="D19" s="5">
        <v>45</v>
      </c>
      <c r="E19" s="5">
        <v>50</v>
      </c>
      <c r="F19" s="5">
        <v>90</v>
      </c>
      <c r="G19" s="5">
        <v>80</v>
      </c>
      <c r="H19" s="5">
        <v>70</v>
      </c>
      <c r="I19" s="5"/>
      <c r="J19" s="4" t="s">
        <v>64</v>
      </c>
      <c r="K19" s="4" t="s">
        <v>47</v>
      </c>
      <c r="L19" s="4" t="s">
        <v>32</v>
      </c>
      <c r="M19" s="5"/>
      <c r="N19" s="5"/>
      <c r="O19" s="5" t="b">
        <v>1</v>
      </c>
      <c r="P19" s="4" t="str">
        <f>IF(A19="",IF(ISNUMBER(SEARCH("NOT NULL",UPPER(A$3))),"''","null"),SUBSTITUTE(VLOOKUP(A$2,convert!$A$1:$B$4,2,0),"@@@",A19))</f>
        <v>'0012N01'</v>
      </c>
      <c r="Q19" s="4" t="str">
        <f>IF(B19="",IF(ISNUMBER(SEARCH("NOT NULL",UPPER(B$3))),"''","null"),SUBSTITUTE(VLOOKUP(B$2,convert!$A$1:$B$4,2,0),"@@@",B19))</f>
        <v>'バタフリー'</v>
      </c>
      <c r="R19" s="4" t="str">
        <f>IF(C19="",IF(ISNUMBER(SEARCH("NOT NULL",UPPER(C$3))),"''","null"),SUBSTITUTE(VLOOKUP(C$2,convert!$A$1:$B$4,2,0),"@@@",C19))</f>
        <v>60</v>
      </c>
      <c r="S19" s="4" t="str">
        <f>IF(D19="",IF(ISNUMBER(SEARCH("NOT NULL",UPPER(D$3))),"''","null"),SUBSTITUTE(VLOOKUP(D$2,convert!$A$1:$B$4,2,0),"@@@",D19))</f>
        <v>45</v>
      </c>
      <c r="T19" s="4" t="str">
        <f>IF(E19="",IF(ISNUMBER(SEARCH("NOT NULL",UPPER(E$3))),"''","null"),SUBSTITUTE(VLOOKUP(E$2,convert!$A$1:$B$4,2,0),"@@@",E19))</f>
        <v>50</v>
      </c>
      <c r="U19" s="4" t="str">
        <f>IF(F19="",IF(ISNUMBER(SEARCH("NOT NULL",UPPER(F$3))),"''","null"),SUBSTITUTE(VLOOKUP(F$2,convert!$A$1:$B$4,2,0),"@@@",F19))</f>
        <v>90</v>
      </c>
      <c r="V19" s="4" t="str">
        <f>IF(G19="",IF(ISNUMBER(SEARCH("NOT NULL",UPPER(G$3))),"''","null"),SUBSTITUTE(VLOOKUP(G$2,convert!$A$1:$B$4,2,0),"@@@",G19))</f>
        <v>80</v>
      </c>
      <c r="W19" s="4" t="str">
        <f>IF(H19="",IF(ISNUMBER(SEARCH("NOT NULL",UPPER(H$3))),"''","null"),SUBSTITUTE(VLOOKUP(H$2,convert!$A$1:$B$4,2,0),"@@@",H19))</f>
        <v>70</v>
      </c>
      <c r="X19" s="4" t="str">
        <f>IF(I19="",IF(ISNUMBER(SEARCH("NOT NULL",UPPER(I$3))),"''","null"),SUBSTITUTE(VLOOKUP(I$2,convert!$A$1:$B$4,2,0),"@@@",I19))</f>
        <v>''</v>
      </c>
      <c r="Y19" s="4" t="str">
        <f>IF(J19="",IF(ISNUMBER(SEARCH("NOT NULL",UPPER(J$3))),"''","null"),SUBSTITUTE(VLOOKUP(J$2,convert!$A$1:$B$4,2,0),"@@@",J19))</f>
        <v>'bug'</v>
      </c>
      <c r="Z19" s="4" t="str">
        <f>IF(K19="",IF(ISNUMBER(SEARCH("NOT NULL",UPPER(K$3))),"''","null"),SUBSTITUTE(VLOOKUP(K$2,convert!$A$1:$B$4,2,0),"@@@",K19))</f>
        <v>'flying'</v>
      </c>
      <c r="AA19" s="4" t="str">
        <f>IF(L19="",IF(ISNUMBER(SEARCH("NOT NULL",UPPER(L$3))),"''","null"),SUBSTITUTE(VLOOKUP(L$2,convert!$A$1:$B$4,2,0),"@@@",L19))</f>
        <v>'g1'</v>
      </c>
      <c r="AB19" s="4" t="str">
        <f>IF(M19="",IF(ISNUMBER(SEARCH("NOT NULL",UPPER(M$3))),"''","null"),SUBSTITUTE(VLOOKUP(M$2,convert!$A$1:$B$4,2,0),"@@@",M19))</f>
        <v>null</v>
      </c>
      <c r="AC19" s="4" t="str">
        <f>IF(N19="",IF(ISNUMBER(SEARCH("NOT NULL",UPPER(N$3))),"''","null"),SUBSTITUTE(VLOOKUP(N$2,convert!$A$1:$B$4,2,0),"@@@",N19))</f>
        <v>null</v>
      </c>
      <c r="AD19" s="4" t="str">
        <f>IF(O19="",IF(ISNUMBER(SEARCH("NOT NULL",UPPER(O$3))),"''","null"),SUBSTITUTE(VLOOKUP(O$2,convert!$A$1:$B$4,2,0),"@@@",O19))</f>
        <v>TRUE</v>
      </c>
      <c r="AE19" s="4" t="str">
        <f t="shared" si="0"/>
        <v>    ('0012N01', 'バタフリー', 60, 45, 50, 90, 80, 70, '', 'bug', 'flying', 'g1', null, null, TRUE),</v>
      </c>
    </row>
    <row r="20" spans="1:31">
      <c r="A20" s="4" t="s">
        <v>69</v>
      </c>
      <c r="B20" s="4" t="s">
        <v>70</v>
      </c>
      <c r="C20" s="5">
        <v>40</v>
      </c>
      <c r="D20" s="5">
        <v>35</v>
      </c>
      <c r="E20" s="5">
        <v>30</v>
      </c>
      <c r="F20" s="5">
        <v>20</v>
      </c>
      <c r="G20" s="5">
        <v>20</v>
      </c>
      <c r="H20" s="5">
        <v>50</v>
      </c>
      <c r="I20" s="5"/>
      <c r="J20" s="4" t="s">
        <v>64</v>
      </c>
      <c r="K20" s="4" t="s">
        <v>31</v>
      </c>
      <c r="L20" s="4" t="s">
        <v>32</v>
      </c>
      <c r="M20" s="5"/>
      <c r="N20" s="5"/>
      <c r="O20" s="5" t="b">
        <v>1</v>
      </c>
      <c r="P20" s="4" t="str">
        <f>IF(A20="",IF(ISNUMBER(SEARCH("NOT NULL",UPPER(A$3))),"''","null"),SUBSTITUTE(VLOOKUP(A$2,convert!$A$1:$B$4,2,0),"@@@",A20))</f>
        <v>'0013N01'</v>
      </c>
      <c r="Q20" s="4" t="str">
        <f>IF(B20="",IF(ISNUMBER(SEARCH("NOT NULL",UPPER(B$3))),"''","null"),SUBSTITUTE(VLOOKUP(B$2,convert!$A$1:$B$4,2,0),"@@@",B20))</f>
        <v>'ビードル'</v>
      </c>
      <c r="R20" s="4" t="str">
        <f>IF(C20="",IF(ISNUMBER(SEARCH("NOT NULL",UPPER(C$3))),"''","null"),SUBSTITUTE(VLOOKUP(C$2,convert!$A$1:$B$4,2,0),"@@@",C20))</f>
        <v>40</v>
      </c>
      <c r="S20" s="4" t="str">
        <f>IF(D20="",IF(ISNUMBER(SEARCH("NOT NULL",UPPER(D$3))),"''","null"),SUBSTITUTE(VLOOKUP(D$2,convert!$A$1:$B$4,2,0),"@@@",D20))</f>
        <v>35</v>
      </c>
      <c r="T20" s="4" t="str">
        <f>IF(E20="",IF(ISNUMBER(SEARCH("NOT NULL",UPPER(E$3))),"''","null"),SUBSTITUTE(VLOOKUP(E$2,convert!$A$1:$B$4,2,0),"@@@",E20))</f>
        <v>30</v>
      </c>
      <c r="U20" s="4" t="str">
        <f>IF(F20="",IF(ISNUMBER(SEARCH("NOT NULL",UPPER(F$3))),"''","null"),SUBSTITUTE(VLOOKUP(F$2,convert!$A$1:$B$4,2,0),"@@@",F20))</f>
        <v>20</v>
      </c>
      <c r="V20" s="4" t="str">
        <f>IF(G20="",IF(ISNUMBER(SEARCH("NOT NULL",UPPER(G$3))),"''","null"),SUBSTITUTE(VLOOKUP(G$2,convert!$A$1:$B$4,2,0),"@@@",G20))</f>
        <v>20</v>
      </c>
      <c r="W20" s="4" t="str">
        <f>IF(H20="",IF(ISNUMBER(SEARCH("NOT NULL",UPPER(H$3))),"''","null"),SUBSTITUTE(VLOOKUP(H$2,convert!$A$1:$B$4,2,0),"@@@",H20))</f>
        <v>50</v>
      </c>
      <c r="X20" s="4" t="str">
        <f>IF(I20="",IF(ISNUMBER(SEARCH("NOT NULL",UPPER(I$3))),"''","null"),SUBSTITUTE(VLOOKUP(I$2,convert!$A$1:$B$4,2,0),"@@@",I20))</f>
        <v>''</v>
      </c>
      <c r="Y20" s="4" t="str">
        <f>IF(J20="",IF(ISNUMBER(SEARCH("NOT NULL",UPPER(J$3))),"''","null"),SUBSTITUTE(VLOOKUP(J$2,convert!$A$1:$B$4,2,0),"@@@",J20))</f>
        <v>'bug'</v>
      </c>
      <c r="Z20" s="4" t="str">
        <f>IF(K20="",IF(ISNUMBER(SEARCH("NOT NULL",UPPER(K$3))),"''","null"),SUBSTITUTE(VLOOKUP(K$2,convert!$A$1:$B$4,2,0),"@@@",K20))</f>
        <v>'poison'</v>
      </c>
      <c r="AA20" s="4" t="str">
        <f>IF(L20="",IF(ISNUMBER(SEARCH("NOT NULL",UPPER(L$3))),"''","null"),SUBSTITUTE(VLOOKUP(L$2,convert!$A$1:$B$4,2,0),"@@@",L20))</f>
        <v>'g1'</v>
      </c>
      <c r="AB20" s="4" t="str">
        <f>IF(M20="",IF(ISNUMBER(SEARCH("NOT NULL",UPPER(M$3))),"''","null"),SUBSTITUTE(VLOOKUP(M$2,convert!$A$1:$B$4,2,0),"@@@",M20))</f>
        <v>null</v>
      </c>
      <c r="AC20" s="4" t="str">
        <f>IF(N20="",IF(ISNUMBER(SEARCH("NOT NULL",UPPER(N$3))),"''","null"),SUBSTITUTE(VLOOKUP(N$2,convert!$A$1:$B$4,2,0),"@@@",N20))</f>
        <v>null</v>
      </c>
      <c r="AD20" s="4" t="str">
        <f>IF(O20="",IF(ISNUMBER(SEARCH("NOT NULL",UPPER(O$3))),"''","null"),SUBSTITUTE(VLOOKUP(O$2,convert!$A$1:$B$4,2,0),"@@@",O20))</f>
        <v>TRUE</v>
      </c>
      <c r="AE20" s="4" t="str">
        <f t="shared" si="0"/>
        <v>    ('0013N01', 'ビードル', 40, 35, 30, 20, 20, 50, '', 'bug', 'poison', 'g1', null, null, TRUE),</v>
      </c>
    </row>
    <row r="21" spans="1:31">
      <c r="A21" s="4" t="s">
        <v>71</v>
      </c>
      <c r="B21" s="4" t="s">
        <v>72</v>
      </c>
      <c r="C21" s="5">
        <v>45</v>
      </c>
      <c r="D21" s="5">
        <v>25</v>
      </c>
      <c r="E21" s="5">
        <v>50</v>
      </c>
      <c r="F21" s="5">
        <v>25</v>
      </c>
      <c r="G21" s="5">
        <v>25</v>
      </c>
      <c r="H21" s="5">
        <v>35</v>
      </c>
      <c r="I21" s="5"/>
      <c r="J21" s="4" t="s">
        <v>64</v>
      </c>
      <c r="K21" s="4" t="s">
        <v>31</v>
      </c>
      <c r="L21" s="4" t="s">
        <v>32</v>
      </c>
      <c r="M21" s="5"/>
      <c r="N21" s="5"/>
      <c r="O21" s="5" t="b">
        <v>1</v>
      </c>
      <c r="P21" s="4" t="str">
        <f>IF(A21="",IF(ISNUMBER(SEARCH("NOT NULL",UPPER(A$3))),"''","null"),SUBSTITUTE(VLOOKUP(A$2,convert!$A$1:$B$4,2,0),"@@@",A21))</f>
        <v>'0014N01'</v>
      </c>
      <c r="Q21" s="4" t="str">
        <f>IF(B21="",IF(ISNUMBER(SEARCH("NOT NULL",UPPER(B$3))),"''","null"),SUBSTITUTE(VLOOKUP(B$2,convert!$A$1:$B$4,2,0),"@@@",B21))</f>
        <v>'コクーン'</v>
      </c>
      <c r="R21" s="4" t="str">
        <f>IF(C21="",IF(ISNUMBER(SEARCH("NOT NULL",UPPER(C$3))),"''","null"),SUBSTITUTE(VLOOKUP(C$2,convert!$A$1:$B$4,2,0),"@@@",C21))</f>
        <v>45</v>
      </c>
      <c r="S21" s="4" t="str">
        <f>IF(D21="",IF(ISNUMBER(SEARCH("NOT NULL",UPPER(D$3))),"''","null"),SUBSTITUTE(VLOOKUP(D$2,convert!$A$1:$B$4,2,0),"@@@",D21))</f>
        <v>25</v>
      </c>
      <c r="T21" s="4" t="str">
        <f>IF(E21="",IF(ISNUMBER(SEARCH("NOT NULL",UPPER(E$3))),"''","null"),SUBSTITUTE(VLOOKUP(E$2,convert!$A$1:$B$4,2,0),"@@@",E21))</f>
        <v>50</v>
      </c>
      <c r="U21" s="4" t="str">
        <f>IF(F21="",IF(ISNUMBER(SEARCH("NOT NULL",UPPER(F$3))),"''","null"),SUBSTITUTE(VLOOKUP(F$2,convert!$A$1:$B$4,2,0),"@@@",F21))</f>
        <v>25</v>
      </c>
      <c r="V21" s="4" t="str">
        <f>IF(G21="",IF(ISNUMBER(SEARCH("NOT NULL",UPPER(G$3))),"''","null"),SUBSTITUTE(VLOOKUP(G$2,convert!$A$1:$B$4,2,0),"@@@",G21))</f>
        <v>25</v>
      </c>
      <c r="W21" s="4" t="str">
        <f>IF(H21="",IF(ISNUMBER(SEARCH("NOT NULL",UPPER(H$3))),"''","null"),SUBSTITUTE(VLOOKUP(H$2,convert!$A$1:$B$4,2,0),"@@@",H21))</f>
        <v>35</v>
      </c>
      <c r="X21" s="4" t="str">
        <f>IF(I21="",IF(ISNUMBER(SEARCH("NOT NULL",UPPER(I$3))),"''","null"),SUBSTITUTE(VLOOKUP(I$2,convert!$A$1:$B$4,2,0),"@@@",I21))</f>
        <v>''</v>
      </c>
      <c r="Y21" s="4" t="str">
        <f>IF(J21="",IF(ISNUMBER(SEARCH("NOT NULL",UPPER(J$3))),"''","null"),SUBSTITUTE(VLOOKUP(J$2,convert!$A$1:$B$4,2,0),"@@@",J21))</f>
        <v>'bug'</v>
      </c>
      <c r="Z21" s="4" t="str">
        <f>IF(K21="",IF(ISNUMBER(SEARCH("NOT NULL",UPPER(K$3))),"''","null"),SUBSTITUTE(VLOOKUP(K$2,convert!$A$1:$B$4,2,0),"@@@",K21))</f>
        <v>'poison'</v>
      </c>
      <c r="AA21" s="4" t="str">
        <f>IF(L21="",IF(ISNUMBER(SEARCH("NOT NULL",UPPER(L$3))),"''","null"),SUBSTITUTE(VLOOKUP(L$2,convert!$A$1:$B$4,2,0),"@@@",L21))</f>
        <v>'g1'</v>
      </c>
      <c r="AB21" s="4" t="str">
        <f>IF(M21="",IF(ISNUMBER(SEARCH("NOT NULL",UPPER(M$3))),"''","null"),SUBSTITUTE(VLOOKUP(M$2,convert!$A$1:$B$4,2,0),"@@@",M21))</f>
        <v>null</v>
      </c>
      <c r="AC21" s="4" t="str">
        <f>IF(N21="",IF(ISNUMBER(SEARCH("NOT NULL",UPPER(N$3))),"''","null"),SUBSTITUTE(VLOOKUP(N$2,convert!$A$1:$B$4,2,0),"@@@",N21))</f>
        <v>null</v>
      </c>
      <c r="AD21" s="4" t="str">
        <f>IF(O21="",IF(ISNUMBER(SEARCH("NOT NULL",UPPER(O$3))),"''","null"),SUBSTITUTE(VLOOKUP(O$2,convert!$A$1:$B$4,2,0),"@@@",O21))</f>
        <v>TRUE</v>
      </c>
      <c r="AE21" s="4" t="str">
        <f t="shared" si="0"/>
        <v>    ('0014N01', 'コクーン', 45, 25, 50, 25, 25, 35, '', 'bug', 'poison', 'g1', null, null, TRUE),</v>
      </c>
    </row>
    <row r="22" spans="1:31">
      <c r="A22" s="4" t="s">
        <v>73</v>
      </c>
      <c r="B22" s="4" t="s">
        <v>74</v>
      </c>
      <c r="C22" s="5">
        <v>65</v>
      </c>
      <c r="D22" s="5">
        <v>90</v>
      </c>
      <c r="E22" s="5">
        <v>40</v>
      </c>
      <c r="F22" s="5">
        <v>45</v>
      </c>
      <c r="G22" s="5">
        <v>80</v>
      </c>
      <c r="H22" s="5">
        <v>75</v>
      </c>
      <c r="I22" s="5"/>
      <c r="J22" s="4" t="s">
        <v>64</v>
      </c>
      <c r="K22" s="4" t="s">
        <v>31</v>
      </c>
      <c r="L22" s="4" t="s">
        <v>32</v>
      </c>
      <c r="M22" s="5"/>
      <c r="N22" s="5"/>
      <c r="O22" s="5" t="b">
        <v>1</v>
      </c>
      <c r="P22" s="4" t="str">
        <f>IF(A22="",IF(ISNUMBER(SEARCH("NOT NULL",UPPER(A$3))),"''","null"),SUBSTITUTE(VLOOKUP(A$2,convert!$A$1:$B$4,2,0),"@@@",A22))</f>
        <v>'0015N01'</v>
      </c>
      <c r="Q22" s="4" t="str">
        <f>IF(B22="",IF(ISNUMBER(SEARCH("NOT NULL",UPPER(B$3))),"''","null"),SUBSTITUTE(VLOOKUP(B$2,convert!$A$1:$B$4,2,0),"@@@",B22))</f>
        <v>'スピアー'</v>
      </c>
      <c r="R22" s="4" t="str">
        <f>IF(C22="",IF(ISNUMBER(SEARCH("NOT NULL",UPPER(C$3))),"''","null"),SUBSTITUTE(VLOOKUP(C$2,convert!$A$1:$B$4,2,0),"@@@",C22))</f>
        <v>65</v>
      </c>
      <c r="S22" s="4" t="str">
        <f>IF(D22="",IF(ISNUMBER(SEARCH("NOT NULL",UPPER(D$3))),"''","null"),SUBSTITUTE(VLOOKUP(D$2,convert!$A$1:$B$4,2,0),"@@@",D22))</f>
        <v>90</v>
      </c>
      <c r="T22" s="4" t="str">
        <f>IF(E22="",IF(ISNUMBER(SEARCH("NOT NULL",UPPER(E$3))),"''","null"),SUBSTITUTE(VLOOKUP(E$2,convert!$A$1:$B$4,2,0),"@@@",E22))</f>
        <v>40</v>
      </c>
      <c r="U22" s="4" t="str">
        <f>IF(F22="",IF(ISNUMBER(SEARCH("NOT NULL",UPPER(F$3))),"''","null"),SUBSTITUTE(VLOOKUP(F$2,convert!$A$1:$B$4,2,0),"@@@",F22))</f>
        <v>45</v>
      </c>
      <c r="V22" s="4" t="str">
        <f>IF(G22="",IF(ISNUMBER(SEARCH("NOT NULL",UPPER(G$3))),"''","null"),SUBSTITUTE(VLOOKUP(G$2,convert!$A$1:$B$4,2,0),"@@@",G22))</f>
        <v>80</v>
      </c>
      <c r="W22" s="4" t="str">
        <f>IF(H22="",IF(ISNUMBER(SEARCH("NOT NULL",UPPER(H$3))),"''","null"),SUBSTITUTE(VLOOKUP(H$2,convert!$A$1:$B$4,2,0),"@@@",H22))</f>
        <v>75</v>
      </c>
      <c r="X22" s="4" t="str">
        <f>IF(I22="",IF(ISNUMBER(SEARCH("NOT NULL",UPPER(I$3))),"''","null"),SUBSTITUTE(VLOOKUP(I$2,convert!$A$1:$B$4,2,0),"@@@",I22))</f>
        <v>''</v>
      </c>
      <c r="Y22" s="4" t="str">
        <f>IF(J22="",IF(ISNUMBER(SEARCH("NOT NULL",UPPER(J$3))),"''","null"),SUBSTITUTE(VLOOKUP(J$2,convert!$A$1:$B$4,2,0),"@@@",J22))</f>
        <v>'bug'</v>
      </c>
      <c r="Z22" s="4" t="str">
        <f>IF(K22="",IF(ISNUMBER(SEARCH("NOT NULL",UPPER(K$3))),"''","null"),SUBSTITUTE(VLOOKUP(K$2,convert!$A$1:$B$4,2,0),"@@@",K22))</f>
        <v>'poison'</v>
      </c>
      <c r="AA22" s="4" t="str">
        <f>IF(L22="",IF(ISNUMBER(SEARCH("NOT NULL",UPPER(L$3))),"''","null"),SUBSTITUTE(VLOOKUP(L$2,convert!$A$1:$B$4,2,0),"@@@",L22))</f>
        <v>'g1'</v>
      </c>
      <c r="AB22" s="4" t="str">
        <f>IF(M22="",IF(ISNUMBER(SEARCH("NOT NULL",UPPER(M$3))),"''","null"),SUBSTITUTE(VLOOKUP(M$2,convert!$A$1:$B$4,2,0),"@@@",M22))</f>
        <v>null</v>
      </c>
      <c r="AC22" s="4" t="str">
        <f>IF(N22="",IF(ISNUMBER(SEARCH("NOT NULL",UPPER(N$3))),"''","null"),SUBSTITUTE(VLOOKUP(N$2,convert!$A$1:$B$4,2,0),"@@@",N22))</f>
        <v>null</v>
      </c>
      <c r="AD22" s="4" t="str">
        <f>IF(O22="",IF(ISNUMBER(SEARCH("NOT NULL",UPPER(O$3))),"''","null"),SUBSTITUTE(VLOOKUP(O$2,convert!$A$1:$B$4,2,0),"@@@",O22))</f>
        <v>TRUE</v>
      </c>
      <c r="AE22" s="4" t="str">
        <f t="shared" si="0"/>
        <v>    ('0015N01', 'スピアー', 65, 90, 40, 45, 80, 75, '', 'bug', 'poison', 'g1', null, null, TRUE),</v>
      </c>
    </row>
    <row r="23" spans="1:31">
      <c r="A23" s="4" t="s">
        <v>75</v>
      </c>
      <c r="B23" s="4" t="s">
        <v>76</v>
      </c>
      <c r="C23" s="5">
        <v>65</v>
      </c>
      <c r="D23" s="5">
        <v>150</v>
      </c>
      <c r="E23" s="5">
        <v>40</v>
      </c>
      <c r="F23" s="5">
        <v>15</v>
      </c>
      <c r="G23" s="5">
        <v>80</v>
      </c>
      <c r="H23" s="5">
        <v>145</v>
      </c>
      <c r="I23" s="5"/>
      <c r="J23" s="4" t="s">
        <v>64</v>
      </c>
      <c r="K23" s="4" t="s">
        <v>31</v>
      </c>
      <c r="L23" s="4" t="s">
        <v>77</v>
      </c>
      <c r="M23" s="5"/>
      <c r="N23" s="5"/>
      <c r="O23" s="5" t="b">
        <v>1</v>
      </c>
      <c r="P23" s="4" t="str">
        <f>IF(A23="",IF(ISNUMBER(SEARCH("NOT NULL",UPPER(A$3))),"''","null"),SUBSTITUTE(VLOOKUP(A$2,convert!$A$1:$B$4,2,0),"@@@",A23))</f>
        <v>'0015M01'</v>
      </c>
      <c r="Q23" s="4" t="str">
        <f>IF(B23="",IF(ISNUMBER(SEARCH("NOT NULL",UPPER(B$3))),"''","null"),SUBSTITUTE(VLOOKUP(B$2,convert!$A$1:$B$4,2,0),"@@@",B23))</f>
        <v>'メガスピアー'</v>
      </c>
      <c r="R23" s="4" t="str">
        <f>IF(C23="",IF(ISNUMBER(SEARCH("NOT NULL",UPPER(C$3))),"''","null"),SUBSTITUTE(VLOOKUP(C$2,convert!$A$1:$B$4,2,0),"@@@",C23))</f>
        <v>65</v>
      </c>
      <c r="S23" s="4" t="str">
        <f>IF(D23="",IF(ISNUMBER(SEARCH("NOT NULL",UPPER(D$3))),"''","null"),SUBSTITUTE(VLOOKUP(D$2,convert!$A$1:$B$4,2,0),"@@@",D23))</f>
        <v>150</v>
      </c>
      <c r="T23" s="4" t="str">
        <f>IF(E23="",IF(ISNUMBER(SEARCH("NOT NULL",UPPER(E$3))),"''","null"),SUBSTITUTE(VLOOKUP(E$2,convert!$A$1:$B$4,2,0),"@@@",E23))</f>
        <v>40</v>
      </c>
      <c r="U23" s="4" t="str">
        <f>IF(F23="",IF(ISNUMBER(SEARCH("NOT NULL",UPPER(F$3))),"''","null"),SUBSTITUTE(VLOOKUP(F$2,convert!$A$1:$B$4,2,0),"@@@",F23))</f>
        <v>15</v>
      </c>
      <c r="V23" s="4" t="str">
        <f>IF(G23="",IF(ISNUMBER(SEARCH("NOT NULL",UPPER(G$3))),"''","null"),SUBSTITUTE(VLOOKUP(G$2,convert!$A$1:$B$4,2,0),"@@@",G23))</f>
        <v>80</v>
      </c>
      <c r="W23" s="4" t="str">
        <f>IF(H23="",IF(ISNUMBER(SEARCH("NOT NULL",UPPER(H$3))),"''","null"),SUBSTITUTE(VLOOKUP(H$2,convert!$A$1:$B$4,2,0),"@@@",H23))</f>
        <v>145</v>
      </c>
      <c r="X23" s="4" t="str">
        <f>IF(I23="",IF(ISNUMBER(SEARCH("NOT NULL",UPPER(I$3))),"''","null"),SUBSTITUTE(VLOOKUP(I$2,convert!$A$1:$B$4,2,0),"@@@",I23))</f>
        <v>''</v>
      </c>
      <c r="Y23" s="4" t="str">
        <f>IF(J23="",IF(ISNUMBER(SEARCH("NOT NULL",UPPER(J$3))),"''","null"),SUBSTITUTE(VLOOKUP(J$2,convert!$A$1:$B$4,2,0),"@@@",J23))</f>
        <v>'bug'</v>
      </c>
      <c r="Z23" s="4" t="str">
        <f>IF(K23="",IF(ISNUMBER(SEARCH("NOT NULL",UPPER(K$3))),"''","null"),SUBSTITUTE(VLOOKUP(K$2,convert!$A$1:$B$4,2,0),"@@@",K23))</f>
        <v>'poison'</v>
      </c>
      <c r="AA23" s="4" t="str">
        <f>IF(L23="",IF(ISNUMBER(SEARCH("NOT NULL",UPPER(L$3))),"''","null"),SUBSTITUTE(VLOOKUP(L$2,convert!$A$1:$B$4,2,0),"@@@",L23))</f>
        <v>'g6oras'</v>
      </c>
      <c r="AB23" s="4" t="str">
        <f>IF(M23="",IF(ISNUMBER(SEARCH("NOT NULL",UPPER(M$3))),"''","null"),SUBSTITUTE(VLOOKUP(M$2,convert!$A$1:$B$4,2,0),"@@@",M23))</f>
        <v>null</v>
      </c>
      <c r="AC23" s="4" t="str">
        <f>IF(N23="",IF(ISNUMBER(SEARCH("NOT NULL",UPPER(N$3))),"''","null"),SUBSTITUTE(VLOOKUP(N$2,convert!$A$1:$B$4,2,0),"@@@",N23))</f>
        <v>null</v>
      </c>
      <c r="AD23" s="4" t="str">
        <f>IF(O23="",IF(ISNUMBER(SEARCH("NOT NULL",UPPER(O$3))),"''","null"),SUBSTITUTE(VLOOKUP(O$2,convert!$A$1:$B$4,2,0),"@@@",O23))</f>
        <v>TRUE</v>
      </c>
      <c r="AE23" s="4" t="str">
        <f t="shared" si="0"/>
        <v>    ('0015M01', 'メガスピアー', 65, 150, 40, 15, 80, 145, '', 'bug', 'poison', 'g6oras', null, null, TRUE),</v>
      </c>
    </row>
    <row r="24" spans="1:31">
      <c r="A24" s="4" t="s">
        <v>78</v>
      </c>
      <c r="B24" s="4" t="s">
        <v>79</v>
      </c>
      <c r="C24" s="5">
        <v>40</v>
      </c>
      <c r="D24" s="5">
        <v>45</v>
      </c>
      <c r="E24" s="5">
        <v>40</v>
      </c>
      <c r="F24" s="5">
        <v>35</v>
      </c>
      <c r="G24" s="5">
        <v>35</v>
      </c>
      <c r="H24" s="5">
        <v>56</v>
      </c>
      <c r="I24" s="5"/>
      <c r="J24" s="4" t="s">
        <v>80</v>
      </c>
      <c r="K24" s="4" t="s">
        <v>47</v>
      </c>
      <c r="L24" s="4" t="s">
        <v>32</v>
      </c>
      <c r="M24" s="5"/>
      <c r="N24" s="5"/>
      <c r="O24" s="5" t="b">
        <v>1</v>
      </c>
      <c r="P24" s="4" t="str">
        <f>IF(A24="",IF(ISNUMBER(SEARCH("NOT NULL",UPPER(A$3))),"''","null"),SUBSTITUTE(VLOOKUP(A$2,convert!$A$1:$B$4,2,0),"@@@",A24))</f>
        <v>'0016N01'</v>
      </c>
      <c r="Q24" s="4" t="str">
        <f>IF(B24="",IF(ISNUMBER(SEARCH("NOT NULL",UPPER(B$3))),"''","null"),SUBSTITUTE(VLOOKUP(B$2,convert!$A$1:$B$4,2,0),"@@@",B24))</f>
        <v>'ポッポ'</v>
      </c>
      <c r="R24" s="4" t="str">
        <f>IF(C24="",IF(ISNUMBER(SEARCH("NOT NULL",UPPER(C$3))),"''","null"),SUBSTITUTE(VLOOKUP(C$2,convert!$A$1:$B$4,2,0),"@@@",C24))</f>
        <v>40</v>
      </c>
      <c r="S24" s="4" t="str">
        <f>IF(D24="",IF(ISNUMBER(SEARCH("NOT NULL",UPPER(D$3))),"''","null"),SUBSTITUTE(VLOOKUP(D$2,convert!$A$1:$B$4,2,0),"@@@",D24))</f>
        <v>45</v>
      </c>
      <c r="T24" s="4" t="str">
        <f>IF(E24="",IF(ISNUMBER(SEARCH("NOT NULL",UPPER(E$3))),"''","null"),SUBSTITUTE(VLOOKUP(E$2,convert!$A$1:$B$4,2,0),"@@@",E24))</f>
        <v>40</v>
      </c>
      <c r="U24" s="4" t="str">
        <f>IF(F24="",IF(ISNUMBER(SEARCH("NOT NULL",UPPER(F$3))),"''","null"),SUBSTITUTE(VLOOKUP(F$2,convert!$A$1:$B$4,2,0),"@@@",F24))</f>
        <v>35</v>
      </c>
      <c r="V24" s="4" t="str">
        <f>IF(G24="",IF(ISNUMBER(SEARCH("NOT NULL",UPPER(G$3))),"''","null"),SUBSTITUTE(VLOOKUP(G$2,convert!$A$1:$B$4,2,0),"@@@",G24))</f>
        <v>35</v>
      </c>
      <c r="W24" s="4" t="str">
        <f>IF(H24="",IF(ISNUMBER(SEARCH("NOT NULL",UPPER(H$3))),"''","null"),SUBSTITUTE(VLOOKUP(H$2,convert!$A$1:$B$4,2,0),"@@@",H24))</f>
        <v>56</v>
      </c>
      <c r="X24" s="4" t="str">
        <f>IF(I24="",IF(ISNUMBER(SEARCH("NOT NULL",UPPER(I$3))),"''","null"),SUBSTITUTE(VLOOKUP(I$2,convert!$A$1:$B$4,2,0),"@@@",I24))</f>
        <v>''</v>
      </c>
      <c r="Y24" s="4" t="str">
        <f>IF(J24="",IF(ISNUMBER(SEARCH("NOT NULL",UPPER(J$3))),"''","null"),SUBSTITUTE(VLOOKUP(J$2,convert!$A$1:$B$4,2,0),"@@@",J24))</f>
        <v>'normal'</v>
      </c>
      <c r="Z24" s="4" t="str">
        <f>IF(K24="",IF(ISNUMBER(SEARCH("NOT NULL",UPPER(K$3))),"''","null"),SUBSTITUTE(VLOOKUP(K$2,convert!$A$1:$B$4,2,0),"@@@",K24))</f>
        <v>'flying'</v>
      </c>
      <c r="AA24" s="4" t="str">
        <f>IF(L24="",IF(ISNUMBER(SEARCH("NOT NULL",UPPER(L$3))),"''","null"),SUBSTITUTE(VLOOKUP(L$2,convert!$A$1:$B$4,2,0),"@@@",L24))</f>
        <v>'g1'</v>
      </c>
      <c r="AB24" s="4" t="str">
        <f>IF(M24="",IF(ISNUMBER(SEARCH("NOT NULL",UPPER(M$3))),"''","null"),SUBSTITUTE(VLOOKUP(M$2,convert!$A$1:$B$4,2,0),"@@@",M24))</f>
        <v>null</v>
      </c>
      <c r="AC24" s="4" t="str">
        <f>IF(N24="",IF(ISNUMBER(SEARCH("NOT NULL",UPPER(N$3))),"''","null"),SUBSTITUTE(VLOOKUP(N$2,convert!$A$1:$B$4,2,0),"@@@",N24))</f>
        <v>null</v>
      </c>
      <c r="AD24" s="4" t="str">
        <f>IF(O24="",IF(ISNUMBER(SEARCH("NOT NULL",UPPER(O$3))),"''","null"),SUBSTITUTE(VLOOKUP(O$2,convert!$A$1:$B$4,2,0),"@@@",O24))</f>
        <v>TRUE</v>
      </c>
      <c r="AE24" s="4" t="str">
        <f t="shared" si="0"/>
        <v>    ('0016N01', 'ポッポ', 40, 45, 40, 35, 35, 56, '', 'normal', 'flying', 'g1', null, null, TRUE),</v>
      </c>
    </row>
    <row r="25" spans="1:31">
      <c r="A25" s="4" t="s">
        <v>81</v>
      </c>
      <c r="B25" s="4" t="s">
        <v>82</v>
      </c>
      <c r="C25" s="5">
        <v>63</v>
      </c>
      <c r="D25" s="5">
        <v>60</v>
      </c>
      <c r="E25" s="5">
        <v>55</v>
      </c>
      <c r="F25" s="5">
        <v>50</v>
      </c>
      <c r="G25" s="5">
        <v>50</v>
      </c>
      <c r="H25" s="5">
        <v>71</v>
      </c>
      <c r="I25" s="5"/>
      <c r="J25" s="4" t="s">
        <v>80</v>
      </c>
      <c r="K25" s="4" t="s">
        <v>47</v>
      </c>
      <c r="L25" s="4" t="s">
        <v>32</v>
      </c>
      <c r="M25" s="5"/>
      <c r="N25" s="5"/>
      <c r="O25" s="5" t="b">
        <v>1</v>
      </c>
      <c r="P25" s="4" t="str">
        <f>IF(A25="",IF(ISNUMBER(SEARCH("NOT NULL",UPPER(A$3))),"''","null"),SUBSTITUTE(VLOOKUP(A$2,convert!$A$1:$B$4,2,0),"@@@",A25))</f>
        <v>'0017N01'</v>
      </c>
      <c r="Q25" s="4" t="str">
        <f>IF(B25="",IF(ISNUMBER(SEARCH("NOT NULL",UPPER(B$3))),"''","null"),SUBSTITUTE(VLOOKUP(B$2,convert!$A$1:$B$4,2,0),"@@@",B25))</f>
        <v>'ピジョン'</v>
      </c>
      <c r="R25" s="4" t="str">
        <f>IF(C25="",IF(ISNUMBER(SEARCH("NOT NULL",UPPER(C$3))),"''","null"),SUBSTITUTE(VLOOKUP(C$2,convert!$A$1:$B$4,2,0),"@@@",C25))</f>
        <v>63</v>
      </c>
      <c r="S25" s="4" t="str">
        <f>IF(D25="",IF(ISNUMBER(SEARCH("NOT NULL",UPPER(D$3))),"''","null"),SUBSTITUTE(VLOOKUP(D$2,convert!$A$1:$B$4,2,0),"@@@",D25))</f>
        <v>60</v>
      </c>
      <c r="T25" s="4" t="str">
        <f>IF(E25="",IF(ISNUMBER(SEARCH("NOT NULL",UPPER(E$3))),"''","null"),SUBSTITUTE(VLOOKUP(E$2,convert!$A$1:$B$4,2,0),"@@@",E25))</f>
        <v>55</v>
      </c>
      <c r="U25" s="4" t="str">
        <f>IF(F25="",IF(ISNUMBER(SEARCH("NOT NULL",UPPER(F$3))),"''","null"),SUBSTITUTE(VLOOKUP(F$2,convert!$A$1:$B$4,2,0),"@@@",F25))</f>
        <v>50</v>
      </c>
      <c r="V25" s="4" t="str">
        <f>IF(G25="",IF(ISNUMBER(SEARCH("NOT NULL",UPPER(G$3))),"''","null"),SUBSTITUTE(VLOOKUP(G$2,convert!$A$1:$B$4,2,0),"@@@",G25))</f>
        <v>50</v>
      </c>
      <c r="W25" s="4" t="str">
        <f>IF(H25="",IF(ISNUMBER(SEARCH("NOT NULL",UPPER(H$3))),"''","null"),SUBSTITUTE(VLOOKUP(H$2,convert!$A$1:$B$4,2,0),"@@@",H25))</f>
        <v>71</v>
      </c>
      <c r="X25" s="4" t="str">
        <f>IF(I25="",IF(ISNUMBER(SEARCH("NOT NULL",UPPER(I$3))),"''","null"),SUBSTITUTE(VLOOKUP(I$2,convert!$A$1:$B$4,2,0),"@@@",I25))</f>
        <v>''</v>
      </c>
      <c r="Y25" s="4" t="str">
        <f>IF(J25="",IF(ISNUMBER(SEARCH("NOT NULL",UPPER(J$3))),"''","null"),SUBSTITUTE(VLOOKUP(J$2,convert!$A$1:$B$4,2,0),"@@@",J25))</f>
        <v>'normal'</v>
      </c>
      <c r="Z25" s="4" t="str">
        <f>IF(K25="",IF(ISNUMBER(SEARCH("NOT NULL",UPPER(K$3))),"''","null"),SUBSTITUTE(VLOOKUP(K$2,convert!$A$1:$B$4,2,0),"@@@",K25))</f>
        <v>'flying'</v>
      </c>
      <c r="AA25" s="4" t="str">
        <f>IF(L25="",IF(ISNUMBER(SEARCH("NOT NULL",UPPER(L$3))),"''","null"),SUBSTITUTE(VLOOKUP(L$2,convert!$A$1:$B$4,2,0),"@@@",L25))</f>
        <v>'g1'</v>
      </c>
      <c r="AB25" s="4" t="str">
        <f>IF(M25="",IF(ISNUMBER(SEARCH("NOT NULL",UPPER(M$3))),"''","null"),SUBSTITUTE(VLOOKUP(M$2,convert!$A$1:$B$4,2,0),"@@@",M25))</f>
        <v>null</v>
      </c>
      <c r="AC25" s="4" t="str">
        <f>IF(N25="",IF(ISNUMBER(SEARCH("NOT NULL",UPPER(N$3))),"''","null"),SUBSTITUTE(VLOOKUP(N$2,convert!$A$1:$B$4,2,0),"@@@",N25))</f>
        <v>null</v>
      </c>
      <c r="AD25" s="4" t="str">
        <f>IF(O25="",IF(ISNUMBER(SEARCH("NOT NULL",UPPER(O$3))),"''","null"),SUBSTITUTE(VLOOKUP(O$2,convert!$A$1:$B$4,2,0),"@@@",O25))</f>
        <v>TRUE</v>
      </c>
      <c r="AE25" s="4" t="str">
        <f t="shared" si="0"/>
        <v>    ('0017N01', 'ピジョン', 63, 60, 55, 50, 50, 71, '', 'normal', 'flying', 'g1', null, null, TRUE),</v>
      </c>
    </row>
    <row r="26" spans="1:31">
      <c r="A26" s="4" t="s">
        <v>83</v>
      </c>
      <c r="B26" s="4" t="s">
        <v>84</v>
      </c>
      <c r="C26" s="5">
        <v>83</v>
      </c>
      <c r="D26" s="5">
        <v>80</v>
      </c>
      <c r="E26" s="5">
        <v>75</v>
      </c>
      <c r="F26" s="5">
        <v>70</v>
      </c>
      <c r="G26" s="5">
        <v>70</v>
      </c>
      <c r="H26" s="5">
        <v>101</v>
      </c>
      <c r="I26" s="5"/>
      <c r="J26" s="4" t="s">
        <v>80</v>
      </c>
      <c r="K26" s="4" t="s">
        <v>47</v>
      </c>
      <c r="L26" s="4" t="s">
        <v>32</v>
      </c>
      <c r="M26" s="5"/>
      <c r="N26" s="5"/>
      <c r="O26" s="5" t="b">
        <v>1</v>
      </c>
      <c r="P26" s="4" t="str">
        <f>IF(A26="",IF(ISNUMBER(SEARCH("NOT NULL",UPPER(A$3))),"''","null"),SUBSTITUTE(VLOOKUP(A$2,convert!$A$1:$B$4,2,0),"@@@",A26))</f>
        <v>'0018N01'</v>
      </c>
      <c r="Q26" s="4" t="str">
        <f>IF(B26="",IF(ISNUMBER(SEARCH("NOT NULL",UPPER(B$3))),"''","null"),SUBSTITUTE(VLOOKUP(B$2,convert!$A$1:$B$4,2,0),"@@@",B26))</f>
        <v>'ピジョット'</v>
      </c>
      <c r="R26" s="4" t="str">
        <f>IF(C26="",IF(ISNUMBER(SEARCH("NOT NULL",UPPER(C$3))),"''","null"),SUBSTITUTE(VLOOKUP(C$2,convert!$A$1:$B$4,2,0),"@@@",C26))</f>
        <v>83</v>
      </c>
      <c r="S26" s="4" t="str">
        <f>IF(D26="",IF(ISNUMBER(SEARCH("NOT NULL",UPPER(D$3))),"''","null"),SUBSTITUTE(VLOOKUP(D$2,convert!$A$1:$B$4,2,0),"@@@",D26))</f>
        <v>80</v>
      </c>
      <c r="T26" s="4" t="str">
        <f>IF(E26="",IF(ISNUMBER(SEARCH("NOT NULL",UPPER(E$3))),"''","null"),SUBSTITUTE(VLOOKUP(E$2,convert!$A$1:$B$4,2,0),"@@@",E26))</f>
        <v>75</v>
      </c>
      <c r="U26" s="4" t="str">
        <f>IF(F26="",IF(ISNUMBER(SEARCH("NOT NULL",UPPER(F$3))),"''","null"),SUBSTITUTE(VLOOKUP(F$2,convert!$A$1:$B$4,2,0),"@@@",F26))</f>
        <v>70</v>
      </c>
      <c r="V26" s="4" t="str">
        <f>IF(G26="",IF(ISNUMBER(SEARCH("NOT NULL",UPPER(G$3))),"''","null"),SUBSTITUTE(VLOOKUP(G$2,convert!$A$1:$B$4,2,0),"@@@",G26))</f>
        <v>70</v>
      </c>
      <c r="W26" s="4" t="str">
        <f>IF(H26="",IF(ISNUMBER(SEARCH("NOT NULL",UPPER(H$3))),"''","null"),SUBSTITUTE(VLOOKUP(H$2,convert!$A$1:$B$4,2,0),"@@@",H26))</f>
        <v>101</v>
      </c>
      <c r="X26" s="4" t="str">
        <f>IF(I26="",IF(ISNUMBER(SEARCH("NOT NULL",UPPER(I$3))),"''","null"),SUBSTITUTE(VLOOKUP(I$2,convert!$A$1:$B$4,2,0),"@@@",I26))</f>
        <v>''</v>
      </c>
      <c r="Y26" s="4" t="str">
        <f>IF(J26="",IF(ISNUMBER(SEARCH("NOT NULL",UPPER(J$3))),"''","null"),SUBSTITUTE(VLOOKUP(J$2,convert!$A$1:$B$4,2,0),"@@@",J26))</f>
        <v>'normal'</v>
      </c>
      <c r="Z26" s="4" t="str">
        <f>IF(K26="",IF(ISNUMBER(SEARCH("NOT NULL",UPPER(K$3))),"''","null"),SUBSTITUTE(VLOOKUP(K$2,convert!$A$1:$B$4,2,0),"@@@",K26))</f>
        <v>'flying'</v>
      </c>
      <c r="AA26" s="4" t="str">
        <f>IF(L26="",IF(ISNUMBER(SEARCH("NOT NULL",UPPER(L$3))),"''","null"),SUBSTITUTE(VLOOKUP(L$2,convert!$A$1:$B$4,2,0),"@@@",L26))</f>
        <v>'g1'</v>
      </c>
      <c r="AB26" s="4" t="str">
        <f>IF(M26="",IF(ISNUMBER(SEARCH("NOT NULL",UPPER(M$3))),"''","null"),SUBSTITUTE(VLOOKUP(M$2,convert!$A$1:$B$4,2,0),"@@@",M26))</f>
        <v>null</v>
      </c>
      <c r="AC26" s="4" t="str">
        <f>IF(N26="",IF(ISNUMBER(SEARCH("NOT NULL",UPPER(N$3))),"''","null"),SUBSTITUTE(VLOOKUP(N$2,convert!$A$1:$B$4,2,0),"@@@",N26))</f>
        <v>null</v>
      </c>
      <c r="AD26" s="4" t="str">
        <f>IF(O26="",IF(ISNUMBER(SEARCH("NOT NULL",UPPER(O$3))),"''","null"),SUBSTITUTE(VLOOKUP(O$2,convert!$A$1:$B$4,2,0),"@@@",O26))</f>
        <v>TRUE</v>
      </c>
      <c r="AE26" s="4" t="str">
        <f t="shared" si="0"/>
        <v>    ('0018N01', 'ピジョット', 83, 80, 75, 70, 70, 101, '', 'normal', 'flying', 'g1', null, null, TRUE),</v>
      </c>
    </row>
    <row r="27" spans="1:31">
      <c r="A27" s="4" t="s">
        <v>85</v>
      </c>
      <c r="B27" s="4" t="s">
        <v>86</v>
      </c>
      <c r="C27" s="5">
        <v>83</v>
      </c>
      <c r="D27" s="5">
        <v>80</v>
      </c>
      <c r="E27" s="5">
        <v>80</v>
      </c>
      <c r="F27" s="5">
        <v>135</v>
      </c>
      <c r="G27" s="5">
        <v>80</v>
      </c>
      <c r="H27" s="5">
        <v>121</v>
      </c>
      <c r="I27" s="5"/>
      <c r="J27" s="4" t="s">
        <v>80</v>
      </c>
      <c r="K27" s="4" t="s">
        <v>47</v>
      </c>
      <c r="L27" s="4" t="s">
        <v>77</v>
      </c>
      <c r="M27" s="5"/>
      <c r="N27" s="5"/>
      <c r="O27" s="5" t="b">
        <v>1</v>
      </c>
      <c r="P27" s="4" t="str">
        <f>IF(A27="",IF(ISNUMBER(SEARCH("NOT NULL",UPPER(A$3))),"''","null"),SUBSTITUTE(VLOOKUP(A$2,convert!$A$1:$B$4,2,0),"@@@",A27))</f>
        <v>'0018M01'</v>
      </c>
      <c r="Q27" s="4" t="str">
        <f>IF(B27="",IF(ISNUMBER(SEARCH("NOT NULL",UPPER(B$3))),"''","null"),SUBSTITUTE(VLOOKUP(B$2,convert!$A$1:$B$4,2,0),"@@@",B27))</f>
        <v>'メガピジョット'</v>
      </c>
      <c r="R27" s="4" t="str">
        <f>IF(C27="",IF(ISNUMBER(SEARCH("NOT NULL",UPPER(C$3))),"''","null"),SUBSTITUTE(VLOOKUP(C$2,convert!$A$1:$B$4,2,0),"@@@",C27))</f>
        <v>83</v>
      </c>
      <c r="S27" s="4" t="str">
        <f>IF(D27="",IF(ISNUMBER(SEARCH("NOT NULL",UPPER(D$3))),"''","null"),SUBSTITUTE(VLOOKUP(D$2,convert!$A$1:$B$4,2,0),"@@@",D27))</f>
        <v>80</v>
      </c>
      <c r="T27" s="4" t="str">
        <f>IF(E27="",IF(ISNUMBER(SEARCH("NOT NULL",UPPER(E$3))),"''","null"),SUBSTITUTE(VLOOKUP(E$2,convert!$A$1:$B$4,2,0),"@@@",E27))</f>
        <v>80</v>
      </c>
      <c r="U27" s="4" t="str">
        <f>IF(F27="",IF(ISNUMBER(SEARCH("NOT NULL",UPPER(F$3))),"''","null"),SUBSTITUTE(VLOOKUP(F$2,convert!$A$1:$B$4,2,0),"@@@",F27))</f>
        <v>135</v>
      </c>
      <c r="V27" s="4" t="str">
        <f>IF(G27="",IF(ISNUMBER(SEARCH("NOT NULL",UPPER(G$3))),"''","null"),SUBSTITUTE(VLOOKUP(G$2,convert!$A$1:$B$4,2,0),"@@@",G27))</f>
        <v>80</v>
      </c>
      <c r="W27" s="4" t="str">
        <f>IF(H27="",IF(ISNUMBER(SEARCH("NOT NULL",UPPER(H$3))),"''","null"),SUBSTITUTE(VLOOKUP(H$2,convert!$A$1:$B$4,2,0),"@@@",H27))</f>
        <v>121</v>
      </c>
      <c r="X27" s="4" t="str">
        <f>IF(I27="",IF(ISNUMBER(SEARCH("NOT NULL",UPPER(I$3))),"''","null"),SUBSTITUTE(VLOOKUP(I$2,convert!$A$1:$B$4,2,0),"@@@",I27))</f>
        <v>''</v>
      </c>
      <c r="Y27" s="4" t="str">
        <f>IF(J27="",IF(ISNUMBER(SEARCH("NOT NULL",UPPER(J$3))),"''","null"),SUBSTITUTE(VLOOKUP(J$2,convert!$A$1:$B$4,2,0),"@@@",J27))</f>
        <v>'normal'</v>
      </c>
      <c r="Z27" s="4" t="str">
        <f>IF(K27="",IF(ISNUMBER(SEARCH("NOT NULL",UPPER(K$3))),"''","null"),SUBSTITUTE(VLOOKUP(K$2,convert!$A$1:$B$4,2,0),"@@@",K27))</f>
        <v>'flying'</v>
      </c>
      <c r="AA27" s="4" t="str">
        <f>IF(L27="",IF(ISNUMBER(SEARCH("NOT NULL",UPPER(L$3))),"''","null"),SUBSTITUTE(VLOOKUP(L$2,convert!$A$1:$B$4,2,0),"@@@",L27))</f>
        <v>'g6oras'</v>
      </c>
      <c r="AB27" s="4" t="str">
        <f>IF(M27="",IF(ISNUMBER(SEARCH("NOT NULL",UPPER(M$3))),"''","null"),SUBSTITUTE(VLOOKUP(M$2,convert!$A$1:$B$4,2,0),"@@@",M27))</f>
        <v>null</v>
      </c>
      <c r="AC27" s="4" t="str">
        <f>IF(N27="",IF(ISNUMBER(SEARCH("NOT NULL",UPPER(N$3))),"''","null"),SUBSTITUTE(VLOOKUP(N$2,convert!$A$1:$B$4,2,0),"@@@",N27))</f>
        <v>null</v>
      </c>
      <c r="AD27" s="4" t="str">
        <f>IF(O27="",IF(ISNUMBER(SEARCH("NOT NULL",UPPER(O$3))),"''","null"),SUBSTITUTE(VLOOKUP(O$2,convert!$A$1:$B$4,2,0),"@@@",O27))</f>
        <v>TRUE</v>
      </c>
      <c r="AE27" s="4" t="str">
        <f t="shared" si="0"/>
        <v>    ('0018M01', 'メガピジョット', 83, 80, 80, 135, 80, 121, '', 'normal', 'flying', 'g6oras', null, null, TRUE),</v>
      </c>
    </row>
    <row r="28" spans="1:31">
      <c r="A28" s="4" t="s">
        <v>87</v>
      </c>
      <c r="B28" s="4" t="s">
        <v>88</v>
      </c>
      <c r="C28" s="5">
        <v>30</v>
      </c>
      <c r="D28" s="5">
        <v>56</v>
      </c>
      <c r="E28" s="5">
        <v>35</v>
      </c>
      <c r="F28" s="5">
        <v>25</v>
      </c>
      <c r="G28" s="5">
        <v>35</v>
      </c>
      <c r="H28" s="5">
        <v>72</v>
      </c>
      <c r="I28" s="5"/>
      <c r="J28" s="4" t="s">
        <v>80</v>
      </c>
      <c r="K28" s="5"/>
      <c r="L28" s="4" t="s">
        <v>32</v>
      </c>
      <c r="M28" s="5"/>
      <c r="N28" s="5"/>
      <c r="O28" s="5" t="b">
        <v>1</v>
      </c>
      <c r="P28" s="4" t="str">
        <f>IF(A28="",IF(ISNUMBER(SEARCH("NOT NULL",UPPER(A$3))),"''","null"),SUBSTITUTE(VLOOKUP(A$2,convert!$A$1:$B$4,2,0),"@@@",A28))</f>
        <v>'0019N01'</v>
      </c>
      <c r="Q28" s="4" t="str">
        <f>IF(B28="",IF(ISNUMBER(SEARCH("NOT NULL",UPPER(B$3))),"''","null"),SUBSTITUTE(VLOOKUP(B$2,convert!$A$1:$B$4,2,0),"@@@",B28))</f>
        <v>'コラッタ'</v>
      </c>
      <c r="R28" s="4" t="str">
        <f>IF(C28="",IF(ISNUMBER(SEARCH("NOT NULL",UPPER(C$3))),"''","null"),SUBSTITUTE(VLOOKUP(C$2,convert!$A$1:$B$4,2,0),"@@@",C28))</f>
        <v>30</v>
      </c>
      <c r="S28" s="4" t="str">
        <f>IF(D28="",IF(ISNUMBER(SEARCH("NOT NULL",UPPER(D$3))),"''","null"),SUBSTITUTE(VLOOKUP(D$2,convert!$A$1:$B$4,2,0),"@@@",D28))</f>
        <v>56</v>
      </c>
      <c r="T28" s="4" t="str">
        <f>IF(E28="",IF(ISNUMBER(SEARCH("NOT NULL",UPPER(E$3))),"''","null"),SUBSTITUTE(VLOOKUP(E$2,convert!$A$1:$B$4,2,0),"@@@",E28))</f>
        <v>35</v>
      </c>
      <c r="U28" s="4" t="str">
        <f>IF(F28="",IF(ISNUMBER(SEARCH("NOT NULL",UPPER(F$3))),"''","null"),SUBSTITUTE(VLOOKUP(F$2,convert!$A$1:$B$4,2,0),"@@@",F28))</f>
        <v>25</v>
      </c>
      <c r="V28" s="4" t="str">
        <f>IF(G28="",IF(ISNUMBER(SEARCH("NOT NULL",UPPER(G$3))),"''","null"),SUBSTITUTE(VLOOKUP(G$2,convert!$A$1:$B$4,2,0),"@@@",G28))</f>
        <v>35</v>
      </c>
      <c r="W28" s="4" t="str">
        <f>IF(H28="",IF(ISNUMBER(SEARCH("NOT NULL",UPPER(H$3))),"''","null"),SUBSTITUTE(VLOOKUP(H$2,convert!$A$1:$B$4,2,0),"@@@",H28))</f>
        <v>72</v>
      </c>
      <c r="X28" s="4" t="str">
        <f>IF(I28="",IF(ISNUMBER(SEARCH("NOT NULL",UPPER(I$3))),"''","null"),SUBSTITUTE(VLOOKUP(I$2,convert!$A$1:$B$4,2,0),"@@@",I28))</f>
        <v>''</v>
      </c>
      <c r="Y28" s="4" t="str">
        <f>IF(J28="",IF(ISNUMBER(SEARCH("NOT NULL",UPPER(J$3))),"''","null"),SUBSTITUTE(VLOOKUP(J$2,convert!$A$1:$B$4,2,0),"@@@",J28))</f>
        <v>'normal'</v>
      </c>
      <c r="Z28" s="4" t="str">
        <f>IF(K28="",IF(ISNUMBER(SEARCH("NOT NULL",UPPER(K$3))),"''","null"),SUBSTITUTE(VLOOKUP(K$2,convert!$A$1:$B$4,2,0),"@@@",K28))</f>
        <v>null</v>
      </c>
      <c r="AA28" s="4" t="str">
        <f>IF(L28="",IF(ISNUMBER(SEARCH("NOT NULL",UPPER(L$3))),"''","null"),SUBSTITUTE(VLOOKUP(L$2,convert!$A$1:$B$4,2,0),"@@@",L28))</f>
        <v>'g1'</v>
      </c>
      <c r="AB28" s="4" t="str">
        <f>IF(M28="",IF(ISNUMBER(SEARCH("NOT NULL",UPPER(M$3))),"''","null"),SUBSTITUTE(VLOOKUP(M$2,convert!$A$1:$B$4,2,0),"@@@",M28))</f>
        <v>null</v>
      </c>
      <c r="AC28" s="4" t="str">
        <f>IF(N28="",IF(ISNUMBER(SEARCH("NOT NULL",UPPER(N$3))),"''","null"),SUBSTITUTE(VLOOKUP(N$2,convert!$A$1:$B$4,2,0),"@@@",N28))</f>
        <v>null</v>
      </c>
      <c r="AD28" s="4" t="str">
        <f>IF(O28="",IF(ISNUMBER(SEARCH("NOT NULL",UPPER(O$3))),"''","null"),SUBSTITUTE(VLOOKUP(O$2,convert!$A$1:$B$4,2,0),"@@@",O28))</f>
        <v>TRUE</v>
      </c>
      <c r="AE28" s="4" t="str">
        <f t="shared" si="0"/>
        <v>    ('0019N01', 'コラッタ', 30, 56, 35, 25, 35, 72, '', 'normal', null, 'g1', null, null, TRUE),</v>
      </c>
    </row>
    <row r="29" spans="1:31">
      <c r="A29" s="4" t="s">
        <v>89</v>
      </c>
      <c r="B29" s="4" t="s">
        <v>88</v>
      </c>
      <c r="C29" s="5">
        <v>30</v>
      </c>
      <c r="D29" s="5">
        <v>56</v>
      </c>
      <c r="E29" s="5">
        <v>35</v>
      </c>
      <c r="F29" s="5">
        <v>25</v>
      </c>
      <c r="G29" s="5">
        <v>35</v>
      </c>
      <c r="H29" s="5">
        <v>72</v>
      </c>
      <c r="I29" s="4" t="s">
        <v>90</v>
      </c>
      <c r="J29" s="4" t="s">
        <v>91</v>
      </c>
      <c r="K29" s="4" t="s">
        <v>80</v>
      </c>
      <c r="L29" s="4" t="s">
        <v>92</v>
      </c>
      <c r="M29" s="5"/>
      <c r="N29" s="5"/>
      <c r="O29" s="5" t="b">
        <v>1</v>
      </c>
      <c r="P29" s="4" t="str">
        <f>IF(A29="",IF(ISNUMBER(SEARCH("NOT NULL",UPPER(A$3))),"''","null"),SUBSTITUTE(VLOOKUP(A$2,convert!$A$1:$B$4,2,0),"@@@",A29))</f>
        <v>'0019A01'</v>
      </c>
      <c r="Q29" s="4" t="str">
        <f>IF(B29="",IF(ISNUMBER(SEARCH("NOT NULL",UPPER(B$3))),"''","null"),SUBSTITUTE(VLOOKUP(B$2,convert!$A$1:$B$4,2,0),"@@@",B29))</f>
        <v>'コラッタ'</v>
      </c>
      <c r="R29" s="4" t="str">
        <f>IF(C29="",IF(ISNUMBER(SEARCH("NOT NULL",UPPER(C$3))),"''","null"),SUBSTITUTE(VLOOKUP(C$2,convert!$A$1:$B$4,2,0),"@@@",C29))</f>
        <v>30</v>
      </c>
      <c r="S29" s="4" t="str">
        <f>IF(D29="",IF(ISNUMBER(SEARCH("NOT NULL",UPPER(D$3))),"''","null"),SUBSTITUTE(VLOOKUP(D$2,convert!$A$1:$B$4,2,0),"@@@",D29))</f>
        <v>56</v>
      </c>
      <c r="T29" s="4" t="str">
        <f>IF(E29="",IF(ISNUMBER(SEARCH("NOT NULL",UPPER(E$3))),"''","null"),SUBSTITUTE(VLOOKUP(E$2,convert!$A$1:$B$4,2,0),"@@@",E29))</f>
        <v>35</v>
      </c>
      <c r="U29" s="4" t="str">
        <f>IF(F29="",IF(ISNUMBER(SEARCH("NOT NULL",UPPER(F$3))),"''","null"),SUBSTITUTE(VLOOKUP(F$2,convert!$A$1:$B$4,2,0),"@@@",F29))</f>
        <v>25</v>
      </c>
      <c r="V29" s="4" t="str">
        <f>IF(G29="",IF(ISNUMBER(SEARCH("NOT NULL",UPPER(G$3))),"''","null"),SUBSTITUTE(VLOOKUP(G$2,convert!$A$1:$B$4,2,0),"@@@",G29))</f>
        <v>35</v>
      </c>
      <c r="W29" s="4" t="str">
        <f>IF(H29="",IF(ISNUMBER(SEARCH("NOT NULL",UPPER(H$3))),"''","null"),SUBSTITUTE(VLOOKUP(H$2,convert!$A$1:$B$4,2,0),"@@@",H29))</f>
        <v>72</v>
      </c>
      <c r="X29" s="4" t="str">
        <f>IF(I29="",IF(ISNUMBER(SEARCH("NOT NULL",UPPER(I$3))),"''","null"),SUBSTITUTE(VLOOKUP(I$2,convert!$A$1:$B$4,2,0),"@@@",I29))</f>
        <v>'アローラのすがた'</v>
      </c>
      <c r="Y29" s="4" t="str">
        <f>IF(J29="",IF(ISNUMBER(SEARCH("NOT NULL",UPPER(J$3))),"''","null"),SUBSTITUTE(VLOOKUP(J$2,convert!$A$1:$B$4,2,0),"@@@",J29))</f>
        <v>'dark'</v>
      </c>
      <c r="Z29" s="4" t="str">
        <f>IF(K29="",IF(ISNUMBER(SEARCH("NOT NULL",UPPER(K$3))),"''","null"),SUBSTITUTE(VLOOKUP(K$2,convert!$A$1:$B$4,2,0),"@@@",K29))</f>
        <v>'normal'</v>
      </c>
      <c r="AA29" s="4" t="str">
        <f>IF(L29="",IF(ISNUMBER(SEARCH("NOT NULL",UPPER(L$3))),"''","null"),SUBSTITUTE(VLOOKUP(L$2,convert!$A$1:$B$4,2,0),"@@@",L29))</f>
        <v>'g7'</v>
      </c>
      <c r="AB29" s="4" t="str">
        <f>IF(M29="",IF(ISNUMBER(SEARCH("NOT NULL",UPPER(M$3))),"''","null"),SUBSTITUTE(VLOOKUP(M$2,convert!$A$1:$B$4,2,0),"@@@",M29))</f>
        <v>null</v>
      </c>
      <c r="AC29" s="4" t="str">
        <f>IF(N29="",IF(ISNUMBER(SEARCH("NOT NULL",UPPER(N$3))),"''","null"),SUBSTITUTE(VLOOKUP(N$2,convert!$A$1:$B$4,2,0),"@@@",N29))</f>
        <v>null</v>
      </c>
      <c r="AD29" s="4" t="str">
        <f>IF(O29="",IF(ISNUMBER(SEARCH("NOT NULL",UPPER(O$3))),"''","null"),SUBSTITUTE(VLOOKUP(O$2,convert!$A$1:$B$4,2,0),"@@@",O29))</f>
        <v>TRUE</v>
      </c>
      <c r="AE29" s="4" t="str">
        <f t="shared" si="0"/>
        <v>    ('0019A01', 'コラッタ', 30, 56, 35, 25, 35, 72, 'アローラのすがた', 'dark', 'normal', 'g7', null, null, TRUE),</v>
      </c>
    </row>
    <row r="30" spans="1:31">
      <c r="A30" s="4" t="s">
        <v>93</v>
      </c>
      <c r="B30" s="4" t="s">
        <v>94</v>
      </c>
      <c r="C30" s="5">
        <v>55</v>
      </c>
      <c r="D30" s="5">
        <v>81</v>
      </c>
      <c r="E30" s="5">
        <v>60</v>
      </c>
      <c r="F30" s="5">
        <v>50</v>
      </c>
      <c r="G30" s="5">
        <v>70</v>
      </c>
      <c r="H30" s="5">
        <v>97</v>
      </c>
      <c r="I30" s="5"/>
      <c r="J30" s="4" t="s">
        <v>80</v>
      </c>
      <c r="K30" s="5"/>
      <c r="L30" s="4" t="s">
        <v>32</v>
      </c>
      <c r="M30" s="5"/>
      <c r="N30" s="5"/>
      <c r="O30" s="5" t="b">
        <v>1</v>
      </c>
      <c r="P30" s="4" t="str">
        <f>IF(A30="",IF(ISNUMBER(SEARCH("NOT NULL",UPPER(A$3))),"''","null"),SUBSTITUTE(VLOOKUP(A$2,convert!$A$1:$B$4,2,0),"@@@",A30))</f>
        <v>'0020N01'</v>
      </c>
      <c r="Q30" s="4" t="str">
        <f>IF(B30="",IF(ISNUMBER(SEARCH("NOT NULL",UPPER(B$3))),"''","null"),SUBSTITUTE(VLOOKUP(B$2,convert!$A$1:$B$4,2,0),"@@@",B30))</f>
        <v>'ラッタ'</v>
      </c>
      <c r="R30" s="4" t="str">
        <f>IF(C30="",IF(ISNUMBER(SEARCH("NOT NULL",UPPER(C$3))),"''","null"),SUBSTITUTE(VLOOKUP(C$2,convert!$A$1:$B$4,2,0),"@@@",C30))</f>
        <v>55</v>
      </c>
      <c r="S30" s="4" t="str">
        <f>IF(D30="",IF(ISNUMBER(SEARCH("NOT NULL",UPPER(D$3))),"''","null"),SUBSTITUTE(VLOOKUP(D$2,convert!$A$1:$B$4,2,0),"@@@",D30))</f>
        <v>81</v>
      </c>
      <c r="T30" s="4" t="str">
        <f>IF(E30="",IF(ISNUMBER(SEARCH("NOT NULL",UPPER(E$3))),"''","null"),SUBSTITUTE(VLOOKUP(E$2,convert!$A$1:$B$4,2,0),"@@@",E30))</f>
        <v>60</v>
      </c>
      <c r="U30" s="4" t="str">
        <f>IF(F30="",IF(ISNUMBER(SEARCH("NOT NULL",UPPER(F$3))),"''","null"),SUBSTITUTE(VLOOKUP(F$2,convert!$A$1:$B$4,2,0),"@@@",F30))</f>
        <v>50</v>
      </c>
      <c r="V30" s="4" t="str">
        <f>IF(G30="",IF(ISNUMBER(SEARCH("NOT NULL",UPPER(G$3))),"''","null"),SUBSTITUTE(VLOOKUP(G$2,convert!$A$1:$B$4,2,0),"@@@",G30))</f>
        <v>70</v>
      </c>
      <c r="W30" s="4" t="str">
        <f>IF(H30="",IF(ISNUMBER(SEARCH("NOT NULL",UPPER(H$3))),"''","null"),SUBSTITUTE(VLOOKUP(H$2,convert!$A$1:$B$4,2,0),"@@@",H30))</f>
        <v>97</v>
      </c>
      <c r="X30" s="4" t="str">
        <f>IF(I30="",IF(ISNUMBER(SEARCH("NOT NULL",UPPER(I$3))),"''","null"),SUBSTITUTE(VLOOKUP(I$2,convert!$A$1:$B$4,2,0),"@@@",I30))</f>
        <v>''</v>
      </c>
      <c r="Y30" s="4" t="str">
        <f>IF(J30="",IF(ISNUMBER(SEARCH("NOT NULL",UPPER(J$3))),"''","null"),SUBSTITUTE(VLOOKUP(J$2,convert!$A$1:$B$4,2,0),"@@@",J30))</f>
        <v>'normal'</v>
      </c>
      <c r="Z30" s="4" t="str">
        <f>IF(K30="",IF(ISNUMBER(SEARCH("NOT NULL",UPPER(K$3))),"''","null"),SUBSTITUTE(VLOOKUP(K$2,convert!$A$1:$B$4,2,0),"@@@",K30))</f>
        <v>null</v>
      </c>
      <c r="AA30" s="4" t="str">
        <f>IF(L30="",IF(ISNUMBER(SEARCH("NOT NULL",UPPER(L$3))),"''","null"),SUBSTITUTE(VLOOKUP(L$2,convert!$A$1:$B$4,2,0),"@@@",L30))</f>
        <v>'g1'</v>
      </c>
      <c r="AB30" s="4" t="str">
        <f>IF(M30="",IF(ISNUMBER(SEARCH("NOT NULL",UPPER(M$3))),"''","null"),SUBSTITUTE(VLOOKUP(M$2,convert!$A$1:$B$4,2,0),"@@@",M30))</f>
        <v>null</v>
      </c>
      <c r="AC30" s="4" t="str">
        <f>IF(N30="",IF(ISNUMBER(SEARCH("NOT NULL",UPPER(N$3))),"''","null"),SUBSTITUTE(VLOOKUP(N$2,convert!$A$1:$B$4,2,0),"@@@",N30))</f>
        <v>null</v>
      </c>
      <c r="AD30" s="4" t="str">
        <f>IF(O30="",IF(ISNUMBER(SEARCH("NOT NULL",UPPER(O$3))),"''","null"),SUBSTITUTE(VLOOKUP(O$2,convert!$A$1:$B$4,2,0),"@@@",O30))</f>
        <v>TRUE</v>
      </c>
      <c r="AE30" s="4" t="str">
        <f t="shared" si="0"/>
        <v>    ('0020N01', 'ラッタ', 55, 81, 60, 50, 70, 97, '', 'normal', null, 'g1', null, null, TRUE),</v>
      </c>
    </row>
    <row r="31" spans="1:31">
      <c r="A31" s="4" t="s">
        <v>95</v>
      </c>
      <c r="B31" s="4" t="s">
        <v>94</v>
      </c>
      <c r="C31" s="5">
        <v>75</v>
      </c>
      <c r="D31" s="5">
        <v>71</v>
      </c>
      <c r="E31" s="5">
        <v>70</v>
      </c>
      <c r="F31" s="5">
        <v>40</v>
      </c>
      <c r="G31" s="5">
        <v>80</v>
      </c>
      <c r="H31" s="5">
        <v>77</v>
      </c>
      <c r="I31" s="4" t="s">
        <v>90</v>
      </c>
      <c r="J31" s="4" t="s">
        <v>91</v>
      </c>
      <c r="K31" s="4" t="s">
        <v>80</v>
      </c>
      <c r="L31" s="4" t="s">
        <v>92</v>
      </c>
      <c r="M31" s="5"/>
      <c r="N31" s="5"/>
      <c r="O31" s="5" t="b">
        <v>1</v>
      </c>
      <c r="P31" s="4" t="str">
        <f>IF(A31="",IF(ISNUMBER(SEARCH("NOT NULL",UPPER(A$3))),"''","null"),SUBSTITUTE(VLOOKUP(A$2,convert!$A$1:$B$4,2,0),"@@@",A31))</f>
        <v>'0020A01'</v>
      </c>
      <c r="Q31" s="4" t="str">
        <f>IF(B31="",IF(ISNUMBER(SEARCH("NOT NULL",UPPER(B$3))),"''","null"),SUBSTITUTE(VLOOKUP(B$2,convert!$A$1:$B$4,2,0),"@@@",B31))</f>
        <v>'ラッタ'</v>
      </c>
      <c r="R31" s="4" t="str">
        <f>IF(C31="",IF(ISNUMBER(SEARCH("NOT NULL",UPPER(C$3))),"''","null"),SUBSTITUTE(VLOOKUP(C$2,convert!$A$1:$B$4,2,0),"@@@",C31))</f>
        <v>75</v>
      </c>
      <c r="S31" s="4" t="str">
        <f>IF(D31="",IF(ISNUMBER(SEARCH("NOT NULL",UPPER(D$3))),"''","null"),SUBSTITUTE(VLOOKUP(D$2,convert!$A$1:$B$4,2,0),"@@@",D31))</f>
        <v>71</v>
      </c>
      <c r="T31" s="4" t="str">
        <f>IF(E31="",IF(ISNUMBER(SEARCH("NOT NULL",UPPER(E$3))),"''","null"),SUBSTITUTE(VLOOKUP(E$2,convert!$A$1:$B$4,2,0),"@@@",E31))</f>
        <v>70</v>
      </c>
      <c r="U31" s="4" t="str">
        <f>IF(F31="",IF(ISNUMBER(SEARCH("NOT NULL",UPPER(F$3))),"''","null"),SUBSTITUTE(VLOOKUP(F$2,convert!$A$1:$B$4,2,0),"@@@",F31))</f>
        <v>40</v>
      </c>
      <c r="V31" s="4" t="str">
        <f>IF(G31="",IF(ISNUMBER(SEARCH("NOT NULL",UPPER(G$3))),"''","null"),SUBSTITUTE(VLOOKUP(G$2,convert!$A$1:$B$4,2,0),"@@@",G31))</f>
        <v>80</v>
      </c>
      <c r="W31" s="4" t="str">
        <f>IF(H31="",IF(ISNUMBER(SEARCH("NOT NULL",UPPER(H$3))),"''","null"),SUBSTITUTE(VLOOKUP(H$2,convert!$A$1:$B$4,2,0),"@@@",H31))</f>
        <v>77</v>
      </c>
      <c r="X31" s="4" t="str">
        <f>IF(I31="",IF(ISNUMBER(SEARCH("NOT NULL",UPPER(I$3))),"''","null"),SUBSTITUTE(VLOOKUP(I$2,convert!$A$1:$B$4,2,0),"@@@",I31))</f>
        <v>'アローラのすがた'</v>
      </c>
      <c r="Y31" s="4" t="str">
        <f>IF(J31="",IF(ISNUMBER(SEARCH("NOT NULL",UPPER(J$3))),"''","null"),SUBSTITUTE(VLOOKUP(J$2,convert!$A$1:$B$4,2,0),"@@@",J31))</f>
        <v>'dark'</v>
      </c>
      <c r="Z31" s="4" t="str">
        <f>IF(K31="",IF(ISNUMBER(SEARCH("NOT NULL",UPPER(K$3))),"''","null"),SUBSTITUTE(VLOOKUP(K$2,convert!$A$1:$B$4,2,0),"@@@",K31))</f>
        <v>'normal'</v>
      </c>
      <c r="AA31" s="4" t="str">
        <f>IF(L31="",IF(ISNUMBER(SEARCH("NOT NULL",UPPER(L$3))),"''","null"),SUBSTITUTE(VLOOKUP(L$2,convert!$A$1:$B$4,2,0),"@@@",L31))</f>
        <v>'g7'</v>
      </c>
      <c r="AB31" s="4" t="str">
        <f>IF(M31="",IF(ISNUMBER(SEARCH("NOT NULL",UPPER(M$3))),"''","null"),SUBSTITUTE(VLOOKUP(M$2,convert!$A$1:$B$4,2,0),"@@@",M31))</f>
        <v>null</v>
      </c>
      <c r="AC31" s="4" t="str">
        <f>IF(N31="",IF(ISNUMBER(SEARCH("NOT NULL",UPPER(N$3))),"''","null"),SUBSTITUTE(VLOOKUP(N$2,convert!$A$1:$B$4,2,0),"@@@",N31))</f>
        <v>null</v>
      </c>
      <c r="AD31" s="4" t="str">
        <f>IF(O31="",IF(ISNUMBER(SEARCH("NOT NULL",UPPER(O$3))),"''","null"),SUBSTITUTE(VLOOKUP(O$2,convert!$A$1:$B$4,2,0),"@@@",O31))</f>
        <v>TRUE</v>
      </c>
      <c r="AE31" s="4" t="str">
        <f t="shared" si="0"/>
        <v>    ('0020A01', 'ラッタ', 75, 71, 70, 40, 80, 77, 'アローラのすがた', 'dark', 'normal', 'g7', null, null, TRUE),</v>
      </c>
    </row>
    <row r="32" spans="1:31">
      <c r="A32" s="4" t="s">
        <v>96</v>
      </c>
      <c r="B32" s="4" t="s">
        <v>97</v>
      </c>
      <c r="C32" s="5">
        <v>40</v>
      </c>
      <c r="D32" s="5">
        <v>60</v>
      </c>
      <c r="E32" s="5">
        <v>30</v>
      </c>
      <c r="F32" s="5">
        <v>31</v>
      </c>
      <c r="G32" s="5">
        <v>31</v>
      </c>
      <c r="H32" s="5">
        <v>70</v>
      </c>
      <c r="I32" s="5"/>
      <c r="J32" s="4" t="s">
        <v>80</v>
      </c>
      <c r="K32" s="4" t="s">
        <v>47</v>
      </c>
      <c r="L32" s="4" t="s">
        <v>32</v>
      </c>
      <c r="M32" s="5"/>
      <c r="N32" s="5"/>
      <c r="O32" s="5" t="b">
        <v>1</v>
      </c>
      <c r="P32" s="4" t="str">
        <f>IF(A32="",IF(ISNUMBER(SEARCH("NOT NULL",UPPER(A$3))),"''","null"),SUBSTITUTE(VLOOKUP(A$2,convert!$A$1:$B$4,2,0),"@@@",A32))</f>
        <v>'0021N01'</v>
      </c>
      <c r="Q32" s="4" t="str">
        <f>IF(B32="",IF(ISNUMBER(SEARCH("NOT NULL",UPPER(B$3))),"''","null"),SUBSTITUTE(VLOOKUP(B$2,convert!$A$1:$B$4,2,0),"@@@",B32))</f>
        <v>'オニスズメ'</v>
      </c>
      <c r="R32" s="4" t="str">
        <f>IF(C32="",IF(ISNUMBER(SEARCH("NOT NULL",UPPER(C$3))),"''","null"),SUBSTITUTE(VLOOKUP(C$2,convert!$A$1:$B$4,2,0),"@@@",C32))</f>
        <v>40</v>
      </c>
      <c r="S32" s="4" t="str">
        <f>IF(D32="",IF(ISNUMBER(SEARCH("NOT NULL",UPPER(D$3))),"''","null"),SUBSTITUTE(VLOOKUP(D$2,convert!$A$1:$B$4,2,0),"@@@",D32))</f>
        <v>60</v>
      </c>
      <c r="T32" s="4" t="str">
        <f>IF(E32="",IF(ISNUMBER(SEARCH("NOT NULL",UPPER(E$3))),"''","null"),SUBSTITUTE(VLOOKUP(E$2,convert!$A$1:$B$4,2,0),"@@@",E32))</f>
        <v>30</v>
      </c>
      <c r="U32" s="4" t="str">
        <f>IF(F32="",IF(ISNUMBER(SEARCH("NOT NULL",UPPER(F$3))),"''","null"),SUBSTITUTE(VLOOKUP(F$2,convert!$A$1:$B$4,2,0),"@@@",F32))</f>
        <v>31</v>
      </c>
      <c r="V32" s="4" t="str">
        <f>IF(G32="",IF(ISNUMBER(SEARCH("NOT NULL",UPPER(G$3))),"''","null"),SUBSTITUTE(VLOOKUP(G$2,convert!$A$1:$B$4,2,0),"@@@",G32))</f>
        <v>31</v>
      </c>
      <c r="W32" s="4" t="str">
        <f>IF(H32="",IF(ISNUMBER(SEARCH("NOT NULL",UPPER(H$3))),"''","null"),SUBSTITUTE(VLOOKUP(H$2,convert!$A$1:$B$4,2,0),"@@@",H32))</f>
        <v>70</v>
      </c>
      <c r="X32" s="4" t="str">
        <f>IF(I32="",IF(ISNUMBER(SEARCH("NOT NULL",UPPER(I$3))),"''","null"),SUBSTITUTE(VLOOKUP(I$2,convert!$A$1:$B$4,2,0),"@@@",I32))</f>
        <v>''</v>
      </c>
      <c r="Y32" s="4" t="str">
        <f>IF(J32="",IF(ISNUMBER(SEARCH("NOT NULL",UPPER(J$3))),"''","null"),SUBSTITUTE(VLOOKUP(J$2,convert!$A$1:$B$4,2,0),"@@@",J32))</f>
        <v>'normal'</v>
      </c>
      <c r="Z32" s="4" t="str">
        <f>IF(K32="",IF(ISNUMBER(SEARCH("NOT NULL",UPPER(K$3))),"''","null"),SUBSTITUTE(VLOOKUP(K$2,convert!$A$1:$B$4,2,0),"@@@",K32))</f>
        <v>'flying'</v>
      </c>
      <c r="AA32" s="4" t="str">
        <f>IF(L32="",IF(ISNUMBER(SEARCH("NOT NULL",UPPER(L$3))),"''","null"),SUBSTITUTE(VLOOKUP(L$2,convert!$A$1:$B$4,2,0),"@@@",L32))</f>
        <v>'g1'</v>
      </c>
      <c r="AB32" s="4" t="str">
        <f>IF(M32="",IF(ISNUMBER(SEARCH("NOT NULL",UPPER(M$3))),"''","null"),SUBSTITUTE(VLOOKUP(M$2,convert!$A$1:$B$4,2,0),"@@@",M32))</f>
        <v>null</v>
      </c>
      <c r="AC32" s="4" t="str">
        <f>IF(N32="",IF(ISNUMBER(SEARCH("NOT NULL",UPPER(N$3))),"''","null"),SUBSTITUTE(VLOOKUP(N$2,convert!$A$1:$B$4,2,0),"@@@",N32))</f>
        <v>null</v>
      </c>
      <c r="AD32" s="4" t="str">
        <f>IF(O32="",IF(ISNUMBER(SEARCH("NOT NULL",UPPER(O$3))),"''","null"),SUBSTITUTE(VLOOKUP(O$2,convert!$A$1:$B$4,2,0),"@@@",O32))</f>
        <v>TRUE</v>
      </c>
      <c r="AE32" s="4" t="str">
        <f t="shared" si="0"/>
        <v>    ('0021N01', 'オニスズメ', 40, 60, 30, 31, 31, 70, '', 'normal', 'flying', 'g1', null, null, TRUE),</v>
      </c>
    </row>
    <row r="33" spans="1:31">
      <c r="A33" s="4" t="s">
        <v>98</v>
      </c>
      <c r="B33" s="4" t="s">
        <v>99</v>
      </c>
      <c r="C33" s="5">
        <v>65</v>
      </c>
      <c r="D33" s="5">
        <v>90</v>
      </c>
      <c r="E33" s="5">
        <v>65</v>
      </c>
      <c r="F33" s="5">
        <v>61</v>
      </c>
      <c r="G33" s="5">
        <v>61</v>
      </c>
      <c r="H33" s="5">
        <v>100</v>
      </c>
      <c r="I33" s="5"/>
      <c r="J33" s="4" t="s">
        <v>80</v>
      </c>
      <c r="K33" s="4" t="s">
        <v>47</v>
      </c>
      <c r="L33" s="4" t="s">
        <v>32</v>
      </c>
      <c r="M33" s="5"/>
      <c r="N33" s="5"/>
      <c r="O33" s="5" t="b">
        <v>1</v>
      </c>
      <c r="P33" s="4" t="str">
        <f>IF(A33="",IF(ISNUMBER(SEARCH("NOT NULL",UPPER(A$3))),"''","null"),SUBSTITUTE(VLOOKUP(A$2,convert!$A$1:$B$4,2,0),"@@@",A33))</f>
        <v>'0022N01'</v>
      </c>
      <c r="Q33" s="4" t="str">
        <f>IF(B33="",IF(ISNUMBER(SEARCH("NOT NULL",UPPER(B$3))),"''","null"),SUBSTITUTE(VLOOKUP(B$2,convert!$A$1:$B$4,2,0),"@@@",B33))</f>
        <v>'オニドリル'</v>
      </c>
      <c r="R33" s="4" t="str">
        <f>IF(C33="",IF(ISNUMBER(SEARCH("NOT NULL",UPPER(C$3))),"''","null"),SUBSTITUTE(VLOOKUP(C$2,convert!$A$1:$B$4,2,0),"@@@",C33))</f>
        <v>65</v>
      </c>
      <c r="S33" s="4" t="str">
        <f>IF(D33="",IF(ISNUMBER(SEARCH("NOT NULL",UPPER(D$3))),"''","null"),SUBSTITUTE(VLOOKUP(D$2,convert!$A$1:$B$4,2,0),"@@@",D33))</f>
        <v>90</v>
      </c>
      <c r="T33" s="4" t="str">
        <f>IF(E33="",IF(ISNUMBER(SEARCH("NOT NULL",UPPER(E$3))),"''","null"),SUBSTITUTE(VLOOKUP(E$2,convert!$A$1:$B$4,2,0),"@@@",E33))</f>
        <v>65</v>
      </c>
      <c r="U33" s="4" t="str">
        <f>IF(F33="",IF(ISNUMBER(SEARCH("NOT NULL",UPPER(F$3))),"''","null"),SUBSTITUTE(VLOOKUP(F$2,convert!$A$1:$B$4,2,0),"@@@",F33))</f>
        <v>61</v>
      </c>
      <c r="V33" s="4" t="str">
        <f>IF(G33="",IF(ISNUMBER(SEARCH("NOT NULL",UPPER(G$3))),"''","null"),SUBSTITUTE(VLOOKUP(G$2,convert!$A$1:$B$4,2,0),"@@@",G33))</f>
        <v>61</v>
      </c>
      <c r="W33" s="4" t="str">
        <f>IF(H33="",IF(ISNUMBER(SEARCH("NOT NULL",UPPER(H$3))),"''","null"),SUBSTITUTE(VLOOKUP(H$2,convert!$A$1:$B$4,2,0),"@@@",H33))</f>
        <v>100</v>
      </c>
      <c r="X33" s="4" t="str">
        <f>IF(I33="",IF(ISNUMBER(SEARCH("NOT NULL",UPPER(I$3))),"''","null"),SUBSTITUTE(VLOOKUP(I$2,convert!$A$1:$B$4,2,0),"@@@",I33))</f>
        <v>''</v>
      </c>
      <c r="Y33" s="4" t="str">
        <f>IF(J33="",IF(ISNUMBER(SEARCH("NOT NULL",UPPER(J$3))),"''","null"),SUBSTITUTE(VLOOKUP(J$2,convert!$A$1:$B$4,2,0),"@@@",J33))</f>
        <v>'normal'</v>
      </c>
      <c r="Z33" s="4" t="str">
        <f>IF(K33="",IF(ISNUMBER(SEARCH("NOT NULL",UPPER(K$3))),"''","null"),SUBSTITUTE(VLOOKUP(K$2,convert!$A$1:$B$4,2,0),"@@@",K33))</f>
        <v>'flying'</v>
      </c>
      <c r="AA33" s="4" t="str">
        <f>IF(L33="",IF(ISNUMBER(SEARCH("NOT NULL",UPPER(L$3))),"''","null"),SUBSTITUTE(VLOOKUP(L$2,convert!$A$1:$B$4,2,0),"@@@",L33))</f>
        <v>'g1'</v>
      </c>
      <c r="AB33" s="4" t="str">
        <f>IF(M33="",IF(ISNUMBER(SEARCH("NOT NULL",UPPER(M$3))),"''","null"),SUBSTITUTE(VLOOKUP(M$2,convert!$A$1:$B$4,2,0),"@@@",M33))</f>
        <v>null</v>
      </c>
      <c r="AC33" s="4" t="str">
        <f>IF(N33="",IF(ISNUMBER(SEARCH("NOT NULL",UPPER(N$3))),"''","null"),SUBSTITUTE(VLOOKUP(N$2,convert!$A$1:$B$4,2,0),"@@@",N33))</f>
        <v>null</v>
      </c>
      <c r="AD33" s="4" t="str">
        <f>IF(O33="",IF(ISNUMBER(SEARCH("NOT NULL",UPPER(O$3))),"''","null"),SUBSTITUTE(VLOOKUP(O$2,convert!$A$1:$B$4,2,0),"@@@",O33))</f>
        <v>TRUE</v>
      </c>
      <c r="AE33" s="4" t="str">
        <f t="shared" si="0"/>
        <v>    ('0022N01', 'オニドリル', 65, 90, 65, 61, 61, 100, '', 'normal', 'flying', 'g1', null, null, TRUE),</v>
      </c>
    </row>
    <row r="34" spans="1:31">
      <c r="A34" s="4" t="s">
        <v>100</v>
      </c>
      <c r="B34" s="4" t="s">
        <v>101</v>
      </c>
      <c r="C34" s="5">
        <v>35</v>
      </c>
      <c r="D34" s="5">
        <v>60</v>
      </c>
      <c r="E34" s="5">
        <v>44</v>
      </c>
      <c r="F34" s="5">
        <v>40</v>
      </c>
      <c r="G34" s="5">
        <v>54</v>
      </c>
      <c r="H34" s="5">
        <v>55</v>
      </c>
      <c r="I34" s="5"/>
      <c r="J34" s="4" t="s">
        <v>31</v>
      </c>
      <c r="K34" s="5"/>
      <c r="L34" s="4" t="s">
        <v>32</v>
      </c>
      <c r="M34" s="5"/>
      <c r="N34" s="5"/>
      <c r="O34" s="5" t="b">
        <v>1</v>
      </c>
      <c r="P34" s="4" t="str">
        <f>IF(A34="",IF(ISNUMBER(SEARCH("NOT NULL",UPPER(A$3))),"''","null"),SUBSTITUTE(VLOOKUP(A$2,convert!$A$1:$B$4,2,0),"@@@",A34))</f>
        <v>'0023N01'</v>
      </c>
      <c r="Q34" s="4" t="str">
        <f>IF(B34="",IF(ISNUMBER(SEARCH("NOT NULL",UPPER(B$3))),"''","null"),SUBSTITUTE(VLOOKUP(B$2,convert!$A$1:$B$4,2,0),"@@@",B34))</f>
        <v>'アーボ'</v>
      </c>
      <c r="R34" s="4" t="str">
        <f>IF(C34="",IF(ISNUMBER(SEARCH("NOT NULL",UPPER(C$3))),"''","null"),SUBSTITUTE(VLOOKUP(C$2,convert!$A$1:$B$4,2,0),"@@@",C34))</f>
        <v>35</v>
      </c>
      <c r="S34" s="4" t="str">
        <f>IF(D34="",IF(ISNUMBER(SEARCH("NOT NULL",UPPER(D$3))),"''","null"),SUBSTITUTE(VLOOKUP(D$2,convert!$A$1:$B$4,2,0),"@@@",D34))</f>
        <v>60</v>
      </c>
      <c r="T34" s="4" t="str">
        <f>IF(E34="",IF(ISNUMBER(SEARCH("NOT NULL",UPPER(E$3))),"''","null"),SUBSTITUTE(VLOOKUP(E$2,convert!$A$1:$B$4,2,0),"@@@",E34))</f>
        <v>44</v>
      </c>
      <c r="U34" s="4" t="str">
        <f>IF(F34="",IF(ISNUMBER(SEARCH("NOT NULL",UPPER(F$3))),"''","null"),SUBSTITUTE(VLOOKUP(F$2,convert!$A$1:$B$4,2,0),"@@@",F34))</f>
        <v>40</v>
      </c>
      <c r="V34" s="4" t="str">
        <f>IF(G34="",IF(ISNUMBER(SEARCH("NOT NULL",UPPER(G$3))),"''","null"),SUBSTITUTE(VLOOKUP(G$2,convert!$A$1:$B$4,2,0),"@@@",G34))</f>
        <v>54</v>
      </c>
      <c r="W34" s="4" t="str">
        <f>IF(H34="",IF(ISNUMBER(SEARCH("NOT NULL",UPPER(H$3))),"''","null"),SUBSTITUTE(VLOOKUP(H$2,convert!$A$1:$B$4,2,0),"@@@",H34))</f>
        <v>55</v>
      </c>
      <c r="X34" s="4" t="str">
        <f>IF(I34="",IF(ISNUMBER(SEARCH("NOT NULL",UPPER(I$3))),"''","null"),SUBSTITUTE(VLOOKUP(I$2,convert!$A$1:$B$4,2,0),"@@@",I34))</f>
        <v>''</v>
      </c>
      <c r="Y34" s="4" t="str">
        <f>IF(J34="",IF(ISNUMBER(SEARCH("NOT NULL",UPPER(J$3))),"''","null"),SUBSTITUTE(VLOOKUP(J$2,convert!$A$1:$B$4,2,0),"@@@",J34))</f>
        <v>'poison'</v>
      </c>
      <c r="Z34" s="4" t="str">
        <f>IF(K34="",IF(ISNUMBER(SEARCH("NOT NULL",UPPER(K$3))),"''","null"),SUBSTITUTE(VLOOKUP(K$2,convert!$A$1:$B$4,2,0),"@@@",K34))</f>
        <v>null</v>
      </c>
      <c r="AA34" s="4" t="str">
        <f>IF(L34="",IF(ISNUMBER(SEARCH("NOT NULL",UPPER(L$3))),"''","null"),SUBSTITUTE(VLOOKUP(L$2,convert!$A$1:$B$4,2,0),"@@@",L34))</f>
        <v>'g1'</v>
      </c>
      <c r="AB34" s="4" t="str">
        <f>IF(M34="",IF(ISNUMBER(SEARCH("NOT NULL",UPPER(M$3))),"''","null"),SUBSTITUTE(VLOOKUP(M$2,convert!$A$1:$B$4,2,0),"@@@",M34))</f>
        <v>null</v>
      </c>
      <c r="AC34" s="4" t="str">
        <f>IF(N34="",IF(ISNUMBER(SEARCH("NOT NULL",UPPER(N$3))),"''","null"),SUBSTITUTE(VLOOKUP(N$2,convert!$A$1:$B$4,2,0),"@@@",N34))</f>
        <v>null</v>
      </c>
      <c r="AD34" s="4" t="str">
        <f>IF(O34="",IF(ISNUMBER(SEARCH("NOT NULL",UPPER(O$3))),"''","null"),SUBSTITUTE(VLOOKUP(O$2,convert!$A$1:$B$4,2,0),"@@@",O34))</f>
        <v>TRUE</v>
      </c>
      <c r="AE34" s="4" t="str">
        <f t="shared" si="0"/>
        <v>    ('0023N01', 'アーボ', 35, 60, 44, 40, 54, 55, '', 'poison', null, 'g1', null, null, TRUE),</v>
      </c>
    </row>
    <row r="35" spans="1:31">
      <c r="A35" s="4" t="s">
        <v>102</v>
      </c>
      <c r="B35" s="4" t="s">
        <v>103</v>
      </c>
      <c r="C35" s="5">
        <v>60</v>
      </c>
      <c r="D35" s="5">
        <v>95</v>
      </c>
      <c r="E35" s="5">
        <v>69</v>
      </c>
      <c r="F35" s="5">
        <v>65</v>
      </c>
      <c r="G35" s="5">
        <v>79</v>
      </c>
      <c r="H35" s="5">
        <v>80</v>
      </c>
      <c r="I35" s="5"/>
      <c r="J35" s="4" t="s">
        <v>31</v>
      </c>
      <c r="K35" s="5"/>
      <c r="L35" s="4" t="s">
        <v>32</v>
      </c>
      <c r="M35" s="5"/>
      <c r="N35" s="5"/>
      <c r="O35" s="5" t="b">
        <v>1</v>
      </c>
      <c r="P35" s="4" t="str">
        <f>IF(A35="",IF(ISNUMBER(SEARCH("NOT NULL",UPPER(A$3))),"''","null"),SUBSTITUTE(VLOOKUP(A$2,convert!$A$1:$B$4,2,0),"@@@",A35))</f>
        <v>'0024N01'</v>
      </c>
      <c r="Q35" s="4" t="str">
        <f>IF(B35="",IF(ISNUMBER(SEARCH("NOT NULL",UPPER(B$3))),"''","null"),SUBSTITUTE(VLOOKUP(B$2,convert!$A$1:$B$4,2,0),"@@@",B35))</f>
        <v>'アーボック'</v>
      </c>
      <c r="R35" s="4" t="str">
        <f>IF(C35="",IF(ISNUMBER(SEARCH("NOT NULL",UPPER(C$3))),"''","null"),SUBSTITUTE(VLOOKUP(C$2,convert!$A$1:$B$4,2,0),"@@@",C35))</f>
        <v>60</v>
      </c>
      <c r="S35" s="4" t="str">
        <f>IF(D35="",IF(ISNUMBER(SEARCH("NOT NULL",UPPER(D$3))),"''","null"),SUBSTITUTE(VLOOKUP(D$2,convert!$A$1:$B$4,2,0),"@@@",D35))</f>
        <v>95</v>
      </c>
      <c r="T35" s="4" t="str">
        <f>IF(E35="",IF(ISNUMBER(SEARCH("NOT NULL",UPPER(E$3))),"''","null"),SUBSTITUTE(VLOOKUP(E$2,convert!$A$1:$B$4,2,0),"@@@",E35))</f>
        <v>69</v>
      </c>
      <c r="U35" s="4" t="str">
        <f>IF(F35="",IF(ISNUMBER(SEARCH("NOT NULL",UPPER(F$3))),"''","null"),SUBSTITUTE(VLOOKUP(F$2,convert!$A$1:$B$4,2,0),"@@@",F35))</f>
        <v>65</v>
      </c>
      <c r="V35" s="4" t="str">
        <f>IF(G35="",IF(ISNUMBER(SEARCH("NOT NULL",UPPER(G$3))),"''","null"),SUBSTITUTE(VLOOKUP(G$2,convert!$A$1:$B$4,2,0),"@@@",G35))</f>
        <v>79</v>
      </c>
      <c r="W35" s="4" t="str">
        <f>IF(H35="",IF(ISNUMBER(SEARCH("NOT NULL",UPPER(H$3))),"''","null"),SUBSTITUTE(VLOOKUP(H$2,convert!$A$1:$B$4,2,0),"@@@",H35))</f>
        <v>80</v>
      </c>
      <c r="X35" s="4" t="str">
        <f>IF(I35="",IF(ISNUMBER(SEARCH("NOT NULL",UPPER(I$3))),"''","null"),SUBSTITUTE(VLOOKUP(I$2,convert!$A$1:$B$4,2,0),"@@@",I35))</f>
        <v>''</v>
      </c>
      <c r="Y35" s="4" t="str">
        <f>IF(J35="",IF(ISNUMBER(SEARCH("NOT NULL",UPPER(J$3))),"''","null"),SUBSTITUTE(VLOOKUP(J$2,convert!$A$1:$B$4,2,0),"@@@",J35))</f>
        <v>'poison'</v>
      </c>
      <c r="Z35" s="4" t="str">
        <f>IF(K35="",IF(ISNUMBER(SEARCH("NOT NULL",UPPER(K$3))),"''","null"),SUBSTITUTE(VLOOKUP(K$2,convert!$A$1:$B$4,2,0),"@@@",K35))</f>
        <v>null</v>
      </c>
      <c r="AA35" s="4" t="str">
        <f>IF(L35="",IF(ISNUMBER(SEARCH("NOT NULL",UPPER(L$3))),"''","null"),SUBSTITUTE(VLOOKUP(L$2,convert!$A$1:$B$4,2,0),"@@@",L35))</f>
        <v>'g1'</v>
      </c>
      <c r="AB35" s="4" t="str">
        <f>IF(M35="",IF(ISNUMBER(SEARCH("NOT NULL",UPPER(M$3))),"''","null"),SUBSTITUTE(VLOOKUP(M$2,convert!$A$1:$B$4,2,0),"@@@",M35))</f>
        <v>null</v>
      </c>
      <c r="AC35" s="4" t="str">
        <f>IF(N35="",IF(ISNUMBER(SEARCH("NOT NULL",UPPER(N$3))),"''","null"),SUBSTITUTE(VLOOKUP(N$2,convert!$A$1:$B$4,2,0),"@@@",N35))</f>
        <v>null</v>
      </c>
      <c r="AD35" s="4" t="str">
        <f>IF(O35="",IF(ISNUMBER(SEARCH("NOT NULL",UPPER(O$3))),"''","null"),SUBSTITUTE(VLOOKUP(O$2,convert!$A$1:$B$4,2,0),"@@@",O35))</f>
        <v>TRUE</v>
      </c>
      <c r="AE35" s="4" t="str">
        <f t="shared" si="0"/>
        <v>    ('0024N01', 'アーボック', 60, 95, 69, 65, 79, 80, '', 'poison', null, 'g1', null, null, TRUE),</v>
      </c>
    </row>
    <row r="36" spans="1:31">
      <c r="A36" s="4" t="s">
        <v>104</v>
      </c>
      <c r="B36" s="4" t="s">
        <v>105</v>
      </c>
      <c r="C36" s="5">
        <v>35</v>
      </c>
      <c r="D36" s="5">
        <v>55</v>
      </c>
      <c r="E36" s="5">
        <v>40</v>
      </c>
      <c r="F36" s="5">
        <v>50</v>
      </c>
      <c r="G36" s="5">
        <v>50</v>
      </c>
      <c r="H36" s="5">
        <v>90</v>
      </c>
      <c r="I36" s="5"/>
      <c r="J36" s="4" t="s">
        <v>106</v>
      </c>
      <c r="K36" s="5"/>
      <c r="L36" s="4" t="s">
        <v>32</v>
      </c>
      <c r="M36" s="5"/>
      <c r="N36" s="5"/>
      <c r="O36" s="5" t="b">
        <v>1</v>
      </c>
      <c r="P36" s="4" t="str">
        <f>IF(A36="",IF(ISNUMBER(SEARCH("NOT NULL",UPPER(A$3))),"''","null"),SUBSTITUTE(VLOOKUP(A$2,convert!$A$1:$B$4,2,0),"@@@",A36))</f>
        <v>'0025N01'</v>
      </c>
      <c r="Q36" s="4" t="str">
        <f>IF(B36="",IF(ISNUMBER(SEARCH("NOT NULL",UPPER(B$3))),"''","null"),SUBSTITUTE(VLOOKUP(B$2,convert!$A$1:$B$4,2,0),"@@@",B36))</f>
        <v>'ピカチュウ'</v>
      </c>
      <c r="R36" s="4" t="str">
        <f>IF(C36="",IF(ISNUMBER(SEARCH("NOT NULL",UPPER(C$3))),"''","null"),SUBSTITUTE(VLOOKUP(C$2,convert!$A$1:$B$4,2,0),"@@@",C36))</f>
        <v>35</v>
      </c>
      <c r="S36" s="4" t="str">
        <f>IF(D36="",IF(ISNUMBER(SEARCH("NOT NULL",UPPER(D$3))),"''","null"),SUBSTITUTE(VLOOKUP(D$2,convert!$A$1:$B$4,2,0),"@@@",D36))</f>
        <v>55</v>
      </c>
      <c r="T36" s="4" t="str">
        <f>IF(E36="",IF(ISNUMBER(SEARCH("NOT NULL",UPPER(E$3))),"''","null"),SUBSTITUTE(VLOOKUP(E$2,convert!$A$1:$B$4,2,0),"@@@",E36))</f>
        <v>40</v>
      </c>
      <c r="U36" s="4" t="str">
        <f>IF(F36="",IF(ISNUMBER(SEARCH("NOT NULL",UPPER(F$3))),"''","null"),SUBSTITUTE(VLOOKUP(F$2,convert!$A$1:$B$4,2,0),"@@@",F36))</f>
        <v>50</v>
      </c>
      <c r="V36" s="4" t="str">
        <f>IF(G36="",IF(ISNUMBER(SEARCH("NOT NULL",UPPER(G$3))),"''","null"),SUBSTITUTE(VLOOKUP(G$2,convert!$A$1:$B$4,2,0),"@@@",G36))</f>
        <v>50</v>
      </c>
      <c r="W36" s="4" t="str">
        <f>IF(H36="",IF(ISNUMBER(SEARCH("NOT NULL",UPPER(H$3))),"''","null"),SUBSTITUTE(VLOOKUP(H$2,convert!$A$1:$B$4,2,0),"@@@",H36))</f>
        <v>90</v>
      </c>
      <c r="X36" s="4" t="str">
        <f>IF(I36="",IF(ISNUMBER(SEARCH("NOT NULL",UPPER(I$3))),"''","null"),SUBSTITUTE(VLOOKUP(I$2,convert!$A$1:$B$4,2,0),"@@@",I36))</f>
        <v>''</v>
      </c>
      <c r="Y36" s="4" t="str">
        <f>IF(J36="",IF(ISNUMBER(SEARCH("NOT NULL",UPPER(J$3))),"''","null"),SUBSTITUTE(VLOOKUP(J$2,convert!$A$1:$B$4,2,0),"@@@",J36))</f>
        <v>'electric'</v>
      </c>
      <c r="Z36" s="4" t="str">
        <f>IF(K36="",IF(ISNUMBER(SEARCH("NOT NULL",UPPER(K$3))),"''","null"),SUBSTITUTE(VLOOKUP(K$2,convert!$A$1:$B$4,2,0),"@@@",K36))</f>
        <v>null</v>
      </c>
      <c r="AA36" s="4" t="str">
        <f>IF(L36="",IF(ISNUMBER(SEARCH("NOT NULL",UPPER(L$3))),"''","null"),SUBSTITUTE(VLOOKUP(L$2,convert!$A$1:$B$4,2,0),"@@@",L36))</f>
        <v>'g1'</v>
      </c>
      <c r="AB36" s="4" t="str">
        <f>IF(M36="",IF(ISNUMBER(SEARCH("NOT NULL",UPPER(M$3))),"''","null"),SUBSTITUTE(VLOOKUP(M$2,convert!$A$1:$B$4,2,0),"@@@",M36))</f>
        <v>null</v>
      </c>
      <c r="AC36" s="4" t="str">
        <f>IF(N36="",IF(ISNUMBER(SEARCH("NOT NULL",UPPER(N$3))),"''","null"),SUBSTITUTE(VLOOKUP(N$2,convert!$A$1:$B$4,2,0),"@@@",N36))</f>
        <v>null</v>
      </c>
      <c r="AD36" s="4" t="str">
        <f>IF(O36="",IF(ISNUMBER(SEARCH("NOT NULL",UPPER(O$3))),"''","null"),SUBSTITUTE(VLOOKUP(O$2,convert!$A$1:$B$4,2,0),"@@@",O36))</f>
        <v>TRUE</v>
      </c>
      <c r="AE36" s="4" t="str">
        <f t="shared" si="0"/>
        <v>    ('0025N01', 'ピカチュウ', 35, 55, 40, 50, 50, 90, '', 'electric', null, 'g1', null, null, TRUE),</v>
      </c>
    </row>
    <row r="37" spans="1:31">
      <c r="A37" s="4" t="s">
        <v>107</v>
      </c>
      <c r="B37" s="4" t="s">
        <v>105</v>
      </c>
      <c r="C37" s="5">
        <v>45</v>
      </c>
      <c r="D37" s="5">
        <v>80</v>
      </c>
      <c r="E37" s="5">
        <v>50</v>
      </c>
      <c r="F37" s="5">
        <v>75</v>
      </c>
      <c r="G37" s="5">
        <v>60</v>
      </c>
      <c r="H37" s="5">
        <v>120</v>
      </c>
      <c r="I37" s="4" t="s">
        <v>108</v>
      </c>
      <c r="J37" s="4" t="s">
        <v>106</v>
      </c>
      <c r="K37" s="5"/>
      <c r="L37" s="4" t="s">
        <v>109</v>
      </c>
      <c r="M37" s="5"/>
      <c r="N37" s="5"/>
      <c r="O37" s="5" t="b">
        <v>0</v>
      </c>
      <c r="P37" s="4" t="str">
        <f>IF(A37="",IF(ISNUMBER(SEARCH("NOT NULL",UPPER(A$3))),"''","null"),SUBSTITUTE(VLOOKUP(A$2,convert!$A$1:$B$4,2,0),"@@@",A37))</f>
        <v>'0025N02'</v>
      </c>
      <c r="Q37" s="4" t="str">
        <f>IF(B37="",IF(ISNUMBER(SEARCH("NOT NULL",UPPER(B$3))),"''","null"),SUBSTITUTE(VLOOKUP(B$2,convert!$A$1:$B$4,2,0),"@@@",B37))</f>
        <v>'ピカチュウ'</v>
      </c>
      <c r="R37" s="4" t="str">
        <f>IF(C37="",IF(ISNUMBER(SEARCH("NOT NULL",UPPER(C$3))),"''","null"),SUBSTITUTE(VLOOKUP(C$2,convert!$A$1:$B$4,2,0),"@@@",C37))</f>
        <v>45</v>
      </c>
      <c r="S37" s="4" t="str">
        <f>IF(D37="",IF(ISNUMBER(SEARCH("NOT NULL",UPPER(D$3))),"''","null"),SUBSTITUTE(VLOOKUP(D$2,convert!$A$1:$B$4,2,0),"@@@",D37))</f>
        <v>80</v>
      </c>
      <c r="T37" s="4" t="str">
        <f>IF(E37="",IF(ISNUMBER(SEARCH("NOT NULL",UPPER(E$3))),"''","null"),SUBSTITUTE(VLOOKUP(E$2,convert!$A$1:$B$4,2,0),"@@@",E37))</f>
        <v>50</v>
      </c>
      <c r="U37" s="4" t="str">
        <f>IF(F37="",IF(ISNUMBER(SEARCH("NOT NULL",UPPER(F$3))),"''","null"),SUBSTITUTE(VLOOKUP(F$2,convert!$A$1:$B$4,2,0),"@@@",F37))</f>
        <v>75</v>
      </c>
      <c r="V37" s="4" t="str">
        <f>IF(G37="",IF(ISNUMBER(SEARCH("NOT NULL",UPPER(G$3))),"''","null"),SUBSTITUTE(VLOOKUP(G$2,convert!$A$1:$B$4,2,0),"@@@",G37))</f>
        <v>60</v>
      </c>
      <c r="W37" s="4" t="str">
        <f>IF(H37="",IF(ISNUMBER(SEARCH("NOT NULL",UPPER(H$3))),"''","null"),SUBSTITUTE(VLOOKUP(H$2,convert!$A$1:$B$4,2,0),"@@@",H37))</f>
        <v>120</v>
      </c>
      <c r="X37" s="4" t="str">
        <f>IF(I37="",IF(ISNUMBER(SEARCH("NOT NULL",UPPER(I$3))),"''","null"),SUBSTITUTE(VLOOKUP(I$2,convert!$A$1:$B$4,2,0),"@@@",I37))</f>
        <v>'相棒'</v>
      </c>
      <c r="Y37" s="4" t="str">
        <f>IF(J37="",IF(ISNUMBER(SEARCH("NOT NULL",UPPER(J$3))),"''","null"),SUBSTITUTE(VLOOKUP(J$2,convert!$A$1:$B$4,2,0),"@@@",J37))</f>
        <v>'electric'</v>
      </c>
      <c r="Z37" s="4" t="str">
        <f>IF(K37="",IF(ISNUMBER(SEARCH("NOT NULL",UPPER(K$3))),"''","null"),SUBSTITUTE(VLOOKUP(K$2,convert!$A$1:$B$4,2,0),"@@@",K37))</f>
        <v>null</v>
      </c>
      <c r="AA37" s="4" t="str">
        <f>IF(L37="",IF(ISNUMBER(SEARCH("NOT NULL",UPPER(L$3))),"''","null"),SUBSTITUTE(VLOOKUP(L$2,convert!$A$1:$B$4,2,0),"@@@",L37))</f>
        <v>'g7pv'</v>
      </c>
      <c r="AB37" s="4" t="str">
        <f>IF(M37="",IF(ISNUMBER(SEARCH("NOT NULL",UPPER(M$3))),"''","null"),SUBSTITUTE(VLOOKUP(M$2,convert!$A$1:$B$4,2,0),"@@@",M37))</f>
        <v>null</v>
      </c>
      <c r="AC37" s="4" t="str">
        <f>IF(N37="",IF(ISNUMBER(SEARCH("NOT NULL",UPPER(N$3))),"''","null"),SUBSTITUTE(VLOOKUP(N$2,convert!$A$1:$B$4,2,0),"@@@",N37))</f>
        <v>null</v>
      </c>
      <c r="AD37" s="4" t="str">
        <f>IF(O37="",IF(ISNUMBER(SEARCH("NOT NULL",UPPER(O$3))),"''","null"),SUBSTITUTE(VLOOKUP(O$2,convert!$A$1:$B$4,2,0),"@@@",O37))</f>
        <v>FALSE</v>
      </c>
      <c r="AE37" s="4" t="str">
        <f t="shared" si="0"/>
        <v>    ('0025N02', 'ピカチュウ', 45, 80, 50, 75, 60, 120, '相棒', 'electric', null, 'g7pv', null, null, FALSE),</v>
      </c>
    </row>
    <row r="38" spans="1:31">
      <c r="A38" s="4" t="s">
        <v>110</v>
      </c>
      <c r="B38" s="4" t="s">
        <v>111</v>
      </c>
      <c r="C38" s="5">
        <v>60</v>
      </c>
      <c r="D38" s="5">
        <v>90</v>
      </c>
      <c r="E38" s="5">
        <v>55</v>
      </c>
      <c r="F38" s="5">
        <v>90</v>
      </c>
      <c r="G38" s="5">
        <v>80</v>
      </c>
      <c r="H38" s="5">
        <v>110</v>
      </c>
      <c r="I38" s="5"/>
      <c r="J38" s="4" t="s">
        <v>106</v>
      </c>
      <c r="K38" s="5"/>
      <c r="L38" s="4" t="s">
        <v>32</v>
      </c>
      <c r="M38" s="5"/>
      <c r="N38" s="5"/>
      <c r="O38" s="5" t="b">
        <v>1</v>
      </c>
      <c r="P38" s="4" t="str">
        <f>IF(A38="",IF(ISNUMBER(SEARCH("NOT NULL",UPPER(A$3))),"''","null"),SUBSTITUTE(VLOOKUP(A$2,convert!$A$1:$B$4,2,0),"@@@",A38))</f>
        <v>'0026N01'</v>
      </c>
      <c r="Q38" s="4" t="str">
        <f>IF(B38="",IF(ISNUMBER(SEARCH("NOT NULL",UPPER(B$3))),"''","null"),SUBSTITUTE(VLOOKUP(B$2,convert!$A$1:$B$4,2,0),"@@@",B38))</f>
        <v>'ライチュウ'</v>
      </c>
      <c r="R38" s="4" t="str">
        <f>IF(C38="",IF(ISNUMBER(SEARCH("NOT NULL",UPPER(C$3))),"''","null"),SUBSTITUTE(VLOOKUP(C$2,convert!$A$1:$B$4,2,0),"@@@",C38))</f>
        <v>60</v>
      </c>
      <c r="S38" s="4" t="str">
        <f>IF(D38="",IF(ISNUMBER(SEARCH("NOT NULL",UPPER(D$3))),"''","null"),SUBSTITUTE(VLOOKUP(D$2,convert!$A$1:$B$4,2,0),"@@@",D38))</f>
        <v>90</v>
      </c>
      <c r="T38" s="4" t="str">
        <f>IF(E38="",IF(ISNUMBER(SEARCH("NOT NULL",UPPER(E$3))),"''","null"),SUBSTITUTE(VLOOKUP(E$2,convert!$A$1:$B$4,2,0),"@@@",E38))</f>
        <v>55</v>
      </c>
      <c r="U38" s="4" t="str">
        <f>IF(F38="",IF(ISNUMBER(SEARCH("NOT NULL",UPPER(F$3))),"''","null"),SUBSTITUTE(VLOOKUP(F$2,convert!$A$1:$B$4,2,0),"@@@",F38))</f>
        <v>90</v>
      </c>
      <c r="V38" s="4" t="str">
        <f>IF(G38="",IF(ISNUMBER(SEARCH("NOT NULL",UPPER(G$3))),"''","null"),SUBSTITUTE(VLOOKUP(G$2,convert!$A$1:$B$4,2,0),"@@@",G38))</f>
        <v>80</v>
      </c>
      <c r="W38" s="4" t="str">
        <f>IF(H38="",IF(ISNUMBER(SEARCH("NOT NULL",UPPER(H$3))),"''","null"),SUBSTITUTE(VLOOKUP(H$2,convert!$A$1:$B$4,2,0),"@@@",H38))</f>
        <v>110</v>
      </c>
      <c r="X38" s="4" t="str">
        <f>IF(I38="",IF(ISNUMBER(SEARCH("NOT NULL",UPPER(I$3))),"''","null"),SUBSTITUTE(VLOOKUP(I$2,convert!$A$1:$B$4,2,0),"@@@",I38))</f>
        <v>''</v>
      </c>
      <c r="Y38" s="4" t="str">
        <f>IF(J38="",IF(ISNUMBER(SEARCH("NOT NULL",UPPER(J$3))),"''","null"),SUBSTITUTE(VLOOKUP(J$2,convert!$A$1:$B$4,2,0),"@@@",J38))</f>
        <v>'electric'</v>
      </c>
      <c r="Z38" s="4" t="str">
        <f>IF(K38="",IF(ISNUMBER(SEARCH("NOT NULL",UPPER(K$3))),"''","null"),SUBSTITUTE(VLOOKUP(K$2,convert!$A$1:$B$4,2,0),"@@@",K38))</f>
        <v>null</v>
      </c>
      <c r="AA38" s="4" t="str">
        <f>IF(L38="",IF(ISNUMBER(SEARCH("NOT NULL",UPPER(L$3))),"''","null"),SUBSTITUTE(VLOOKUP(L$2,convert!$A$1:$B$4,2,0),"@@@",L38))</f>
        <v>'g1'</v>
      </c>
      <c r="AB38" s="4" t="str">
        <f>IF(M38="",IF(ISNUMBER(SEARCH("NOT NULL",UPPER(M$3))),"''","null"),SUBSTITUTE(VLOOKUP(M$2,convert!$A$1:$B$4,2,0),"@@@",M38))</f>
        <v>null</v>
      </c>
      <c r="AC38" s="4" t="str">
        <f>IF(N38="",IF(ISNUMBER(SEARCH("NOT NULL",UPPER(N$3))),"''","null"),SUBSTITUTE(VLOOKUP(N$2,convert!$A$1:$B$4,2,0),"@@@",N38))</f>
        <v>null</v>
      </c>
      <c r="AD38" s="4" t="str">
        <f>IF(O38="",IF(ISNUMBER(SEARCH("NOT NULL",UPPER(O$3))),"''","null"),SUBSTITUTE(VLOOKUP(O$2,convert!$A$1:$B$4,2,0),"@@@",O38))</f>
        <v>TRUE</v>
      </c>
      <c r="AE38" s="4" t="str">
        <f t="shared" si="0"/>
        <v>    ('0026N01', 'ライチュウ', 60, 90, 55, 90, 80, 110, '', 'electric', null, 'g1', null, null, TRUE),</v>
      </c>
    </row>
    <row r="39" spans="1:31">
      <c r="A39" s="4" t="s">
        <v>112</v>
      </c>
      <c r="B39" s="4" t="s">
        <v>111</v>
      </c>
      <c r="C39" s="5">
        <v>60</v>
      </c>
      <c r="D39" s="5">
        <v>85</v>
      </c>
      <c r="E39" s="5">
        <v>50</v>
      </c>
      <c r="F39" s="5">
        <v>95</v>
      </c>
      <c r="G39" s="5">
        <v>85</v>
      </c>
      <c r="H39" s="5">
        <v>110</v>
      </c>
      <c r="I39" s="4" t="s">
        <v>90</v>
      </c>
      <c r="J39" s="4" t="s">
        <v>106</v>
      </c>
      <c r="K39" s="4" t="s">
        <v>113</v>
      </c>
      <c r="L39" s="4" t="s">
        <v>92</v>
      </c>
      <c r="M39" s="5"/>
      <c r="N39" s="5"/>
      <c r="O39" s="5" t="b">
        <v>1</v>
      </c>
      <c r="P39" s="4" t="str">
        <f>IF(A39="",IF(ISNUMBER(SEARCH("NOT NULL",UPPER(A$3))),"''","null"),SUBSTITUTE(VLOOKUP(A$2,convert!$A$1:$B$4,2,0),"@@@",A39))</f>
        <v>'0026A01'</v>
      </c>
      <c r="Q39" s="4" t="str">
        <f>IF(B39="",IF(ISNUMBER(SEARCH("NOT NULL",UPPER(B$3))),"''","null"),SUBSTITUTE(VLOOKUP(B$2,convert!$A$1:$B$4,2,0),"@@@",B39))</f>
        <v>'ライチュウ'</v>
      </c>
      <c r="R39" s="4" t="str">
        <f>IF(C39="",IF(ISNUMBER(SEARCH("NOT NULL",UPPER(C$3))),"''","null"),SUBSTITUTE(VLOOKUP(C$2,convert!$A$1:$B$4,2,0),"@@@",C39))</f>
        <v>60</v>
      </c>
      <c r="S39" s="4" t="str">
        <f>IF(D39="",IF(ISNUMBER(SEARCH("NOT NULL",UPPER(D$3))),"''","null"),SUBSTITUTE(VLOOKUP(D$2,convert!$A$1:$B$4,2,0),"@@@",D39))</f>
        <v>85</v>
      </c>
      <c r="T39" s="4" t="str">
        <f>IF(E39="",IF(ISNUMBER(SEARCH("NOT NULL",UPPER(E$3))),"''","null"),SUBSTITUTE(VLOOKUP(E$2,convert!$A$1:$B$4,2,0),"@@@",E39))</f>
        <v>50</v>
      </c>
      <c r="U39" s="4" t="str">
        <f>IF(F39="",IF(ISNUMBER(SEARCH("NOT NULL",UPPER(F$3))),"''","null"),SUBSTITUTE(VLOOKUP(F$2,convert!$A$1:$B$4,2,0),"@@@",F39))</f>
        <v>95</v>
      </c>
      <c r="V39" s="4" t="str">
        <f>IF(G39="",IF(ISNUMBER(SEARCH("NOT NULL",UPPER(G$3))),"''","null"),SUBSTITUTE(VLOOKUP(G$2,convert!$A$1:$B$4,2,0),"@@@",G39))</f>
        <v>85</v>
      </c>
      <c r="W39" s="4" t="str">
        <f>IF(H39="",IF(ISNUMBER(SEARCH("NOT NULL",UPPER(H$3))),"''","null"),SUBSTITUTE(VLOOKUP(H$2,convert!$A$1:$B$4,2,0),"@@@",H39))</f>
        <v>110</v>
      </c>
      <c r="X39" s="4" t="str">
        <f>IF(I39="",IF(ISNUMBER(SEARCH("NOT NULL",UPPER(I$3))),"''","null"),SUBSTITUTE(VLOOKUP(I$2,convert!$A$1:$B$4,2,0),"@@@",I39))</f>
        <v>'アローラのすがた'</v>
      </c>
      <c r="Y39" s="4" t="str">
        <f>IF(J39="",IF(ISNUMBER(SEARCH("NOT NULL",UPPER(J$3))),"''","null"),SUBSTITUTE(VLOOKUP(J$2,convert!$A$1:$B$4,2,0),"@@@",J39))</f>
        <v>'electric'</v>
      </c>
      <c r="Z39" s="4" t="str">
        <f>IF(K39="",IF(ISNUMBER(SEARCH("NOT NULL",UPPER(K$3))),"''","null"),SUBSTITUTE(VLOOKUP(K$2,convert!$A$1:$B$4,2,0),"@@@",K39))</f>
        <v>'psychic'</v>
      </c>
      <c r="AA39" s="4" t="str">
        <f>IF(L39="",IF(ISNUMBER(SEARCH("NOT NULL",UPPER(L$3))),"''","null"),SUBSTITUTE(VLOOKUP(L$2,convert!$A$1:$B$4,2,0),"@@@",L39))</f>
        <v>'g7'</v>
      </c>
      <c r="AB39" s="4" t="str">
        <f>IF(M39="",IF(ISNUMBER(SEARCH("NOT NULL",UPPER(M$3))),"''","null"),SUBSTITUTE(VLOOKUP(M$2,convert!$A$1:$B$4,2,0),"@@@",M39))</f>
        <v>null</v>
      </c>
      <c r="AC39" s="4" t="str">
        <f>IF(N39="",IF(ISNUMBER(SEARCH("NOT NULL",UPPER(N$3))),"''","null"),SUBSTITUTE(VLOOKUP(N$2,convert!$A$1:$B$4,2,0),"@@@",N39))</f>
        <v>null</v>
      </c>
      <c r="AD39" s="4" t="str">
        <f>IF(O39="",IF(ISNUMBER(SEARCH("NOT NULL",UPPER(O$3))),"''","null"),SUBSTITUTE(VLOOKUP(O$2,convert!$A$1:$B$4,2,0),"@@@",O39))</f>
        <v>TRUE</v>
      </c>
      <c r="AE39" s="4" t="str">
        <f t="shared" si="0"/>
        <v>    ('0026A01', 'ライチュウ', 60, 85, 50, 95, 85, 110, 'アローラのすがた', 'electric', 'psychic', 'g7', null, null, TRUE),</v>
      </c>
    </row>
    <row r="40" spans="1:31">
      <c r="A40" s="4" t="s">
        <v>114</v>
      </c>
      <c r="B40" s="4" t="s">
        <v>115</v>
      </c>
      <c r="C40" s="5">
        <v>50</v>
      </c>
      <c r="D40" s="5">
        <v>75</v>
      </c>
      <c r="E40" s="5">
        <v>85</v>
      </c>
      <c r="F40" s="5">
        <v>20</v>
      </c>
      <c r="G40" s="5">
        <v>30</v>
      </c>
      <c r="H40" s="5">
        <v>40</v>
      </c>
      <c r="I40" s="5"/>
      <c r="J40" s="4" t="s">
        <v>116</v>
      </c>
      <c r="K40" s="5"/>
      <c r="L40" s="4" t="s">
        <v>32</v>
      </c>
      <c r="M40" s="5"/>
      <c r="N40" s="5"/>
      <c r="O40" s="5" t="b">
        <v>1</v>
      </c>
      <c r="P40" s="4" t="str">
        <f>IF(A40="",IF(ISNUMBER(SEARCH("NOT NULL",UPPER(A$3))),"''","null"),SUBSTITUTE(VLOOKUP(A$2,convert!$A$1:$B$4,2,0),"@@@",A40))</f>
        <v>'0027N01'</v>
      </c>
      <c r="Q40" s="4" t="str">
        <f>IF(B40="",IF(ISNUMBER(SEARCH("NOT NULL",UPPER(B$3))),"''","null"),SUBSTITUTE(VLOOKUP(B$2,convert!$A$1:$B$4,2,0),"@@@",B40))</f>
        <v>'サンド'</v>
      </c>
      <c r="R40" s="4" t="str">
        <f>IF(C40="",IF(ISNUMBER(SEARCH("NOT NULL",UPPER(C$3))),"''","null"),SUBSTITUTE(VLOOKUP(C$2,convert!$A$1:$B$4,2,0),"@@@",C40))</f>
        <v>50</v>
      </c>
      <c r="S40" s="4" t="str">
        <f>IF(D40="",IF(ISNUMBER(SEARCH("NOT NULL",UPPER(D$3))),"''","null"),SUBSTITUTE(VLOOKUP(D$2,convert!$A$1:$B$4,2,0),"@@@",D40))</f>
        <v>75</v>
      </c>
      <c r="T40" s="4" t="str">
        <f>IF(E40="",IF(ISNUMBER(SEARCH("NOT NULL",UPPER(E$3))),"''","null"),SUBSTITUTE(VLOOKUP(E$2,convert!$A$1:$B$4,2,0),"@@@",E40))</f>
        <v>85</v>
      </c>
      <c r="U40" s="4" t="str">
        <f>IF(F40="",IF(ISNUMBER(SEARCH("NOT NULL",UPPER(F$3))),"''","null"),SUBSTITUTE(VLOOKUP(F$2,convert!$A$1:$B$4,2,0),"@@@",F40))</f>
        <v>20</v>
      </c>
      <c r="V40" s="4" t="str">
        <f>IF(G40="",IF(ISNUMBER(SEARCH("NOT NULL",UPPER(G$3))),"''","null"),SUBSTITUTE(VLOOKUP(G$2,convert!$A$1:$B$4,2,0),"@@@",G40))</f>
        <v>30</v>
      </c>
      <c r="W40" s="4" t="str">
        <f>IF(H40="",IF(ISNUMBER(SEARCH("NOT NULL",UPPER(H$3))),"''","null"),SUBSTITUTE(VLOOKUP(H$2,convert!$A$1:$B$4,2,0),"@@@",H40))</f>
        <v>40</v>
      </c>
      <c r="X40" s="4" t="str">
        <f>IF(I40="",IF(ISNUMBER(SEARCH("NOT NULL",UPPER(I$3))),"''","null"),SUBSTITUTE(VLOOKUP(I$2,convert!$A$1:$B$4,2,0),"@@@",I40))</f>
        <v>''</v>
      </c>
      <c r="Y40" s="4" t="str">
        <f>IF(J40="",IF(ISNUMBER(SEARCH("NOT NULL",UPPER(J$3))),"''","null"),SUBSTITUTE(VLOOKUP(J$2,convert!$A$1:$B$4,2,0),"@@@",J40))</f>
        <v>'ground'</v>
      </c>
      <c r="Z40" s="4" t="str">
        <f>IF(K40="",IF(ISNUMBER(SEARCH("NOT NULL",UPPER(K$3))),"''","null"),SUBSTITUTE(VLOOKUP(K$2,convert!$A$1:$B$4,2,0),"@@@",K40))</f>
        <v>null</v>
      </c>
      <c r="AA40" s="4" t="str">
        <f>IF(L40="",IF(ISNUMBER(SEARCH("NOT NULL",UPPER(L$3))),"''","null"),SUBSTITUTE(VLOOKUP(L$2,convert!$A$1:$B$4,2,0),"@@@",L40))</f>
        <v>'g1'</v>
      </c>
      <c r="AB40" s="4" t="str">
        <f>IF(M40="",IF(ISNUMBER(SEARCH("NOT NULL",UPPER(M$3))),"''","null"),SUBSTITUTE(VLOOKUP(M$2,convert!$A$1:$B$4,2,0),"@@@",M40))</f>
        <v>null</v>
      </c>
      <c r="AC40" s="4" t="str">
        <f>IF(N40="",IF(ISNUMBER(SEARCH("NOT NULL",UPPER(N$3))),"''","null"),SUBSTITUTE(VLOOKUP(N$2,convert!$A$1:$B$4,2,0),"@@@",N40))</f>
        <v>null</v>
      </c>
      <c r="AD40" s="4" t="str">
        <f>IF(O40="",IF(ISNUMBER(SEARCH("NOT NULL",UPPER(O$3))),"''","null"),SUBSTITUTE(VLOOKUP(O$2,convert!$A$1:$B$4,2,0),"@@@",O40))</f>
        <v>TRUE</v>
      </c>
      <c r="AE40" s="4" t="str">
        <f t="shared" si="0"/>
        <v>    ('0027N01', 'サンド', 50, 75, 85, 20, 30, 40, '', 'ground', null, 'g1', null, null, TRUE),</v>
      </c>
    </row>
    <row r="41" spans="1:31">
      <c r="A41" s="4" t="s">
        <v>117</v>
      </c>
      <c r="B41" s="4" t="s">
        <v>115</v>
      </c>
      <c r="C41" s="5">
        <v>50</v>
      </c>
      <c r="D41" s="5">
        <v>75</v>
      </c>
      <c r="E41" s="5">
        <v>90</v>
      </c>
      <c r="F41" s="5">
        <v>10</v>
      </c>
      <c r="G41" s="5">
        <v>35</v>
      </c>
      <c r="H41" s="5">
        <v>40</v>
      </c>
      <c r="I41" s="4" t="s">
        <v>90</v>
      </c>
      <c r="J41" s="4" t="s">
        <v>118</v>
      </c>
      <c r="K41" s="4" t="s">
        <v>119</v>
      </c>
      <c r="L41" s="4" t="s">
        <v>92</v>
      </c>
      <c r="M41" s="5"/>
      <c r="N41" s="5"/>
      <c r="O41" s="5" t="b">
        <v>1</v>
      </c>
      <c r="P41" s="4" t="str">
        <f>IF(A41="",IF(ISNUMBER(SEARCH("NOT NULL",UPPER(A$3))),"''","null"),SUBSTITUTE(VLOOKUP(A$2,convert!$A$1:$B$4,2,0),"@@@",A41))</f>
        <v>'0027A01'</v>
      </c>
      <c r="Q41" s="4" t="str">
        <f>IF(B41="",IF(ISNUMBER(SEARCH("NOT NULL",UPPER(B$3))),"''","null"),SUBSTITUTE(VLOOKUP(B$2,convert!$A$1:$B$4,2,0),"@@@",B41))</f>
        <v>'サンド'</v>
      </c>
      <c r="R41" s="4" t="str">
        <f>IF(C41="",IF(ISNUMBER(SEARCH("NOT NULL",UPPER(C$3))),"''","null"),SUBSTITUTE(VLOOKUP(C$2,convert!$A$1:$B$4,2,0),"@@@",C41))</f>
        <v>50</v>
      </c>
      <c r="S41" s="4" t="str">
        <f>IF(D41="",IF(ISNUMBER(SEARCH("NOT NULL",UPPER(D$3))),"''","null"),SUBSTITUTE(VLOOKUP(D$2,convert!$A$1:$B$4,2,0),"@@@",D41))</f>
        <v>75</v>
      </c>
      <c r="T41" s="4" t="str">
        <f>IF(E41="",IF(ISNUMBER(SEARCH("NOT NULL",UPPER(E$3))),"''","null"),SUBSTITUTE(VLOOKUP(E$2,convert!$A$1:$B$4,2,0),"@@@",E41))</f>
        <v>90</v>
      </c>
      <c r="U41" s="4" t="str">
        <f>IF(F41="",IF(ISNUMBER(SEARCH("NOT NULL",UPPER(F$3))),"''","null"),SUBSTITUTE(VLOOKUP(F$2,convert!$A$1:$B$4,2,0),"@@@",F41))</f>
        <v>10</v>
      </c>
      <c r="V41" s="4" t="str">
        <f>IF(G41="",IF(ISNUMBER(SEARCH("NOT NULL",UPPER(G$3))),"''","null"),SUBSTITUTE(VLOOKUP(G$2,convert!$A$1:$B$4,2,0),"@@@",G41))</f>
        <v>35</v>
      </c>
      <c r="W41" s="4" t="str">
        <f>IF(H41="",IF(ISNUMBER(SEARCH("NOT NULL",UPPER(H$3))),"''","null"),SUBSTITUTE(VLOOKUP(H$2,convert!$A$1:$B$4,2,0),"@@@",H41))</f>
        <v>40</v>
      </c>
      <c r="X41" s="4" t="str">
        <f>IF(I41="",IF(ISNUMBER(SEARCH("NOT NULL",UPPER(I$3))),"''","null"),SUBSTITUTE(VLOOKUP(I$2,convert!$A$1:$B$4,2,0),"@@@",I41))</f>
        <v>'アローラのすがた'</v>
      </c>
      <c r="Y41" s="4" t="str">
        <f>IF(J41="",IF(ISNUMBER(SEARCH("NOT NULL",UPPER(J$3))),"''","null"),SUBSTITUTE(VLOOKUP(J$2,convert!$A$1:$B$4,2,0),"@@@",J41))</f>
        <v>'ice'</v>
      </c>
      <c r="Z41" s="4" t="str">
        <f>IF(K41="",IF(ISNUMBER(SEARCH("NOT NULL",UPPER(K$3))),"''","null"),SUBSTITUTE(VLOOKUP(K$2,convert!$A$1:$B$4,2,0),"@@@",K41))</f>
        <v>'steel'</v>
      </c>
      <c r="AA41" s="4" t="str">
        <f>IF(L41="",IF(ISNUMBER(SEARCH("NOT NULL",UPPER(L$3))),"''","null"),SUBSTITUTE(VLOOKUP(L$2,convert!$A$1:$B$4,2,0),"@@@",L41))</f>
        <v>'g7'</v>
      </c>
      <c r="AB41" s="4" t="str">
        <f>IF(M41="",IF(ISNUMBER(SEARCH("NOT NULL",UPPER(M$3))),"''","null"),SUBSTITUTE(VLOOKUP(M$2,convert!$A$1:$B$4,2,0),"@@@",M41))</f>
        <v>null</v>
      </c>
      <c r="AC41" s="4" t="str">
        <f>IF(N41="",IF(ISNUMBER(SEARCH("NOT NULL",UPPER(N$3))),"''","null"),SUBSTITUTE(VLOOKUP(N$2,convert!$A$1:$B$4,2,0),"@@@",N41))</f>
        <v>null</v>
      </c>
      <c r="AD41" s="4" t="str">
        <f>IF(O41="",IF(ISNUMBER(SEARCH("NOT NULL",UPPER(O$3))),"''","null"),SUBSTITUTE(VLOOKUP(O$2,convert!$A$1:$B$4,2,0),"@@@",O41))</f>
        <v>TRUE</v>
      </c>
      <c r="AE41" s="4" t="str">
        <f t="shared" si="0"/>
        <v>    ('0027A01', 'サンド', 50, 75, 90, 10, 35, 40, 'アローラのすがた', 'ice', 'steel', 'g7', null, null, TRUE),</v>
      </c>
    </row>
    <row r="42" spans="1:31">
      <c r="A42" s="4" t="s">
        <v>120</v>
      </c>
      <c r="B42" s="4" t="s">
        <v>121</v>
      </c>
      <c r="C42" s="5">
        <v>75</v>
      </c>
      <c r="D42" s="5">
        <v>100</v>
      </c>
      <c r="E42" s="5">
        <v>110</v>
      </c>
      <c r="F42" s="5">
        <v>45</v>
      </c>
      <c r="G42" s="5">
        <v>55</v>
      </c>
      <c r="H42" s="5">
        <v>65</v>
      </c>
      <c r="I42" s="5"/>
      <c r="J42" s="4" t="s">
        <v>116</v>
      </c>
      <c r="K42" s="5"/>
      <c r="L42" s="4" t="s">
        <v>32</v>
      </c>
      <c r="M42" s="5"/>
      <c r="N42" s="5"/>
      <c r="O42" s="5" t="b">
        <v>1</v>
      </c>
      <c r="P42" s="4" t="str">
        <f>IF(A42="",IF(ISNUMBER(SEARCH("NOT NULL",UPPER(A$3))),"''","null"),SUBSTITUTE(VLOOKUP(A$2,convert!$A$1:$B$4,2,0),"@@@",A42))</f>
        <v>'0028N01'</v>
      </c>
      <c r="Q42" s="4" t="str">
        <f>IF(B42="",IF(ISNUMBER(SEARCH("NOT NULL",UPPER(B$3))),"''","null"),SUBSTITUTE(VLOOKUP(B$2,convert!$A$1:$B$4,2,0),"@@@",B42))</f>
        <v>'サンドパン'</v>
      </c>
      <c r="R42" s="4" t="str">
        <f>IF(C42="",IF(ISNUMBER(SEARCH("NOT NULL",UPPER(C$3))),"''","null"),SUBSTITUTE(VLOOKUP(C$2,convert!$A$1:$B$4,2,0),"@@@",C42))</f>
        <v>75</v>
      </c>
      <c r="S42" s="4" t="str">
        <f>IF(D42="",IF(ISNUMBER(SEARCH("NOT NULL",UPPER(D$3))),"''","null"),SUBSTITUTE(VLOOKUP(D$2,convert!$A$1:$B$4,2,0),"@@@",D42))</f>
        <v>100</v>
      </c>
      <c r="T42" s="4" t="str">
        <f>IF(E42="",IF(ISNUMBER(SEARCH("NOT NULL",UPPER(E$3))),"''","null"),SUBSTITUTE(VLOOKUP(E$2,convert!$A$1:$B$4,2,0),"@@@",E42))</f>
        <v>110</v>
      </c>
      <c r="U42" s="4" t="str">
        <f>IF(F42="",IF(ISNUMBER(SEARCH("NOT NULL",UPPER(F$3))),"''","null"),SUBSTITUTE(VLOOKUP(F$2,convert!$A$1:$B$4,2,0),"@@@",F42))</f>
        <v>45</v>
      </c>
      <c r="V42" s="4" t="str">
        <f>IF(G42="",IF(ISNUMBER(SEARCH("NOT NULL",UPPER(G$3))),"''","null"),SUBSTITUTE(VLOOKUP(G$2,convert!$A$1:$B$4,2,0),"@@@",G42))</f>
        <v>55</v>
      </c>
      <c r="W42" s="4" t="str">
        <f>IF(H42="",IF(ISNUMBER(SEARCH("NOT NULL",UPPER(H$3))),"''","null"),SUBSTITUTE(VLOOKUP(H$2,convert!$A$1:$B$4,2,0),"@@@",H42))</f>
        <v>65</v>
      </c>
      <c r="X42" s="4" t="str">
        <f>IF(I42="",IF(ISNUMBER(SEARCH("NOT NULL",UPPER(I$3))),"''","null"),SUBSTITUTE(VLOOKUP(I$2,convert!$A$1:$B$4,2,0),"@@@",I42))</f>
        <v>''</v>
      </c>
      <c r="Y42" s="4" t="str">
        <f>IF(J42="",IF(ISNUMBER(SEARCH("NOT NULL",UPPER(J$3))),"''","null"),SUBSTITUTE(VLOOKUP(J$2,convert!$A$1:$B$4,2,0),"@@@",J42))</f>
        <v>'ground'</v>
      </c>
      <c r="Z42" s="4" t="str">
        <f>IF(K42="",IF(ISNUMBER(SEARCH("NOT NULL",UPPER(K$3))),"''","null"),SUBSTITUTE(VLOOKUP(K$2,convert!$A$1:$B$4,2,0),"@@@",K42))</f>
        <v>null</v>
      </c>
      <c r="AA42" s="4" t="str">
        <f>IF(L42="",IF(ISNUMBER(SEARCH("NOT NULL",UPPER(L$3))),"''","null"),SUBSTITUTE(VLOOKUP(L$2,convert!$A$1:$B$4,2,0),"@@@",L42))</f>
        <v>'g1'</v>
      </c>
      <c r="AB42" s="4" t="str">
        <f>IF(M42="",IF(ISNUMBER(SEARCH("NOT NULL",UPPER(M$3))),"''","null"),SUBSTITUTE(VLOOKUP(M$2,convert!$A$1:$B$4,2,0),"@@@",M42))</f>
        <v>null</v>
      </c>
      <c r="AC42" s="4" t="str">
        <f>IF(N42="",IF(ISNUMBER(SEARCH("NOT NULL",UPPER(N$3))),"''","null"),SUBSTITUTE(VLOOKUP(N$2,convert!$A$1:$B$4,2,0),"@@@",N42))</f>
        <v>null</v>
      </c>
      <c r="AD42" s="4" t="str">
        <f>IF(O42="",IF(ISNUMBER(SEARCH("NOT NULL",UPPER(O$3))),"''","null"),SUBSTITUTE(VLOOKUP(O$2,convert!$A$1:$B$4,2,0),"@@@",O42))</f>
        <v>TRUE</v>
      </c>
      <c r="AE42" s="4" t="str">
        <f t="shared" si="0"/>
        <v>    ('0028N01', 'サンドパン', 75, 100, 110, 45, 55, 65, '', 'ground', null, 'g1', null, null, TRUE),</v>
      </c>
    </row>
    <row r="43" spans="1:31">
      <c r="A43" s="4" t="s">
        <v>122</v>
      </c>
      <c r="B43" s="4" t="s">
        <v>121</v>
      </c>
      <c r="C43" s="5">
        <v>75</v>
      </c>
      <c r="D43" s="5">
        <v>100</v>
      </c>
      <c r="E43" s="5">
        <v>120</v>
      </c>
      <c r="F43" s="5">
        <v>25</v>
      </c>
      <c r="G43" s="5">
        <v>65</v>
      </c>
      <c r="H43" s="5">
        <v>65</v>
      </c>
      <c r="I43" s="4" t="s">
        <v>90</v>
      </c>
      <c r="J43" s="4" t="s">
        <v>118</v>
      </c>
      <c r="K43" s="4" t="s">
        <v>119</v>
      </c>
      <c r="L43" s="4" t="s">
        <v>92</v>
      </c>
      <c r="M43" s="5"/>
      <c r="N43" s="5"/>
      <c r="O43" s="5" t="b">
        <v>1</v>
      </c>
      <c r="P43" s="4" t="str">
        <f>IF(A43="",IF(ISNUMBER(SEARCH("NOT NULL",UPPER(A$3))),"''","null"),SUBSTITUTE(VLOOKUP(A$2,convert!$A$1:$B$4,2,0),"@@@",A43))</f>
        <v>'0028A01'</v>
      </c>
      <c r="Q43" s="4" t="str">
        <f>IF(B43="",IF(ISNUMBER(SEARCH("NOT NULL",UPPER(B$3))),"''","null"),SUBSTITUTE(VLOOKUP(B$2,convert!$A$1:$B$4,2,0),"@@@",B43))</f>
        <v>'サンドパン'</v>
      </c>
      <c r="R43" s="4" t="str">
        <f>IF(C43="",IF(ISNUMBER(SEARCH("NOT NULL",UPPER(C$3))),"''","null"),SUBSTITUTE(VLOOKUP(C$2,convert!$A$1:$B$4,2,0),"@@@",C43))</f>
        <v>75</v>
      </c>
      <c r="S43" s="4" t="str">
        <f>IF(D43="",IF(ISNUMBER(SEARCH("NOT NULL",UPPER(D$3))),"''","null"),SUBSTITUTE(VLOOKUP(D$2,convert!$A$1:$B$4,2,0),"@@@",D43))</f>
        <v>100</v>
      </c>
      <c r="T43" s="4" t="str">
        <f>IF(E43="",IF(ISNUMBER(SEARCH("NOT NULL",UPPER(E$3))),"''","null"),SUBSTITUTE(VLOOKUP(E$2,convert!$A$1:$B$4,2,0),"@@@",E43))</f>
        <v>120</v>
      </c>
      <c r="U43" s="4" t="str">
        <f>IF(F43="",IF(ISNUMBER(SEARCH("NOT NULL",UPPER(F$3))),"''","null"),SUBSTITUTE(VLOOKUP(F$2,convert!$A$1:$B$4,2,0),"@@@",F43))</f>
        <v>25</v>
      </c>
      <c r="V43" s="4" t="str">
        <f>IF(G43="",IF(ISNUMBER(SEARCH("NOT NULL",UPPER(G$3))),"''","null"),SUBSTITUTE(VLOOKUP(G$2,convert!$A$1:$B$4,2,0),"@@@",G43))</f>
        <v>65</v>
      </c>
      <c r="W43" s="4" t="str">
        <f>IF(H43="",IF(ISNUMBER(SEARCH("NOT NULL",UPPER(H$3))),"''","null"),SUBSTITUTE(VLOOKUP(H$2,convert!$A$1:$B$4,2,0),"@@@",H43))</f>
        <v>65</v>
      </c>
      <c r="X43" s="4" t="str">
        <f>IF(I43="",IF(ISNUMBER(SEARCH("NOT NULL",UPPER(I$3))),"''","null"),SUBSTITUTE(VLOOKUP(I$2,convert!$A$1:$B$4,2,0),"@@@",I43))</f>
        <v>'アローラのすがた'</v>
      </c>
      <c r="Y43" s="4" t="str">
        <f>IF(J43="",IF(ISNUMBER(SEARCH("NOT NULL",UPPER(J$3))),"''","null"),SUBSTITUTE(VLOOKUP(J$2,convert!$A$1:$B$4,2,0),"@@@",J43))</f>
        <v>'ice'</v>
      </c>
      <c r="Z43" s="4" t="str">
        <f>IF(K43="",IF(ISNUMBER(SEARCH("NOT NULL",UPPER(K$3))),"''","null"),SUBSTITUTE(VLOOKUP(K$2,convert!$A$1:$B$4,2,0),"@@@",K43))</f>
        <v>'steel'</v>
      </c>
      <c r="AA43" s="4" t="str">
        <f>IF(L43="",IF(ISNUMBER(SEARCH("NOT NULL",UPPER(L$3))),"''","null"),SUBSTITUTE(VLOOKUP(L$2,convert!$A$1:$B$4,2,0),"@@@",L43))</f>
        <v>'g7'</v>
      </c>
      <c r="AB43" s="4" t="str">
        <f>IF(M43="",IF(ISNUMBER(SEARCH("NOT NULL",UPPER(M$3))),"''","null"),SUBSTITUTE(VLOOKUP(M$2,convert!$A$1:$B$4,2,0),"@@@",M43))</f>
        <v>null</v>
      </c>
      <c r="AC43" s="4" t="str">
        <f>IF(N43="",IF(ISNUMBER(SEARCH("NOT NULL",UPPER(N$3))),"''","null"),SUBSTITUTE(VLOOKUP(N$2,convert!$A$1:$B$4,2,0),"@@@",N43))</f>
        <v>null</v>
      </c>
      <c r="AD43" s="4" t="str">
        <f>IF(O43="",IF(ISNUMBER(SEARCH("NOT NULL",UPPER(O$3))),"''","null"),SUBSTITUTE(VLOOKUP(O$2,convert!$A$1:$B$4,2,0),"@@@",O43))</f>
        <v>TRUE</v>
      </c>
      <c r="AE43" s="4" t="str">
        <f t="shared" si="0"/>
        <v>    ('0028A01', 'サンドパン', 75, 100, 120, 25, 65, 65, 'アローラのすがた', 'ice', 'steel', 'g7', null, null, TRUE),</v>
      </c>
    </row>
    <row r="44" spans="1:31">
      <c r="A44" s="4" t="s">
        <v>123</v>
      </c>
      <c r="B44" s="4" t="s">
        <v>124</v>
      </c>
      <c r="C44" s="5">
        <v>55</v>
      </c>
      <c r="D44" s="5">
        <v>47</v>
      </c>
      <c r="E44" s="5">
        <v>52</v>
      </c>
      <c r="F44" s="5">
        <v>40</v>
      </c>
      <c r="G44" s="5">
        <v>40</v>
      </c>
      <c r="H44" s="5">
        <v>41</v>
      </c>
      <c r="I44" s="5"/>
      <c r="J44" s="4" t="s">
        <v>31</v>
      </c>
      <c r="K44" s="5"/>
      <c r="L44" s="4" t="s">
        <v>32</v>
      </c>
      <c r="M44" s="5"/>
      <c r="N44" s="5"/>
      <c r="O44" s="5" t="b">
        <v>1</v>
      </c>
      <c r="P44" s="4" t="str">
        <f>IF(A44="",IF(ISNUMBER(SEARCH("NOT NULL",UPPER(A$3))),"''","null"),SUBSTITUTE(VLOOKUP(A$2,convert!$A$1:$B$4,2,0),"@@@",A44))</f>
        <v>'0029N01'</v>
      </c>
      <c r="Q44" s="4" t="str">
        <f>IF(B44="",IF(ISNUMBER(SEARCH("NOT NULL",UPPER(B$3))),"''","null"),SUBSTITUTE(VLOOKUP(B$2,convert!$A$1:$B$4,2,0),"@@@",B44))</f>
        <v>'ニドラン♀'</v>
      </c>
      <c r="R44" s="4" t="str">
        <f>IF(C44="",IF(ISNUMBER(SEARCH("NOT NULL",UPPER(C$3))),"''","null"),SUBSTITUTE(VLOOKUP(C$2,convert!$A$1:$B$4,2,0),"@@@",C44))</f>
        <v>55</v>
      </c>
      <c r="S44" s="4" t="str">
        <f>IF(D44="",IF(ISNUMBER(SEARCH("NOT NULL",UPPER(D$3))),"''","null"),SUBSTITUTE(VLOOKUP(D$2,convert!$A$1:$B$4,2,0),"@@@",D44))</f>
        <v>47</v>
      </c>
      <c r="T44" s="4" t="str">
        <f>IF(E44="",IF(ISNUMBER(SEARCH("NOT NULL",UPPER(E$3))),"''","null"),SUBSTITUTE(VLOOKUP(E$2,convert!$A$1:$B$4,2,0),"@@@",E44))</f>
        <v>52</v>
      </c>
      <c r="U44" s="4" t="str">
        <f>IF(F44="",IF(ISNUMBER(SEARCH("NOT NULL",UPPER(F$3))),"''","null"),SUBSTITUTE(VLOOKUP(F$2,convert!$A$1:$B$4,2,0),"@@@",F44))</f>
        <v>40</v>
      </c>
      <c r="V44" s="4" t="str">
        <f>IF(G44="",IF(ISNUMBER(SEARCH("NOT NULL",UPPER(G$3))),"''","null"),SUBSTITUTE(VLOOKUP(G$2,convert!$A$1:$B$4,2,0),"@@@",G44))</f>
        <v>40</v>
      </c>
      <c r="W44" s="4" t="str">
        <f>IF(H44="",IF(ISNUMBER(SEARCH("NOT NULL",UPPER(H$3))),"''","null"),SUBSTITUTE(VLOOKUP(H$2,convert!$A$1:$B$4,2,0),"@@@",H44))</f>
        <v>41</v>
      </c>
      <c r="X44" s="4" t="str">
        <f>IF(I44="",IF(ISNUMBER(SEARCH("NOT NULL",UPPER(I$3))),"''","null"),SUBSTITUTE(VLOOKUP(I$2,convert!$A$1:$B$4,2,0),"@@@",I44))</f>
        <v>''</v>
      </c>
      <c r="Y44" s="4" t="str">
        <f>IF(J44="",IF(ISNUMBER(SEARCH("NOT NULL",UPPER(J$3))),"''","null"),SUBSTITUTE(VLOOKUP(J$2,convert!$A$1:$B$4,2,0),"@@@",J44))</f>
        <v>'poison'</v>
      </c>
      <c r="Z44" s="4" t="str">
        <f>IF(K44="",IF(ISNUMBER(SEARCH("NOT NULL",UPPER(K$3))),"''","null"),SUBSTITUTE(VLOOKUP(K$2,convert!$A$1:$B$4,2,0),"@@@",K44))</f>
        <v>null</v>
      </c>
      <c r="AA44" s="4" t="str">
        <f>IF(L44="",IF(ISNUMBER(SEARCH("NOT NULL",UPPER(L$3))),"''","null"),SUBSTITUTE(VLOOKUP(L$2,convert!$A$1:$B$4,2,0),"@@@",L44))</f>
        <v>'g1'</v>
      </c>
      <c r="AB44" s="4" t="str">
        <f>IF(M44="",IF(ISNUMBER(SEARCH("NOT NULL",UPPER(M$3))),"''","null"),SUBSTITUTE(VLOOKUP(M$2,convert!$A$1:$B$4,2,0),"@@@",M44))</f>
        <v>null</v>
      </c>
      <c r="AC44" s="4" t="str">
        <f>IF(N44="",IF(ISNUMBER(SEARCH("NOT NULL",UPPER(N$3))),"''","null"),SUBSTITUTE(VLOOKUP(N$2,convert!$A$1:$B$4,2,0),"@@@",N44))</f>
        <v>null</v>
      </c>
      <c r="AD44" s="4" t="str">
        <f>IF(O44="",IF(ISNUMBER(SEARCH("NOT NULL",UPPER(O$3))),"''","null"),SUBSTITUTE(VLOOKUP(O$2,convert!$A$1:$B$4,2,0),"@@@",O44))</f>
        <v>TRUE</v>
      </c>
      <c r="AE44" s="4" t="str">
        <f t="shared" si="0"/>
        <v>    ('0029N01', 'ニドラン♀', 55, 47, 52, 40, 40, 41, '', 'poison', null, 'g1', null, null, TRUE),</v>
      </c>
    </row>
    <row r="45" spans="1:31">
      <c r="A45" s="4" t="s">
        <v>125</v>
      </c>
      <c r="B45" s="4" t="s">
        <v>126</v>
      </c>
      <c r="C45" s="5">
        <v>70</v>
      </c>
      <c r="D45" s="5">
        <v>62</v>
      </c>
      <c r="E45" s="5">
        <v>67</v>
      </c>
      <c r="F45" s="5">
        <v>55</v>
      </c>
      <c r="G45" s="5">
        <v>55</v>
      </c>
      <c r="H45" s="5">
        <v>56</v>
      </c>
      <c r="I45" s="5"/>
      <c r="J45" s="4" t="s">
        <v>31</v>
      </c>
      <c r="K45" s="5"/>
      <c r="L45" s="4" t="s">
        <v>32</v>
      </c>
      <c r="M45" s="5"/>
      <c r="N45" s="5"/>
      <c r="O45" s="5" t="b">
        <v>1</v>
      </c>
      <c r="P45" s="4" t="str">
        <f>IF(A45="",IF(ISNUMBER(SEARCH("NOT NULL",UPPER(A$3))),"''","null"),SUBSTITUTE(VLOOKUP(A$2,convert!$A$1:$B$4,2,0),"@@@",A45))</f>
        <v>'0030N01'</v>
      </c>
      <c r="Q45" s="4" t="str">
        <f>IF(B45="",IF(ISNUMBER(SEARCH("NOT NULL",UPPER(B$3))),"''","null"),SUBSTITUTE(VLOOKUP(B$2,convert!$A$1:$B$4,2,0),"@@@",B45))</f>
        <v>'ニドリーナ'</v>
      </c>
      <c r="R45" s="4" t="str">
        <f>IF(C45="",IF(ISNUMBER(SEARCH("NOT NULL",UPPER(C$3))),"''","null"),SUBSTITUTE(VLOOKUP(C$2,convert!$A$1:$B$4,2,0),"@@@",C45))</f>
        <v>70</v>
      </c>
      <c r="S45" s="4" t="str">
        <f>IF(D45="",IF(ISNUMBER(SEARCH("NOT NULL",UPPER(D$3))),"''","null"),SUBSTITUTE(VLOOKUP(D$2,convert!$A$1:$B$4,2,0),"@@@",D45))</f>
        <v>62</v>
      </c>
      <c r="T45" s="4" t="str">
        <f>IF(E45="",IF(ISNUMBER(SEARCH("NOT NULL",UPPER(E$3))),"''","null"),SUBSTITUTE(VLOOKUP(E$2,convert!$A$1:$B$4,2,0),"@@@",E45))</f>
        <v>67</v>
      </c>
      <c r="U45" s="4" t="str">
        <f>IF(F45="",IF(ISNUMBER(SEARCH("NOT NULL",UPPER(F$3))),"''","null"),SUBSTITUTE(VLOOKUP(F$2,convert!$A$1:$B$4,2,0),"@@@",F45))</f>
        <v>55</v>
      </c>
      <c r="V45" s="4" t="str">
        <f>IF(G45="",IF(ISNUMBER(SEARCH("NOT NULL",UPPER(G$3))),"''","null"),SUBSTITUTE(VLOOKUP(G$2,convert!$A$1:$B$4,2,0),"@@@",G45))</f>
        <v>55</v>
      </c>
      <c r="W45" s="4" t="str">
        <f>IF(H45="",IF(ISNUMBER(SEARCH("NOT NULL",UPPER(H$3))),"''","null"),SUBSTITUTE(VLOOKUP(H$2,convert!$A$1:$B$4,2,0),"@@@",H45))</f>
        <v>56</v>
      </c>
      <c r="X45" s="4" t="str">
        <f>IF(I45="",IF(ISNUMBER(SEARCH("NOT NULL",UPPER(I$3))),"''","null"),SUBSTITUTE(VLOOKUP(I$2,convert!$A$1:$B$4,2,0),"@@@",I45))</f>
        <v>''</v>
      </c>
      <c r="Y45" s="4" t="str">
        <f>IF(J45="",IF(ISNUMBER(SEARCH("NOT NULL",UPPER(J$3))),"''","null"),SUBSTITUTE(VLOOKUP(J$2,convert!$A$1:$B$4,2,0),"@@@",J45))</f>
        <v>'poison'</v>
      </c>
      <c r="Z45" s="4" t="str">
        <f>IF(K45="",IF(ISNUMBER(SEARCH("NOT NULL",UPPER(K$3))),"''","null"),SUBSTITUTE(VLOOKUP(K$2,convert!$A$1:$B$4,2,0),"@@@",K45))</f>
        <v>null</v>
      </c>
      <c r="AA45" s="4" t="str">
        <f>IF(L45="",IF(ISNUMBER(SEARCH("NOT NULL",UPPER(L$3))),"''","null"),SUBSTITUTE(VLOOKUP(L$2,convert!$A$1:$B$4,2,0),"@@@",L45))</f>
        <v>'g1'</v>
      </c>
      <c r="AB45" s="4" t="str">
        <f>IF(M45="",IF(ISNUMBER(SEARCH("NOT NULL",UPPER(M$3))),"''","null"),SUBSTITUTE(VLOOKUP(M$2,convert!$A$1:$B$4,2,0),"@@@",M45))</f>
        <v>null</v>
      </c>
      <c r="AC45" s="4" t="str">
        <f>IF(N45="",IF(ISNUMBER(SEARCH("NOT NULL",UPPER(N$3))),"''","null"),SUBSTITUTE(VLOOKUP(N$2,convert!$A$1:$B$4,2,0),"@@@",N45))</f>
        <v>null</v>
      </c>
      <c r="AD45" s="4" t="str">
        <f>IF(O45="",IF(ISNUMBER(SEARCH("NOT NULL",UPPER(O$3))),"''","null"),SUBSTITUTE(VLOOKUP(O$2,convert!$A$1:$B$4,2,0),"@@@",O45))</f>
        <v>TRUE</v>
      </c>
      <c r="AE45" s="4" t="str">
        <f t="shared" si="0"/>
        <v>    ('0030N01', 'ニドリーナ', 70, 62, 67, 55, 55, 56, '', 'poison', null, 'g1', null, null, TRUE),</v>
      </c>
    </row>
    <row r="46" spans="1:31">
      <c r="A46" s="4" t="s">
        <v>127</v>
      </c>
      <c r="B46" s="4" t="s">
        <v>128</v>
      </c>
      <c r="C46" s="5">
        <v>90</v>
      </c>
      <c r="D46" s="5">
        <v>92</v>
      </c>
      <c r="E46" s="5">
        <v>87</v>
      </c>
      <c r="F46" s="5">
        <v>75</v>
      </c>
      <c r="G46" s="5">
        <v>85</v>
      </c>
      <c r="H46" s="5">
        <v>76</v>
      </c>
      <c r="I46" s="5"/>
      <c r="J46" s="4" t="s">
        <v>31</v>
      </c>
      <c r="K46" s="5"/>
      <c r="L46" s="4" t="s">
        <v>32</v>
      </c>
      <c r="M46" s="5"/>
      <c r="N46" s="5"/>
      <c r="O46" s="5" t="b">
        <v>1</v>
      </c>
      <c r="P46" s="4" t="str">
        <f>IF(A46="",IF(ISNUMBER(SEARCH("NOT NULL",UPPER(A$3))),"''","null"),SUBSTITUTE(VLOOKUP(A$2,convert!$A$1:$B$4,2,0),"@@@",A46))</f>
        <v>'0031N01'</v>
      </c>
      <c r="Q46" s="4" t="str">
        <f>IF(B46="",IF(ISNUMBER(SEARCH("NOT NULL",UPPER(B$3))),"''","null"),SUBSTITUTE(VLOOKUP(B$2,convert!$A$1:$B$4,2,0),"@@@",B46))</f>
        <v>'ニドクイン'</v>
      </c>
      <c r="R46" s="4" t="str">
        <f>IF(C46="",IF(ISNUMBER(SEARCH("NOT NULL",UPPER(C$3))),"''","null"),SUBSTITUTE(VLOOKUP(C$2,convert!$A$1:$B$4,2,0),"@@@",C46))</f>
        <v>90</v>
      </c>
      <c r="S46" s="4" t="str">
        <f>IF(D46="",IF(ISNUMBER(SEARCH("NOT NULL",UPPER(D$3))),"''","null"),SUBSTITUTE(VLOOKUP(D$2,convert!$A$1:$B$4,2,0),"@@@",D46))</f>
        <v>92</v>
      </c>
      <c r="T46" s="4" t="str">
        <f>IF(E46="",IF(ISNUMBER(SEARCH("NOT NULL",UPPER(E$3))),"''","null"),SUBSTITUTE(VLOOKUP(E$2,convert!$A$1:$B$4,2,0),"@@@",E46))</f>
        <v>87</v>
      </c>
      <c r="U46" s="4" t="str">
        <f>IF(F46="",IF(ISNUMBER(SEARCH("NOT NULL",UPPER(F$3))),"''","null"),SUBSTITUTE(VLOOKUP(F$2,convert!$A$1:$B$4,2,0),"@@@",F46))</f>
        <v>75</v>
      </c>
      <c r="V46" s="4" t="str">
        <f>IF(G46="",IF(ISNUMBER(SEARCH("NOT NULL",UPPER(G$3))),"''","null"),SUBSTITUTE(VLOOKUP(G$2,convert!$A$1:$B$4,2,0),"@@@",G46))</f>
        <v>85</v>
      </c>
      <c r="W46" s="4" t="str">
        <f>IF(H46="",IF(ISNUMBER(SEARCH("NOT NULL",UPPER(H$3))),"''","null"),SUBSTITUTE(VLOOKUP(H$2,convert!$A$1:$B$4,2,0),"@@@",H46))</f>
        <v>76</v>
      </c>
      <c r="X46" s="4" t="str">
        <f>IF(I46="",IF(ISNUMBER(SEARCH("NOT NULL",UPPER(I$3))),"''","null"),SUBSTITUTE(VLOOKUP(I$2,convert!$A$1:$B$4,2,0),"@@@",I46))</f>
        <v>''</v>
      </c>
      <c r="Y46" s="4" t="str">
        <f>IF(J46="",IF(ISNUMBER(SEARCH("NOT NULL",UPPER(J$3))),"''","null"),SUBSTITUTE(VLOOKUP(J$2,convert!$A$1:$B$4,2,0),"@@@",J46))</f>
        <v>'poison'</v>
      </c>
      <c r="Z46" s="4" t="str">
        <f>IF(K46="",IF(ISNUMBER(SEARCH("NOT NULL",UPPER(K$3))),"''","null"),SUBSTITUTE(VLOOKUP(K$2,convert!$A$1:$B$4,2,0),"@@@",K46))</f>
        <v>null</v>
      </c>
      <c r="AA46" s="4" t="str">
        <f>IF(L46="",IF(ISNUMBER(SEARCH("NOT NULL",UPPER(L$3))),"''","null"),SUBSTITUTE(VLOOKUP(L$2,convert!$A$1:$B$4,2,0),"@@@",L46))</f>
        <v>'g1'</v>
      </c>
      <c r="AB46" s="4" t="str">
        <f>IF(M46="",IF(ISNUMBER(SEARCH("NOT NULL",UPPER(M$3))),"''","null"),SUBSTITUTE(VLOOKUP(M$2,convert!$A$1:$B$4,2,0),"@@@",M46))</f>
        <v>null</v>
      </c>
      <c r="AC46" s="4" t="str">
        <f>IF(N46="",IF(ISNUMBER(SEARCH("NOT NULL",UPPER(N$3))),"''","null"),SUBSTITUTE(VLOOKUP(N$2,convert!$A$1:$B$4,2,0),"@@@",N46))</f>
        <v>null</v>
      </c>
      <c r="AD46" s="4" t="str">
        <f>IF(O46="",IF(ISNUMBER(SEARCH("NOT NULL",UPPER(O$3))),"''","null"),SUBSTITUTE(VLOOKUP(O$2,convert!$A$1:$B$4,2,0),"@@@",O46))</f>
        <v>TRUE</v>
      </c>
      <c r="AE46" s="4" t="str">
        <f t="shared" si="0"/>
        <v>    ('0031N01', 'ニドクイン', 90, 92, 87, 75, 85, 76, '', 'poison', null, 'g1', null, null, TRUE),</v>
      </c>
    </row>
    <row r="47" spans="1:31">
      <c r="A47" s="4" t="s">
        <v>129</v>
      </c>
      <c r="B47" s="4" t="s">
        <v>130</v>
      </c>
      <c r="C47" s="5">
        <v>46</v>
      </c>
      <c r="D47" s="5">
        <v>57</v>
      </c>
      <c r="E47" s="5">
        <v>40</v>
      </c>
      <c r="F47" s="5">
        <v>40</v>
      </c>
      <c r="G47" s="5">
        <v>40</v>
      </c>
      <c r="H47" s="5">
        <v>50</v>
      </c>
      <c r="I47" s="5"/>
      <c r="J47" s="4" t="s">
        <v>31</v>
      </c>
      <c r="K47" s="4" t="s">
        <v>116</v>
      </c>
      <c r="L47" s="4" t="s">
        <v>32</v>
      </c>
      <c r="M47" s="5"/>
      <c r="N47" s="5"/>
      <c r="O47" s="5" t="b">
        <v>1</v>
      </c>
      <c r="P47" s="4" t="str">
        <f>IF(A47="",IF(ISNUMBER(SEARCH("NOT NULL",UPPER(A$3))),"''","null"),SUBSTITUTE(VLOOKUP(A$2,convert!$A$1:$B$4,2,0),"@@@",A47))</f>
        <v>'0032N01'</v>
      </c>
      <c r="Q47" s="4" t="str">
        <f>IF(B47="",IF(ISNUMBER(SEARCH("NOT NULL",UPPER(B$3))),"''","null"),SUBSTITUTE(VLOOKUP(B$2,convert!$A$1:$B$4,2,0),"@@@",B47))</f>
        <v>'ニドラン♂'</v>
      </c>
      <c r="R47" s="4" t="str">
        <f>IF(C47="",IF(ISNUMBER(SEARCH("NOT NULL",UPPER(C$3))),"''","null"),SUBSTITUTE(VLOOKUP(C$2,convert!$A$1:$B$4,2,0),"@@@",C47))</f>
        <v>46</v>
      </c>
      <c r="S47" s="4" t="str">
        <f>IF(D47="",IF(ISNUMBER(SEARCH("NOT NULL",UPPER(D$3))),"''","null"),SUBSTITUTE(VLOOKUP(D$2,convert!$A$1:$B$4,2,0),"@@@",D47))</f>
        <v>57</v>
      </c>
      <c r="T47" s="4" t="str">
        <f>IF(E47="",IF(ISNUMBER(SEARCH("NOT NULL",UPPER(E$3))),"''","null"),SUBSTITUTE(VLOOKUP(E$2,convert!$A$1:$B$4,2,0),"@@@",E47))</f>
        <v>40</v>
      </c>
      <c r="U47" s="4" t="str">
        <f>IF(F47="",IF(ISNUMBER(SEARCH("NOT NULL",UPPER(F$3))),"''","null"),SUBSTITUTE(VLOOKUP(F$2,convert!$A$1:$B$4,2,0),"@@@",F47))</f>
        <v>40</v>
      </c>
      <c r="V47" s="4" t="str">
        <f>IF(G47="",IF(ISNUMBER(SEARCH("NOT NULL",UPPER(G$3))),"''","null"),SUBSTITUTE(VLOOKUP(G$2,convert!$A$1:$B$4,2,0),"@@@",G47))</f>
        <v>40</v>
      </c>
      <c r="W47" s="4" t="str">
        <f>IF(H47="",IF(ISNUMBER(SEARCH("NOT NULL",UPPER(H$3))),"''","null"),SUBSTITUTE(VLOOKUP(H$2,convert!$A$1:$B$4,2,0),"@@@",H47))</f>
        <v>50</v>
      </c>
      <c r="X47" s="4" t="str">
        <f>IF(I47="",IF(ISNUMBER(SEARCH("NOT NULL",UPPER(I$3))),"''","null"),SUBSTITUTE(VLOOKUP(I$2,convert!$A$1:$B$4,2,0),"@@@",I47))</f>
        <v>''</v>
      </c>
      <c r="Y47" s="4" t="str">
        <f>IF(J47="",IF(ISNUMBER(SEARCH("NOT NULL",UPPER(J$3))),"''","null"),SUBSTITUTE(VLOOKUP(J$2,convert!$A$1:$B$4,2,0),"@@@",J47))</f>
        <v>'poison'</v>
      </c>
      <c r="Z47" s="4" t="str">
        <f>IF(K47="",IF(ISNUMBER(SEARCH("NOT NULL",UPPER(K$3))),"''","null"),SUBSTITUTE(VLOOKUP(K$2,convert!$A$1:$B$4,2,0),"@@@",K47))</f>
        <v>'ground'</v>
      </c>
      <c r="AA47" s="4" t="str">
        <f>IF(L47="",IF(ISNUMBER(SEARCH("NOT NULL",UPPER(L$3))),"''","null"),SUBSTITUTE(VLOOKUP(L$2,convert!$A$1:$B$4,2,0),"@@@",L47))</f>
        <v>'g1'</v>
      </c>
      <c r="AB47" s="4" t="str">
        <f>IF(M47="",IF(ISNUMBER(SEARCH("NOT NULL",UPPER(M$3))),"''","null"),SUBSTITUTE(VLOOKUP(M$2,convert!$A$1:$B$4,2,0),"@@@",M47))</f>
        <v>null</v>
      </c>
      <c r="AC47" s="4" t="str">
        <f>IF(N47="",IF(ISNUMBER(SEARCH("NOT NULL",UPPER(N$3))),"''","null"),SUBSTITUTE(VLOOKUP(N$2,convert!$A$1:$B$4,2,0),"@@@",N47))</f>
        <v>null</v>
      </c>
      <c r="AD47" s="4" t="str">
        <f>IF(O47="",IF(ISNUMBER(SEARCH("NOT NULL",UPPER(O$3))),"''","null"),SUBSTITUTE(VLOOKUP(O$2,convert!$A$1:$B$4,2,0),"@@@",O47))</f>
        <v>TRUE</v>
      </c>
      <c r="AE47" s="4" t="str">
        <f t="shared" si="0"/>
        <v>    ('0032N01', 'ニドラン♂', 46, 57, 40, 40, 40, 50, '', 'poison', 'ground', 'g1', null, null, TRUE),</v>
      </c>
    </row>
    <row r="48" spans="1:31">
      <c r="A48" s="4" t="s">
        <v>131</v>
      </c>
      <c r="B48" s="4" t="s">
        <v>132</v>
      </c>
      <c r="C48" s="5">
        <v>61</v>
      </c>
      <c r="D48" s="5">
        <v>72</v>
      </c>
      <c r="E48" s="5">
        <v>57</v>
      </c>
      <c r="F48" s="5">
        <v>55</v>
      </c>
      <c r="G48" s="5">
        <v>55</v>
      </c>
      <c r="H48" s="5">
        <v>65</v>
      </c>
      <c r="I48" s="5"/>
      <c r="J48" s="4" t="s">
        <v>31</v>
      </c>
      <c r="K48" s="5"/>
      <c r="L48" s="4" t="s">
        <v>32</v>
      </c>
      <c r="M48" s="5"/>
      <c r="N48" s="5"/>
      <c r="O48" s="5" t="b">
        <v>1</v>
      </c>
      <c r="P48" s="4" t="str">
        <f>IF(A48="",IF(ISNUMBER(SEARCH("NOT NULL",UPPER(A$3))),"''","null"),SUBSTITUTE(VLOOKUP(A$2,convert!$A$1:$B$4,2,0),"@@@",A48))</f>
        <v>'0033N01'</v>
      </c>
      <c r="Q48" s="4" t="str">
        <f>IF(B48="",IF(ISNUMBER(SEARCH("NOT NULL",UPPER(B$3))),"''","null"),SUBSTITUTE(VLOOKUP(B$2,convert!$A$1:$B$4,2,0),"@@@",B48))</f>
        <v>'ニドリーノ'</v>
      </c>
      <c r="R48" s="4" t="str">
        <f>IF(C48="",IF(ISNUMBER(SEARCH("NOT NULL",UPPER(C$3))),"''","null"),SUBSTITUTE(VLOOKUP(C$2,convert!$A$1:$B$4,2,0),"@@@",C48))</f>
        <v>61</v>
      </c>
      <c r="S48" s="4" t="str">
        <f>IF(D48="",IF(ISNUMBER(SEARCH("NOT NULL",UPPER(D$3))),"''","null"),SUBSTITUTE(VLOOKUP(D$2,convert!$A$1:$B$4,2,0),"@@@",D48))</f>
        <v>72</v>
      </c>
      <c r="T48" s="4" t="str">
        <f>IF(E48="",IF(ISNUMBER(SEARCH("NOT NULL",UPPER(E$3))),"''","null"),SUBSTITUTE(VLOOKUP(E$2,convert!$A$1:$B$4,2,0),"@@@",E48))</f>
        <v>57</v>
      </c>
      <c r="U48" s="4" t="str">
        <f>IF(F48="",IF(ISNUMBER(SEARCH("NOT NULL",UPPER(F$3))),"''","null"),SUBSTITUTE(VLOOKUP(F$2,convert!$A$1:$B$4,2,0),"@@@",F48))</f>
        <v>55</v>
      </c>
      <c r="V48" s="4" t="str">
        <f>IF(G48="",IF(ISNUMBER(SEARCH("NOT NULL",UPPER(G$3))),"''","null"),SUBSTITUTE(VLOOKUP(G$2,convert!$A$1:$B$4,2,0),"@@@",G48))</f>
        <v>55</v>
      </c>
      <c r="W48" s="4" t="str">
        <f>IF(H48="",IF(ISNUMBER(SEARCH("NOT NULL",UPPER(H$3))),"''","null"),SUBSTITUTE(VLOOKUP(H$2,convert!$A$1:$B$4,2,0),"@@@",H48))</f>
        <v>65</v>
      </c>
      <c r="X48" s="4" t="str">
        <f>IF(I48="",IF(ISNUMBER(SEARCH("NOT NULL",UPPER(I$3))),"''","null"),SUBSTITUTE(VLOOKUP(I$2,convert!$A$1:$B$4,2,0),"@@@",I48))</f>
        <v>''</v>
      </c>
      <c r="Y48" s="4" t="str">
        <f>IF(J48="",IF(ISNUMBER(SEARCH("NOT NULL",UPPER(J$3))),"''","null"),SUBSTITUTE(VLOOKUP(J$2,convert!$A$1:$B$4,2,0),"@@@",J48))</f>
        <v>'poison'</v>
      </c>
      <c r="Z48" s="4" t="str">
        <f>IF(K48="",IF(ISNUMBER(SEARCH("NOT NULL",UPPER(K$3))),"''","null"),SUBSTITUTE(VLOOKUP(K$2,convert!$A$1:$B$4,2,0),"@@@",K48))</f>
        <v>null</v>
      </c>
      <c r="AA48" s="4" t="str">
        <f>IF(L48="",IF(ISNUMBER(SEARCH("NOT NULL",UPPER(L$3))),"''","null"),SUBSTITUTE(VLOOKUP(L$2,convert!$A$1:$B$4,2,0),"@@@",L48))</f>
        <v>'g1'</v>
      </c>
      <c r="AB48" s="4" t="str">
        <f>IF(M48="",IF(ISNUMBER(SEARCH("NOT NULL",UPPER(M$3))),"''","null"),SUBSTITUTE(VLOOKUP(M$2,convert!$A$1:$B$4,2,0),"@@@",M48))</f>
        <v>null</v>
      </c>
      <c r="AC48" s="4" t="str">
        <f>IF(N48="",IF(ISNUMBER(SEARCH("NOT NULL",UPPER(N$3))),"''","null"),SUBSTITUTE(VLOOKUP(N$2,convert!$A$1:$B$4,2,0),"@@@",N48))</f>
        <v>null</v>
      </c>
      <c r="AD48" s="4" t="str">
        <f>IF(O48="",IF(ISNUMBER(SEARCH("NOT NULL",UPPER(O$3))),"''","null"),SUBSTITUTE(VLOOKUP(O$2,convert!$A$1:$B$4,2,0),"@@@",O48))</f>
        <v>TRUE</v>
      </c>
      <c r="AE48" s="4" t="str">
        <f t="shared" si="0"/>
        <v>    ('0033N01', 'ニドリーノ', 61, 72, 57, 55, 55, 65, '', 'poison', null, 'g1', null, null, TRUE),</v>
      </c>
    </row>
    <row r="49" spans="1:31">
      <c r="A49" s="4" t="s">
        <v>133</v>
      </c>
      <c r="B49" s="4" t="s">
        <v>134</v>
      </c>
      <c r="C49" s="5">
        <v>81</v>
      </c>
      <c r="D49" s="5">
        <v>102</v>
      </c>
      <c r="E49" s="5">
        <v>77</v>
      </c>
      <c r="F49" s="5">
        <v>85</v>
      </c>
      <c r="G49" s="5">
        <v>75</v>
      </c>
      <c r="H49" s="5">
        <v>85</v>
      </c>
      <c r="I49" s="5"/>
      <c r="J49" s="4" t="s">
        <v>31</v>
      </c>
      <c r="K49" s="5"/>
      <c r="L49" s="4" t="s">
        <v>32</v>
      </c>
      <c r="M49" s="5"/>
      <c r="N49" s="5"/>
      <c r="O49" s="5" t="b">
        <v>1</v>
      </c>
      <c r="P49" s="4" t="str">
        <f>IF(A49="",IF(ISNUMBER(SEARCH("NOT NULL",UPPER(A$3))),"''","null"),SUBSTITUTE(VLOOKUP(A$2,convert!$A$1:$B$4,2,0),"@@@",A49))</f>
        <v>'0034N01'</v>
      </c>
      <c r="Q49" s="4" t="str">
        <f>IF(B49="",IF(ISNUMBER(SEARCH("NOT NULL",UPPER(B$3))),"''","null"),SUBSTITUTE(VLOOKUP(B$2,convert!$A$1:$B$4,2,0),"@@@",B49))</f>
        <v>'ニドキング'</v>
      </c>
      <c r="R49" s="4" t="str">
        <f>IF(C49="",IF(ISNUMBER(SEARCH("NOT NULL",UPPER(C$3))),"''","null"),SUBSTITUTE(VLOOKUP(C$2,convert!$A$1:$B$4,2,0),"@@@",C49))</f>
        <v>81</v>
      </c>
      <c r="S49" s="4" t="str">
        <f>IF(D49="",IF(ISNUMBER(SEARCH("NOT NULL",UPPER(D$3))),"''","null"),SUBSTITUTE(VLOOKUP(D$2,convert!$A$1:$B$4,2,0),"@@@",D49))</f>
        <v>102</v>
      </c>
      <c r="T49" s="4" t="str">
        <f>IF(E49="",IF(ISNUMBER(SEARCH("NOT NULL",UPPER(E$3))),"''","null"),SUBSTITUTE(VLOOKUP(E$2,convert!$A$1:$B$4,2,0),"@@@",E49))</f>
        <v>77</v>
      </c>
      <c r="U49" s="4" t="str">
        <f>IF(F49="",IF(ISNUMBER(SEARCH("NOT NULL",UPPER(F$3))),"''","null"),SUBSTITUTE(VLOOKUP(F$2,convert!$A$1:$B$4,2,0),"@@@",F49))</f>
        <v>85</v>
      </c>
      <c r="V49" s="4" t="str">
        <f>IF(G49="",IF(ISNUMBER(SEARCH("NOT NULL",UPPER(G$3))),"''","null"),SUBSTITUTE(VLOOKUP(G$2,convert!$A$1:$B$4,2,0),"@@@",G49))</f>
        <v>75</v>
      </c>
      <c r="W49" s="4" t="str">
        <f>IF(H49="",IF(ISNUMBER(SEARCH("NOT NULL",UPPER(H$3))),"''","null"),SUBSTITUTE(VLOOKUP(H$2,convert!$A$1:$B$4,2,0),"@@@",H49))</f>
        <v>85</v>
      </c>
      <c r="X49" s="4" t="str">
        <f>IF(I49="",IF(ISNUMBER(SEARCH("NOT NULL",UPPER(I$3))),"''","null"),SUBSTITUTE(VLOOKUP(I$2,convert!$A$1:$B$4,2,0),"@@@",I49))</f>
        <v>''</v>
      </c>
      <c r="Y49" s="4" t="str">
        <f>IF(J49="",IF(ISNUMBER(SEARCH("NOT NULL",UPPER(J$3))),"''","null"),SUBSTITUTE(VLOOKUP(J$2,convert!$A$1:$B$4,2,0),"@@@",J49))</f>
        <v>'poison'</v>
      </c>
      <c r="Z49" s="4" t="str">
        <f>IF(K49="",IF(ISNUMBER(SEARCH("NOT NULL",UPPER(K$3))),"''","null"),SUBSTITUTE(VLOOKUP(K$2,convert!$A$1:$B$4,2,0),"@@@",K49))</f>
        <v>null</v>
      </c>
      <c r="AA49" s="4" t="str">
        <f>IF(L49="",IF(ISNUMBER(SEARCH("NOT NULL",UPPER(L$3))),"''","null"),SUBSTITUTE(VLOOKUP(L$2,convert!$A$1:$B$4,2,0),"@@@",L49))</f>
        <v>'g1'</v>
      </c>
      <c r="AB49" s="4" t="str">
        <f>IF(M49="",IF(ISNUMBER(SEARCH("NOT NULL",UPPER(M$3))),"''","null"),SUBSTITUTE(VLOOKUP(M$2,convert!$A$1:$B$4,2,0),"@@@",M49))</f>
        <v>null</v>
      </c>
      <c r="AC49" s="4" t="str">
        <f>IF(N49="",IF(ISNUMBER(SEARCH("NOT NULL",UPPER(N$3))),"''","null"),SUBSTITUTE(VLOOKUP(N$2,convert!$A$1:$B$4,2,0),"@@@",N49))</f>
        <v>null</v>
      </c>
      <c r="AD49" s="4" t="str">
        <f>IF(O49="",IF(ISNUMBER(SEARCH("NOT NULL",UPPER(O$3))),"''","null"),SUBSTITUTE(VLOOKUP(O$2,convert!$A$1:$B$4,2,0),"@@@",O49))</f>
        <v>TRUE</v>
      </c>
      <c r="AE49" s="4" t="str">
        <f t="shared" si="0"/>
        <v>    ('0034N01', 'ニドキング', 81, 102, 77, 85, 75, 85, '', 'poison', null, 'g1', null, null, TRUE),</v>
      </c>
    </row>
    <row r="50" spans="1:31">
      <c r="A50" s="4" t="s">
        <v>135</v>
      </c>
      <c r="B50" s="4" t="s">
        <v>136</v>
      </c>
      <c r="C50" s="5">
        <v>70</v>
      </c>
      <c r="D50" s="5">
        <v>45</v>
      </c>
      <c r="E50" s="5">
        <v>48</v>
      </c>
      <c r="F50" s="5">
        <v>60</v>
      </c>
      <c r="G50" s="5">
        <v>65</v>
      </c>
      <c r="H50" s="5">
        <v>35</v>
      </c>
      <c r="I50" s="5"/>
      <c r="J50" s="4" t="s">
        <v>137</v>
      </c>
      <c r="K50" s="4" t="s">
        <v>116</v>
      </c>
      <c r="L50" s="4" t="s">
        <v>32</v>
      </c>
      <c r="M50" s="5"/>
      <c r="N50" s="5"/>
      <c r="O50" s="5" t="b">
        <v>1</v>
      </c>
      <c r="P50" s="4" t="str">
        <f>IF(A50="",IF(ISNUMBER(SEARCH("NOT NULL",UPPER(A$3))),"''","null"),SUBSTITUTE(VLOOKUP(A$2,convert!$A$1:$B$4,2,0),"@@@",A50))</f>
        <v>'0035N01'</v>
      </c>
      <c r="Q50" s="4" t="str">
        <f>IF(B50="",IF(ISNUMBER(SEARCH("NOT NULL",UPPER(B$3))),"''","null"),SUBSTITUTE(VLOOKUP(B$2,convert!$A$1:$B$4,2,0),"@@@",B50))</f>
        <v>'ピッピ'</v>
      </c>
      <c r="R50" s="4" t="str">
        <f>IF(C50="",IF(ISNUMBER(SEARCH("NOT NULL",UPPER(C$3))),"''","null"),SUBSTITUTE(VLOOKUP(C$2,convert!$A$1:$B$4,2,0),"@@@",C50))</f>
        <v>70</v>
      </c>
      <c r="S50" s="4" t="str">
        <f>IF(D50="",IF(ISNUMBER(SEARCH("NOT NULL",UPPER(D$3))),"''","null"),SUBSTITUTE(VLOOKUP(D$2,convert!$A$1:$B$4,2,0),"@@@",D50))</f>
        <v>45</v>
      </c>
      <c r="T50" s="4" t="str">
        <f>IF(E50="",IF(ISNUMBER(SEARCH("NOT NULL",UPPER(E$3))),"''","null"),SUBSTITUTE(VLOOKUP(E$2,convert!$A$1:$B$4,2,0),"@@@",E50))</f>
        <v>48</v>
      </c>
      <c r="U50" s="4" t="str">
        <f>IF(F50="",IF(ISNUMBER(SEARCH("NOT NULL",UPPER(F$3))),"''","null"),SUBSTITUTE(VLOOKUP(F$2,convert!$A$1:$B$4,2,0),"@@@",F50))</f>
        <v>60</v>
      </c>
      <c r="V50" s="4" t="str">
        <f>IF(G50="",IF(ISNUMBER(SEARCH("NOT NULL",UPPER(G$3))),"''","null"),SUBSTITUTE(VLOOKUP(G$2,convert!$A$1:$B$4,2,0),"@@@",G50))</f>
        <v>65</v>
      </c>
      <c r="W50" s="4" t="str">
        <f>IF(H50="",IF(ISNUMBER(SEARCH("NOT NULL",UPPER(H$3))),"''","null"),SUBSTITUTE(VLOOKUP(H$2,convert!$A$1:$B$4,2,0),"@@@",H50))</f>
        <v>35</v>
      </c>
      <c r="X50" s="4" t="str">
        <f>IF(I50="",IF(ISNUMBER(SEARCH("NOT NULL",UPPER(I$3))),"''","null"),SUBSTITUTE(VLOOKUP(I$2,convert!$A$1:$B$4,2,0),"@@@",I50))</f>
        <v>''</v>
      </c>
      <c r="Y50" s="4" t="str">
        <f>IF(J50="",IF(ISNUMBER(SEARCH("NOT NULL",UPPER(J$3))),"''","null"),SUBSTITUTE(VLOOKUP(J$2,convert!$A$1:$B$4,2,0),"@@@",J50))</f>
        <v>'fairy'</v>
      </c>
      <c r="Z50" s="4" t="str">
        <f>IF(K50="",IF(ISNUMBER(SEARCH("NOT NULL",UPPER(K$3))),"''","null"),SUBSTITUTE(VLOOKUP(K$2,convert!$A$1:$B$4,2,0),"@@@",K50))</f>
        <v>'ground'</v>
      </c>
      <c r="AA50" s="4" t="str">
        <f>IF(L50="",IF(ISNUMBER(SEARCH("NOT NULL",UPPER(L$3))),"''","null"),SUBSTITUTE(VLOOKUP(L$2,convert!$A$1:$B$4,2,0),"@@@",L50))</f>
        <v>'g1'</v>
      </c>
      <c r="AB50" s="4" t="str">
        <f>IF(M50="",IF(ISNUMBER(SEARCH("NOT NULL",UPPER(M$3))),"''","null"),SUBSTITUTE(VLOOKUP(M$2,convert!$A$1:$B$4,2,0),"@@@",M50))</f>
        <v>null</v>
      </c>
      <c r="AC50" s="4" t="str">
        <f>IF(N50="",IF(ISNUMBER(SEARCH("NOT NULL",UPPER(N$3))),"''","null"),SUBSTITUTE(VLOOKUP(N$2,convert!$A$1:$B$4,2,0),"@@@",N50))</f>
        <v>null</v>
      </c>
      <c r="AD50" s="4" t="str">
        <f>IF(O50="",IF(ISNUMBER(SEARCH("NOT NULL",UPPER(O$3))),"''","null"),SUBSTITUTE(VLOOKUP(O$2,convert!$A$1:$B$4,2,0),"@@@",O50))</f>
        <v>TRUE</v>
      </c>
      <c r="AE50" s="4" t="str">
        <f t="shared" si="0"/>
        <v>    ('0035N01', 'ピッピ', 70, 45, 48, 60, 65, 35, '', 'fairy', 'ground', 'g1', null, null, TRUE),</v>
      </c>
    </row>
    <row r="51" spans="1:31">
      <c r="A51" s="4" t="s">
        <v>138</v>
      </c>
      <c r="B51" s="4" t="s">
        <v>139</v>
      </c>
      <c r="C51" s="5">
        <v>95</v>
      </c>
      <c r="D51" s="5">
        <v>70</v>
      </c>
      <c r="E51" s="5">
        <v>73</v>
      </c>
      <c r="F51" s="5">
        <v>95</v>
      </c>
      <c r="G51" s="5">
        <v>90</v>
      </c>
      <c r="H51" s="5">
        <v>60</v>
      </c>
      <c r="I51" s="5"/>
      <c r="J51" s="4" t="s">
        <v>137</v>
      </c>
      <c r="K51" s="5"/>
      <c r="L51" s="4" t="s">
        <v>32</v>
      </c>
      <c r="M51" s="5"/>
      <c r="N51" s="5"/>
      <c r="O51" s="5" t="b">
        <v>1</v>
      </c>
      <c r="P51" s="4" t="str">
        <f>IF(A51="",IF(ISNUMBER(SEARCH("NOT NULL",UPPER(A$3))),"''","null"),SUBSTITUTE(VLOOKUP(A$2,convert!$A$1:$B$4,2,0),"@@@",A51))</f>
        <v>'0036N01'</v>
      </c>
      <c r="Q51" s="4" t="str">
        <f>IF(B51="",IF(ISNUMBER(SEARCH("NOT NULL",UPPER(B$3))),"''","null"),SUBSTITUTE(VLOOKUP(B$2,convert!$A$1:$B$4,2,0),"@@@",B51))</f>
        <v>'ピクシー'</v>
      </c>
      <c r="R51" s="4" t="str">
        <f>IF(C51="",IF(ISNUMBER(SEARCH("NOT NULL",UPPER(C$3))),"''","null"),SUBSTITUTE(VLOOKUP(C$2,convert!$A$1:$B$4,2,0),"@@@",C51))</f>
        <v>95</v>
      </c>
      <c r="S51" s="4" t="str">
        <f>IF(D51="",IF(ISNUMBER(SEARCH("NOT NULL",UPPER(D$3))),"''","null"),SUBSTITUTE(VLOOKUP(D$2,convert!$A$1:$B$4,2,0),"@@@",D51))</f>
        <v>70</v>
      </c>
      <c r="T51" s="4" t="str">
        <f>IF(E51="",IF(ISNUMBER(SEARCH("NOT NULL",UPPER(E$3))),"''","null"),SUBSTITUTE(VLOOKUP(E$2,convert!$A$1:$B$4,2,0),"@@@",E51))</f>
        <v>73</v>
      </c>
      <c r="U51" s="4" t="str">
        <f>IF(F51="",IF(ISNUMBER(SEARCH("NOT NULL",UPPER(F$3))),"''","null"),SUBSTITUTE(VLOOKUP(F$2,convert!$A$1:$B$4,2,0),"@@@",F51))</f>
        <v>95</v>
      </c>
      <c r="V51" s="4" t="str">
        <f>IF(G51="",IF(ISNUMBER(SEARCH("NOT NULL",UPPER(G$3))),"''","null"),SUBSTITUTE(VLOOKUP(G$2,convert!$A$1:$B$4,2,0),"@@@",G51))</f>
        <v>90</v>
      </c>
      <c r="W51" s="4" t="str">
        <f>IF(H51="",IF(ISNUMBER(SEARCH("NOT NULL",UPPER(H$3))),"''","null"),SUBSTITUTE(VLOOKUP(H$2,convert!$A$1:$B$4,2,0),"@@@",H51))</f>
        <v>60</v>
      </c>
      <c r="X51" s="4" t="str">
        <f>IF(I51="",IF(ISNUMBER(SEARCH("NOT NULL",UPPER(I$3))),"''","null"),SUBSTITUTE(VLOOKUP(I$2,convert!$A$1:$B$4,2,0),"@@@",I51))</f>
        <v>''</v>
      </c>
      <c r="Y51" s="4" t="str">
        <f>IF(J51="",IF(ISNUMBER(SEARCH("NOT NULL",UPPER(J$3))),"''","null"),SUBSTITUTE(VLOOKUP(J$2,convert!$A$1:$B$4,2,0),"@@@",J51))</f>
        <v>'fairy'</v>
      </c>
      <c r="Z51" s="4" t="str">
        <f>IF(K51="",IF(ISNUMBER(SEARCH("NOT NULL",UPPER(K$3))),"''","null"),SUBSTITUTE(VLOOKUP(K$2,convert!$A$1:$B$4,2,0),"@@@",K51))</f>
        <v>null</v>
      </c>
      <c r="AA51" s="4" t="str">
        <f>IF(L51="",IF(ISNUMBER(SEARCH("NOT NULL",UPPER(L$3))),"''","null"),SUBSTITUTE(VLOOKUP(L$2,convert!$A$1:$B$4,2,0),"@@@",L51))</f>
        <v>'g1'</v>
      </c>
      <c r="AB51" s="4" t="str">
        <f>IF(M51="",IF(ISNUMBER(SEARCH("NOT NULL",UPPER(M$3))),"''","null"),SUBSTITUTE(VLOOKUP(M$2,convert!$A$1:$B$4,2,0),"@@@",M51))</f>
        <v>null</v>
      </c>
      <c r="AC51" s="4" t="str">
        <f>IF(N51="",IF(ISNUMBER(SEARCH("NOT NULL",UPPER(N$3))),"''","null"),SUBSTITUTE(VLOOKUP(N$2,convert!$A$1:$B$4,2,0),"@@@",N51))</f>
        <v>null</v>
      </c>
      <c r="AD51" s="4" t="str">
        <f>IF(O51="",IF(ISNUMBER(SEARCH("NOT NULL",UPPER(O$3))),"''","null"),SUBSTITUTE(VLOOKUP(O$2,convert!$A$1:$B$4,2,0),"@@@",O51))</f>
        <v>TRUE</v>
      </c>
      <c r="AE51" s="4" t="str">
        <f t="shared" si="0"/>
        <v>    ('0036N01', 'ピクシー', 95, 70, 73, 95, 90, 60, '', 'fairy', null, 'g1', null, null, TRUE),</v>
      </c>
    </row>
    <row r="52" spans="1:31">
      <c r="A52" s="4" t="s">
        <v>140</v>
      </c>
      <c r="B52" s="4" t="s">
        <v>141</v>
      </c>
      <c r="C52" s="5">
        <v>38</v>
      </c>
      <c r="D52" s="5">
        <v>41</v>
      </c>
      <c r="E52" s="5">
        <v>40</v>
      </c>
      <c r="F52" s="5">
        <v>50</v>
      </c>
      <c r="G52" s="5">
        <v>65</v>
      </c>
      <c r="H52" s="5">
        <v>65</v>
      </c>
      <c r="I52" s="5"/>
      <c r="J52" s="4" t="s">
        <v>42</v>
      </c>
      <c r="K52" s="5"/>
      <c r="L52" s="4" t="s">
        <v>32</v>
      </c>
      <c r="M52" s="5"/>
      <c r="N52" s="5"/>
      <c r="O52" s="5" t="b">
        <v>1</v>
      </c>
      <c r="P52" s="4" t="str">
        <f>IF(A52="",IF(ISNUMBER(SEARCH("NOT NULL",UPPER(A$3))),"''","null"),SUBSTITUTE(VLOOKUP(A$2,convert!$A$1:$B$4,2,0),"@@@",A52))</f>
        <v>'0037N01'</v>
      </c>
      <c r="Q52" s="4" t="str">
        <f>IF(B52="",IF(ISNUMBER(SEARCH("NOT NULL",UPPER(B$3))),"''","null"),SUBSTITUTE(VLOOKUP(B$2,convert!$A$1:$B$4,2,0),"@@@",B52))</f>
        <v>'ロコン'</v>
      </c>
      <c r="R52" s="4" t="str">
        <f>IF(C52="",IF(ISNUMBER(SEARCH("NOT NULL",UPPER(C$3))),"''","null"),SUBSTITUTE(VLOOKUP(C$2,convert!$A$1:$B$4,2,0),"@@@",C52))</f>
        <v>38</v>
      </c>
      <c r="S52" s="4" t="str">
        <f>IF(D52="",IF(ISNUMBER(SEARCH("NOT NULL",UPPER(D$3))),"''","null"),SUBSTITUTE(VLOOKUP(D$2,convert!$A$1:$B$4,2,0),"@@@",D52))</f>
        <v>41</v>
      </c>
      <c r="T52" s="4" t="str">
        <f>IF(E52="",IF(ISNUMBER(SEARCH("NOT NULL",UPPER(E$3))),"''","null"),SUBSTITUTE(VLOOKUP(E$2,convert!$A$1:$B$4,2,0),"@@@",E52))</f>
        <v>40</v>
      </c>
      <c r="U52" s="4" t="str">
        <f>IF(F52="",IF(ISNUMBER(SEARCH("NOT NULL",UPPER(F$3))),"''","null"),SUBSTITUTE(VLOOKUP(F$2,convert!$A$1:$B$4,2,0),"@@@",F52))</f>
        <v>50</v>
      </c>
      <c r="V52" s="4" t="str">
        <f>IF(G52="",IF(ISNUMBER(SEARCH("NOT NULL",UPPER(G$3))),"''","null"),SUBSTITUTE(VLOOKUP(G$2,convert!$A$1:$B$4,2,0),"@@@",G52))</f>
        <v>65</v>
      </c>
      <c r="W52" s="4" t="str">
        <f>IF(H52="",IF(ISNUMBER(SEARCH("NOT NULL",UPPER(H$3))),"''","null"),SUBSTITUTE(VLOOKUP(H$2,convert!$A$1:$B$4,2,0),"@@@",H52))</f>
        <v>65</v>
      </c>
      <c r="X52" s="4" t="str">
        <f>IF(I52="",IF(ISNUMBER(SEARCH("NOT NULL",UPPER(I$3))),"''","null"),SUBSTITUTE(VLOOKUP(I$2,convert!$A$1:$B$4,2,0),"@@@",I52))</f>
        <v>''</v>
      </c>
      <c r="Y52" s="4" t="str">
        <f>IF(J52="",IF(ISNUMBER(SEARCH("NOT NULL",UPPER(J$3))),"''","null"),SUBSTITUTE(VLOOKUP(J$2,convert!$A$1:$B$4,2,0),"@@@",J52))</f>
        <v>'fire'</v>
      </c>
      <c r="Z52" s="4" t="str">
        <f>IF(K52="",IF(ISNUMBER(SEARCH("NOT NULL",UPPER(K$3))),"''","null"),SUBSTITUTE(VLOOKUP(K$2,convert!$A$1:$B$4,2,0),"@@@",K52))</f>
        <v>null</v>
      </c>
      <c r="AA52" s="4" t="str">
        <f>IF(L52="",IF(ISNUMBER(SEARCH("NOT NULL",UPPER(L$3))),"''","null"),SUBSTITUTE(VLOOKUP(L$2,convert!$A$1:$B$4,2,0),"@@@",L52))</f>
        <v>'g1'</v>
      </c>
      <c r="AB52" s="4" t="str">
        <f>IF(M52="",IF(ISNUMBER(SEARCH("NOT NULL",UPPER(M$3))),"''","null"),SUBSTITUTE(VLOOKUP(M$2,convert!$A$1:$B$4,2,0),"@@@",M52))</f>
        <v>null</v>
      </c>
      <c r="AC52" s="4" t="str">
        <f>IF(N52="",IF(ISNUMBER(SEARCH("NOT NULL",UPPER(N$3))),"''","null"),SUBSTITUTE(VLOOKUP(N$2,convert!$A$1:$B$4,2,0),"@@@",N52))</f>
        <v>null</v>
      </c>
      <c r="AD52" s="4" t="str">
        <f>IF(O52="",IF(ISNUMBER(SEARCH("NOT NULL",UPPER(O$3))),"''","null"),SUBSTITUTE(VLOOKUP(O$2,convert!$A$1:$B$4,2,0),"@@@",O52))</f>
        <v>TRUE</v>
      </c>
      <c r="AE52" s="4" t="str">
        <f t="shared" si="0"/>
        <v>    ('0037N01', 'ロコン', 38, 41, 40, 50, 65, 65, '', 'fire', null, 'g1', null, null, TRUE),</v>
      </c>
    </row>
    <row r="53" spans="1:31">
      <c r="A53" s="4" t="s">
        <v>142</v>
      </c>
      <c r="B53" s="4" t="s">
        <v>141</v>
      </c>
      <c r="C53" s="5">
        <v>38</v>
      </c>
      <c r="D53" s="5">
        <v>41</v>
      </c>
      <c r="E53" s="5">
        <v>40</v>
      </c>
      <c r="F53" s="5">
        <v>50</v>
      </c>
      <c r="G53" s="5">
        <v>65</v>
      </c>
      <c r="H53" s="5">
        <v>65</v>
      </c>
      <c r="I53" s="4" t="s">
        <v>90</v>
      </c>
      <c r="J53" s="4" t="s">
        <v>118</v>
      </c>
      <c r="K53" s="5"/>
      <c r="L53" s="4" t="s">
        <v>92</v>
      </c>
      <c r="M53" s="5"/>
      <c r="N53" s="5"/>
      <c r="O53" s="5" t="b">
        <v>1</v>
      </c>
      <c r="P53" s="4" t="str">
        <f>IF(A53="",IF(ISNUMBER(SEARCH("NOT NULL",UPPER(A$3))),"''","null"),SUBSTITUTE(VLOOKUP(A$2,convert!$A$1:$B$4,2,0),"@@@",A53))</f>
        <v>'0037A01'</v>
      </c>
      <c r="Q53" s="4" t="str">
        <f>IF(B53="",IF(ISNUMBER(SEARCH("NOT NULL",UPPER(B$3))),"''","null"),SUBSTITUTE(VLOOKUP(B$2,convert!$A$1:$B$4,2,0),"@@@",B53))</f>
        <v>'ロコン'</v>
      </c>
      <c r="R53" s="4" t="str">
        <f>IF(C53="",IF(ISNUMBER(SEARCH("NOT NULL",UPPER(C$3))),"''","null"),SUBSTITUTE(VLOOKUP(C$2,convert!$A$1:$B$4,2,0),"@@@",C53))</f>
        <v>38</v>
      </c>
      <c r="S53" s="4" t="str">
        <f>IF(D53="",IF(ISNUMBER(SEARCH("NOT NULL",UPPER(D$3))),"''","null"),SUBSTITUTE(VLOOKUP(D$2,convert!$A$1:$B$4,2,0),"@@@",D53))</f>
        <v>41</v>
      </c>
      <c r="T53" s="4" t="str">
        <f>IF(E53="",IF(ISNUMBER(SEARCH("NOT NULL",UPPER(E$3))),"''","null"),SUBSTITUTE(VLOOKUP(E$2,convert!$A$1:$B$4,2,0),"@@@",E53))</f>
        <v>40</v>
      </c>
      <c r="U53" s="4" t="str">
        <f>IF(F53="",IF(ISNUMBER(SEARCH("NOT NULL",UPPER(F$3))),"''","null"),SUBSTITUTE(VLOOKUP(F$2,convert!$A$1:$B$4,2,0),"@@@",F53))</f>
        <v>50</v>
      </c>
      <c r="V53" s="4" t="str">
        <f>IF(G53="",IF(ISNUMBER(SEARCH("NOT NULL",UPPER(G$3))),"''","null"),SUBSTITUTE(VLOOKUP(G$2,convert!$A$1:$B$4,2,0),"@@@",G53))</f>
        <v>65</v>
      </c>
      <c r="W53" s="4" t="str">
        <f>IF(H53="",IF(ISNUMBER(SEARCH("NOT NULL",UPPER(H$3))),"''","null"),SUBSTITUTE(VLOOKUP(H$2,convert!$A$1:$B$4,2,0),"@@@",H53))</f>
        <v>65</v>
      </c>
      <c r="X53" s="4" t="str">
        <f>IF(I53="",IF(ISNUMBER(SEARCH("NOT NULL",UPPER(I$3))),"''","null"),SUBSTITUTE(VLOOKUP(I$2,convert!$A$1:$B$4,2,0),"@@@",I53))</f>
        <v>'アローラのすがた'</v>
      </c>
      <c r="Y53" s="4" t="str">
        <f>IF(J53="",IF(ISNUMBER(SEARCH("NOT NULL",UPPER(J$3))),"''","null"),SUBSTITUTE(VLOOKUP(J$2,convert!$A$1:$B$4,2,0),"@@@",J53))</f>
        <v>'ice'</v>
      </c>
      <c r="Z53" s="4" t="str">
        <f>IF(K53="",IF(ISNUMBER(SEARCH("NOT NULL",UPPER(K$3))),"''","null"),SUBSTITUTE(VLOOKUP(K$2,convert!$A$1:$B$4,2,0),"@@@",K53))</f>
        <v>null</v>
      </c>
      <c r="AA53" s="4" t="str">
        <f>IF(L53="",IF(ISNUMBER(SEARCH("NOT NULL",UPPER(L$3))),"''","null"),SUBSTITUTE(VLOOKUP(L$2,convert!$A$1:$B$4,2,0),"@@@",L53))</f>
        <v>'g7'</v>
      </c>
      <c r="AB53" s="4" t="str">
        <f>IF(M53="",IF(ISNUMBER(SEARCH("NOT NULL",UPPER(M$3))),"''","null"),SUBSTITUTE(VLOOKUP(M$2,convert!$A$1:$B$4,2,0),"@@@",M53))</f>
        <v>null</v>
      </c>
      <c r="AC53" s="4" t="str">
        <f>IF(N53="",IF(ISNUMBER(SEARCH("NOT NULL",UPPER(N$3))),"''","null"),SUBSTITUTE(VLOOKUP(N$2,convert!$A$1:$B$4,2,0),"@@@",N53))</f>
        <v>null</v>
      </c>
      <c r="AD53" s="4" t="str">
        <f>IF(O53="",IF(ISNUMBER(SEARCH("NOT NULL",UPPER(O$3))),"''","null"),SUBSTITUTE(VLOOKUP(O$2,convert!$A$1:$B$4,2,0),"@@@",O53))</f>
        <v>TRUE</v>
      </c>
      <c r="AE53" s="4" t="str">
        <f t="shared" si="0"/>
        <v>    ('0037A01', 'ロコン', 38, 41, 40, 50, 65, 65, 'アローラのすがた', 'ice', null, 'g7', null, null, TRUE),</v>
      </c>
    </row>
    <row r="54" spans="1:31">
      <c r="A54" s="4" t="s">
        <v>143</v>
      </c>
      <c r="B54" s="4" t="s">
        <v>144</v>
      </c>
      <c r="C54" s="5">
        <v>73</v>
      </c>
      <c r="D54" s="5">
        <v>76</v>
      </c>
      <c r="E54" s="5">
        <v>75</v>
      </c>
      <c r="F54" s="5">
        <v>81</v>
      </c>
      <c r="G54" s="5">
        <v>100</v>
      </c>
      <c r="H54" s="5">
        <v>100</v>
      </c>
      <c r="I54" s="5"/>
      <c r="J54" s="4" t="s">
        <v>42</v>
      </c>
      <c r="K54" s="5"/>
      <c r="L54" s="4" t="s">
        <v>32</v>
      </c>
      <c r="M54" s="5"/>
      <c r="N54" s="5"/>
      <c r="O54" s="5" t="b">
        <v>1</v>
      </c>
      <c r="P54" s="4" t="str">
        <f>IF(A54="",IF(ISNUMBER(SEARCH("NOT NULL",UPPER(A$3))),"''","null"),SUBSTITUTE(VLOOKUP(A$2,convert!$A$1:$B$4,2,0),"@@@",A54))</f>
        <v>'0038N01'</v>
      </c>
      <c r="Q54" s="4" t="str">
        <f>IF(B54="",IF(ISNUMBER(SEARCH("NOT NULL",UPPER(B$3))),"''","null"),SUBSTITUTE(VLOOKUP(B$2,convert!$A$1:$B$4,2,0),"@@@",B54))</f>
        <v>'キュウコン'</v>
      </c>
      <c r="R54" s="4" t="str">
        <f>IF(C54="",IF(ISNUMBER(SEARCH("NOT NULL",UPPER(C$3))),"''","null"),SUBSTITUTE(VLOOKUP(C$2,convert!$A$1:$B$4,2,0),"@@@",C54))</f>
        <v>73</v>
      </c>
      <c r="S54" s="4" t="str">
        <f>IF(D54="",IF(ISNUMBER(SEARCH("NOT NULL",UPPER(D$3))),"''","null"),SUBSTITUTE(VLOOKUP(D$2,convert!$A$1:$B$4,2,0),"@@@",D54))</f>
        <v>76</v>
      </c>
      <c r="T54" s="4" t="str">
        <f>IF(E54="",IF(ISNUMBER(SEARCH("NOT NULL",UPPER(E$3))),"''","null"),SUBSTITUTE(VLOOKUP(E$2,convert!$A$1:$B$4,2,0),"@@@",E54))</f>
        <v>75</v>
      </c>
      <c r="U54" s="4" t="str">
        <f>IF(F54="",IF(ISNUMBER(SEARCH("NOT NULL",UPPER(F$3))),"''","null"),SUBSTITUTE(VLOOKUP(F$2,convert!$A$1:$B$4,2,0),"@@@",F54))</f>
        <v>81</v>
      </c>
      <c r="V54" s="4" t="str">
        <f>IF(G54="",IF(ISNUMBER(SEARCH("NOT NULL",UPPER(G$3))),"''","null"),SUBSTITUTE(VLOOKUP(G$2,convert!$A$1:$B$4,2,0),"@@@",G54))</f>
        <v>100</v>
      </c>
      <c r="W54" s="4" t="str">
        <f>IF(H54="",IF(ISNUMBER(SEARCH("NOT NULL",UPPER(H$3))),"''","null"),SUBSTITUTE(VLOOKUP(H$2,convert!$A$1:$B$4,2,0),"@@@",H54))</f>
        <v>100</v>
      </c>
      <c r="X54" s="4" t="str">
        <f>IF(I54="",IF(ISNUMBER(SEARCH("NOT NULL",UPPER(I$3))),"''","null"),SUBSTITUTE(VLOOKUP(I$2,convert!$A$1:$B$4,2,0),"@@@",I54))</f>
        <v>''</v>
      </c>
      <c r="Y54" s="4" t="str">
        <f>IF(J54="",IF(ISNUMBER(SEARCH("NOT NULL",UPPER(J$3))),"''","null"),SUBSTITUTE(VLOOKUP(J$2,convert!$A$1:$B$4,2,0),"@@@",J54))</f>
        <v>'fire'</v>
      </c>
      <c r="Z54" s="4" t="str">
        <f>IF(K54="",IF(ISNUMBER(SEARCH("NOT NULL",UPPER(K$3))),"''","null"),SUBSTITUTE(VLOOKUP(K$2,convert!$A$1:$B$4,2,0),"@@@",K54))</f>
        <v>null</v>
      </c>
      <c r="AA54" s="4" t="str">
        <f>IF(L54="",IF(ISNUMBER(SEARCH("NOT NULL",UPPER(L$3))),"''","null"),SUBSTITUTE(VLOOKUP(L$2,convert!$A$1:$B$4,2,0),"@@@",L54))</f>
        <v>'g1'</v>
      </c>
      <c r="AB54" s="4" t="str">
        <f>IF(M54="",IF(ISNUMBER(SEARCH("NOT NULL",UPPER(M$3))),"''","null"),SUBSTITUTE(VLOOKUP(M$2,convert!$A$1:$B$4,2,0),"@@@",M54))</f>
        <v>null</v>
      </c>
      <c r="AC54" s="4" t="str">
        <f>IF(N54="",IF(ISNUMBER(SEARCH("NOT NULL",UPPER(N$3))),"''","null"),SUBSTITUTE(VLOOKUP(N$2,convert!$A$1:$B$4,2,0),"@@@",N54))</f>
        <v>null</v>
      </c>
      <c r="AD54" s="4" t="str">
        <f>IF(O54="",IF(ISNUMBER(SEARCH("NOT NULL",UPPER(O$3))),"''","null"),SUBSTITUTE(VLOOKUP(O$2,convert!$A$1:$B$4,2,0),"@@@",O54))</f>
        <v>TRUE</v>
      </c>
      <c r="AE54" s="4" t="str">
        <f t="shared" si="0"/>
        <v>    ('0038N01', 'キュウコン', 73, 76, 75, 81, 100, 100, '', 'fire', null, 'g1', null, null, TRUE),</v>
      </c>
    </row>
    <row r="55" spans="1:31">
      <c r="A55" s="4" t="s">
        <v>145</v>
      </c>
      <c r="B55" s="4" t="s">
        <v>144</v>
      </c>
      <c r="C55" s="5">
        <v>73</v>
      </c>
      <c r="D55" s="5">
        <v>67</v>
      </c>
      <c r="E55" s="5">
        <v>75</v>
      </c>
      <c r="F55" s="5">
        <v>81</v>
      </c>
      <c r="G55" s="5">
        <v>100</v>
      </c>
      <c r="H55" s="5">
        <v>109</v>
      </c>
      <c r="I55" s="4" t="s">
        <v>90</v>
      </c>
      <c r="J55" s="4" t="s">
        <v>118</v>
      </c>
      <c r="K55" s="4" t="s">
        <v>137</v>
      </c>
      <c r="L55" s="4" t="s">
        <v>92</v>
      </c>
      <c r="M55" s="5"/>
      <c r="N55" s="5"/>
      <c r="O55" s="5" t="b">
        <v>1</v>
      </c>
      <c r="P55" s="4" t="str">
        <f>IF(A55="",IF(ISNUMBER(SEARCH("NOT NULL",UPPER(A$3))),"''","null"),SUBSTITUTE(VLOOKUP(A$2,convert!$A$1:$B$4,2,0),"@@@",A55))</f>
        <v>'0038A01'</v>
      </c>
      <c r="Q55" s="4" t="str">
        <f>IF(B55="",IF(ISNUMBER(SEARCH("NOT NULL",UPPER(B$3))),"''","null"),SUBSTITUTE(VLOOKUP(B$2,convert!$A$1:$B$4,2,0),"@@@",B55))</f>
        <v>'キュウコン'</v>
      </c>
      <c r="R55" s="4" t="str">
        <f>IF(C55="",IF(ISNUMBER(SEARCH("NOT NULL",UPPER(C$3))),"''","null"),SUBSTITUTE(VLOOKUP(C$2,convert!$A$1:$B$4,2,0),"@@@",C55))</f>
        <v>73</v>
      </c>
      <c r="S55" s="4" t="str">
        <f>IF(D55="",IF(ISNUMBER(SEARCH("NOT NULL",UPPER(D$3))),"''","null"),SUBSTITUTE(VLOOKUP(D$2,convert!$A$1:$B$4,2,0),"@@@",D55))</f>
        <v>67</v>
      </c>
      <c r="T55" s="4" t="str">
        <f>IF(E55="",IF(ISNUMBER(SEARCH("NOT NULL",UPPER(E$3))),"''","null"),SUBSTITUTE(VLOOKUP(E$2,convert!$A$1:$B$4,2,0),"@@@",E55))</f>
        <v>75</v>
      </c>
      <c r="U55" s="4" t="str">
        <f>IF(F55="",IF(ISNUMBER(SEARCH("NOT NULL",UPPER(F$3))),"''","null"),SUBSTITUTE(VLOOKUP(F$2,convert!$A$1:$B$4,2,0),"@@@",F55))</f>
        <v>81</v>
      </c>
      <c r="V55" s="4" t="str">
        <f>IF(G55="",IF(ISNUMBER(SEARCH("NOT NULL",UPPER(G$3))),"''","null"),SUBSTITUTE(VLOOKUP(G$2,convert!$A$1:$B$4,2,0),"@@@",G55))</f>
        <v>100</v>
      </c>
      <c r="W55" s="4" t="str">
        <f>IF(H55="",IF(ISNUMBER(SEARCH("NOT NULL",UPPER(H$3))),"''","null"),SUBSTITUTE(VLOOKUP(H$2,convert!$A$1:$B$4,2,0),"@@@",H55))</f>
        <v>109</v>
      </c>
      <c r="X55" s="4" t="str">
        <f>IF(I55="",IF(ISNUMBER(SEARCH("NOT NULL",UPPER(I$3))),"''","null"),SUBSTITUTE(VLOOKUP(I$2,convert!$A$1:$B$4,2,0),"@@@",I55))</f>
        <v>'アローラのすがた'</v>
      </c>
      <c r="Y55" s="4" t="str">
        <f>IF(J55="",IF(ISNUMBER(SEARCH("NOT NULL",UPPER(J$3))),"''","null"),SUBSTITUTE(VLOOKUP(J$2,convert!$A$1:$B$4,2,0),"@@@",J55))</f>
        <v>'ice'</v>
      </c>
      <c r="Z55" s="4" t="str">
        <f>IF(K55="",IF(ISNUMBER(SEARCH("NOT NULL",UPPER(K$3))),"''","null"),SUBSTITUTE(VLOOKUP(K$2,convert!$A$1:$B$4,2,0),"@@@",K55))</f>
        <v>'fairy'</v>
      </c>
      <c r="AA55" s="4" t="str">
        <f>IF(L55="",IF(ISNUMBER(SEARCH("NOT NULL",UPPER(L$3))),"''","null"),SUBSTITUTE(VLOOKUP(L$2,convert!$A$1:$B$4,2,0),"@@@",L55))</f>
        <v>'g7'</v>
      </c>
      <c r="AB55" s="4" t="str">
        <f>IF(M55="",IF(ISNUMBER(SEARCH("NOT NULL",UPPER(M$3))),"''","null"),SUBSTITUTE(VLOOKUP(M$2,convert!$A$1:$B$4,2,0),"@@@",M55))</f>
        <v>null</v>
      </c>
      <c r="AC55" s="4" t="str">
        <f>IF(N55="",IF(ISNUMBER(SEARCH("NOT NULL",UPPER(N$3))),"''","null"),SUBSTITUTE(VLOOKUP(N$2,convert!$A$1:$B$4,2,0),"@@@",N55))</f>
        <v>null</v>
      </c>
      <c r="AD55" s="4" t="str">
        <f>IF(O55="",IF(ISNUMBER(SEARCH("NOT NULL",UPPER(O$3))),"''","null"),SUBSTITUTE(VLOOKUP(O$2,convert!$A$1:$B$4,2,0),"@@@",O55))</f>
        <v>TRUE</v>
      </c>
      <c r="AE55" s="4" t="str">
        <f t="shared" si="0"/>
        <v>    ('0038A01', 'キュウコン', 73, 67, 75, 81, 100, 109, 'アローラのすがた', 'ice', 'fairy', 'g7', null, null, TRUE),</v>
      </c>
    </row>
    <row r="56" spans="1:31">
      <c r="A56" s="4" t="s">
        <v>146</v>
      </c>
      <c r="B56" s="4" t="s">
        <v>147</v>
      </c>
      <c r="C56" s="5">
        <v>115</v>
      </c>
      <c r="D56" s="5">
        <v>45</v>
      </c>
      <c r="E56" s="5">
        <v>20</v>
      </c>
      <c r="F56" s="5">
        <v>45</v>
      </c>
      <c r="G56" s="5">
        <v>25</v>
      </c>
      <c r="H56" s="5">
        <v>20</v>
      </c>
      <c r="I56" s="5"/>
      <c r="J56" s="4" t="s">
        <v>80</v>
      </c>
      <c r="K56" s="4" t="s">
        <v>137</v>
      </c>
      <c r="L56" s="4" t="s">
        <v>32</v>
      </c>
      <c r="M56" s="5"/>
      <c r="N56" s="5"/>
      <c r="O56" s="5" t="b">
        <v>1</v>
      </c>
      <c r="P56" s="4" t="str">
        <f>IF(A56="",IF(ISNUMBER(SEARCH("NOT NULL",UPPER(A$3))),"''","null"),SUBSTITUTE(VLOOKUP(A$2,convert!$A$1:$B$4,2,0),"@@@",A56))</f>
        <v>'0039N01'</v>
      </c>
      <c r="Q56" s="4" t="str">
        <f>IF(B56="",IF(ISNUMBER(SEARCH("NOT NULL",UPPER(B$3))),"''","null"),SUBSTITUTE(VLOOKUP(B$2,convert!$A$1:$B$4,2,0),"@@@",B56))</f>
        <v>'プリン'</v>
      </c>
      <c r="R56" s="4" t="str">
        <f>IF(C56="",IF(ISNUMBER(SEARCH("NOT NULL",UPPER(C$3))),"''","null"),SUBSTITUTE(VLOOKUP(C$2,convert!$A$1:$B$4,2,0),"@@@",C56))</f>
        <v>115</v>
      </c>
      <c r="S56" s="4" t="str">
        <f>IF(D56="",IF(ISNUMBER(SEARCH("NOT NULL",UPPER(D$3))),"''","null"),SUBSTITUTE(VLOOKUP(D$2,convert!$A$1:$B$4,2,0),"@@@",D56))</f>
        <v>45</v>
      </c>
      <c r="T56" s="4" t="str">
        <f>IF(E56="",IF(ISNUMBER(SEARCH("NOT NULL",UPPER(E$3))),"''","null"),SUBSTITUTE(VLOOKUP(E$2,convert!$A$1:$B$4,2,0),"@@@",E56))</f>
        <v>20</v>
      </c>
      <c r="U56" s="4" t="str">
        <f>IF(F56="",IF(ISNUMBER(SEARCH("NOT NULL",UPPER(F$3))),"''","null"),SUBSTITUTE(VLOOKUP(F$2,convert!$A$1:$B$4,2,0),"@@@",F56))</f>
        <v>45</v>
      </c>
      <c r="V56" s="4" t="str">
        <f>IF(G56="",IF(ISNUMBER(SEARCH("NOT NULL",UPPER(G$3))),"''","null"),SUBSTITUTE(VLOOKUP(G$2,convert!$A$1:$B$4,2,0),"@@@",G56))</f>
        <v>25</v>
      </c>
      <c r="W56" s="4" t="str">
        <f>IF(H56="",IF(ISNUMBER(SEARCH("NOT NULL",UPPER(H$3))),"''","null"),SUBSTITUTE(VLOOKUP(H$2,convert!$A$1:$B$4,2,0),"@@@",H56))</f>
        <v>20</v>
      </c>
      <c r="X56" s="4" t="str">
        <f>IF(I56="",IF(ISNUMBER(SEARCH("NOT NULL",UPPER(I$3))),"''","null"),SUBSTITUTE(VLOOKUP(I$2,convert!$A$1:$B$4,2,0),"@@@",I56))</f>
        <v>''</v>
      </c>
      <c r="Y56" s="4" t="str">
        <f>IF(J56="",IF(ISNUMBER(SEARCH("NOT NULL",UPPER(J$3))),"''","null"),SUBSTITUTE(VLOOKUP(J$2,convert!$A$1:$B$4,2,0),"@@@",J56))</f>
        <v>'normal'</v>
      </c>
      <c r="Z56" s="4" t="str">
        <f>IF(K56="",IF(ISNUMBER(SEARCH("NOT NULL",UPPER(K$3))),"''","null"),SUBSTITUTE(VLOOKUP(K$2,convert!$A$1:$B$4,2,0),"@@@",K56))</f>
        <v>'fairy'</v>
      </c>
      <c r="AA56" s="4" t="str">
        <f>IF(L56="",IF(ISNUMBER(SEARCH("NOT NULL",UPPER(L$3))),"''","null"),SUBSTITUTE(VLOOKUP(L$2,convert!$A$1:$B$4,2,0),"@@@",L56))</f>
        <v>'g1'</v>
      </c>
      <c r="AB56" s="4" t="str">
        <f>IF(M56="",IF(ISNUMBER(SEARCH("NOT NULL",UPPER(M$3))),"''","null"),SUBSTITUTE(VLOOKUP(M$2,convert!$A$1:$B$4,2,0),"@@@",M56))</f>
        <v>null</v>
      </c>
      <c r="AC56" s="4" t="str">
        <f>IF(N56="",IF(ISNUMBER(SEARCH("NOT NULL",UPPER(N$3))),"''","null"),SUBSTITUTE(VLOOKUP(N$2,convert!$A$1:$B$4,2,0),"@@@",N56))</f>
        <v>null</v>
      </c>
      <c r="AD56" s="4" t="str">
        <f>IF(O56="",IF(ISNUMBER(SEARCH("NOT NULL",UPPER(O$3))),"''","null"),SUBSTITUTE(VLOOKUP(O$2,convert!$A$1:$B$4,2,0),"@@@",O56))</f>
        <v>TRUE</v>
      </c>
      <c r="AE56" s="4" t="str">
        <f t="shared" si="0"/>
        <v>    ('0039N01', 'プリン', 115, 45, 20, 45, 25, 20, '', 'normal', 'fairy', 'g1', null, null, TRUE),</v>
      </c>
    </row>
    <row r="57" spans="1:31">
      <c r="A57" s="4" t="s">
        <v>148</v>
      </c>
      <c r="B57" s="4" t="s">
        <v>149</v>
      </c>
      <c r="C57" s="5">
        <v>140</v>
      </c>
      <c r="D57" s="5">
        <v>70</v>
      </c>
      <c r="E57" s="5">
        <v>45</v>
      </c>
      <c r="F57" s="5">
        <v>85</v>
      </c>
      <c r="G57" s="5">
        <v>50</v>
      </c>
      <c r="H57" s="5">
        <v>45</v>
      </c>
      <c r="I57" s="5"/>
      <c r="J57" s="4" t="s">
        <v>80</v>
      </c>
      <c r="K57" s="4" t="s">
        <v>137</v>
      </c>
      <c r="L57" s="4" t="s">
        <v>32</v>
      </c>
      <c r="M57" s="5"/>
      <c r="N57" s="5"/>
      <c r="O57" s="5" t="b">
        <v>1</v>
      </c>
      <c r="P57" s="4" t="str">
        <f>IF(A57="",IF(ISNUMBER(SEARCH("NOT NULL",UPPER(A$3))),"''","null"),SUBSTITUTE(VLOOKUP(A$2,convert!$A$1:$B$4,2,0),"@@@",A57))</f>
        <v>'0040N01'</v>
      </c>
      <c r="Q57" s="4" t="str">
        <f>IF(B57="",IF(ISNUMBER(SEARCH("NOT NULL",UPPER(B$3))),"''","null"),SUBSTITUTE(VLOOKUP(B$2,convert!$A$1:$B$4,2,0),"@@@",B57))</f>
        <v>'プクリン'</v>
      </c>
      <c r="R57" s="4" t="str">
        <f>IF(C57="",IF(ISNUMBER(SEARCH("NOT NULL",UPPER(C$3))),"''","null"),SUBSTITUTE(VLOOKUP(C$2,convert!$A$1:$B$4,2,0),"@@@",C57))</f>
        <v>140</v>
      </c>
      <c r="S57" s="4" t="str">
        <f>IF(D57="",IF(ISNUMBER(SEARCH("NOT NULL",UPPER(D$3))),"''","null"),SUBSTITUTE(VLOOKUP(D$2,convert!$A$1:$B$4,2,0),"@@@",D57))</f>
        <v>70</v>
      </c>
      <c r="T57" s="4" t="str">
        <f>IF(E57="",IF(ISNUMBER(SEARCH("NOT NULL",UPPER(E$3))),"''","null"),SUBSTITUTE(VLOOKUP(E$2,convert!$A$1:$B$4,2,0),"@@@",E57))</f>
        <v>45</v>
      </c>
      <c r="U57" s="4" t="str">
        <f>IF(F57="",IF(ISNUMBER(SEARCH("NOT NULL",UPPER(F$3))),"''","null"),SUBSTITUTE(VLOOKUP(F$2,convert!$A$1:$B$4,2,0),"@@@",F57))</f>
        <v>85</v>
      </c>
      <c r="V57" s="4" t="str">
        <f>IF(G57="",IF(ISNUMBER(SEARCH("NOT NULL",UPPER(G$3))),"''","null"),SUBSTITUTE(VLOOKUP(G$2,convert!$A$1:$B$4,2,0),"@@@",G57))</f>
        <v>50</v>
      </c>
      <c r="W57" s="4" t="str">
        <f>IF(H57="",IF(ISNUMBER(SEARCH("NOT NULL",UPPER(H$3))),"''","null"),SUBSTITUTE(VLOOKUP(H$2,convert!$A$1:$B$4,2,0),"@@@",H57))</f>
        <v>45</v>
      </c>
      <c r="X57" s="4" t="str">
        <f>IF(I57="",IF(ISNUMBER(SEARCH("NOT NULL",UPPER(I$3))),"''","null"),SUBSTITUTE(VLOOKUP(I$2,convert!$A$1:$B$4,2,0),"@@@",I57))</f>
        <v>''</v>
      </c>
      <c r="Y57" s="4" t="str">
        <f>IF(J57="",IF(ISNUMBER(SEARCH("NOT NULL",UPPER(J$3))),"''","null"),SUBSTITUTE(VLOOKUP(J$2,convert!$A$1:$B$4,2,0),"@@@",J57))</f>
        <v>'normal'</v>
      </c>
      <c r="Z57" s="4" t="str">
        <f>IF(K57="",IF(ISNUMBER(SEARCH("NOT NULL",UPPER(K$3))),"''","null"),SUBSTITUTE(VLOOKUP(K$2,convert!$A$1:$B$4,2,0),"@@@",K57))</f>
        <v>'fairy'</v>
      </c>
      <c r="AA57" s="4" t="str">
        <f>IF(L57="",IF(ISNUMBER(SEARCH("NOT NULL",UPPER(L$3))),"''","null"),SUBSTITUTE(VLOOKUP(L$2,convert!$A$1:$B$4,2,0),"@@@",L57))</f>
        <v>'g1'</v>
      </c>
      <c r="AB57" s="4" t="str">
        <f>IF(M57="",IF(ISNUMBER(SEARCH("NOT NULL",UPPER(M$3))),"''","null"),SUBSTITUTE(VLOOKUP(M$2,convert!$A$1:$B$4,2,0),"@@@",M57))</f>
        <v>null</v>
      </c>
      <c r="AC57" s="4" t="str">
        <f>IF(N57="",IF(ISNUMBER(SEARCH("NOT NULL",UPPER(N$3))),"''","null"),SUBSTITUTE(VLOOKUP(N$2,convert!$A$1:$B$4,2,0),"@@@",N57))</f>
        <v>null</v>
      </c>
      <c r="AD57" s="4" t="str">
        <f>IF(O57="",IF(ISNUMBER(SEARCH("NOT NULL",UPPER(O$3))),"''","null"),SUBSTITUTE(VLOOKUP(O$2,convert!$A$1:$B$4,2,0),"@@@",O57))</f>
        <v>TRUE</v>
      </c>
      <c r="AE57" s="4" t="str">
        <f t="shared" si="0"/>
        <v>    ('0040N01', 'プクリン', 140, 70, 45, 85, 50, 45, '', 'normal', 'fairy', 'g1', null, null, TRUE),</v>
      </c>
    </row>
    <row r="58" spans="1:31">
      <c r="A58" s="4" t="s">
        <v>150</v>
      </c>
      <c r="B58" s="4" t="s">
        <v>151</v>
      </c>
      <c r="C58" s="5">
        <v>40</v>
      </c>
      <c r="D58" s="5">
        <v>45</v>
      </c>
      <c r="E58" s="5">
        <v>35</v>
      </c>
      <c r="F58" s="5">
        <v>30</v>
      </c>
      <c r="G58" s="5">
        <v>40</v>
      </c>
      <c r="H58" s="5">
        <v>55</v>
      </c>
      <c r="I58" s="5"/>
      <c r="J58" s="4" t="s">
        <v>31</v>
      </c>
      <c r="K58" s="4" t="s">
        <v>47</v>
      </c>
      <c r="L58" s="4" t="s">
        <v>32</v>
      </c>
      <c r="M58" s="5"/>
      <c r="N58" s="5"/>
      <c r="O58" s="5" t="b">
        <v>1</v>
      </c>
      <c r="P58" s="4" t="str">
        <f>IF(A58="",IF(ISNUMBER(SEARCH("NOT NULL",UPPER(A$3))),"''","null"),SUBSTITUTE(VLOOKUP(A$2,convert!$A$1:$B$4,2,0),"@@@",A58))</f>
        <v>'0041N01'</v>
      </c>
      <c r="Q58" s="4" t="str">
        <f>IF(B58="",IF(ISNUMBER(SEARCH("NOT NULL",UPPER(B$3))),"''","null"),SUBSTITUTE(VLOOKUP(B$2,convert!$A$1:$B$4,2,0),"@@@",B58))</f>
        <v>'ズバット'</v>
      </c>
      <c r="R58" s="4" t="str">
        <f>IF(C58="",IF(ISNUMBER(SEARCH("NOT NULL",UPPER(C$3))),"''","null"),SUBSTITUTE(VLOOKUP(C$2,convert!$A$1:$B$4,2,0),"@@@",C58))</f>
        <v>40</v>
      </c>
      <c r="S58" s="4" t="str">
        <f>IF(D58="",IF(ISNUMBER(SEARCH("NOT NULL",UPPER(D$3))),"''","null"),SUBSTITUTE(VLOOKUP(D$2,convert!$A$1:$B$4,2,0),"@@@",D58))</f>
        <v>45</v>
      </c>
      <c r="T58" s="4" t="str">
        <f>IF(E58="",IF(ISNUMBER(SEARCH("NOT NULL",UPPER(E$3))),"''","null"),SUBSTITUTE(VLOOKUP(E$2,convert!$A$1:$B$4,2,0),"@@@",E58))</f>
        <v>35</v>
      </c>
      <c r="U58" s="4" t="str">
        <f>IF(F58="",IF(ISNUMBER(SEARCH("NOT NULL",UPPER(F$3))),"''","null"),SUBSTITUTE(VLOOKUP(F$2,convert!$A$1:$B$4,2,0),"@@@",F58))</f>
        <v>30</v>
      </c>
      <c r="V58" s="4" t="str">
        <f>IF(G58="",IF(ISNUMBER(SEARCH("NOT NULL",UPPER(G$3))),"''","null"),SUBSTITUTE(VLOOKUP(G$2,convert!$A$1:$B$4,2,0),"@@@",G58))</f>
        <v>40</v>
      </c>
      <c r="W58" s="4" t="str">
        <f>IF(H58="",IF(ISNUMBER(SEARCH("NOT NULL",UPPER(H$3))),"''","null"),SUBSTITUTE(VLOOKUP(H$2,convert!$A$1:$B$4,2,0),"@@@",H58))</f>
        <v>55</v>
      </c>
      <c r="X58" s="4" t="str">
        <f>IF(I58="",IF(ISNUMBER(SEARCH("NOT NULL",UPPER(I$3))),"''","null"),SUBSTITUTE(VLOOKUP(I$2,convert!$A$1:$B$4,2,0),"@@@",I58))</f>
        <v>''</v>
      </c>
      <c r="Y58" s="4" t="str">
        <f>IF(J58="",IF(ISNUMBER(SEARCH("NOT NULL",UPPER(J$3))),"''","null"),SUBSTITUTE(VLOOKUP(J$2,convert!$A$1:$B$4,2,0),"@@@",J58))</f>
        <v>'poison'</v>
      </c>
      <c r="Z58" s="4" t="str">
        <f>IF(K58="",IF(ISNUMBER(SEARCH("NOT NULL",UPPER(K$3))),"''","null"),SUBSTITUTE(VLOOKUP(K$2,convert!$A$1:$B$4,2,0),"@@@",K58))</f>
        <v>'flying'</v>
      </c>
      <c r="AA58" s="4" t="str">
        <f>IF(L58="",IF(ISNUMBER(SEARCH("NOT NULL",UPPER(L$3))),"''","null"),SUBSTITUTE(VLOOKUP(L$2,convert!$A$1:$B$4,2,0),"@@@",L58))</f>
        <v>'g1'</v>
      </c>
      <c r="AB58" s="4" t="str">
        <f>IF(M58="",IF(ISNUMBER(SEARCH("NOT NULL",UPPER(M$3))),"''","null"),SUBSTITUTE(VLOOKUP(M$2,convert!$A$1:$B$4,2,0),"@@@",M58))</f>
        <v>null</v>
      </c>
      <c r="AC58" s="4" t="str">
        <f>IF(N58="",IF(ISNUMBER(SEARCH("NOT NULL",UPPER(N$3))),"''","null"),SUBSTITUTE(VLOOKUP(N$2,convert!$A$1:$B$4,2,0),"@@@",N58))</f>
        <v>null</v>
      </c>
      <c r="AD58" s="4" t="str">
        <f>IF(O58="",IF(ISNUMBER(SEARCH("NOT NULL",UPPER(O$3))),"''","null"),SUBSTITUTE(VLOOKUP(O$2,convert!$A$1:$B$4,2,0),"@@@",O58))</f>
        <v>TRUE</v>
      </c>
      <c r="AE58" s="4" t="str">
        <f t="shared" si="0"/>
        <v>    ('0041N01', 'ズバット', 40, 45, 35, 30, 40, 55, '', 'poison', 'flying', 'g1', null, null, TRUE),</v>
      </c>
    </row>
    <row r="59" spans="1:31">
      <c r="A59" s="4" t="s">
        <v>152</v>
      </c>
      <c r="B59" s="4" t="s">
        <v>153</v>
      </c>
      <c r="C59" s="5">
        <v>75</v>
      </c>
      <c r="D59" s="5">
        <v>80</v>
      </c>
      <c r="E59" s="5">
        <v>70</v>
      </c>
      <c r="F59" s="5">
        <v>65</v>
      </c>
      <c r="G59" s="5">
        <v>75</v>
      </c>
      <c r="H59" s="5">
        <v>90</v>
      </c>
      <c r="I59" s="5"/>
      <c r="J59" s="4" t="s">
        <v>31</v>
      </c>
      <c r="K59" s="4" t="s">
        <v>47</v>
      </c>
      <c r="L59" s="4" t="s">
        <v>32</v>
      </c>
      <c r="M59" s="5"/>
      <c r="N59" s="5"/>
      <c r="O59" s="5" t="b">
        <v>1</v>
      </c>
      <c r="P59" s="4" t="str">
        <f>IF(A59="",IF(ISNUMBER(SEARCH("NOT NULL",UPPER(A$3))),"''","null"),SUBSTITUTE(VLOOKUP(A$2,convert!$A$1:$B$4,2,0),"@@@",A59))</f>
        <v>'0042N01'</v>
      </c>
      <c r="Q59" s="4" t="str">
        <f>IF(B59="",IF(ISNUMBER(SEARCH("NOT NULL",UPPER(B$3))),"''","null"),SUBSTITUTE(VLOOKUP(B$2,convert!$A$1:$B$4,2,0),"@@@",B59))</f>
        <v>'ゴルバット'</v>
      </c>
      <c r="R59" s="4" t="str">
        <f>IF(C59="",IF(ISNUMBER(SEARCH("NOT NULL",UPPER(C$3))),"''","null"),SUBSTITUTE(VLOOKUP(C$2,convert!$A$1:$B$4,2,0),"@@@",C59))</f>
        <v>75</v>
      </c>
      <c r="S59" s="4" t="str">
        <f>IF(D59="",IF(ISNUMBER(SEARCH("NOT NULL",UPPER(D$3))),"''","null"),SUBSTITUTE(VLOOKUP(D$2,convert!$A$1:$B$4,2,0),"@@@",D59))</f>
        <v>80</v>
      </c>
      <c r="T59" s="4" t="str">
        <f>IF(E59="",IF(ISNUMBER(SEARCH("NOT NULL",UPPER(E$3))),"''","null"),SUBSTITUTE(VLOOKUP(E$2,convert!$A$1:$B$4,2,0),"@@@",E59))</f>
        <v>70</v>
      </c>
      <c r="U59" s="4" t="str">
        <f>IF(F59="",IF(ISNUMBER(SEARCH("NOT NULL",UPPER(F$3))),"''","null"),SUBSTITUTE(VLOOKUP(F$2,convert!$A$1:$B$4,2,0),"@@@",F59))</f>
        <v>65</v>
      </c>
      <c r="V59" s="4" t="str">
        <f>IF(G59="",IF(ISNUMBER(SEARCH("NOT NULL",UPPER(G$3))),"''","null"),SUBSTITUTE(VLOOKUP(G$2,convert!$A$1:$B$4,2,0),"@@@",G59))</f>
        <v>75</v>
      </c>
      <c r="W59" s="4" t="str">
        <f>IF(H59="",IF(ISNUMBER(SEARCH("NOT NULL",UPPER(H$3))),"''","null"),SUBSTITUTE(VLOOKUP(H$2,convert!$A$1:$B$4,2,0),"@@@",H59))</f>
        <v>90</v>
      </c>
      <c r="X59" s="4" t="str">
        <f>IF(I59="",IF(ISNUMBER(SEARCH("NOT NULL",UPPER(I$3))),"''","null"),SUBSTITUTE(VLOOKUP(I$2,convert!$A$1:$B$4,2,0),"@@@",I59))</f>
        <v>''</v>
      </c>
      <c r="Y59" s="4" t="str">
        <f>IF(J59="",IF(ISNUMBER(SEARCH("NOT NULL",UPPER(J$3))),"''","null"),SUBSTITUTE(VLOOKUP(J$2,convert!$A$1:$B$4,2,0),"@@@",J59))</f>
        <v>'poison'</v>
      </c>
      <c r="Z59" s="4" t="str">
        <f>IF(K59="",IF(ISNUMBER(SEARCH("NOT NULL",UPPER(K$3))),"''","null"),SUBSTITUTE(VLOOKUP(K$2,convert!$A$1:$B$4,2,0),"@@@",K59))</f>
        <v>'flying'</v>
      </c>
      <c r="AA59" s="4" t="str">
        <f>IF(L59="",IF(ISNUMBER(SEARCH("NOT NULL",UPPER(L$3))),"''","null"),SUBSTITUTE(VLOOKUP(L$2,convert!$A$1:$B$4,2,0),"@@@",L59))</f>
        <v>'g1'</v>
      </c>
      <c r="AB59" s="4" t="str">
        <f>IF(M59="",IF(ISNUMBER(SEARCH("NOT NULL",UPPER(M$3))),"''","null"),SUBSTITUTE(VLOOKUP(M$2,convert!$A$1:$B$4,2,0),"@@@",M59))</f>
        <v>null</v>
      </c>
      <c r="AC59" s="4" t="str">
        <f>IF(N59="",IF(ISNUMBER(SEARCH("NOT NULL",UPPER(N$3))),"''","null"),SUBSTITUTE(VLOOKUP(N$2,convert!$A$1:$B$4,2,0),"@@@",N59))</f>
        <v>null</v>
      </c>
      <c r="AD59" s="4" t="str">
        <f>IF(O59="",IF(ISNUMBER(SEARCH("NOT NULL",UPPER(O$3))),"''","null"),SUBSTITUTE(VLOOKUP(O$2,convert!$A$1:$B$4,2,0),"@@@",O59))</f>
        <v>TRUE</v>
      </c>
      <c r="AE59" s="4" t="str">
        <f t="shared" si="0"/>
        <v>    ('0042N01', 'ゴルバット', 75, 80, 70, 65, 75, 90, '', 'poison', 'flying', 'g1', null, null, TRUE),</v>
      </c>
    </row>
    <row r="60" spans="1:31">
      <c r="A60" s="4" t="s">
        <v>154</v>
      </c>
      <c r="B60" s="4" t="s">
        <v>155</v>
      </c>
      <c r="C60" s="5">
        <v>45</v>
      </c>
      <c r="D60" s="5">
        <v>50</v>
      </c>
      <c r="E60" s="5">
        <v>55</v>
      </c>
      <c r="F60" s="5">
        <v>75</v>
      </c>
      <c r="G60" s="5">
        <v>65</v>
      </c>
      <c r="H60" s="5">
        <v>30</v>
      </c>
      <c r="I60" s="5"/>
      <c r="J60" s="4" t="s">
        <v>30</v>
      </c>
      <c r="K60" s="4" t="s">
        <v>31</v>
      </c>
      <c r="L60" s="4" t="s">
        <v>32</v>
      </c>
      <c r="M60" s="5"/>
      <c r="N60" s="5"/>
      <c r="O60" s="5" t="b">
        <v>1</v>
      </c>
      <c r="P60" s="4" t="str">
        <f>IF(A60="",IF(ISNUMBER(SEARCH("NOT NULL",UPPER(A$3))),"''","null"),SUBSTITUTE(VLOOKUP(A$2,convert!$A$1:$B$4,2,0),"@@@",A60))</f>
        <v>'0043N01'</v>
      </c>
      <c r="Q60" s="4" t="str">
        <f>IF(B60="",IF(ISNUMBER(SEARCH("NOT NULL",UPPER(B$3))),"''","null"),SUBSTITUTE(VLOOKUP(B$2,convert!$A$1:$B$4,2,0),"@@@",B60))</f>
        <v>'ナゾノクサ'</v>
      </c>
      <c r="R60" s="4" t="str">
        <f>IF(C60="",IF(ISNUMBER(SEARCH("NOT NULL",UPPER(C$3))),"''","null"),SUBSTITUTE(VLOOKUP(C$2,convert!$A$1:$B$4,2,0),"@@@",C60))</f>
        <v>45</v>
      </c>
      <c r="S60" s="4" t="str">
        <f>IF(D60="",IF(ISNUMBER(SEARCH("NOT NULL",UPPER(D$3))),"''","null"),SUBSTITUTE(VLOOKUP(D$2,convert!$A$1:$B$4,2,0),"@@@",D60))</f>
        <v>50</v>
      </c>
      <c r="T60" s="4" t="str">
        <f>IF(E60="",IF(ISNUMBER(SEARCH("NOT NULL",UPPER(E$3))),"''","null"),SUBSTITUTE(VLOOKUP(E$2,convert!$A$1:$B$4,2,0),"@@@",E60))</f>
        <v>55</v>
      </c>
      <c r="U60" s="4" t="str">
        <f>IF(F60="",IF(ISNUMBER(SEARCH("NOT NULL",UPPER(F$3))),"''","null"),SUBSTITUTE(VLOOKUP(F$2,convert!$A$1:$B$4,2,0),"@@@",F60))</f>
        <v>75</v>
      </c>
      <c r="V60" s="4" t="str">
        <f>IF(G60="",IF(ISNUMBER(SEARCH("NOT NULL",UPPER(G$3))),"''","null"),SUBSTITUTE(VLOOKUP(G$2,convert!$A$1:$B$4,2,0),"@@@",G60))</f>
        <v>65</v>
      </c>
      <c r="W60" s="4" t="str">
        <f>IF(H60="",IF(ISNUMBER(SEARCH("NOT NULL",UPPER(H$3))),"''","null"),SUBSTITUTE(VLOOKUP(H$2,convert!$A$1:$B$4,2,0),"@@@",H60))</f>
        <v>30</v>
      </c>
      <c r="X60" s="4" t="str">
        <f>IF(I60="",IF(ISNUMBER(SEARCH("NOT NULL",UPPER(I$3))),"''","null"),SUBSTITUTE(VLOOKUP(I$2,convert!$A$1:$B$4,2,0),"@@@",I60))</f>
        <v>''</v>
      </c>
      <c r="Y60" s="4" t="str">
        <f>IF(J60="",IF(ISNUMBER(SEARCH("NOT NULL",UPPER(J$3))),"''","null"),SUBSTITUTE(VLOOKUP(J$2,convert!$A$1:$B$4,2,0),"@@@",J60))</f>
        <v>'grass'</v>
      </c>
      <c r="Z60" s="4" t="str">
        <f>IF(K60="",IF(ISNUMBER(SEARCH("NOT NULL",UPPER(K$3))),"''","null"),SUBSTITUTE(VLOOKUP(K$2,convert!$A$1:$B$4,2,0),"@@@",K60))</f>
        <v>'poison'</v>
      </c>
      <c r="AA60" s="4" t="str">
        <f>IF(L60="",IF(ISNUMBER(SEARCH("NOT NULL",UPPER(L$3))),"''","null"),SUBSTITUTE(VLOOKUP(L$2,convert!$A$1:$B$4,2,0),"@@@",L60))</f>
        <v>'g1'</v>
      </c>
      <c r="AB60" s="4" t="str">
        <f>IF(M60="",IF(ISNUMBER(SEARCH("NOT NULL",UPPER(M$3))),"''","null"),SUBSTITUTE(VLOOKUP(M$2,convert!$A$1:$B$4,2,0),"@@@",M60))</f>
        <v>null</v>
      </c>
      <c r="AC60" s="4" t="str">
        <f>IF(N60="",IF(ISNUMBER(SEARCH("NOT NULL",UPPER(N$3))),"''","null"),SUBSTITUTE(VLOOKUP(N$2,convert!$A$1:$B$4,2,0),"@@@",N60))</f>
        <v>null</v>
      </c>
      <c r="AD60" s="4" t="str">
        <f>IF(O60="",IF(ISNUMBER(SEARCH("NOT NULL",UPPER(O$3))),"''","null"),SUBSTITUTE(VLOOKUP(O$2,convert!$A$1:$B$4,2,0),"@@@",O60))</f>
        <v>TRUE</v>
      </c>
      <c r="AE60" s="4" t="str">
        <f t="shared" si="0"/>
        <v>    ('0043N01', 'ナゾノクサ', 45, 50, 55, 75, 65, 30, '', 'grass', 'poison', 'g1', null, null, TRUE),</v>
      </c>
    </row>
    <row r="61" spans="1:31">
      <c r="A61" s="4" t="s">
        <v>156</v>
      </c>
      <c r="B61" s="4" t="s">
        <v>157</v>
      </c>
      <c r="C61" s="5">
        <v>60</v>
      </c>
      <c r="D61" s="5">
        <v>65</v>
      </c>
      <c r="E61" s="5">
        <v>70</v>
      </c>
      <c r="F61" s="5">
        <v>85</v>
      </c>
      <c r="G61" s="5">
        <v>75</v>
      </c>
      <c r="H61" s="5">
        <v>40</v>
      </c>
      <c r="I61" s="5"/>
      <c r="J61" s="4" t="s">
        <v>30</v>
      </c>
      <c r="K61" s="4" t="s">
        <v>31</v>
      </c>
      <c r="L61" s="4" t="s">
        <v>32</v>
      </c>
      <c r="M61" s="5"/>
      <c r="N61" s="5"/>
      <c r="O61" s="5" t="b">
        <v>1</v>
      </c>
      <c r="P61" s="4" t="str">
        <f>IF(A61="",IF(ISNUMBER(SEARCH("NOT NULL",UPPER(A$3))),"''","null"),SUBSTITUTE(VLOOKUP(A$2,convert!$A$1:$B$4,2,0),"@@@",A61))</f>
        <v>'0044N01'</v>
      </c>
      <c r="Q61" s="4" t="str">
        <f>IF(B61="",IF(ISNUMBER(SEARCH("NOT NULL",UPPER(B$3))),"''","null"),SUBSTITUTE(VLOOKUP(B$2,convert!$A$1:$B$4,2,0),"@@@",B61))</f>
        <v>'クサイハナ'</v>
      </c>
      <c r="R61" s="4" t="str">
        <f>IF(C61="",IF(ISNUMBER(SEARCH("NOT NULL",UPPER(C$3))),"''","null"),SUBSTITUTE(VLOOKUP(C$2,convert!$A$1:$B$4,2,0),"@@@",C61))</f>
        <v>60</v>
      </c>
      <c r="S61" s="4" t="str">
        <f>IF(D61="",IF(ISNUMBER(SEARCH("NOT NULL",UPPER(D$3))),"''","null"),SUBSTITUTE(VLOOKUP(D$2,convert!$A$1:$B$4,2,0),"@@@",D61))</f>
        <v>65</v>
      </c>
      <c r="T61" s="4" t="str">
        <f>IF(E61="",IF(ISNUMBER(SEARCH("NOT NULL",UPPER(E$3))),"''","null"),SUBSTITUTE(VLOOKUP(E$2,convert!$A$1:$B$4,2,0),"@@@",E61))</f>
        <v>70</v>
      </c>
      <c r="U61" s="4" t="str">
        <f>IF(F61="",IF(ISNUMBER(SEARCH("NOT NULL",UPPER(F$3))),"''","null"),SUBSTITUTE(VLOOKUP(F$2,convert!$A$1:$B$4,2,0),"@@@",F61))</f>
        <v>85</v>
      </c>
      <c r="V61" s="4" t="str">
        <f>IF(G61="",IF(ISNUMBER(SEARCH("NOT NULL",UPPER(G$3))),"''","null"),SUBSTITUTE(VLOOKUP(G$2,convert!$A$1:$B$4,2,0),"@@@",G61))</f>
        <v>75</v>
      </c>
      <c r="W61" s="4" t="str">
        <f>IF(H61="",IF(ISNUMBER(SEARCH("NOT NULL",UPPER(H$3))),"''","null"),SUBSTITUTE(VLOOKUP(H$2,convert!$A$1:$B$4,2,0),"@@@",H61))</f>
        <v>40</v>
      </c>
      <c r="X61" s="4" t="str">
        <f>IF(I61="",IF(ISNUMBER(SEARCH("NOT NULL",UPPER(I$3))),"''","null"),SUBSTITUTE(VLOOKUP(I$2,convert!$A$1:$B$4,2,0),"@@@",I61))</f>
        <v>''</v>
      </c>
      <c r="Y61" s="4" t="str">
        <f>IF(J61="",IF(ISNUMBER(SEARCH("NOT NULL",UPPER(J$3))),"''","null"),SUBSTITUTE(VLOOKUP(J$2,convert!$A$1:$B$4,2,0),"@@@",J61))</f>
        <v>'grass'</v>
      </c>
      <c r="Z61" s="4" t="str">
        <f>IF(K61="",IF(ISNUMBER(SEARCH("NOT NULL",UPPER(K$3))),"''","null"),SUBSTITUTE(VLOOKUP(K$2,convert!$A$1:$B$4,2,0),"@@@",K61))</f>
        <v>'poison'</v>
      </c>
      <c r="AA61" s="4" t="str">
        <f>IF(L61="",IF(ISNUMBER(SEARCH("NOT NULL",UPPER(L$3))),"''","null"),SUBSTITUTE(VLOOKUP(L$2,convert!$A$1:$B$4,2,0),"@@@",L61))</f>
        <v>'g1'</v>
      </c>
      <c r="AB61" s="4" t="str">
        <f>IF(M61="",IF(ISNUMBER(SEARCH("NOT NULL",UPPER(M$3))),"''","null"),SUBSTITUTE(VLOOKUP(M$2,convert!$A$1:$B$4,2,0),"@@@",M61))</f>
        <v>null</v>
      </c>
      <c r="AC61" s="4" t="str">
        <f>IF(N61="",IF(ISNUMBER(SEARCH("NOT NULL",UPPER(N$3))),"''","null"),SUBSTITUTE(VLOOKUP(N$2,convert!$A$1:$B$4,2,0),"@@@",N61))</f>
        <v>null</v>
      </c>
      <c r="AD61" s="4" t="str">
        <f>IF(O61="",IF(ISNUMBER(SEARCH("NOT NULL",UPPER(O$3))),"''","null"),SUBSTITUTE(VLOOKUP(O$2,convert!$A$1:$B$4,2,0),"@@@",O61))</f>
        <v>TRUE</v>
      </c>
      <c r="AE61" s="4" t="str">
        <f t="shared" si="0"/>
        <v>    ('0044N01', 'クサイハナ', 60, 65, 70, 85, 75, 40, '', 'grass', 'poison', 'g1', null, null, TRUE),</v>
      </c>
    </row>
    <row r="62" spans="1:31">
      <c r="A62" s="4" t="s">
        <v>158</v>
      </c>
      <c r="B62" s="4" t="s">
        <v>159</v>
      </c>
      <c r="C62" s="5">
        <v>75</v>
      </c>
      <c r="D62" s="5">
        <v>80</v>
      </c>
      <c r="E62" s="5">
        <v>85</v>
      </c>
      <c r="F62" s="5">
        <v>110</v>
      </c>
      <c r="G62" s="5">
        <v>90</v>
      </c>
      <c r="H62" s="5">
        <v>50</v>
      </c>
      <c r="I62" s="5"/>
      <c r="J62" s="4" t="s">
        <v>30</v>
      </c>
      <c r="K62" s="4" t="s">
        <v>31</v>
      </c>
      <c r="L62" s="4" t="s">
        <v>32</v>
      </c>
      <c r="M62" s="5"/>
      <c r="N62" s="5"/>
      <c r="O62" s="5" t="b">
        <v>1</v>
      </c>
      <c r="P62" s="4" t="str">
        <f>IF(A62="",IF(ISNUMBER(SEARCH("NOT NULL",UPPER(A$3))),"''","null"),SUBSTITUTE(VLOOKUP(A$2,convert!$A$1:$B$4,2,0),"@@@",A62))</f>
        <v>'0045N01'</v>
      </c>
      <c r="Q62" s="4" t="str">
        <f>IF(B62="",IF(ISNUMBER(SEARCH("NOT NULL",UPPER(B$3))),"''","null"),SUBSTITUTE(VLOOKUP(B$2,convert!$A$1:$B$4,2,0),"@@@",B62))</f>
        <v>'ラフレシア'</v>
      </c>
      <c r="R62" s="4" t="str">
        <f>IF(C62="",IF(ISNUMBER(SEARCH("NOT NULL",UPPER(C$3))),"''","null"),SUBSTITUTE(VLOOKUP(C$2,convert!$A$1:$B$4,2,0),"@@@",C62))</f>
        <v>75</v>
      </c>
      <c r="S62" s="4" t="str">
        <f>IF(D62="",IF(ISNUMBER(SEARCH("NOT NULL",UPPER(D$3))),"''","null"),SUBSTITUTE(VLOOKUP(D$2,convert!$A$1:$B$4,2,0),"@@@",D62))</f>
        <v>80</v>
      </c>
      <c r="T62" s="4" t="str">
        <f>IF(E62="",IF(ISNUMBER(SEARCH("NOT NULL",UPPER(E$3))),"''","null"),SUBSTITUTE(VLOOKUP(E$2,convert!$A$1:$B$4,2,0),"@@@",E62))</f>
        <v>85</v>
      </c>
      <c r="U62" s="4" t="str">
        <f>IF(F62="",IF(ISNUMBER(SEARCH("NOT NULL",UPPER(F$3))),"''","null"),SUBSTITUTE(VLOOKUP(F$2,convert!$A$1:$B$4,2,0),"@@@",F62))</f>
        <v>110</v>
      </c>
      <c r="V62" s="4" t="str">
        <f>IF(G62="",IF(ISNUMBER(SEARCH("NOT NULL",UPPER(G$3))),"''","null"),SUBSTITUTE(VLOOKUP(G$2,convert!$A$1:$B$4,2,0),"@@@",G62))</f>
        <v>90</v>
      </c>
      <c r="W62" s="4" t="str">
        <f>IF(H62="",IF(ISNUMBER(SEARCH("NOT NULL",UPPER(H$3))),"''","null"),SUBSTITUTE(VLOOKUP(H$2,convert!$A$1:$B$4,2,0),"@@@",H62))</f>
        <v>50</v>
      </c>
      <c r="X62" s="4" t="str">
        <f>IF(I62="",IF(ISNUMBER(SEARCH("NOT NULL",UPPER(I$3))),"''","null"),SUBSTITUTE(VLOOKUP(I$2,convert!$A$1:$B$4,2,0),"@@@",I62))</f>
        <v>''</v>
      </c>
      <c r="Y62" s="4" t="str">
        <f>IF(J62="",IF(ISNUMBER(SEARCH("NOT NULL",UPPER(J$3))),"''","null"),SUBSTITUTE(VLOOKUP(J$2,convert!$A$1:$B$4,2,0),"@@@",J62))</f>
        <v>'grass'</v>
      </c>
      <c r="Z62" s="4" t="str">
        <f>IF(K62="",IF(ISNUMBER(SEARCH("NOT NULL",UPPER(K$3))),"''","null"),SUBSTITUTE(VLOOKUP(K$2,convert!$A$1:$B$4,2,0),"@@@",K62))</f>
        <v>'poison'</v>
      </c>
      <c r="AA62" s="4" t="str">
        <f>IF(L62="",IF(ISNUMBER(SEARCH("NOT NULL",UPPER(L$3))),"''","null"),SUBSTITUTE(VLOOKUP(L$2,convert!$A$1:$B$4,2,0),"@@@",L62))</f>
        <v>'g1'</v>
      </c>
      <c r="AB62" s="4" t="str">
        <f>IF(M62="",IF(ISNUMBER(SEARCH("NOT NULL",UPPER(M$3))),"''","null"),SUBSTITUTE(VLOOKUP(M$2,convert!$A$1:$B$4,2,0),"@@@",M62))</f>
        <v>null</v>
      </c>
      <c r="AC62" s="4" t="str">
        <f>IF(N62="",IF(ISNUMBER(SEARCH("NOT NULL",UPPER(N$3))),"''","null"),SUBSTITUTE(VLOOKUP(N$2,convert!$A$1:$B$4,2,0),"@@@",N62))</f>
        <v>null</v>
      </c>
      <c r="AD62" s="4" t="str">
        <f>IF(O62="",IF(ISNUMBER(SEARCH("NOT NULL",UPPER(O$3))),"''","null"),SUBSTITUTE(VLOOKUP(O$2,convert!$A$1:$B$4,2,0),"@@@",O62))</f>
        <v>TRUE</v>
      </c>
      <c r="AE62" s="4" t="str">
        <f t="shared" si="0"/>
        <v>    ('0045N01', 'ラフレシア', 75, 80, 85, 110, 90, 50, '', 'grass', 'poison', 'g1', null, null, TRUE),</v>
      </c>
    </row>
    <row r="63" spans="1:31">
      <c r="A63" s="4" t="s">
        <v>160</v>
      </c>
      <c r="B63" s="4" t="s">
        <v>161</v>
      </c>
      <c r="C63" s="5">
        <v>35</v>
      </c>
      <c r="D63" s="5">
        <v>70</v>
      </c>
      <c r="E63" s="5">
        <v>55</v>
      </c>
      <c r="F63" s="5">
        <v>45</v>
      </c>
      <c r="G63" s="5">
        <v>55</v>
      </c>
      <c r="H63" s="5">
        <v>25</v>
      </c>
      <c r="I63" s="5"/>
      <c r="J63" s="4" t="s">
        <v>64</v>
      </c>
      <c r="K63" s="4" t="s">
        <v>30</v>
      </c>
      <c r="L63" s="4" t="s">
        <v>32</v>
      </c>
      <c r="M63" s="5"/>
      <c r="N63" s="5"/>
      <c r="O63" s="5" t="b">
        <v>1</v>
      </c>
      <c r="P63" s="4" t="str">
        <f>IF(A63="",IF(ISNUMBER(SEARCH("NOT NULL",UPPER(A$3))),"''","null"),SUBSTITUTE(VLOOKUP(A$2,convert!$A$1:$B$4,2,0),"@@@",A63))</f>
        <v>'0046N01'</v>
      </c>
      <c r="Q63" s="4" t="str">
        <f>IF(B63="",IF(ISNUMBER(SEARCH("NOT NULL",UPPER(B$3))),"''","null"),SUBSTITUTE(VLOOKUP(B$2,convert!$A$1:$B$4,2,0),"@@@",B63))</f>
        <v>'パラス'</v>
      </c>
      <c r="R63" s="4" t="str">
        <f>IF(C63="",IF(ISNUMBER(SEARCH("NOT NULL",UPPER(C$3))),"''","null"),SUBSTITUTE(VLOOKUP(C$2,convert!$A$1:$B$4,2,0),"@@@",C63))</f>
        <v>35</v>
      </c>
      <c r="S63" s="4" t="str">
        <f>IF(D63="",IF(ISNUMBER(SEARCH("NOT NULL",UPPER(D$3))),"''","null"),SUBSTITUTE(VLOOKUP(D$2,convert!$A$1:$B$4,2,0),"@@@",D63))</f>
        <v>70</v>
      </c>
      <c r="T63" s="4" t="str">
        <f>IF(E63="",IF(ISNUMBER(SEARCH("NOT NULL",UPPER(E$3))),"''","null"),SUBSTITUTE(VLOOKUP(E$2,convert!$A$1:$B$4,2,0),"@@@",E63))</f>
        <v>55</v>
      </c>
      <c r="U63" s="4" t="str">
        <f>IF(F63="",IF(ISNUMBER(SEARCH("NOT NULL",UPPER(F$3))),"''","null"),SUBSTITUTE(VLOOKUP(F$2,convert!$A$1:$B$4,2,0),"@@@",F63))</f>
        <v>45</v>
      </c>
      <c r="V63" s="4" t="str">
        <f>IF(G63="",IF(ISNUMBER(SEARCH("NOT NULL",UPPER(G$3))),"''","null"),SUBSTITUTE(VLOOKUP(G$2,convert!$A$1:$B$4,2,0),"@@@",G63))</f>
        <v>55</v>
      </c>
      <c r="W63" s="4" t="str">
        <f>IF(H63="",IF(ISNUMBER(SEARCH("NOT NULL",UPPER(H$3))),"''","null"),SUBSTITUTE(VLOOKUP(H$2,convert!$A$1:$B$4,2,0),"@@@",H63))</f>
        <v>25</v>
      </c>
      <c r="X63" s="4" t="str">
        <f>IF(I63="",IF(ISNUMBER(SEARCH("NOT NULL",UPPER(I$3))),"''","null"),SUBSTITUTE(VLOOKUP(I$2,convert!$A$1:$B$4,2,0),"@@@",I63))</f>
        <v>''</v>
      </c>
      <c r="Y63" s="4" t="str">
        <f>IF(J63="",IF(ISNUMBER(SEARCH("NOT NULL",UPPER(J$3))),"''","null"),SUBSTITUTE(VLOOKUP(J$2,convert!$A$1:$B$4,2,0),"@@@",J63))</f>
        <v>'bug'</v>
      </c>
      <c r="Z63" s="4" t="str">
        <f>IF(K63="",IF(ISNUMBER(SEARCH("NOT NULL",UPPER(K$3))),"''","null"),SUBSTITUTE(VLOOKUP(K$2,convert!$A$1:$B$4,2,0),"@@@",K63))</f>
        <v>'grass'</v>
      </c>
      <c r="AA63" s="4" t="str">
        <f>IF(L63="",IF(ISNUMBER(SEARCH("NOT NULL",UPPER(L$3))),"''","null"),SUBSTITUTE(VLOOKUP(L$2,convert!$A$1:$B$4,2,0),"@@@",L63))</f>
        <v>'g1'</v>
      </c>
      <c r="AB63" s="4" t="str">
        <f>IF(M63="",IF(ISNUMBER(SEARCH("NOT NULL",UPPER(M$3))),"''","null"),SUBSTITUTE(VLOOKUP(M$2,convert!$A$1:$B$4,2,0),"@@@",M63))</f>
        <v>null</v>
      </c>
      <c r="AC63" s="4" t="str">
        <f>IF(N63="",IF(ISNUMBER(SEARCH("NOT NULL",UPPER(N$3))),"''","null"),SUBSTITUTE(VLOOKUP(N$2,convert!$A$1:$B$4,2,0),"@@@",N63))</f>
        <v>null</v>
      </c>
      <c r="AD63" s="4" t="str">
        <f>IF(O63="",IF(ISNUMBER(SEARCH("NOT NULL",UPPER(O$3))),"''","null"),SUBSTITUTE(VLOOKUP(O$2,convert!$A$1:$B$4,2,0),"@@@",O63))</f>
        <v>TRUE</v>
      </c>
      <c r="AE63" s="4" t="str">
        <f t="shared" si="0"/>
        <v>    ('0046N01', 'パラス', 35, 70, 55, 45, 55, 25, '', 'bug', 'grass', 'g1', null, null, TRUE),</v>
      </c>
    </row>
    <row r="64" spans="1:31">
      <c r="A64" s="4" t="s">
        <v>162</v>
      </c>
      <c r="B64" s="4" t="s">
        <v>163</v>
      </c>
      <c r="C64" s="5">
        <v>60</v>
      </c>
      <c r="D64" s="5">
        <v>95</v>
      </c>
      <c r="E64" s="5">
        <v>80</v>
      </c>
      <c r="F64" s="5">
        <v>60</v>
      </c>
      <c r="G64" s="5">
        <v>80</v>
      </c>
      <c r="H64" s="5">
        <v>30</v>
      </c>
      <c r="I64" s="5"/>
      <c r="J64" s="4" t="s">
        <v>64</v>
      </c>
      <c r="K64" s="4" t="s">
        <v>30</v>
      </c>
      <c r="L64" s="4" t="s">
        <v>32</v>
      </c>
      <c r="M64" s="5"/>
      <c r="N64" s="5"/>
      <c r="O64" s="5" t="b">
        <v>1</v>
      </c>
      <c r="P64" s="4" t="str">
        <f>IF(A64="",IF(ISNUMBER(SEARCH("NOT NULL",UPPER(A$3))),"''","null"),SUBSTITUTE(VLOOKUP(A$2,convert!$A$1:$B$4,2,0),"@@@",A64))</f>
        <v>'0047N01'</v>
      </c>
      <c r="Q64" s="4" t="str">
        <f>IF(B64="",IF(ISNUMBER(SEARCH("NOT NULL",UPPER(B$3))),"''","null"),SUBSTITUTE(VLOOKUP(B$2,convert!$A$1:$B$4,2,0),"@@@",B64))</f>
        <v>'パラセクト'</v>
      </c>
      <c r="R64" s="4" t="str">
        <f>IF(C64="",IF(ISNUMBER(SEARCH("NOT NULL",UPPER(C$3))),"''","null"),SUBSTITUTE(VLOOKUP(C$2,convert!$A$1:$B$4,2,0),"@@@",C64))</f>
        <v>60</v>
      </c>
      <c r="S64" s="4" t="str">
        <f>IF(D64="",IF(ISNUMBER(SEARCH("NOT NULL",UPPER(D$3))),"''","null"),SUBSTITUTE(VLOOKUP(D$2,convert!$A$1:$B$4,2,0),"@@@",D64))</f>
        <v>95</v>
      </c>
      <c r="T64" s="4" t="str">
        <f>IF(E64="",IF(ISNUMBER(SEARCH("NOT NULL",UPPER(E$3))),"''","null"),SUBSTITUTE(VLOOKUP(E$2,convert!$A$1:$B$4,2,0),"@@@",E64))</f>
        <v>80</v>
      </c>
      <c r="U64" s="4" t="str">
        <f>IF(F64="",IF(ISNUMBER(SEARCH("NOT NULL",UPPER(F$3))),"''","null"),SUBSTITUTE(VLOOKUP(F$2,convert!$A$1:$B$4,2,0),"@@@",F64))</f>
        <v>60</v>
      </c>
      <c r="V64" s="4" t="str">
        <f>IF(G64="",IF(ISNUMBER(SEARCH("NOT NULL",UPPER(G$3))),"''","null"),SUBSTITUTE(VLOOKUP(G$2,convert!$A$1:$B$4,2,0),"@@@",G64))</f>
        <v>80</v>
      </c>
      <c r="W64" s="4" t="str">
        <f>IF(H64="",IF(ISNUMBER(SEARCH("NOT NULL",UPPER(H$3))),"''","null"),SUBSTITUTE(VLOOKUP(H$2,convert!$A$1:$B$4,2,0),"@@@",H64))</f>
        <v>30</v>
      </c>
      <c r="X64" s="4" t="str">
        <f>IF(I64="",IF(ISNUMBER(SEARCH("NOT NULL",UPPER(I$3))),"''","null"),SUBSTITUTE(VLOOKUP(I$2,convert!$A$1:$B$4,2,0),"@@@",I64))</f>
        <v>''</v>
      </c>
      <c r="Y64" s="4" t="str">
        <f>IF(J64="",IF(ISNUMBER(SEARCH("NOT NULL",UPPER(J$3))),"''","null"),SUBSTITUTE(VLOOKUP(J$2,convert!$A$1:$B$4,2,0),"@@@",J64))</f>
        <v>'bug'</v>
      </c>
      <c r="Z64" s="4" t="str">
        <f>IF(K64="",IF(ISNUMBER(SEARCH("NOT NULL",UPPER(K$3))),"''","null"),SUBSTITUTE(VLOOKUP(K$2,convert!$A$1:$B$4,2,0),"@@@",K64))</f>
        <v>'grass'</v>
      </c>
      <c r="AA64" s="4" t="str">
        <f>IF(L64="",IF(ISNUMBER(SEARCH("NOT NULL",UPPER(L$3))),"''","null"),SUBSTITUTE(VLOOKUP(L$2,convert!$A$1:$B$4,2,0),"@@@",L64))</f>
        <v>'g1'</v>
      </c>
      <c r="AB64" s="4" t="str">
        <f>IF(M64="",IF(ISNUMBER(SEARCH("NOT NULL",UPPER(M$3))),"''","null"),SUBSTITUTE(VLOOKUP(M$2,convert!$A$1:$B$4,2,0),"@@@",M64))</f>
        <v>null</v>
      </c>
      <c r="AC64" s="4" t="str">
        <f>IF(N64="",IF(ISNUMBER(SEARCH("NOT NULL",UPPER(N$3))),"''","null"),SUBSTITUTE(VLOOKUP(N$2,convert!$A$1:$B$4,2,0),"@@@",N64))</f>
        <v>null</v>
      </c>
      <c r="AD64" s="4" t="str">
        <f>IF(O64="",IF(ISNUMBER(SEARCH("NOT NULL",UPPER(O$3))),"''","null"),SUBSTITUTE(VLOOKUP(O$2,convert!$A$1:$B$4,2,0),"@@@",O64))</f>
        <v>TRUE</v>
      </c>
      <c r="AE64" s="4" t="str">
        <f t="shared" si="0"/>
        <v>    ('0047N01', 'パラセクト', 60, 95, 80, 60, 80, 30, '', 'bug', 'grass', 'g1', null, null, TRUE),</v>
      </c>
    </row>
    <row r="65" spans="1:31">
      <c r="A65" s="4" t="s">
        <v>164</v>
      </c>
      <c r="B65" s="4" t="s">
        <v>165</v>
      </c>
      <c r="C65" s="5">
        <v>60</v>
      </c>
      <c r="D65" s="5">
        <v>55</v>
      </c>
      <c r="E65" s="5">
        <v>50</v>
      </c>
      <c r="F65" s="5">
        <v>40</v>
      </c>
      <c r="G65" s="5">
        <v>55</v>
      </c>
      <c r="H65" s="5">
        <v>45</v>
      </c>
      <c r="I65" s="5"/>
      <c r="J65" s="4" t="s">
        <v>64</v>
      </c>
      <c r="K65" s="4" t="s">
        <v>31</v>
      </c>
      <c r="L65" s="4" t="s">
        <v>32</v>
      </c>
      <c r="M65" s="5"/>
      <c r="N65" s="5"/>
      <c r="O65" s="5" t="b">
        <v>1</v>
      </c>
      <c r="P65" s="4" t="str">
        <f>IF(A65="",IF(ISNUMBER(SEARCH("NOT NULL",UPPER(A$3))),"''","null"),SUBSTITUTE(VLOOKUP(A$2,convert!$A$1:$B$4,2,0),"@@@",A65))</f>
        <v>'0048N01'</v>
      </c>
      <c r="Q65" s="4" t="str">
        <f>IF(B65="",IF(ISNUMBER(SEARCH("NOT NULL",UPPER(B$3))),"''","null"),SUBSTITUTE(VLOOKUP(B$2,convert!$A$1:$B$4,2,0),"@@@",B65))</f>
        <v>'コンパン'</v>
      </c>
      <c r="R65" s="4" t="str">
        <f>IF(C65="",IF(ISNUMBER(SEARCH("NOT NULL",UPPER(C$3))),"''","null"),SUBSTITUTE(VLOOKUP(C$2,convert!$A$1:$B$4,2,0),"@@@",C65))</f>
        <v>60</v>
      </c>
      <c r="S65" s="4" t="str">
        <f>IF(D65="",IF(ISNUMBER(SEARCH("NOT NULL",UPPER(D$3))),"''","null"),SUBSTITUTE(VLOOKUP(D$2,convert!$A$1:$B$4,2,0),"@@@",D65))</f>
        <v>55</v>
      </c>
      <c r="T65" s="4" t="str">
        <f>IF(E65="",IF(ISNUMBER(SEARCH("NOT NULL",UPPER(E$3))),"''","null"),SUBSTITUTE(VLOOKUP(E$2,convert!$A$1:$B$4,2,0),"@@@",E65))</f>
        <v>50</v>
      </c>
      <c r="U65" s="4" t="str">
        <f>IF(F65="",IF(ISNUMBER(SEARCH("NOT NULL",UPPER(F$3))),"''","null"),SUBSTITUTE(VLOOKUP(F$2,convert!$A$1:$B$4,2,0),"@@@",F65))</f>
        <v>40</v>
      </c>
      <c r="V65" s="4" t="str">
        <f>IF(G65="",IF(ISNUMBER(SEARCH("NOT NULL",UPPER(G$3))),"''","null"),SUBSTITUTE(VLOOKUP(G$2,convert!$A$1:$B$4,2,0),"@@@",G65))</f>
        <v>55</v>
      </c>
      <c r="W65" s="4" t="str">
        <f>IF(H65="",IF(ISNUMBER(SEARCH("NOT NULL",UPPER(H$3))),"''","null"),SUBSTITUTE(VLOOKUP(H$2,convert!$A$1:$B$4,2,0),"@@@",H65))</f>
        <v>45</v>
      </c>
      <c r="X65" s="4" t="str">
        <f>IF(I65="",IF(ISNUMBER(SEARCH("NOT NULL",UPPER(I$3))),"''","null"),SUBSTITUTE(VLOOKUP(I$2,convert!$A$1:$B$4,2,0),"@@@",I65))</f>
        <v>''</v>
      </c>
      <c r="Y65" s="4" t="str">
        <f>IF(J65="",IF(ISNUMBER(SEARCH("NOT NULL",UPPER(J$3))),"''","null"),SUBSTITUTE(VLOOKUP(J$2,convert!$A$1:$B$4,2,0),"@@@",J65))</f>
        <v>'bug'</v>
      </c>
      <c r="Z65" s="4" t="str">
        <f>IF(K65="",IF(ISNUMBER(SEARCH("NOT NULL",UPPER(K$3))),"''","null"),SUBSTITUTE(VLOOKUP(K$2,convert!$A$1:$B$4,2,0),"@@@",K65))</f>
        <v>'poison'</v>
      </c>
      <c r="AA65" s="4" t="str">
        <f>IF(L65="",IF(ISNUMBER(SEARCH("NOT NULL",UPPER(L$3))),"''","null"),SUBSTITUTE(VLOOKUP(L$2,convert!$A$1:$B$4,2,0),"@@@",L65))</f>
        <v>'g1'</v>
      </c>
      <c r="AB65" s="4" t="str">
        <f>IF(M65="",IF(ISNUMBER(SEARCH("NOT NULL",UPPER(M$3))),"''","null"),SUBSTITUTE(VLOOKUP(M$2,convert!$A$1:$B$4,2,0),"@@@",M65))</f>
        <v>null</v>
      </c>
      <c r="AC65" s="4" t="str">
        <f>IF(N65="",IF(ISNUMBER(SEARCH("NOT NULL",UPPER(N$3))),"''","null"),SUBSTITUTE(VLOOKUP(N$2,convert!$A$1:$B$4,2,0),"@@@",N65))</f>
        <v>null</v>
      </c>
      <c r="AD65" s="4" t="str">
        <f>IF(O65="",IF(ISNUMBER(SEARCH("NOT NULL",UPPER(O$3))),"''","null"),SUBSTITUTE(VLOOKUP(O$2,convert!$A$1:$B$4,2,0),"@@@",O65))</f>
        <v>TRUE</v>
      </c>
      <c r="AE65" s="4" t="str">
        <f t="shared" si="0"/>
        <v>    ('0048N01', 'コンパン', 60, 55, 50, 40, 55, 45, '', 'bug', 'poison', 'g1', null, null, TRUE),</v>
      </c>
    </row>
    <row r="66" spans="1:31">
      <c r="A66" s="4" t="s">
        <v>166</v>
      </c>
      <c r="B66" s="4" t="s">
        <v>167</v>
      </c>
      <c r="C66" s="5">
        <v>70</v>
      </c>
      <c r="D66" s="5">
        <v>65</v>
      </c>
      <c r="E66" s="5">
        <v>60</v>
      </c>
      <c r="F66" s="5">
        <v>90</v>
      </c>
      <c r="G66" s="5">
        <v>75</v>
      </c>
      <c r="H66" s="5">
        <v>90</v>
      </c>
      <c r="I66" s="5"/>
      <c r="J66" s="4" t="s">
        <v>64</v>
      </c>
      <c r="K66" s="4" t="s">
        <v>31</v>
      </c>
      <c r="L66" s="4" t="s">
        <v>32</v>
      </c>
      <c r="M66" s="5"/>
      <c r="N66" s="5"/>
      <c r="O66" s="5" t="b">
        <v>1</v>
      </c>
      <c r="P66" s="4" t="str">
        <f>IF(A66="",IF(ISNUMBER(SEARCH("NOT NULL",UPPER(A$3))),"''","null"),SUBSTITUTE(VLOOKUP(A$2,convert!$A$1:$B$4,2,0),"@@@",A66))</f>
        <v>'0049N01'</v>
      </c>
      <c r="Q66" s="4" t="str">
        <f>IF(B66="",IF(ISNUMBER(SEARCH("NOT NULL",UPPER(B$3))),"''","null"),SUBSTITUTE(VLOOKUP(B$2,convert!$A$1:$B$4,2,0),"@@@",B66))</f>
        <v>'モルフォン'</v>
      </c>
      <c r="R66" s="4" t="str">
        <f>IF(C66="",IF(ISNUMBER(SEARCH("NOT NULL",UPPER(C$3))),"''","null"),SUBSTITUTE(VLOOKUP(C$2,convert!$A$1:$B$4,2,0),"@@@",C66))</f>
        <v>70</v>
      </c>
      <c r="S66" s="4" t="str">
        <f>IF(D66="",IF(ISNUMBER(SEARCH("NOT NULL",UPPER(D$3))),"''","null"),SUBSTITUTE(VLOOKUP(D$2,convert!$A$1:$B$4,2,0),"@@@",D66))</f>
        <v>65</v>
      </c>
      <c r="T66" s="4" t="str">
        <f>IF(E66="",IF(ISNUMBER(SEARCH("NOT NULL",UPPER(E$3))),"''","null"),SUBSTITUTE(VLOOKUP(E$2,convert!$A$1:$B$4,2,0),"@@@",E66))</f>
        <v>60</v>
      </c>
      <c r="U66" s="4" t="str">
        <f>IF(F66="",IF(ISNUMBER(SEARCH("NOT NULL",UPPER(F$3))),"''","null"),SUBSTITUTE(VLOOKUP(F$2,convert!$A$1:$B$4,2,0),"@@@",F66))</f>
        <v>90</v>
      </c>
      <c r="V66" s="4" t="str">
        <f>IF(G66="",IF(ISNUMBER(SEARCH("NOT NULL",UPPER(G$3))),"''","null"),SUBSTITUTE(VLOOKUP(G$2,convert!$A$1:$B$4,2,0),"@@@",G66))</f>
        <v>75</v>
      </c>
      <c r="W66" s="4" t="str">
        <f>IF(H66="",IF(ISNUMBER(SEARCH("NOT NULL",UPPER(H$3))),"''","null"),SUBSTITUTE(VLOOKUP(H$2,convert!$A$1:$B$4,2,0),"@@@",H66))</f>
        <v>90</v>
      </c>
      <c r="X66" s="4" t="str">
        <f>IF(I66="",IF(ISNUMBER(SEARCH("NOT NULL",UPPER(I$3))),"''","null"),SUBSTITUTE(VLOOKUP(I$2,convert!$A$1:$B$4,2,0),"@@@",I66))</f>
        <v>''</v>
      </c>
      <c r="Y66" s="4" t="str">
        <f>IF(J66="",IF(ISNUMBER(SEARCH("NOT NULL",UPPER(J$3))),"''","null"),SUBSTITUTE(VLOOKUP(J$2,convert!$A$1:$B$4,2,0),"@@@",J66))</f>
        <v>'bug'</v>
      </c>
      <c r="Z66" s="4" t="str">
        <f>IF(K66="",IF(ISNUMBER(SEARCH("NOT NULL",UPPER(K$3))),"''","null"),SUBSTITUTE(VLOOKUP(K$2,convert!$A$1:$B$4,2,0),"@@@",K66))</f>
        <v>'poison'</v>
      </c>
      <c r="AA66" s="4" t="str">
        <f>IF(L66="",IF(ISNUMBER(SEARCH("NOT NULL",UPPER(L$3))),"''","null"),SUBSTITUTE(VLOOKUP(L$2,convert!$A$1:$B$4,2,0),"@@@",L66))</f>
        <v>'g1'</v>
      </c>
      <c r="AB66" s="4" t="str">
        <f>IF(M66="",IF(ISNUMBER(SEARCH("NOT NULL",UPPER(M$3))),"''","null"),SUBSTITUTE(VLOOKUP(M$2,convert!$A$1:$B$4,2,0),"@@@",M66))</f>
        <v>null</v>
      </c>
      <c r="AC66" s="4" t="str">
        <f>IF(N66="",IF(ISNUMBER(SEARCH("NOT NULL",UPPER(N$3))),"''","null"),SUBSTITUTE(VLOOKUP(N$2,convert!$A$1:$B$4,2,0),"@@@",N66))</f>
        <v>null</v>
      </c>
      <c r="AD66" s="4" t="str">
        <f>IF(O66="",IF(ISNUMBER(SEARCH("NOT NULL",UPPER(O$3))),"''","null"),SUBSTITUTE(VLOOKUP(O$2,convert!$A$1:$B$4,2,0),"@@@",O66))</f>
        <v>TRUE</v>
      </c>
      <c r="AE66" s="4" t="str">
        <f t="shared" si="0"/>
        <v>    ('0049N01', 'モルフォン', 70, 65, 60, 90, 75, 90, '', 'bug', 'poison', 'g1', null, null, TRUE),</v>
      </c>
    </row>
    <row r="67" spans="1:31">
      <c r="A67" s="4" t="s">
        <v>168</v>
      </c>
      <c r="B67" s="4" t="s">
        <v>169</v>
      </c>
      <c r="C67" s="5">
        <v>10</v>
      </c>
      <c r="D67" s="5">
        <v>55</v>
      </c>
      <c r="E67" s="5">
        <v>25</v>
      </c>
      <c r="F67" s="5">
        <v>35</v>
      </c>
      <c r="G67" s="5">
        <v>45</v>
      </c>
      <c r="H67" s="5">
        <v>95</v>
      </c>
      <c r="I67" s="5"/>
      <c r="J67" s="4" t="s">
        <v>116</v>
      </c>
      <c r="K67" s="5"/>
      <c r="L67" s="4" t="s">
        <v>32</v>
      </c>
      <c r="M67" s="5"/>
      <c r="N67" s="5"/>
      <c r="O67" s="5" t="b">
        <v>1</v>
      </c>
      <c r="P67" s="4" t="str">
        <f>IF(A67="",IF(ISNUMBER(SEARCH("NOT NULL",UPPER(A$3))),"''","null"),SUBSTITUTE(VLOOKUP(A$2,convert!$A$1:$B$4,2,0),"@@@",A67))</f>
        <v>'0050N01'</v>
      </c>
      <c r="Q67" s="4" t="str">
        <f>IF(B67="",IF(ISNUMBER(SEARCH("NOT NULL",UPPER(B$3))),"''","null"),SUBSTITUTE(VLOOKUP(B$2,convert!$A$1:$B$4,2,0),"@@@",B67))</f>
        <v>'ディグダ'</v>
      </c>
      <c r="R67" s="4" t="str">
        <f>IF(C67="",IF(ISNUMBER(SEARCH("NOT NULL",UPPER(C$3))),"''","null"),SUBSTITUTE(VLOOKUP(C$2,convert!$A$1:$B$4,2,0),"@@@",C67))</f>
        <v>10</v>
      </c>
      <c r="S67" s="4" t="str">
        <f>IF(D67="",IF(ISNUMBER(SEARCH("NOT NULL",UPPER(D$3))),"''","null"),SUBSTITUTE(VLOOKUP(D$2,convert!$A$1:$B$4,2,0),"@@@",D67))</f>
        <v>55</v>
      </c>
      <c r="T67" s="4" t="str">
        <f>IF(E67="",IF(ISNUMBER(SEARCH("NOT NULL",UPPER(E$3))),"''","null"),SUBSTITUTE(VLOOKUP(E$2,convert!$A$1:$B$4,2,0),"@@@",E67))</f>
        <v>25</v>
      </c>
      <c r="U67" s="4" t="str">
        <f>IF(F67="",IF(ISNUMBER(SEARCH("NOT NULL",UPPER(F$3))),"''","null"),SUBSTITUTE(VLOOKUP(F$2,convert!$A$1:$B$4,2,0),"@@@",F67))</f>
        <v>35</v>
      </c>
      <c r="V67" s="4" t="str">
        <f>IF(G67="",IF(ISNUMBER(SEARCH("NOT NULL",UPPER(G$3))),"''","null"),SUBSTITUTE(VLOOKUP(G$2,convert!$A$1:$B$4,2,0),"@@@",G67))</f>
        <v>45</v>
      </c>
      <c r="W67" s="4" t="str">
        <f>IF(H67="",IF(ISNUMBER(SEARCH("NOT NULL",UPPER(H$3))),"''","null"),SUBSTITUTE(VLOOKUP(H$2,convert!$A$1:$B$4,2,0),"@@@",H67))</f>
        <v>95</v>
      </c>
      <c r="X67" s="4" t="str">
        <f>IF(I67="",IF(ISNUMBER(SEARCH("NOT NULL",UPPER(I$3))),"''","null"),SUBSTITUTE(VLOOKUP(I$2,convert!$A$1:$B$4,2,0),"@@@",I67))</f>
        <v>''</v>
      </c>
      <c r="Y67" s="4" t="str">
        <f>IF(J67="",IF(ISNUMBER(SEARCH("NOT NULL",UPPER(J$3))),"''","null"),SUBSTITUTE(VLOOKUP(J$2,convert!$A$1:$B$4,2,0),"@@@",J67))</f>
        <v>'ground'</v>
      </c>
      <c r="Z67" s="4" t="str">
        <f>IF(K67="",IF(ISNUMBER(SEARCH("NOT NULL",UPPER(K$3))),"''","null"),SUBSTITUTE(VLOOKUP(K$2,convert!$A$1:$B$4,2,0),"@@@",K67))</f>
        <v>null</v>
      </c>
      <c r="AA67" s="4" t="str">
        <f>IF(L67="",IF(ISNUMBER(SEARCH("NOT NULL",UPPER(L$3))),"''","null"),SUBSTITUTE(VLOOKUP(L$2,convert!$A$1:$B$4,2,0),"@@@",L67))</f>
        <v>'g1'</v>
      </c>
      <c r="AB67" s="4" t="str">
        <f>IF(M67="",IF(ISNUMBER(SEARCH("NOT NULL",UPPER(M$3))),"''","null"),SUBSTITUTE(VLOOKUP(M$2,convert!$A$1:$B$4,2,0),"@@@",M67))</f>
        <v>null</v>
      </c>
      <c r="AC67" s="4" t="str">
        <f>IF(N67="",IF(ISNUMBER(SEARCH("NOT NULL",UPPER(N$3))),"''","null"),SUBSTITUTE(VLOOKUP(N$2,convert!$A$1:$B$4,2,0),"@@@",N67))</f>
        <v>null</v>
      </c>
      <c r="AD67" s="4" t="str">
        <f>IF(O67="",IF(ISNUMBER(SEARCH("NOT NULL",UPPER(O$3))),"''","null"),SUBSTITUTE(VLOOKUP(O$2,convert!$A$1:$B$4,2,0),"@@@",O67))</f>
        <v>TRUE</v>
      </c>
      <c r="AE67" s="4" t="str">
        <f t="shared" si="0"/>
        <v>    ('0050N01', 'ディグダ', 10, 55, 25, 35, 45, 95, '', 'ground', null, 'g1', null, null, TRUE),</v>
      </c>
    </row>
    <row r="68" spans="1:31">
      <c r="A68" s="4" t="s">
        <v>170</v>
      </c>
      <c r="B68" s="4" t="s">
        <v>169</v>
      </c>
      <c r="C68" s="5">
        <v>10</v>
      </c>
      <c r="D68" s="5">
        <v>55</v>
      </c>
      <c r="E68" s="5">
        <v>30</v>
      </c>
      <c r="F68" s="5">
        <v>35</v>
      </c>
      <c r="G68" s="5">
        <v>45</v>
      </c>
      <c r="H68" s="5">
        <v>90</v>
      </c>
      <c r="I68" s="4" t="s">
        <v>90</v>
      </c>
      <c r="J68" s="4" t="s">
        <v>116</v>
      </c>
      <c r="K68" s="4" t="s">
        <v>119</v>
      </c>
      <c r="L68" s="4" t="s">
        <v>92</v>
      </c>
      <c r="M68" s="5"/>
      <c r="N68" s="5"/>
      <c r="O68" s="5" t="b">
        <v>1</v>
      </c>
      <c r="P68" s="4" t="str">
        <f>IF(A68="",IF(ISNUMBER(SEARCH("NOT NULL",UPPER(A$3))),"''","null"),SUBSTITUTE(VLOOKUP(A$2,convert!$A$1:$B$4,2,0),"@@@",A68))</f>
        <v>'0050A01'</v>
      </c>
      <c r="Q68" s="4" t="str">
        <f>IF(B68="",IF(ISNUMBER(SEARCH("NOT NULL",UPPER(B$3))),"''","null"),SUBSTITUTE(VLOOKUP(B$2,convert!$A$1:$B$4,2,0),"@@@",B68))</f>
        <v>'ディグダ'</v>
      </c>
      <c r="R68" s="4" t="str">
        <f>IF(C68="",IF(ISNUMBER(SEARCH("NOT NULL",UPPER(C$3))),"''","null"),SUBSTITUTE(VLOOKUP(C$2,convert!$A$1:$B$4,2,0),"@@@",C68))</f>
        <v>10</v>
      </c>
      <c r="S68" s="4" t="str">
        <f>IF(D68="",IF(ISNUMBER(SEARCH("NOT NULL",UPPER(D$3))),"''","null"),SUBSTITUTE(VLOOKUP(D$2,convert!$A$1:$B$4,2,0),"@@@",D68))</f>
        <v>55</v>
      </c>
      <c r="T68" s="4" t="str">
        <f>IF(E68="",IF(ISNUMBER(SEARCH("NOT NULL",UPPER(E$3))),"''","null"),SUBSTITUTE(VLOOKUP(E$2,convert!$A$1:$B$4,2,0),"@@@",E68))</f>
        <v>30</v>
      </c>
      <c r="U68" s="4" t="str">
        <f>IF(F68="",IF(ISNUMBER(SEARCH("NOT NULL",UPPER(F$3))),"''","null"),SUBSTITUTE(VLOOKUP(F$2,convert!$A$1:$B$4,2,0),"@@@",F68))</f>
        <v>35</v>
      </c>
      <c r="V68" s="4" t="str">
        <f>IF(G68="",IF(ISNUMBER(SEARCH("NOT NULL",UPPER(G$3))),"''","null"),SUBSTITUTE(VLOOKUP(G$2,convert!$A$1:$B$4,2,0),"@@@",G68))</f>
        <v>45</v>
      </c>
      <c r="W68" s="4" t="str">
        <f>IF(H68="",IF(ISNUMBER(SEARCH("NOT NULL",UPPER(H$3))),"''","null"),SUBSTITUTE(VLOOKUP(H$2,convert!$A$1:$B$4,2,0),"@@@",H68))</f>
        <v>90</v>
      </c>
      <c r="X68" s="4" t="str">
        <f>IF(I68="",IF(ISNUMBER(SEARCH("NOT NULL",UPPER(I$3))),"''","null"),SUBSTITUTE(VLOOKUP(I$2,convert!$A$1:$B$4,2,0),"@@@",I68))</f>
        <v>'アローラのすがた'</v>
      </c>
      <c r="Y68" s="4" t="str">
        <f>IF(J68="",IF(ISNUMBER(SEARCH("NOT NULL",UPPER(J$3))),"''","null"),SUBSTITUTE(VLOOKUP(J$2,convert!$A$1:$B$4,2,0),"@@@",J68))</f>
        <v>'ground'</v>
      </c>
      <c r="Z68" s="4" t="str">
        <f>IF(K68="",IF(ISNUMBER(SEARCH("NOT NULL",UPPER(K$3))),"''","null"),SUBSTITUTE(VLOOKUP(K$2,convert!$A$1:$B$4,2,0),"@@@",K68))</f>
        <v>'steel'</v>
      </c>
      <c r="AA68" s="4" t="str">
        <f>IF(L68="",IF(ISNUMBER(SEARCH("NOT NULL",UPPER(L$3))),"''","null"),SUBSTITUTE(VLOOKUP(L$2,convert!$A$1:$B$4,2,0),"@@@",L68))</f>
        <v>'g7'</v>
      </c>
      <c r="AB68" s="4" t="str">
        <f>IF(M68="",IF(ISNUMBER(SEARCH("NOT NULL",UPPER(M$3))),"''","null"),SUBSTITUTE(VLOOKUP(M$2,convert!$A$1:$B$4,2,0),"@@@",M68))</f>
        <v>null</v>
      </c>
      <c r="AC68" s="4" t="str">
        <f>IF(N68="",IF(ISNUMBER(SEARCH("NOT NULL",UPPER(N$3))),"''","null"),SUBSTITUTE(VLOOKUP(N$2,convert!$A$1:$B$4,2,0),"@@@",N68))</f>
        <v>null</v>
      </c>
      <c r="AD68" s="4" t="str">
        <f>IF(O68="",IF(ISNUMBER(SEARCH("NOT NULL",UPPER(O$3))),"''","null"),SUBSTITUTE(VLOOKUP(O$2,convert!$A$1:$B$4,2,0),"@@@",O68))</f>
        <v>TRUE</v>
      </c>
      <c r="AE68" s="4" t="str">
        <f t="shared" si="0"/>
        <v>    ('0050A01', 'ディグダ', 10, 55, 30, 35, 45, 90, 'アローラのすがた', 'ground', 'steel', 'g7', null, null, TRUE),</v>
      </c>
    </row>
    <row r="69" spans="1:31">
      <c r="A69" s="4" t="s">
        <v>171</v>
      </c>
      <c r="B69" s="4" t="s">
        <v>172</v>
      </c>
      <c r="C69" s="5">
        <v>35</v>
      </c>
      <c r="D69" s="5">
        <v>100</v>
      </c>
      <c r="E69" s="5">
        <v>50</v>
      </c>
      <c r="F69" s="5">
        <v>50</v>
      </c>
      <c r="G69" s="5">
        <v>70</v>
      </c>
      <c r="H69" s="5">
        <v>120</v>
      </c>
      <c r="I69" s="5"/>
      <c r="J69" s="4" t="s">
        <v>116</v>
      </c>
      <c r="K69" s="5"/>
      <c r="L69" s="4" t="s">
        <v>32</v>
      </c>
      <c r="M69" s="5"/>
      <c r="N69" s="5"/>
      <c r="O69" s="5" t="b">
        <v>1</v>
      </c>
      <c r="P69" s="4" t="str">
        <f>IF(A69="",IF(ISNUMBER(SEARCH("NOT NULL",UPPER(A$3))),"''","null"),SUBSTITUTE(VLOOKUP(A$2,convert!$A$1:$B$4,2,0),"@@@",A69))</f>
        <v>'0051N01'</v>
      </c>
      <c r="Q69" s="4" t="str">
        <f>IF(B69="",IF(ISNUMBER(SEARCH("NOT NULL",UPPER(B$3))),"''","null"),SUBSTITUTE(VLOOKUP(B$2,convert!$A$1:$B$4,2,0),"@@@",B69))</f>
        <v>'ダグトリオ'</v>
      </c>
      <c r="R69" s="4" t="str">
        <f>IF(C69="",IF(ISNUMBER(SEARCH("NOT NULL",UPPER(C$3))),"''","null"),SUBSTITUTE(VLOOKUP(C$2,convert!$A$1:$B$4,2,0),"@@@",C69))</f>
        <v>35</v>
      </c>
      <c r="S69" s="4" t="str">
        <f>IF(D69="",IF(ISNUMBER(SEARCH("NOT NULL",UPPER(D$3))),"''","null"),SUBSTITUTE(VLOOKUP(D$2,convert!$A$1:$B$4,2,0),"@@@",D69))</f>
        <v>100</v>
      </c>
      <c r="T69" s="4" t="str">
        <f>IF(E69="",IF(ISNUMBER(SEARCH("NOT NULL",UPPER(E$3))),"''","null"),SUBSTITUTE(VLOOKUP(E$2,convert!$A$1:$B$4,2,0),"@@@",E69))</f>
        <v>50</v>
      </c>
      <c r="U69" s="4" t="str">
        <f>IF(F69="",IF(ISNUMBER(SEARCH("NOT NULL",UPPER(F$3))),"''","null"),SUBSTITUTE(VLOOKUP(F$2,convert!$A$1:$B$4,2,0),"@@@",F69))</f>
        <v>50</v>
      </c>
      <c r="V69" s="4" t="str">
        <f>IF(G69="",IF(ISNUMBER(SEARCH("NOT NULL",UPPER(G$3))),"''","null"),SUBSTITUTE(VLOOKUP(G$2,convert!$A$1:$B$4,2,0),"@@@",G69))</f>
        <v>70</v>
      </c>
      <c r="W69" s="4" t="str">
        <f>IF(H69="",IF(ISNUMBER(SEARCH("NOT NULL",UPPER(H$3))),"''","null"),SUBSTITUTE(VLOOKUP(H$2,convert!$A$1:$B$4,2,0),"@@@",H69))</f>
        <v>120</v>
      </c>
      <c r="X69" s="4" t="str">
        <f>IF(I69="",IF(ISNUMBER(SEARCH("NOT NULL",UPPER(I$3))),"''","null"),SUBSTITUTE(VLOOKUP(I$2,convert!$A$1:$B$4,2,0),"@@@",I69))</f>
        <v>''</v>
      </c>
      <c r="Y69" s="4" t="str">
        <f>IF(J69="",IF(ISNUMBER(SEARCH("NOT NULL",UPPER(J$3))),"''","null"),SUBSTITUTE(VLOOKUP(J$2,convert!$A$1:$B$4,2,0),"@@@",J69))</f>
        <v>'ground'</v>
      </c>
      <c r="Z69" s="4" t="str">
        <f>IF(K69="",IF(ISNUMBER(SEARCH("NOT NULL",UPPER(K$3))),"''","null"),SUBSTITUTE(VLOOKUP(K$2,convert!$A$1:$B$4,2,0),"@@@",K69))</f>
        <v>null</v>
      </c>
      <c r="AA69" s="4" t="str">
        <f>IF(L69="",IF(ISNUMBER(SEARCH("NOT NULL",UPPER(L$3))),"''","null"),SUBSTITUTE(VLOOKUP(L$2,convert!$A$1:$B$4,2,0),"@@@",L69))</f>
        <v>'g1'</v>
      </c>
      <c r="AB69" s="4" t="str">
        <f>IF(M69="",IF(ISNUMBER(SEARCH("NOT NULL",UPPER(M$3))),"''","null"),SUBSTITUTE(VLOOKUP(M$2,convert!$A$1:$B$4,2,0),"@@@",M69))</f>
        <v>null</v>
      </c>
      <c r="AC69" s="4" t="str">
        <f>IF(N69="",IF(ISNUMBER(SEARCH("NOT NULL",UPPER(N$3))),"''","null"),SUBSTITUTE(VLOOKUP(N$2,convert!$A$1:$B$4,2,0),"@@@",N69))</f>
        <v>null</v>
      </c>
      <c r="AD69" s="4" t="str">
        <f>IF(O69="",IF(ISNUMBER(SEARCH("NOT NULL",UPPER(O$3))),"''","null"),SUBSTITUTE(VLOOKUP(O$2,convert!$A$1:$B$4,2,0),"@@@",O69))</f>
        <v>TRUE</v>
      </c>
      <c r="AE69" s="4" t="str">
        <f t="shared" ref="AE69:AE132" si="1">"    ("&amp;_xlfn.TEXTJOIN(", ",FALSE,P69:AD69)&amp;"),"</f>
        <v>    ('0051N01', 'ダグトリオ', 35, 100, 50, 50, 70, 120, '', 'ground', null, 'g1', null, null, TRUE),</v>
      </c>
    </row>
    <row r="70" spans="1:31">
      <c r="A70" s="4" t="s">
        <v>173</v>
      </c>
      <c r="B70" s="4" t="s">
        <v>172</v>
      </c>
      <c r="C70" s="5">
        <v>35</v>
      </c>
      <c r="D70" s="5">
        <v>100</v>
      </c>
      <c r="E70" s="5">
        <v>60</v>
      </c>
      <c r="F70" s="5">
        <v>50</v>
      </c>
      <c r="G70" s="5">
        <v>70</v>
      </c>
      <c r="H70" s="5">
        <v>110</v>
      </c>
      <c r="I70" s="4" t="s">
        <v>90</v>
      </c>
      <c r="J70" s="4" t="s">
        <v>116</v>
      </c>
      <c r="K70" s="4" t="s">
        <v>119</v>
      </c>
      <c r="L70" s="4" t="s">
        <v>92</v>
      </c>
      <c r="M70" s="5"/>
      <c r="N70" s="5"/>
      <c r="O70" s="5" t="b">
        <v>1</v>
      </c>
      <c r="P70" s="4" t="str">
        <f>IF(A70="",IF(ISNUMBER(SEARCH("NOT NULL",UPPER(A$3))),"''","null"),SUBSTITUTE(VLOOKUP(A$2,convert!$A$1:$B$4,2,0),"@@@",A70))</f>
        <v>'0051A01'</v>
      </c>
      <c r="Q70" s="4" t="str">
        <f>IF(B70="",IF(ISNUMBER(SEARCH("NOT NULL",UPPER(B$3))),"''","null"),SUBSTITUTE(VLOOKUP(B$2,convert!$A$1:$B$4,2,0),"@@@",B70))</f>
        <v>'ダグトリオ'</v>
      </c>
      <c r="R70" s="4" t="str">
        <f>IF(C70="",IF(ISNUMBER(SEARCH("NOT NULL",UPPER(C$3))),"''","null"),SUBSTITUTE(VLOOKUP(C$2,convert!$A$1:$B$4,2,0),"@@@",C70))</f>
        <v>35</v>
      </c>
      <c r="S70" s="4" t="str">
        <f>IF(D70="",IF(ISNUMBER(SEARCH("NOT NULL",UPPER(D$3))),"''","null"),SUBSTITUTE(VLOOKUP(D$2,convert!$A$1:$B$4,2,0),"@@@",D70))</f>
        <v>100</v>
      </c>
      <c r="T70" s="4" t="str">
        <f>IF(E70="",IF(ISNUMBER(SEARCH("NOT NULL",UPPER(E$3))),"''","null"),SUBSTITUTE(VLOOKUP(E$2,convert!$A$1:$B$4,2,0),"@@@",E70))</f>
        <v>60</v>
      </c>
      <c r="U70" s="4" t="str">
        <f>IF(F70="",IF(ISNUMBER(SEARCH("NOT NULL",UPPER(F$3))),"''","null"),SUBSTITUTE(VLOOKUP(F$2,convert!$A$1:$B$4,2,0),"@@@",F70))</f>
        <v>50</v>
      </c>
      <c r="V70" s="4" t="str">
        <f>IF(G70="",IF(ISNUMBER(SEARCH("NOT NULL",UPPER(G$3))),"''","null"),SUBSTITUTE(VLOOKUP(G$2,convert!$A$1:$B$4,2,0),"@@@",G70))</f>
        <v>70</v>
      </c>
      <c r="W70" s="4" t="str">
        <f>IF(H70="",IF(ISNUMBER(SEARCH("NOT NULL",UPPER(H$3))),"''","null"),SUBSTITUTE(VLOOKUP(H$2,convert!$A$1:$B$4,2,0),"@@@",H70))</f>
        <v>110</v>
      </c>
      <c r="X70" s="4" t="str">
        <f>IF(I70="",IF(ISNUMBER(SEARCH("NOT NULL",UPPER(I$3))),"''","null"),SUBSTITUTE(VLOOKUP(I$2,convert!$A$1:$B$4,2,0),"@@@",I70))</f>
        <v>'アローラのすがた'</v>
      </c>
      <c r="Y70" s="4" t="str">
        <f>IF(J70="",IF(ISNUMBER(SEARCH("NOT NULL",UPPER(J$3))),"''","null"),SUBSTITUTE(VLOOKUP(J$2,convert!$A$1:$B$4,2,0),"@@@",J70))</f>
        <v>'ground'</v>
      </c>
      <c r="Z70" s="4" t="str">
        <f>IF(K70="",IF(ISNUMBER(SEARCH("NOT NULL",UPPER(K$3))),"''","null"),SUBSTITUTE(VLOOKUP(K$2,convert!$A$1:$B$4,2,0),"@@@",K70))</f>
        <v>'steel'</v>
      </c>
      <c r="AA70" s="4" t="str">
        <f>IF(L70="",IF(ISNUMBER(SEARCH("NOT NULL",UPPER(L$3))),"''","null"),SUBSTITUTE(VLOOKUP(L$2,convert!$A$1:$B$4,2,0),"@@@",L70))</f>
        <v>'g7'</v>
      </c>
      <c r="AB70" s="4" t="str">
        <f>IF(M70="",IF(ISNUMBER(SEARCH("NOT NULL",UPPER(M$3))),"''","null"),SUBSTITUTE(VLOOKUP(M$2,convert!$A$1:$B$4,2,0),"@@@",M70))</f>
        <v>null</v>
      </c>
      <c r="AC70" s="4" t="str">
        <f>IF(N70="",IF(ISNUMBER(SEARCH("NOT NULL",UPPER(N$3))),"''","null"),SUBSTITUTE(VLOOKUP(N$2,convert!$A$1:$B$4,2,0),"@@@",N70))</f>
        <v>null</v>
      </c>
      <c r="AD70" s="4" t="str">
        <f>IF(O70="",IF(ISNUMBER(SEARCH("NOT NULL",UPPER(O$3))),"''","null"),SUBSTITUTE(VLOOKUP(O$2,convert!$A$1:$B$4,2,0),"@@@",O70))</f>
        <v>TRUE</v>
      </c>
      <c r="AE70" s="4" t="str">
        <f t="shared" si="1"/>
        <v>    ('0051A01', 'ダグトリオ', 35, 100, 60, 50, 70, 110, 'アローラのすがた', 'ground', 'steel', 'g7', null, null, TRUE),</v>
      </c>
    </row>
    <row r="71" spans="1:31">
      <c r="A71" s="4" t="s">
        <v>174</v>
      </c>
      <c r="B71" s="4" t="s">
        <v>175</v>
      </c>
      <c r="C71" s="5">
        <v>40</v>
      </c>
      <c r="D71" s="5">
        <v>45</v>
      </c>
      <c r="E71" s="5">
        <v>35</v>
      </c>
      <c r="F71" s="5">
        <v>40</v>
      </c>
      <c r="G71" s="5">
        <v>40</v>
      </c>
      <c r="H71" s="5">
        <v>90</v>
      </c>
      <c r="I71" s="5"/>
      <c r="J71" s="4" t="s">
        <v>80</v>
      </c>
      <c r="K71" s="5"/>
      <c r="L71" s="4" t="s">
        <v>32</v>
      </c>
      <c r="M71" s="5"/>
      <c r="N71" s="5"/>
      <c r="O71" s="5" t="b">
        <v>1</v>
      </c>
      <c r="P71" s="4" t="str">
        <f>IF(A71="",IF(ISNUMBER(SEARCH("NOT NULL",UPPER(A$3))),"''","null"),SUBSTITUTE(VLOOKUP(A$2,convert!$A$1:$B$4,2,0),"@@@",A71))</f>
        <v>'0052N01'</v>
      </c>
      <c r="Q71" s="4" t="str">
        <f>IF(B71="",IF(ISNUMBER(SEARCH("NOT NULL",UPPER(B$3))),"''","null"),SUBSTITUTE(VLOOKUP(B$2,convert!$A$1:$B$4,2,0),"@@@",B71))</f>
        <v>'ニャース'</v>
      </c>
      <c r="R71" s="4" t="str">
        <f>IF(C71="",IF(ISNUMBER(SEARCH("NOT NULL",UPPER(C$3))),"''","null"),SUBSTITUTE(VLOOKUP(C$2,convert!$A$1:$B$4,2,0),"@@@",C71))</f>
        <v>40</v>
      </c>
      <c r="S71" s="4" t="str">
        <f>IF(D71="",IF(ISNUMBER(SEARCH("NOT NULL",UPPER(D$3))),"''","null"),SUBSTITUTE(VLOOKUP(D$2,convert!$A$1:$B$4,2,0),"@@@",D71))</f>
        <v>45</v>
      </c>
      <c r="T71" s="4" t="str">
        <f>IF(E71="",IF(ISNUMBER(SEARCH("NOT NULL",UPPER(E$3))),"''","null"),SUBSTITUTE(VLOOKUP(E$2,convert!$A$1:$B$4,2,0),"@@@",E71))</f>
        <v>35</v>
      </c>
      <c r="U71" s="4" t="str">
        <f>IF(F71="",IF(ISNUMBER(SEARCH("NOT NULL",UPPER(F$3))),"''","null"),SUBSTITUTE(VLOOKUP(F$2,convert!$A$1:$B$4,2,0),"@@@",F71))</f>
        <v>40</v>
      </c>
      <c r="V71" s="4" t="str">
        <f>IF(G71="",IF(ISNUMBER(SEARCH("NOT NULL",UPPER(G$3))),"''","null"),SUBSTITUTE(VLOOKUP(G$2,convert!$A$1:$B$4,2,0),"@@@",G71))</f>
        <v>40</v>
      </c>
      <c r="W71" s="4" t="str">
        <f>IF(H71="",IF(ISNUMBER(SEARCH("NOT NULL",UPPER(H$3))),"''","null"),SUBSTITUTE(VLOOKUP(H$2,convert!$A$1:$B$4,2,0),"@@@",H71))</f>
        <v>90</v>
      </c>
      <c r="X71" s="4" t="str">
        <f>IF(I71="",IF(ISNUMBER(SEARCH("NOT NULL",UPPER(I$3))),"''","null"),SUBSTITUTE(VLOOKUP(I$2,convert!$A$1:$B$4,2,0),"@@@",I71))</f>
        <v>''</v>
      </c>
      <c r="Y71" s="4" t="str">
        <f>IF(J71="",IF(ISNUMBER(SEARCH("NOT NULL",UPPER(J$3))),"''","null"),SUBSTITUTE(VLOOKUP(J$2,convert!$A$1:$B$4,2,0),"@@@",J71))</f>
        <v>'normal'</v>
      </c>
      <c r="Z71" s="4" t="str">
        <f>IF(K71="",IF(ISNUMBER(SEARCH("NOT NULL",UPPER(K$3))),"''","null"),SUBSTITUTE(VLOOKUP(K$2,convert!$A$1:$B$4,2,0),"@@@",K71))</f>
        <v>null</v>
      </c>
      <c r="AA71" s="4" t="str">
        <f>IF(L71="",IF(ISNUMBER(SEARCH("NOT NULL",UPPER(L$3))),"''","null"),SUBSTITUTE(VLOOKUP(L$2,convert!$A$1:$B$4,2,0),"@@@",L71))</f>
        <v>'g1'</v>
      </c>
      <c r="AB71" s="4" t="str">
        <f>IF(M71="",IF(ISNUMBER(SEARCH("NOT NULL",UPPER(M$3))),"''","null"),SUBSTITUTE(VLOOKUP(M$2,convert!$A$1:$B$4,2,0),"@@@",M71))</f>
        <v>null</v>
      </c>
      <c r="AC71" s="4" t="str">
        <f>IF(N71="",IF(ISNUMBER(SEARCH("NOT NULL",UPPER(N$3))),"''","null"),SUBSTITUTE(VLOOKUP(N$2,convert!$A$1:$B$4,2,0),"@@@",N71))</f>
        <v>null</v>
      </c>
      <c r="AD71" s="4" t="str">
        <f>IF(O71="",IF(ISNUMBER(SEARCH("NOT NULL",UPPER(O$3))),"''","null"),SUBSTITUTE(VLOOKUP(O$2,convert!$A$1:$B$4,2,0),"@@@",O71))</f>
        <v>TRUE</v>
      </c>
      <c r="AE71" s="4" t="str">
        <f t="shared" si="1"/>
        <v>    ('0052N01', 'ニャース', 40, 45, 35, 40, 40, 90, '', 'normal', null, 'g1', null, null, TRUE),</v>
      </c>
    </row>
    <row r="72" spans="1:31">
      <c r="A72" s="4" t="s">
        <v>176</v>
      </c>
      <c r="B72" s="4" t="s">
        <v>175</v>
      </c>
      <c r="C72" s="5">
        <v>40</v>
      </c>
      <c r="D72" s="5">
        <v>35</v>
      </c>
      <c r="E72" s="5">
        <v>35</v>
      </c>
      <c r="F72" s="5">
        <v>50</v>
      </c>
      <c r="G72" s="5">
        <v>40</v>
      </c>
      <c r="H72" s="5">
        <v>90</v>
      </c>
      <c r="I72" s="4" t="s">
        <v>90</v>
      </c>
      <c r="J72" s="4" t="s">
        <v>91</v>
      </c>
      <c r="K72" s="5"/>
      <c r="L72" s="4" t="s">
        <v>92</v>
      </c>
      <c r="M72" s="5"/>
      <c r="N72" s="5"/>
      <c r="O72" s="5" t="b">
        <v>1</v>
      </c>
      <c r="P72" s="4" t="str">
        <f>IF(A72="",IF(ISNUMBER(SEARCH("NOT NULL",UPPER(A$3))),"''","null"),SUBSTITUTE(VLOOKUP(A$2,convert!$A$1:$B$4,2,0),"@@@",A72))</f>
        <v>'0052A01'</v>
      </c>
      <c r="Q72" s="4" t="str">
        <f>IF(B72="",IF(ISNUMBER(SEARCH("NOT NULL",UPPER(B$3))),"''","null"),SUBSTITUTE(VLOOKUP(B$2,convert!$A$1:$B$4,2,0),"@@@",B72))</f>
        <v>'ニャース'</v>
      </c>
      <c r="R72" s="4" t="str">
        <f>IF(C72="",IF(ISNUMBER(SEARCH("NOT NULL",UPPER(C$3))),"''","null"),SUBSTITUTE(VLOOKUP(C$2,convert!$A$1:$B$4,2,0),"@@@",C72))</f>
        <v>40</v>
      </c>
      <c r="S72" s="4" t="str">
        <f>IF(D72="",IF(ISNUMBER(SEARCH("NOT NULL",UPPER(D$3))),"''","null"),SUBSTITUTE(VLOOKUP(D$2,convert!$A$1:$B$4,2,0),"@@@",D72))</f>
        <v>35</v>
      </c>
      <c r="T72" s="4" t="str">
        <f>IF(E72="",IF(ISNUMBER(SEARCH("NOT NULL",UPPER(E$3))),"''","null"),SUBSTITUTE(VLOOKUP(E$2,convert!$A$1:$B$4,2,0),"@@@",E72))</f>
        <v>35</v>
      </c>
      <c r="U72" s="4" t="str">
        <f>IF(F72="",IF(ISNUMBER(SEARCH("NOT NULL",UPPER(F$3))),"''","null"),SUBSTITUTE(VLOOKUP(F$2,convert!$A$1:$B$4,2,0),"@@@",F72))</f>
        <v>50</v>
      </c>
      <c r="V72" s="4" t="str">
        <f>IF(G72="",IF(ISNUMBER(SEARCH("NOT NULL",UPPER(G$3))),"''","null"),SUBSTITUTE(VLOOKUP(G$2,convert!$A$1:$B$4,2,0),"@@@",G72))</f>
        <v>40</v>
      </c>
      <c r="W72" s="4" t="str">
        <f>IF(H72="",IF(ISNUMBER(SEARCH("NOT NULL",UPPER(H$3))),"''","null"),SUBSTITUTE(VLOOKUP(H$2,convert!$A$1:$B$4,2,0),"@@@",H72))</f>
        <v>90</v>
      </c>
      <c r="X72" s="4" t="str">
        <f>IF(I72="",IF(ISNUMBER(SEARCH("NOT NULL",UPPER(I$3))),"''","null"),SUBSTITUTE(VLOOKUP(I$2,convert!$A$1:$B$4,2,0),"@@@",I72))</f>
        <v>'アローラのすがた'</v>
      </c>
      <c r="Y72" s="4" t="str">
        <f>IF(J72="",IF(ISNUMBER(SEARCH("NOT NULL",UPPER(J$3))),"''","null"),SUBSTITUTE(VLOOKUP(J$2,convert!$A$1:$B$4,2,0),"@@@",J72))</f>
        <v>'dark'</v>
      </c>
      <c r="Z72" s="4" t="str">
        <f>IF(K72="",IF(ISNUMBER(SEARCH("NOT NULL",UPPER(K$3))),"''","null"),SUBSTITUTE(VLOOKUP(K$2,convert!$A$1:$B$4,2,0),"@@@",K72))</f>
        <v>null</v>
      </c>
      <c r="AA72" s="4" t="str">
        <f>IF(L72="",IF(ISNUMBER(SEARCH("NOT NULL",UPPER(L$3))),"''","null"),SUBSTITUTE(VLOOKUP(L$2,convert!$A$1:$B$4,2,0),"@@@",L72))</f>
        <v>'g7'</v>
      </c>
      <c r="AB72" s="4" t="str">
        <f>IF(M72="",IF(ISNUMBER(SEARCH("NOT NULL",UPPER(M$3))),"''","null"),SUBSTITUTE(VLOOKUP(M$2,convert!$A$1:$B$4,2,0),"@@@",M72))</f>
        <v>null</v>
      </c>
      <c r="AC72" s="4" t="str">
        <f>IF(N72="",IF(ISNUMBER(SEARCH("NOT NULL",UPPER(N$3))),"''","null"),SUBSTITUTE(VLOOKUP(N$2,convert!$A$1:$B$4,2,0),"@@@",N72))</f>
        <v>null</v>
      </c>
      <c r="AD72" s="4" t="str">
        <f>IF(O72="",IF(ISNUMBER(SEARCH("NOT NULL",UPPER(O$3))),"''","null"),SUBSTITUTE(VLOOKUP(O$2,convert!$A$1:$B$4,2,0),"@@@",O72))</f>
        <v>TRUE</v>
      </c>
      <c r="AE72" s="4" t="str">
        <f t="shared" si="1"/>
        <v>    ('0052A01', 'ニャース', 40, 35, 35, 50, 40, 90, 'アローラのすがた', 'dark', null, 'g7', null, null, TRUE),</v>
      </c>
    </row>
    <row r="73" spans="1:31">
      <c r="A73" s="4" t="s">
        <v>177</v>
      </c>
      <c r="B73" s="4" t="s">
        <v>175</v>
      </c>
      <c r="C73" s="5">
        <v>50</v>
      </c>
      <c r="D73" s="5">
        <v>65</v>
      </c>
      <c r="E73" s="5">
        <v>55</v>
      </c>
      <c r="F73" s="5">
        <v>40</v>
      </c>
      <c r="G73" s="5">
        <v>40</v>
      </c>
      <c r="H73" s="5">
        <v>40</v>
      </c>
      <c r="I73" s="4" t="s">
        <v>178</v>
      </c>
      <c r="J73" s="4" t="s">
        <v>119</v>
      </c>
      <c r="K73" s="5"/>
      <c r="L73" s="4" t="s">
        <v>179</v>
      </c>
      <c r="M73" s="5"/>
      <c r="N73" s="5"/>
      <c r="O73" s="5" t="b">
        <v>1</v>
      </c>
      <c r="P73" s="4" t="str">
        <f>IF(A73="",IF(ISNUMBER(SEARCH("NOT NULL",UPPER(A$3))),"''","null"),SUBSTITUTE(VLOOKUP(A$2,convert!$A$1:$B$4,2,0),"@@@",A73))</f>
        <v>'0052G01'</v>
      </c>
      <c r="Q73" s="4" t="str">
        <f>IF(B73="",IF(ISNUMBER(SEARCH("NOT NULL",UPPER(B$3))),"''","null"),SUBSTITUTE(VLOOKUP(B$2,convert!$A$1:$B$4,2,0),"@@@",B73))</f>
        <v>'ニャース'</v>
      </c>
      <c r="R73" s="4" t="str">
        <f>IF(C73="",IF(ISNUMBER(SEARCH("NOT NULL",UPPER(C$3))),"''","null"),SUBSTITUTE(VLOOKUP(C$2,convert!$A$1:$B$4,2,0),"@@@",C73))</f>
        <v>50</v>
      </c>
      <c r="S73" s="4" t="str">
        <f>IF(D73="",IF(ISNUMBER(SEARCH("NOT NULL",UPPER(D$3))),"''","null"),SUBSTITUTE(VLOOKUP(D$2,convert!$A$1:$B$4,2,0),"@@@",D73))</f>
        <v>65</v>
      </c>
      <c r="T73" s="4" t="str">
        <f>IF(E73="",IF(ISNUMBER(SEARCH("NOT NULL",UPPER(E$3))),"''","null"),SUBSTITUTE(VLOOKUP(E$2,convert!$A$1:$B$4,2,0),"@@@",E73))</f>
        <v>55</v>
      </c>
      <c r="U73" s="4" t="str">
        <f>IF(F73="",IF(ISNUMBER(SEARCH("NOT NULL",UPPER(F$3))),"''","null"),SUBSTITUTE(VLOOKUP(F$2,convert!$A$1:$B$4,2,0),"@@@",F73))</f>
        <v>40</v>
      </c>
      <c r="V73" s="4" t="str">
        <f>IF(G73="",IF(ISNUMBER(SEARCH("NOT NULL",UPPER(G$3))),"''","null"),SUBSTITUTE(VLOOKUP(G$2,convert!$A$1:$B$4,2,0),"@@@",G73))</f>
        <v>40</v>
      </c>
      <c r="W73" s="4" t="str">
        <f>IF(H73="",IF(ISNUMBER(SEARCH("NOT NULL",UPPER(H$3))),"''","null"),SUBSTITUTE(VLOOKUP(H$2,convert!$A$1:$B$4,2,0),"@@@",H73))</f>
        <v>40</v>
      </c>
      <c r="X73" s="4" t="str">
        <f>IF(I73="",IF(ISNUMBER(SEARCH("NOT NULL",UPPER(I$3))),"''","null"),SUBSTITUTE(VLOOKUP(I$2,convert!$A$1:$B$4,2,0),"@@@",I73))</f>
        <v>'ガラルのすがた'</v>
      </c>
      <c r="Y73" s="4" t="str">
        <f>IF(J73="",IF(ISNUMBER(SEARCH("NOT NULL",UPPER(J$3))),"''","null"),SUBSTITUTE(VLOOKUP(J$2,convert!$A$1:$B$4,2,0),"@@@",J73))</f>
        <v>'steel'</v>
      </c>
      <c r="Z73" s="4" t="str">
        <f>IF(K73="",IF(ISNUMBER(SEARCH("NOT NULL",UPPER(K$3))),"''","null"),SUBSTITUTE(VLOOKUP(K$2,convert!$A$1:$B$4,2,0),"@@@",K73))</f>
        <v>null</v>
      </c>
      <c r="AA73" s="4" t="str">
        <f>IF(L73="",IF(ISNUMBER(SEARCH("NOT NULL",UPPER(L$3))),"''","null"),SUBSTITUTE(VLOOKUP(L$2,convert!$A$1:$B$4,2,0),"@@@",L73))</f>
        <v>'g8'</v>
      </c>
      <c r="AB73" s="4" t="str">
        <f>IF(M73="",IF(ISNUMBER(SEARCH("NOT NULL",UPPER(M$3))),"''","null"),SUBSTITUTE(VLOOKUP(M$2,convert!$A$1:$B$4,2,0),"@@@",M73))</f>
        <v>null</v>
      </c>
      <c r="AC73" s="4" t="str">
        <f>IF(N73="",IF(ISNUMBER(SEARCH("NOT NULL",UPPER(N$3))),"''","null"),SUBSTITUTE(VLOOKUP(N$2,convert!$A$1:$B$4,2,0),"@@@",N73))</f>
        <v>null</v>
      </c>
      <c r="AD73" s="4" t="str">
        <f>IF(O73="",IF(ISNUMBER(SEARCH("NOT NULL",UPPER(O$3))),"''","null"),SUBSTITUTE(VLOOKUP(O$2,convert!$A$1:$B$4,2,0),"@@@",O73))</f>
        <v>TRUE</v>
      </c>
      <c r="AE73" s="4" t="str">
        <f t="shared" si="1"/>
        <v>    ('0052G01', 'ニャース', 50, 65, 55, 40, 40, 40, 'ガラルのすがた', 'steel', null, 'g8', null, null, TRUE),</v>
      </c>
    </row>
    <row r="74" spans="1:31">
      <c r="A74" s="4" t="s">
        <v>180</v>
      </c>
      <c r="B74" s="4" t="s">
        <v>181</v>
      </c>
      <c r="C74" s="5">
        <v>65</v>
      </c>
      <c r="D74" s="5">
        <v>70</v>
      </c>
      <c r="E74" s="5">
        <v>60</v>
      </c>
      <c r="F74" s="5">
        <v>65</v>
      </c>
      <c r="G74" s="5">
        <v>65</v>
      </c>
      <c r="H74" s="5">
        <v>115</v>
      </c>
      <c r="I74" s="5"/>
      <c r="J74" s="4" t="s">
        <v>80</v>
      </c>
      <c r="K74" s="5"/>
      <c r="L74" s="4" t="s">
        <v>32</v>
      </c>
      <c r="M74" s="5"/>
      <c r="N74" s="5"/>
      <c r="O74" s="5" t="b">
        <v>1</v>
      </c>
      <c r="P74" s="4" t="str">
        <f>IF(A74="",IF(ISNUMBER(SEARCH("NOT NULL",UPPER(A$3))),"''","null"),SUBSTITUTE(VLOOKUP(A$2,convert!$A$1:$B$4,2,0),"@@@",A74))</f>
        <v>'0053N01'</v>
      </c>
      <c r="Q74" s="4" t="str">
        <f>IF(B74="",IF(ISNUMBER(SEARCH("NOT NULL",UPPER(B$3))),"''","null"),SUBSTITUTE(VLOOKUP(B$2,convert!$A$1:$B$4,2,0),"@@@",B74))</f>
        <v>'ペルシアン'</v>
      </c>
      <c r="R74" s="4" t="str">
        <f>IF(C74="",IF(ISNUMBER(SEARCH("NOT NULL",UPPER(C$3))),"''","null"),SUBSTITUTE(VLOOKUP(C$2,convert!$A$1:$B$4,2,0),"@@@",C74))</f>
        <v>65</v>
      </c>
      <c r="S74" s="4" t="str">
        <f>IF(D74="",IF(ISNUMBER(SEARCH("NOT NULL",UPPER(D$3))),"''","null"),SUBSTITUTE(VLOOKUP(D$2,convert!$A$1:$B$4,2,0),"@@@",D74))</f>
        <v>70</v>
      </c>
      <c r="T74" s="4" t="str">
        <f>IF(E74="",IF(ISNUMBER(SEARCH("NOT NULL",UPPER(E$3))),"''","null"),SUBSTITUTE(VLOOKUP(E$2,convert!$A$1:$B$4,2,0),"@@@",E74))</f>
        <v>60</v>
      </c>
      <c r="U74" s="4" t="str">
        <f>IF(F74="",IF(ISNUMBER(SEARCH("NOT NULL",UPPER(F$3))),"''","null"),SUBSTITUTE(VLOOKUP(F$2,convert!$A$1:$B$4,2,0),"@@@",F74))</f>
        <v>65</v>
      </c>
      <c r="V74" s="4" t="str">
        <f>IF(G74="",IF(ISNUMBER(SEARCH("NOT NULL",UPPER(G$3))),"''","null"),SUBSTITUTE(VLOOKUP(G$2,convert!$A$1:$B$4,2,0),"@@@",G74))</f>
        <v>65</v>
      </c>
      <c r="W74" s="4" t="str">
        <f>IF(H74="",IF(ISNUMBER(SEARCH("NOT NULL",UPPER(H$3))),"''","null"),SUBSTITUTE(VLOOKUP(H$2,convert!$A$1:$B$4,2,0),"@@@",H74))</f>
        <v>115</v>
      </c>
      <c r="X74" s="4" t="str">
        <f>IF(I74="",IF(ISNUMBER(SEARCH("NOT NULL",UPPER(I$3))),"''","null"),SUBSTITUTE(VLOOKUP(I$2,convert!$A$1:$B$4,2,0),"@@@",I74))</f>
        <v>''</v>
      </c>
      <c r="Y74" s="4" t="str">
        <f>IF(J74="",IF(ISNUMBER(SEARCH("NOT NULL",UPPER(J$3))),"''","null"),SUBSTITUTE(VLOOKUP(J$2,convert!$A$1:$B$4,2,0),"@@@",J74))</f>
        <v>'normal'</v>
      </c>
      <c r="Z74" s="4" t="str">
        <f>IF(K74="",IF(ISNUMBER(SEARCH("NOT NULL",UPPER(K$3))),"''","null"),SUBSTITUTE(VLOOKUP(K$2,convert!$A$1:$B$4,2,0),"@@@",K74))</f>
        <v>null</v>
      </c>
      <c r="AA74" s="4" t="str">
        <f>IF(L74="",IF(ISNUMBER(SEARCH("NOT NULL",UPPER(L$3))),"''","null"),SUBSTITUTE(VLOOKUP(L$2,convert!$A$1:$B$4,2,0),"@@@",L74))</f>
        <v>'g1'</v>
      </c>
      <c r="AB74" s="4" t="str">
        <f>IF(M74="",IF(ISNUMBER(SEARCH("NOT NULL",UPPER(M$3))),"''","null"),SUBSTITUTE(VLOOKUP(M$2,convert!$A$1:$B$4,2,0),"@@@",M74))</f>
        <v>null</v>
      </c>
      <c r="AC74" s="4" t="str">
        <f>IF(N74="",IF(ISNUMBER(SEARCH("NOT NULL",UPPER(N$3))),"''","null"),SUBSTITUTE(VLOOKUP(N$2,convert!$A$1:$B$4,2,0),"@@@",N74))</f>
        <v>null</v>
      </c>
      <c r="AD74" s="4" t="str">
        <f>IF(O74="",IF(ISNUMBER(SEARCH("NOT NULL",UPPER(O$3))),"''","null"),SUBSTITUTE(VLOOKUP(O$2,convert!$A$1:$B$4,2,0),"@@@",O74))</f>
        <v>TRUE</v>
      </c>
      <c r="AE74" s="4" t="str">
        <f t="shared" si="1"/>
        <v>    ('0053N01', 'ペルシアン', 65, 70, 60, 65, 65, 115, '', 'normal', null, 'g1', null, null, TRUE),</v>
      </c>
    </row>
    <row r="75" spans="1:31">
      <c r="A75" s="4" t="s">
        <v>182</v>
      </c>
      <c r="B75" s="4" t="s">
        <v>181</v>
      </c>
      <c r="C75" s="5">
        <v>65</v>
      </c>
      <c r="D75" s="5">
        <v>60</v>
      </c>
      <c r="E75" s="5">
        <v>60</v>
      </c>
      <c r="F75" s="5">
        <v>75</v>
      </c>
      <c r="G75" s="5">
        <v>65</v>
      </c>
      <c r="H75" s="5">
        <v>115</v>
      </c>
      <c r="I75" s="4" t="s">
        <v>90</v>
      </c>
      <c r="J75" s="4" t="s">
        <v>91</v>
      </c>
      <c r="K75" s="5"/>
      <c r="L75" s="4" t="s">
        <v>92</v>
      </c>
      <c r="M75" s="5"/>
      <c r="N75" s="5"/>
      <c r="O75" s="5" t="b">
        <v>1</v>
      </c>
      <c r="P75" s="4" t="str">
        <f>IF(A75="",IF(ISNUMBER(SEARCH("NOT NULL",UPPER(A$3))),"''","null"),SUBSTITUTE(VLOOKUP(A$2,convert!$A$1:$B$4,2,0),"@@@",A75))</f>
        <v>'0053A01'</v>
      </c>
      <c r="Q75" s="4" t="str">
        <f>IF(B75="",IF(ISNUMBER(SEARCH("NOT NULL",UPPER(B$3))),"''","null"),SUBSTITUTE(VLOOKUP(B$2,convert!$A$1:$B$4,2,0),"@@@",B75))</f>
        <v>'ペルシアン'</v>
      </c>
      <c r="R75" s="4" t="str">
        <f>IF(C75="",IF(ISNUMBER(SEARCH("NOT NULL",UPPER(C$3))),"''","null"),SUBSTITUTE(VLOOKUP(C$2,convert!$A$1:$B$4,2,0),"@@@",C75))</f>
        <v>65</v>
      </c>
      <c r="S75" s="4" t="str">
        <f>IF(D75="",IF(ISNUMBER(SEARCH("NOT NULL",UPPER(D$3))),"''","null"),SUBSTITUTE(VLOOKUP(D$2,convert!$A$1:$B$4,2,0),"@@@",D75))</f>
        <v>60</v>
      </c>
      <c r="T75" s="4" t="str">
        <f>IF(E75="",IF(ISNUMBER(SEARCH("NOT NULL",UPPER(E$3))),"''","null"),SUBSTITUTE(VLOOKUP(E$2,convert!$A$1:$B$4,2,0),"@@@",E75))</f>
        <v>60</v>
      </c>
      <c r="U75" s="4" t="str">
        <f>IF(F75="",IF(ISNUMBER(SEARCH("NOT NULL",UPPER(F$3))),"''","null"),SUBSTITUTE(VLOOKUP(F$2,convert!$A$1:$B$4,2,0),"@@@",F75))</f>
        <v>75</v>
      </c>
      <c r="V75" s="4" t="str">
        <f>IF(G75="",IF(ISNUMBER(SEARCH("NOT NULL",UPPER(G$3))),"''","null"),SUBSTITUTE(VLOOKUP(G$2,convert!$A$1:$B$4,2,0),"@@@",G75))</f>
        <v>65</v>
      </c>
      <c r="W75" s="4" t="str">
        <f>IF(H75="",IF(ISNUMBER(SEARCH("NOT NULL",UPPER(H$3))),"''","null"),SUBSTITUTE(VLOOKUP(H$2,convert!$A$1:$B$4,2,0),"@@@",H75))</f>
        <v>115</v>
      </c>
      <c r="X75" s="4" t="str">
        <f>IF(I75="",IF(ISNUMBER(SEARCH("NOT NULL",UPPER(I$3))),"''","null"),SUBSTITUTE(VLOOKUP(I$2,convert!$A$1:$B$4,2,0),"@@@",I75))</f>
        <v>'アローラのすがた'</v>
      </c>
      <c r="Y75" s="4" t="str">
        <f>IF(J75="",IF(ISNUMBER(SEARCH("NOT NULL",UPPER(J$3))),"''","null"),SUBSTITUTE(VLOOKUP(J$2,convert!$A$1:$B$4,2,0),"@@@",J75))</f>
        <v>'dark'</v>
      </c>
      <c r="Z75" s="4" t="str">
        <f>IF(K75="",IF(ISNUMBER(SEARCH("NOT NULL",UPPER(K$3))),"''","null"),SUBSTITUTE(VLOOKUP(K$2,convert!$A$1:$B$4,2,0),"@@@",K75))</f>
        <v>null</v>
      </c>
      <c r="AA75" s="4" t="str">
        <f>IF(L75="",IF(ISNUMBER(SEARCH("NOT NULL",UPPER(L$3))),"''","null"),SUBSTITUTE(VLOOKUP(L$2,convert!$A$1:$B$4,2,0),"@@@",L75))</f>
        <v>'g7'</v>
      </c>
      <c r="AB75" s="4" t="str">
        <f>IF(M75="",IF(ISNUMBER(SEARCH("NOT NULL",UPPER(M$3))),"''","null"),SUBSTITUTE(VLOOKUP(M$2,convert!$A$1:$B$4,2,0),"@@@",M75))</f>
        <v>null</v>
      </c>
      <c r="AC75" s="4" t="str">
        <f>IF(N75="",IF(ISNUMBER(SEARCH("NOT NULL",UPPER(N$3))),"''","null"),SUBSTITUTE(VLOOKUP(N$2,convert!$A$1:$B$4,2,0),"@@@",N75))</f>
        <v>null</v>
      </c>
      <c r="AD75" s="4" t="str">
        <f>IF(O75="",IF(ISNUMBER(SEARCH("NOT NULL",UPPER(O$3))),"''","null"),SUBSTITUTE(VLOOKUP(O$2,convert!$A$1:$B$4,2,0),"@@@",O75))</f>
        <v>TRUE</v>
      </c>
      <c r="AE75" s="4" t="str">
        <f t="shared" si="1"/>
        <v>    ('0053A01', 'ペルシアン', 65, 60, 60, 75, 65, 115, 'アローラのすがた', 'dark', null, 'g7', null, null, TRUE),</v>
      </c>
    </row>
    <row r="76" spans="1:31">
      <c r="A76" s="4" t="s">
        <v>183</v>
      </c>
      <c r="B76" s="4" t="s">
        <v>184</v>
      </c>
      <c r="C76" s="5">
        <v>50</v>
      </c>
      <c r="D76" s="5">
        <v>52</v>
      </c>
      <c r="E76" s="5">
        <v>48</v>
      </c>
      <c r="F76" s="5">
        <v>65</v>
      </c>
      <c r="G76" s="5">
        <v>50</v>
      </c>
      <c r="H76" s="5">
        <v>55</v>
      </c>
      <c r="I76" s="5"/>
      <c r="J76" s="4" t="s">
        <v>55</v>
      </c>
      <c r="K76" s="5"/>
      <c r="L76" s="4" t="s">
        <v>32</v>
      </c>
      <c r="M76" s="5"/>
      <c r="N76" s="5"/>
      <c r="O76" s="5" t="b">
        <v>1</v>
      </c>
      <c r="P76" s="4" t="str">
        <f>IF(A76="",IF(ISNUMBER(SEARCH("NOT NULL",UPPER(A$3))),"''","null"),SUBSTITUTE(VLOOKUP(A$2,convert!$A$1:$B$4,2,0),"@@@",A76))</f>
        <v>'0054N01'</v>
      </c>
      <c r="Q76" s="4" t="str">
        <f>IF(B76="",IF(ISNUMBER(SEARCH("NOT NULL",UPPER(B$3))),"''","null"),SUBSTITUTE(VLOOKUP(B$2,convert!$A$1:$B$4,2,0),"@@@",B76))</f>
        <v>'コダック'</v>
      </c>
      <c r="R76" s="4" t="str">
        <f>IF(C76="",IF(ISNUMBER(SEARCH("NOT NULL",UPPER(C$3))),"''","null"),SUBSTITUTE(VLOOKUP(C$2,convert!$A$1:$B$4,2,0),"@@@",C76))</f>
        <v>50</v>
      </c>
      <c r="S76" s="4" t="str">
        <f>IF(D76="",IF(ISNUMBER(SEARCH("NOT NULL",UPPER(D$3))),"''","null"),SUBSTITUTE(VLOOKUP(D$2,convert!$A$1:$B$4,2,0),"@@@",D76))</f>
        <v>52</v>
      </c>
      <c r="T76" s="4" t="str">
        <f>IF(E76="",IF(ISNUMBER(SEARCH("NOT NULL",UPPER(E$3))),"''","null"),SUBSTITUTE(VLOOKUP(E$2,convert!$A$1:$B$4,2,0),"@@@",E76))</f>
        <v>48</v>
      </c>
      <c r="U76" s="4" t="str">
        <f>IF(F76="",IF(ISNUMBER(SEARCH("NOT NULL",UPPER(F$3))),"''","null"),SUBSTITUTE(VLOOKUP(F$2,convert!$A$1:$B$4,2,0),"@@@",F76))</f>
        <v>65</v>
      </c>
      <c r="V76" s="4" t="str">
        <f>IF(G76="",IF(ISNUMBER(SEARCH("NOT NULL",UPPER(G$3))),"''","null"),SUBSTITUTE(VLOOKUP(G$2,convert!$A$1:$B$4,2,0),"@@@",G76))</f>
        <v>50</v>
      </c>
      <c r="W76" s="4" t="str">
        <f>IF(H76="",IF(ISNUMBER(SEARCH("NOT NULL",UPPER(H$3))),"''","null"),SUBSTITUTE(VLOOKUP(H$2,convert!$A$1:$B$4,2,0),"@@@",H76))</f>
        <v>55</v>
      </c>
      <c r="X76" s="4" t="str">
        <f>IF(I76="",IF(ISNUMBER(SEARCH("NOT NULL",UPPER(I$3))),"''","null"),SUBSTITUTE(VLOOKUP(I$2,convert!$A$1:$B$4,2,0),"@@@",I76))</f>
        <v>''</v>
      </c>
      <c r="Y76" s="4" t="str">
        <f>IF(J76="",IF(ISNUMBER(SEARCH("NOT NULL",UPPER(J$3))),"''","null"),SUBSTITUTE(VLOOKUP(J$2,convert!$A$1:$B$4,2,0),"@@@",J76))</f>
        <v>'water'</v>
      </c>
      <c r="Z76" s="4" t="str">
        <f>IF(K76="",IF(ISNUMBER(SEARCH("NOT NULL",UPPER(K$3))),"''","null"),SUBSTITUTE(VLOOKUP(K$2,convert!$A$1:$B$4,2,0),"@@@",K76))</f>
        <v>null</v>
      </c>
      <c r="AA76" s="4" t="str">
        <f>IF(L76="",IF(ISNUMBER(SEARCH("NOT NULL",UPPER(L$3))),"''","null"),SUBSTITUTE(VLOOKUP(L$2,convert!$A$1:$B$4,2,0),"@@@",L76))</f>
        <v>'g1'</v>
      </c>
      <c r="AB76" s="4" t="str">
        <f>IF(M76="",IF(ISNUMBER(SEARCH("NOT NULL",UPPER(M$3))),"''","null"),SUBSTITUTE(VLOOKUP(M$2,convert!$A$1:$B$4,2,0),"@@@",M76))</f>
        <v>null</v>
      </c>
      <c r="AC76" s="4" t="str">
        <f>IF(N76="",IF(ISNUMBER(SEARCH("NOT NULL",UPPER(N$3))),"''","null"),SUBSTITUTE(VLOOKUP(N$2,convert!$A$1:$B$4,2,0),"@@@",N76))</f>
        <v>null</v>
      </c>
      <c r="AD76" s="4" t="str">
        <f>IF(O76="",IF(ISNUMBER(SEARCH("NOT NULL",UPPER(O$3))),"''","null"),SUBSTITUTE(VLOOKUP(O$2,convert!$A$1:$B$4,2,0),"@@@",O76))</f>
        <v>TRUE</v>
      </c>
      <c r="AE76" s="4" t="str">
        <f t="shared" si="1"/>
        <v>    ('0054N01', 'コダック', 50, 52, 48, 65, 50, 55, '', 'water', null, 'g1', null, null, TRUE),</v>
      </c>
    </row>
    <row r="77" spans="1:31">
      <c r="A77" s="4" t="s">
        <v>185</v>
      </c>
      <c r="B77" s="4" t="s">
        <v>186</v>
      </c>
      <c r="C77" s="5">
        <v>80</v>
      </c>
      <c r="D77" s="5">
        <v>82</v>
      </c>
      <c r="E77" s="5">
        <v>78</v>
      </c>
      <c r="F77" s="5">
        <v>95</v>
      </c>
      <c r="G77" s="5">
        <v>80</v>
      </c>
      <c r="H77" s="5">
        <v>85</v>
      </c>
      <c r="I77" s="5"/>
      <c r="J77" s="4" t="s">
        <v>55</v>
      </c>
      <c r="K77" s="5"/>
      <c r="L77" s="4" t="s">
        <v>32</v>
      </c>
      <c r="M77" s="5"/>
      <c r="N77" s="5"/>
      <c r="O77" s="5" t="b">
        <v>1</v>
      </c>
      <c r="P77" s="4" t="str">
        <f>IF(A77="",IF(ISNUMBER(SEARCH("NOT NULL",UPPER(A$3))),"''","null"),SUBSTITUTE(VLOOKUP(A$2,convert!$A$1:$B$4,2,0),"@@@",A77))</f>
        <v>'0055N01'</v>
      </c>
      <c r="Q77" s="4" t="str">
        <f>IF(B77="",IF(ISNUMBER(SEARCH("NOT NULL",UPPER(B$3))),"''","null"),SUBSTITUTE(VLOOKUP(B$2,convert!$A$1:$B$4,2,0),"@@@",B77))</f>
        <v>'ゴルダック'</v>
      </c>
      <c r="R77" s="4" t="str">
        <f>IF(C77="",IF(ISNUMBER(SEARCH("NOT NULL",UPPER(C$3))),"''","null"),SUBSTITUTE(VLOOKUP(C$2,convert!$A$1:$B$4,2,0),"@@@",C77))</f>
        <v>80</v>
      </c>
      <c r="S77" s="4" t="str">
        <f>IF(D77="",IF(ISNUMBER(SEARCH("NOT NULL",UPPER(D$3))),"''","null"),SUBSTITUTE(VLOOKUP(D$2,convert!$A$1:$B$4,2,0),"@@@",D77))</f>
        <v>82</v>
      </c>
      <c r="T77" s="4" t="str">
        <f>IF(E77="",IF(ISNUMBER(SEARCH("NOT NULL",UPPER(E$3))),"''","null"),SUBSTITUTE(VLOOKUP(E$2,convert!$A$1:$B$4,2,0),"@@@",E77))</f>
        <v>78</v>
      </c>
      <c r="U77" s="4" t="str">
        <f>IF(F77="",IF(ISNUMBER(SEARCH("NOT NULL",UPPER(F$3))),"''","null"),SUBSTITUTE(VLOOKUP(F$2,convert!$A$1:$B$4,2,0),"@@@",F77))</f>
        <v>95</v>
      </c>
      <c r="V77" s="4" t="str">
        <f>IF(G77="",IF(ISNUMBER(SEARCH("NOT NULL",UPPER(G$3))),"''","null"),SUBSTITUTE(VLOOKUP(G$2,convert!$A$1:$B$4,2,0),"@@@",G77))</f>
        <v>80</v>
      </c>
      <c r="W77" s="4" t="str">
        <f>IF(H77="",IF(ISNUMBER(SEARCH("NOT NULL",UPPER(H$3))),"''","null"),SUBSTITUTE(VLOOKUP(H$2,convert!$A$1:$B$4,2,0),"@@@",H77))</f>
        <v>85</v>
      </c>
      <c r="X77" s="4" t="str">
        <f>IF(I77="",IF(ISNUMBER(SEARCH("NOT NULL",UPPER(I$3))),"''","null"),SUBSTITUTE(VLOOKUP(I$2,convert!$A$1:$B$4,2,0),"@@@",I77))</f>
        <v>''</v>
      </c>
      <c r="Y77" s="4" t="str">
        <f>IF(J77="",IF(ISNUMBER(SEARCH("NOT NULL",UPPER(J$3))),"''","null"),SUBSTITUTE(VLOOKUP(J$2,convert!$A$1:$B$4,2,0),"@@@",J77))</f>
        <v>'water'</v>
      </c>
      <c r="Z77" s="4" t="str">
        <f>IF(K77="",IF(ISNUMBER(SEARCH("NOT NULL",UPPER(K$3))),"''","null"),SUBSTITUTE(VLOOKUP(K$2,convert!$A$1:$B$4,2,0),"@@@",K77))</f>
        <v>null</v>
      </c>
      <c r="AA77" s="4" t="str">
        <f>IF(L77="",IF(ISNUMBER(SEARCH("NOT NULL",UPPER(L$3))),"''","null"),SUBSTITUTE(VLOOKUP(L$2,convert!$A$1:$B$4,2,0),"@@@",L77))</f>
        <v>'g1'</v>
      </c>
      <c r="AB77" s="4" t="str">
        <f>IF(M77="",IF(ISNUMBER(SEARCH("NOT NULL",UPPER(M$3))),"''","null"),SUBSTITUTE(VLOOKUP(M$2,convert!$A$1:$B$4,2,0),"@@@",M77))</f>
        <v>null</v>
      </c>
      <c r="AC77" s="4" t="str">
        <f>IF(N77="",IF(ISNUMBER(SEARCH("NOT NULL",UPPER(N$3))),"''","null"),SUBSTITUTE(VLOOKUP(N$2,convert!$A$1:$B$4,2,0),"@@@",N77))</f>
        <v>null</v>
      </c>
      <c r="AD77" s="4" t="str">
        <f>IF(O77="",IF(ISNUMBER(SEARCH("NOT NULL",UPPER(O$3))),"''","null"),SUBSTITUTE(VLOOKUP(O$2,convert!$A$1:$B$4,2,0),"@@@",O77))</f>
        <v>TRUE</v>
      </c>
      <c r="AE77" s="4" t="str">
        <f t="shared" si="1"/>
        <v>    ('0055N01', 'ゴルダック', 80, 82, 78, 95, 80, 85, '', 'water', null, 'g1', null, null, TRUE),</v>
      </c>
    </row>
    <row r="78" spans="1:31">
      <c r="A78" s="4" t="s">
        <v>187</v>
      </c>
      <c r="B78" s="4" t="s">
        <v>188</v>
      </c>
      <c r="C78" s="5">
        <v>40</v>
      </c>
      <c r="D78" s="5">
        <v>80</v>
      </c>
      <c r="E78" s="5">
        <v>35</v>
      </c>
      <c r="F78" s="5">
        <v>35</v>
      </c>
      <c r="G78" s="5">
        <v>45</v>
      </c>
      <c r="H78" s="5">
        <v>70</v>
      </c>
      <c r="I78" s="5"/>
      <c r="J78" s="4" t="s">
        <v>189</v>
      </c>
      <c r="K78" s="5"/>
      <c r="L78" s="4" t="s">
        <v>32</v>
      </c>
      <c r="M78" s="5"/>
      <c r="N78" s="5"/>
      <c r="O78" s="5" t="b">
        <v>1</v>
      </c>
      <c r="P78" s="4" t="str">
        <f>IF(A78="",IF(ISNUMBER(SEARCH("NOT NULL",UPPER(A$3))),"''","null"),SUBSTITUTE(VLOOKUP(A$2,convert!$A$1:$B$4,2,0),"@@@",A78))</f>
        <v>'0056N01'</v>
      </c>
      <c r="Q78" s="4" t="str">
        <f>IF(B78="",IF(ISNUMBER(SEARCH("NOT NULL",UPPER(B$3))),"''","null"),SUBSTITUTE(VLOOKUP(B$2,convert!$A$1:$B$4,2,0),"@@@",B78))</f>
        <v>'マンキー'</v>
      </c>
      <c r="R78" s="4" t="str">
        <f>IF(C78="",IF(ISNUMBER(SEARCH("NOT NULL",UPPER(C$3))),"''","null"),SUBSTITUTE(VLOOKUP(C$2,convert!$A$1:$B$4,2,0),"@@@",C78))</f>
        <v>40</v>
      </c>
      <c r="S78" s="4" t="str">
        <f>IF(D78="",IF(ISNUMBER(SEARCH("NOT NULL",UPPER(D$3))),"''","null"),SUBSTITUTE(VLOOKUP(D$2,convert!$A$1:$B$4,2,0),"@@@",D78))</f>
        <v>80</v>
      </c>
      <c r="T78" s="4" t="str">
        <f>IF(E78="",IF(ISNUMBER(SEARCH("NOT NULL",UPPER(E$3))),"''","null"),SUBSTITUTE(VLOOKUP(E$2,convert!$A$1:$B$4,2,0),"@@@",E78))</f>
        <v>35</v>
      </c>
      <c r="U78" s="4" t="str">
        <f>IF(F78="",IF(ISNUMBER(SEARCH("NOT NULL",UPPER(F$3))),"''","null"),SUBSTITUTE(VLOOKUP(F$2,convert!$A$1:$B$4,2,0),"@@@",F78))</f>
        <v>35</v>
      </c>
      <c r="V78" s="4" t="str">
        <f>IF(G78="",IF(ISNUMBER(SEARCH("NOT NULL",UPPER(G$3))),"''","null"),SUBSTITUTE(VLOOKUP(G$2,convert!$A$1:$B$4,2,0),"@@@",G78))</f>
        <v>45</v>
      </c>
      <c r="W78" s="4" t="str">
        <f>IF(H78="",IF(ISNUMBER(SEARCH("NOT NULL",UPPER(H$3))),"''","null"),SUBSTITUTE(VLOOKUP(H$2,convert!$A$1:$B$4,2,0),"@@@",H78))</f>
        <v>70</v>
      </c>
      <c r="X78" s="4" t="str">
        <f>IF(I78="",IF(ISNUMBER(SEARCH("NOT NULL",UPPER(I$3))),"''","null"),SUBSTITUTE(VLOOKUP(I$2,convert!$A$1:$B$4,2,0),"@@@",I78))</f>
        <v>''</v>
      </c>
      <c r="Y78" s="4" t="str">
        <f>IF(J78="",IF(ISNUMBER(SEARCH("NOT NULL",UPPER(J$3))),"''","null"),SUBSTITUTE(VLOOKUP(J$2,convert!$A$1:$B$4,2,0),"@@@",J78))</f>
        <v>'fighting'</v>
      </c>
      <c r="Z78" s="4" t="str">
        <f>IF(K78="",IF(ISNUMBER(SEARCH("NOT NULL",UPPER(K$3))),"''","null"),SUBSTITUTE(VLOOKUP(K$2,convert!$A$1:$B$4,2,0),"@@@",K78))</f>
        <v>null</v>
      </c>
      <c r="AA78" s="4" t="str">
        <f>IF(L78="",IF(ISNUMBER(SEARCH("NOT NULL",UPPER(L$3))),"''","null"),SUBSTITUTE(VLOOKUP(L$2,convert!$A$1:$B$4,2,0),"@@@",L78))</f>
        <v>'g1'</v>
      </c>
      <c r="AB78" s="4" t="str">
        <f>IF(M78="",IF(ISNUMBER(SEARCH("NOT NULL",UPPER(M$3))),"''","null"),SUBSTITUTE(VLOOKUP(M$2,convert!$A$1:$B$4,2,0),"@@@",M78))</f>
        <v>null</v>
      </c>
      <c r="AC78" s="4" t="str">
        <f>IF(N78="",IF(ISNUMBER(SEARCH("NOT NULL",UPPER(N$3))),"''","null"),SUBSTITUTE(VLOOKUP(N$2,convert!$A$1:$B$4,2,0),"@@@",N78))</f>
        <v>null</v>
      </c>
      <c r="AD78" s="4" t="str">
        <f>IF(O78="",IF(ISNUMBER(SEARCH("NOT NULL",UPPER(O$3))),"''","null"),SUBSTITUTE(VLOOKUP(O$2,convert!$A$1:$B$4,2,0),"@@@",O78))</f>
        <v>TRUE</v>
      </c>
      <c r="AE78" s="4" t="str">
        <f t="shared" si="1"/>
        <v>    ('0056N01', 'マンキー', 40, 80, 35, 35, 45, 70, '', 'fighting', null, 'g1', null, null, TRUE),</v>
      </c>
    </row>
    <row r="79" spans="1:31">
      <c r="A79" s="4" t="s">
        <v>190</v>
      </c>
      <c r="B79" s="4" t="s">
        <v>191</v>
      </c>
      <c r="C79" s="5">
        <v>65</v>
      </c>
      <c r="D79" s="5">
        <v>105</v>
      </c>
      <c r="E79" s="5">
        <v>60</v>
      </c>
      <c r="F79" s="5">
        <v>60</v>
      </c>
      <c r="G79" s="5">
        <v>70</v>
      </c>
      <c r="H79" s="5">
        <v>95</v>
      </c>
      <c r="I79" s="5"/>
      <c r="J79" s="4" t="s">
        <v>189</v>
      </c>
      <c r="K79" s="5"/>
      <c r="L79" s="4" t="s">
        <v>32</v>
      </c>
      <c r="M79" s="5"/>
      <c r="N79" s="5"/>
      <c r="O79" s="5" t="b">
        <v>1</v>
      </c>
      <c r="P79" s="4" t="str">
        <f>IF(A79="",IF(ISNUMBER(SEARCH("NOT NULL",UPPER(A$3))),"''","null"),SUBSTITUTE(VLOOKUP(A$2,convert!$A$1:$B$4,2,0),"@@@",A79))</f>
        <v>'0057N01'</v>
      </c>
      <c r="Q79" s="4" t="str">
        <f>IF(B79="",IF(ISNUMBER(SEARCH("NOT NULL",UPPER(B$3))),"''","null"),SUBSTITUTE(VLOOKUP(B$2,convert!$A$1:$B$4,2,0),"@@@",B79))</f>
        <v>'オコリザル'</v>
      </c>
      <c r="R79" s="4" t="str">
        <f>IF(C79="",IF(ISNUMBER(SEARCH("NOT NULL",UPPER(C$3))),"''","null"),SUBSTITUTE(VLOOKUP(C$2,convert!$A$1:$B$4,2,0),"@@@",C79))</f>
        <v>65</v>
      </c>
      <c r="S79" s="4" t="str">
        <f>IF(D79="",IF(ISNUMBER(SEARCH("NOT NULL",UPPER(D$3))),"''","null"),SUBSTITUTE(VLOOKUP(D$2,convert!$A$1:$B$4,2,0),"@@@",D79))</f>
        <v>105</v>
      </c>
      <c r="T79" s="4" t="str">
        <f>IF(E79="",IF(ISNUMBER(SEARCH("NOT NULL",UPPER(E$3))),"''","null"),SUBSTITUTE(VLOOKUP(E$2,convert!$A$1:$B$4,2,0),"@@@",E79))</f>
        <v>60</v>
      </c>
      <c r="U79" s="4" t="str">
        <f>IF(F79="",IF(ISNUMBER(SEARCH("NOT NULL",UPPER(F$3))),"''","null"),SUBSTITUTE(VLOOKUP(F$2,convert!$A$1:$B$4,2,0),"@@@",F79))</f>
        <v>60</v>
      </c>
      <c r="V79" s="4" t="str">
        <f>IF(G79="",IF(ISNUMBER(SEARCH("NOT NULL",UPPER(G$3))),"''","null"),SUBSTITUTE(VLOOKUP(G$2,convert!$A$1:$B$4,2,0),"@@@",G79))</f>
        <v>70</v>
      </c>
      <c r="W79" s="4" t="str">
        <f>IF(H79="",IF(ISNUMBER(SEARCH("NOT NULL",UPPER(H$3))),"''","null"),SUBSTITUTE(VLOOKUP(H$2,convert!$A$1:$B$4,2,0),"@@@",H79))</f>
        <v>95</v>
      </c>
      <c r="X79" s="4" t="str">
        <f>IF(I79="",IF(ISNUMBER(SEARCH("NOT NULL",UPPER(I$3))),"''","null"),SUBSTITUTE(VLOOKUP(I$2,convert!$A$1:$B$4,2,0),"@@@",I79))</f>
        <v>''</v>
      </c>
      <c r="Y79" s="4" t="str">
        <f>IF(J79="",IF(ISNUMBER(SEARCH("NOT NULL",UPPER(J$3))),"''","null"),SUBSTITUTE(VLOOKUP(J$2,convert!$A$1:$B$4,2,0),"@@@",J79))</f>
        <v>'fighting'</v>
      </c>
      <c r="Z79" s="4" t="str">
        <f>IF(K79="",IF(ISNUMBER(SEARCH("NOT NULL",UPPER(K$3))),"''","null"),SUBSTITUTE(VLOOKUP(K$2,convert!$A$1:$B$4,2,0),"@@@",K79))</f>
        <v>null</v>
      </c>
      <c r="AA79" s="4" t="str">
        <f>IF(L79="",IF(ISNUMBER(SEARCH("NOT NULL",UPPER(L$3))),"''","null"),SUBSTITUTE(VLOOKUP(L$2,convert!$A$1:$B$4,2,0),"@@@",L79))</f>
        <v>'g1'</v>
      </c>
      <c r="AB79" s="4" t="str">
        <f>IF(M79="",IF(ISNUMBER(SEARCH("NOT NULL",UPPER(M$3))),"''","null"),SUBSTITUTE(VLOOKUP(M$2,convert!$A$1:$B$4,2,0),"@@@",M79))</f>
        <v>null</v>
      </c>
      <c r="AC79" s="4" t="str">
        <f>IF(N79="",IF(ISNUMBER(SEARCH("NOT NULL",UPPER(N$3))),"''","null"),SUBSTITUTE(VLOOKUP(N$2,convert!$A$1:$B$4,2,0),"@@@",N79))</f>
        <v>null</v>
      </c>
      <c r="AD79" s="4" t="str">
        <f>IF(O79="",IF(ISNUMBER(SEARCH("NOT NULL",UPPER(O$3))),"''","null"),SUBSTITUTE(VLOOKUP(O$2,convert!$A$1:$B$4,2,0),"@@@",O79))</f>
        <v>TRUE</v>
      </c>
      <c r="AE79" s="4" t="str">
        <f t="shared" si="1"/>
        <v>    ('0057N01', 'オコリザル', 65, 105, 60, 60, 70, 95, '', 'fighting', null, 'g1', null, null, TRUE),</v>
      </c>
    </row>
    <row r="80" spans="1:31">
      <c r="A80" s="4" t="s">
        <v>192</v>
      </c>
      <c r="B80" s="4" t="s">
        <v>193</v>
      </c>
      <c r="C80" s="5">
        <v>55</v>
      </c>
      <c r="D80" s="5">
        <v>70</v>
      </c>
      <c r="E80" s="5">
        <v>45</v>
      </c>
      <c r="F80" s="5">
        <v>70</v>
      </c>
      <c r="G80" s="5">
        <v>50</v>
      </c>
      <c r="H80" s="5">
        <v>60</v>
      </c>
      <c r="I80" s="5"/>
      <c r="J80" s="4" t="s">
        <v>42</v>
      </c>
      <c r="K80" s="5"/>
      <c r="L80" s="4" t="s">
        <v>32</v>
      </c>
      <c r="M80" s="5"/>
      <c r="N80" s="5"/>
      <c r="O80" s="5" t="b">
        <v>1</v>
      </c>
      <c r="P80" s="4" t="str">
        <f>IF(A80="",IF(ISNUMBER(SEARCH("NOT NULL",UPPER(A$3))),"''","null"),SUBSTITUTE(VLOOKUP(A$2,convert!$A$1:$B$4,2,0),"@@@",A80))</f>
        <v>'0058N01'</v>
      </c>
      <c r="Q80" s="4" t="str">
        <f>IF(B80="",IF(ISNUMBER(SEARCH("NOT NULL",UPPER(B$3))),"''","null"),SUBSTITUTE(VLOOKUP(B$2,convert!$A$1:$B$4,2,0),"@@@",B80))</f>
        <v>'ガーディ'</v>
      </c>
      <c r="R80" s="4" t="str">
        <f>IF(C80="",IF(ISNUMBER(SEARCH("NOT NULL",UPPER(C$3))),"''","null"),SUBSTITUTE(VLOOKUP(C$2,convert!$A$1:$B$4,2,0),"@@@",C80))</f>
        <v>55</v>
      </c>
      <c r="S80" s="4" t="str">
        <f>IF(D80="",IF(ISNUMBER(SEARCH("NOT NULL",UPPER(D$3))),"''","null"),SUBSTITUTE(VLOOKUP(D$2,convert!$A$1:$B$4,2,0),"@@@",D80))</f>
        <v>70</v>
      </c>
      <c r="T80" s="4" t="str">
        <f>IF(E80="",IF(ISNUMBER(SEARCH("NOT NULL",UPPER(E$3))),"''","null"),SUBSTITUTE(VLOOKUP(E$2,convert!$A$1:$B$4,2,0),"@@@",E80))</f>
        <v>45</v>
      </c>
      <c r="U80" s="4" t="str">
        <f>IF(F80="",IF(ISNUMBER(SEARCH("NOT NULL",UPPER(F$3))),"''","null"),SUBSTITUTE(VLOOKUP(F$2,convert!$A$1:$B$4,2,0),"@@@",F80))</f>
        <v>70</v>
      </c>
      <c r="V80" s="4" t="str">
        <f>IF(G80="",IF(ISNUMBER(SEARCH("NOT NULL",UPPER(G$3))),"''","null"),SUBSTITUTE(VLOOKUP(G$2,convert!$A$1:$B$4,2,0),"@@@",G80))</f>
        <v>50</v>
      </c>
      <c r="W80" s="4" t="str">
        <f>IF(H80="",IF(ISNUMBER(SEARCH("NOT NULL",UPPER(H$3))),"''","null"),SUBSTITUTE(VLOOKUP(H$2,convert!$A$1:$B$4,2,0),"@@@",H80))</f>
        <v>60</v>
      </c>
      <c r="X80" s="4" t="str">
        <f>IF(I80="",IF(ISNUMBER(SEARCH("NOT NULL",UPPER(I$3))),"''","null"),SUBSTITUTE(VLOOKUP(I$2,convert!$A$1:$B$4,2,0),"@@@",I80))</f>
        <v>''</v>
      </c>
      <c r="Y80" s="4" t="str">
        <f>IF(J80="",IF(ISNUMBER(SEARCH("NOT NULL",UPPER(J$3))),"''","null"),SUBSTITUTE(VLOOKUP(J$2,convert!$A$1:$B$4,2,0),"@@@",J80))</f>
        <v>'fire'</v>
      </c>
      <c r="Z80" s="4" t="str">
        <f>IF(K80="",IF(ISNUMBER(SEARCH("NOT NULL",UPPER(K$3))),"''","null"),SUBSTITUTE(VLOOKUP(K$2,convert!$A$1:$B$4,2,0),"@@@",K80))</f>
        <v>null</v>
      </c>
      <c r="AA80" s="4" t="str">
        <f>IF(L80="",IF(ISNUMBER(SEARCH("NOT NULL",UPPER(L$3))),"''","null"),SUBSTITUTE(VLOOKUP(L$2,convert!$A$1:$B$4,2,0),"@@@",L80))</f>
        <v>'g1'</v>
      </c>
      <c r="AB80" s="4" t="str">
        <f>IF(M80="",IF(ISNUMBER(SEARCH("NOT NULL",UPPER(M$3))),"''","null"),SUBSTITUTE(VLOOKUP(M$2,convert!$A$1:$B$4,2,0),"@@@",M80))</f>
        <v>null</v>
      </c>
      <c r="AC80" s="4" t="str">
        <f>IF(N80="",IF(ISNUMBER(SEARCH("NOT NULL",UPPER(N$3))),"''","null"),SUBSTITUTE(VLOOKUP(N$2,convert!$A$1:$B$4,2,0),"@@@",N80))</f>
        <v>null</v>
      </c>
      <c r="AD80" s="4" t="str">
        <f>IF(O80="",IF(ISNUMBER(SEARCH("NOT NULL",UPPER(O$3))),"''","null"),SUBSTITUTE(VLOOKUP(O$2,convert!$A$1:$B$4,2,0),"@@@",O80))</f>
        <v>TRUE</v>
      </c>
      <c r="AE80" s="4" t="str">
        <f t="shared" si="1"/>
        <v>    ('0058N01', 'ガーディ', 55, 70, 45, 70, 50, 60, '', 'fire', null, 'g1', null, null, TRUE),</v>
      </c>
    </row>
    <row r="81" spans="1:31">
      <c r="A81" s="4" t="s">
        <v>194</v>
      </c>
      <c r="B81" s="4" t="s">
        <v>193</v>
      </c>
      <c r="C81" s="5">
        <v>60</v>
      </c>
      <c r="D81" s="5">
        <v>75</v>
      </c>
      <c r="E81" s="5">
        <v>45</v>
      </c>
      <c r="F81" s="5">
        <v>65</v>
      </c>
      <c r="G81" s="5">
        <v>50</v>
      </c>
      <c r="H81" s="5">
        <v>55</v>
      </c>
      <c r="I81" s="4" t="s">
        <v>195</v>
      </c>
      <c r="J81" s="4" t="s">
        <v>42</v>
      </c>
      <c r="K81" s="4" t="s">
        <v>196</v>
      </c>
      <c r="L81" s="4" t="s">
        <v>197</v>
      </c>
      <c r="M81" s="5"/>
      <c r="N81" s="5"/>
      <c r="O81" s="5" t="b">
        <v>1</v>
      </c>
      <c r="P81" s="4" t="str">
        <f>IF(A81="",IF(ISNUMBER(SEARCH("NOT NULL",UPPER(A$3))),"''","null"),SUBSTITUTE(VLOOKUP(A$2,convert!$A$1:$B$4,2,0),"@@@",A81))</f>
        <v>'0058H01'</v>
      </c>
      <c r="Q81" s="4" t="str">
        <f>IF(B81="",IF(ISNUMBER(SEARCH("NOT NULL",UPPER(B$3))),"''","null"),SUBSTITUTE(VLOOKUP(B$2,convert!$A$1:$B$4,2,0),"@@@",B81))</f>
        <v>'ガーディ'</v>
      </c>
      <c r="R81" s="4" t="str">
        <f>IF(C81="",IF(ISNUMBER(SEARCH("NOT NULL",UPPER(C$3))),"''","null"),SUBSTITUTE(VLOOKUP(C$2,convert!$A$1:$B$4,2,0),"@@@",C81))</f>
        <v>60</v>
      </c>
      <c r="S81" s="4" t="str">
        <f>IF(D81="",IF(ISNUMBER(SEARCH("NOT NULL",UPPER(D$3))),"''","null"),SUBSTITUTE(VLOOKUP(D$2,convert!$A$1:$B$4,2,0),"@@@",D81))</f>
        <v>75</v>
      </c>
      <c r="T81" s="4" t="str">
        <f>IF(E81="",IF(ISNUMBER(SEARCH("NOT NULL",UPPER(E$3))),"''","null"),SUBSTITUTE(VLOOKUP(E$2,convert!$A$1:$B$4,2,0),"@@@",E81))</f>
        <v>45</v>
      </c>
      <c r="U81" s="4" t="str">
        <f>IF(F81="",IF(ISNUMBER(SEARCH("NOT NULL",UPPER(F$3))),"''","null"),SUBSTITUTE(VLOOKUP(F$2,convert!$A$1:$B$4,2,0),"@@@",F81))</f>
        <v>65</v>
      </c>
      <c r="V81" s="4" t="str">
        <f>IF(G81="",IF(ISNUMBER(SEARCH("NOT NULL",UPPER(G$3))),"''","null"),SUBSTITUTE(VLOOKUP(G$2,convert!$A$1:$B$4,2,0),"@@@",G81))</f>
        <v>50</v>
      </c>
      <c r="W81" s="4" t="str">
        <f>IF(H81="",IF(ISNUMBER(SEARCH("NOT NULL",UPPER(H$3))),"''","null"),SUBSTITUTE(VLOOKUP(H$2,convert!$A$1:$B$4,2,0),"@@@",H81))</f>
        <v>55</v>
      </c>
      <c r="X81" s="4" t="str">
        <f>IF(I81="",IF(ISNUMBER(SEARCH("NOT NULL",UPPER(I$3))),"''","null"),SUBSTITUTE(VLOOKUP(I$2,convert!$A$1:$B$4,2,0),"@@@",I81))</f>
        <v>'ヒスイのすがた'</v>
      </c>
      <c r="Y81" s="4" t="str">
        <f>IF(J81="",IF(ISNUMBER(SEARCH("NOT NULL",UPPER(J$3))),"''","null"),SUBSTITUTE(VLOOKUP(J$2,convert!$A$1:$B$4,2,0),"@@@",J81))</f>
        <v>'fire'</v>
      </c>
      <c r="Z81" s="4" t="str">
        <f>IF(K81="",IF(ISNUMBER(SEARCH("NOT NULL",UPPER(K$3))),"''","null"),SUBSTITUTE(VLOOKUP(K$2,convert!$A$1:$B$4,2,0),"@@@",K81))</f>
        <v>'rock'</v>
      </c>
      <c r="AA81" s="4" t="str">
        <f>IF(L81="",IF(ISNUMBER(SEARCH("NOT NULL",UPPER(L$3))),"''","null"),SUBSTITUTE(VLOOKUP(L$2,convert!$A$1:$B$4,2,0),"@@@",L81))</f>
        <v>'g8arceus'</v>
      </c>
      <c r="AB81" s="4" t="str">
        <f>IF(M81="",IF(ISNUMBER(SEARCH("NOT NULL",UPPER(M$3))),"''","null"),SUBSTITUTE(VLOOKUP(M$2,convert!$A$1:$B$4,2,0),"@@@",M81))</f>
        <v>null</v>
      </c>
      <c r="AC81" s="4" t="str">
        <f>IF(N81="",IF(ISNUMBER(SEARCH("NOT NULL",UPPER(N$3))),"''","null"),SUBSTITUTE(VLOOKUP(N$2,convert!$A$1:$B$4,2,0),"@@@",N81))</f>
        <v>null</v>
      </c>
      <c r="AD81" s="4" t="str">
        <f>IF(O81="",IF(ISNUMBER(SEARCH("NOT NULL",UPPER(O$3))),"''","null"),SUBSTITUTE(VLOOKUP(O$2,convert!$A$1:$B$4,2,0),"@@@",O81))</f>
        <v>TRUE</v>
      </c>
      <c r="AE81" s="4" t="str">
        <f t="shared" si="1"/>
        <v>    ('0058H01', 'ガーディ', 60, 75, 45, 65, 50, 55, 'ヒスイのすがた', 'fire', 'rock', 'g8arceus', null, null, TRUE),</v>
      </c>
    </row>
    <row r="82" spans="1:31">
      <c r="A82" s="4" t="s">
        <v>198</v>
      </c>
      <c r="B82" s="4" t="s">
        <v>199</v>
      </c>
      <c r="C82" s="5">
        <v>90</v>
      </c>
      <c r="D82" s="5">
        <v>110</v>
      </c>
      <c r="E82" s="5">
        <v>80</v>
      </c>
      <c r="F82" s="5">
        <v>100</v>
      </c>
      <c r="G82" s="5">
        <v>80</v>
      </c>
      <c r="H82" s="5">
        <v>95</v>
      </c>
      <c r="I82" s="5"/>
      <c r="J82" s="4" t="s">
        <v>42</v>
      </c>
      <c r="K82" s="5"/>
      <c r="L82" s="4" t="s">
        <v>32</v>
      </c>
      <c r="M82" s="5"/>
      <c r="N82" s="5"/>
      <c r="O82" s="5" t="b">
        <v>1</v>
      </c>
      <c r="P82" s="4" t="str">
        <f>IF(A82="",IF(ISNUMBER(SEARCH("NOT NULL",UPPER(A$3))),"''","null"),SUBSTITUTE(VLOOKUP(A$2,convert!$A$1:$B$4,2,0),"@@@",A82))</f>
        <v>'0059N01'</v>
      </c>
      <c r="Q82" s="4" t="str">
        <f>IF(B82="",IF(ISNUMBER(SEARCH("NOT NULL",UPPER(B$3))),"''","null"),SUBSTITUTE(VLOOKUP(B$2,convert!$A$1:$B$4,2,0),"@@@",B82))</f>
        <v>'ウインディ'</v>
      </c>
      <c r="R82" s="4" t="str">
        <f>IF(C82="",IF(ISNUMBER(SEARCH("NOT NULL",UPPER(C$3))),"''","null"),SUBSTITUTE(VLOOKUP(C$2,convert!$A$1:$B$4,2,0),"@@@",C82))</f>
        <v>90</v>
      </c>
      <c r="S82" s="4" t="str">
        <f>IF(D82="",IF(ISNUMBER(SEARCH("NOT NULL",UPPER(D$3))),"''","null"),SUBSTITUTE(VLOOKUP(D$2,convert!$A$1:$B$4,2,0),"@@@",D82))</f>
        <v>110</v>
      </c>
      <c r="T82" s="4" t="str">
        <f>IF(E82="",IF(ISNUMBER(SEARCH("NOT NULL",UPPER(E$3))),"''","null"),SUBSTITUTE(VLOOKUP(E$2,convert!$A$1:$B$4,2,0),"@@@",E82))</f>
        <v>80</v>
      </c>
      <c r="U82" s="4" t="str">
        <f>IF(F82="",IF(ISNUMBER(SEARCH("NOT NULL",UPPER(F$3))),"''","null"),SUBSTITUTE(VLOOKUP(F$2,convert!$A$1:$B$4,2,0),"@@@",F82))</f>
        <v>100</v>
      </c>
      <c r="V82" s="4" t="str">
        <f>IF(G82="",IF(ISNUMBER(SEARCH("NOT NULL",UPPER(G$3))),"''","null"),SUBSTITUTE(VLOOKUP(G$2,convert!$A$1:$B$4,2,0),"@@@",G82))</f>
        <v>80</v>
      </c>
      <c r="W82" s="4" t="str">
        <f>IF(H82="",IF(ISNUMBER(SEARCH("NOT NULL",UPPER(H$3))),"''","null"),SUBSTITUTE(VLOOKUP(H$2,convert!$A$1:$B$4,2,0),"@@@",H82))</f>
        <v>95</v>
      </c>
      <c r="X82" s="4" t="str">
        <f>IF(I82="",IF(ISNUMBER(SEARCH("NOT NULL",UPPER(I$3))),"''","null"),SUBSTITUTE(VLOOKUP(I$2,convert!$A$1:$B$4,2,0),"@@@",I82))</f>
        <v>''</v>
      </c>
      <c r="Y82" s="4" t="str">
        <f>IF(J82="",IF(ISNUMBER(SEARCH("NOT NULL",UPPER(J$3))),"''","null"),SUBSTITUTE(VLOOKUP(J$2,convert!$A$1:$B$4,2,0),"@@@",J82))</f>
        <v>'fire'</v>
      </c>
      <c r="Z82" s="4" t="str">
        <f>IF(K82="",IF(ISNUMBER(SEARCH("NOT NULL",UPPER(K$3))),"''","null"),SUBSTITUTE(VLOOKUP(K$2,convert!$A$1:$B$4,2,0),"@@@",K82))</f>
        <v>null</v>
      </c>
      <c r="AA82" s="4" t="str">
        <f>IF(L82="",IF(ISNUMBER(SEARCH("NOT NULL",UPPER(L$3))),"''","null"),SUBSTITUTE(VLOOKUP(L$2,convert!$A$1:$B$4,2,0),"@@@",L82))</f>
        <v>'g1'</v>
      </c>
      <c r="AB82" s="4" t="str">
        <f>IF(M82="",IF(ISNUMBER(SEARCH("NOT NULL",UPPER(M$3))),"''","null"),SUBSTITUTE(VLOOKUP(M$2,convert!$A$1:$B$4,2,0),"@@@",M82))</f>
        <v>null</v>
      </c>
      <c r="AC82" s="4" t="str">
        <f>IF(N82="",IF(ISNUMBER(SEARCH("NOT NULL",UPPER(N$3))),"''","null"),SUBSTITUTE(VLOOKUP(N$2,convert!$A$1:$B$4,2,0),"@@@",N82))</f>
        <v>null</v>
      </c>
      <c r="AD82" s="4" t="str">
        <f>IF(O82="",IF(ISNUMBER(SEARCH("NOT NULL",UPPER(O$3))),"''","null"),SUBSTITUTE(VLOOKUP(O$2,convert!$A$1:$B$4,2,0),"@@@",O82))</f>
        <v>TRUE</v>
      </c>
      <c r="AE82" s="4" t="str">
        <f t="shared" si="1"/>
        <v>    ('0059N01', 'ウインディ', 90, 110, 80, 100, 80, 95, '', 'fire', null, 'g1', null, null, TRUE),</v>
      </c>
    </row>
    <row r="83" spans="1:31">
      <c r="A83" s="4" t="s">
        <v>200</v>
      </c>
      <c r="B83" s="4" t="s">
        <v>199</v>
      </c>
      <c r="C83" s="5">
        <v>95</v>
      </c>
      <c r="D83" s="5">
        <v>115</v>
      </c>
      <c r="E83" s="5">
        <v>80</v>
      </c>
      <c r="F83" s="5">
        <v>95</v>
      </c>
      <c r="G83" s="5">
        <v>80</v>
      </c>
      <c r="H83" s="5">
        <v>90</v>
      </c>
      <c r="I83" s="4" t="s">
        <v>195</v>
      </c>
      <c r="J83" s="4" t="s">
        <v>42</v>
      </c>
      <c r="K83" s="4" t="s">
        <v>196</v>
      </c>
      <c r="L83" s="4" t="s">
        <v>197</v>
      </c>
      <c r="M83" s="5"/>
      <c r="N83" s="5"/>
      <c r="O83" s="5" t="b">
        <v>1</v>
      </c>
      <c r="P83" s="4" t="str">
        <f>IF(A83="",IF(ISNUMBER(SEARCH("NOT NULL",UPPER(A$3))),"''","null"),SUBSTITUTE(VLOOKUP(A$2,convert!$A$1:$B$4,2,0),"@@@",A83))</f>
        <v>'0059H01'</v>
      </c>
      <c r="Q83" s="4" t="str">
        <f>IF(B83="",IF(ISNUMBER(SEARCH("NOT NULL",UPPER(B$3))),"''","null"),SUBSTITUTE(VLOOKUP(B$2,convert!$A$1:$B$4,2,0),"@@@",B83))</f>
        <v>'ウインディ'</v>
      </c>
      <c r="R83" s="4" t="str">
        <f>IF(C83="",IF(ISNUMBER(SEARCH("NOT NULL",UPPER(C$3))),"''","null"),SUBSTITUTE(VLOOKUP(C$2,convert!$A$1:$B$4,2,0),"@@@",C83))</f>
        <v>95</v>
      </c>
      <c r="S83" s="4" t="str">
        <f>IF(D83="",IF(ISNUMBER(SEARCH("NOT NULL",UPPER(D$3))),"''","null"),SUBSTITUTE(VLOOKUP(D$2,convert!$A$1:$B$4,2,0),"@@@",D83))</f>
        <v>115</v>
      </c>
      <c r="T83" s="4" t="str">
        <f>IF(E83="",IF(ISNUMBER(SEARCH("NOT NULL",UPPER(E$3))),"''","null"),SUBSTITUTE(VLOOKUP(E$2,convert!$A$1:$B$4,2,0),"@@@",E83))</f>
        <v>80</v>
      </c>
      <c r="U83" s="4" t="str">
        <f>IF(F83="",IF(ISNUMBER(SEARCH("NOT NULL",UPPER(F$3))),"''","null"),SUBSTITUTE(VLOOKUP(F$2,convert!$A$1:$B$4,2,0),"@@@",F83))</f>
        <v>95</v>
      </c>
      <c r="V83" s="4" t="str">
        <f>IF(G83="",IF(ISNUMBER(SEARCH("NOT NULL",UPPER(G$3))),"''","null"),SUBSTITUTE(VLOOKUP(G$2,convert!$A$1:$B$4,2,0),"@@@",G83))</f>
        <v>80</v>
      </c>
      <c r="W83" s="4" t="str">
        <f>IF(H83="",IF(ISNUMBER(SEARCH("NOT NULL",UPPER(H$3))),"''","null"),SUBSTITUTE(VLOOKUP(H$2,convert!$A$1:$B$4,2,0),"@@@",H83))</f>
        <v>90</v>
      </c>
      <c r="X83" s="4" t="str">
        <f>IF(I83="",IF(ISNUMBER(SEARCH("NOT NULL",UPPER(I$3))),"''","null"),SUBSTITUTE(VLOOKUP(I$2,convert!$A$1:$B$4,2,0),"@@@",I83))</f>
        <v>'ヒスイのすがた'</v>
      </c>
      <c r="Y83" s="4" t="str">
        <f>IF(J83="",IF(ISNUMBER(SEARCH("NOT NULL",UPPER(J$3))),"''","null"),SUBSTITUTE(VLOOKUP(J$2,convert!$A$1:$B$4,2,0),"@@@",J83))</f>
        <v>'fire'</v>
      </c>
      <c r="Z83" s="4" t="str">
        <f>IF(K83="",IF(ISNUMBER(SEARCH("NOT NULL",UPPER(K$3))),"''","null"),SUBSTITUTE(VLOOKUP(K$2,convert!$A$1:$B$4,2,0),"@@@",K83))</f>
        <v>'rock'</v>
      </c>
      <c r="AA83" s="4" t="str">
        <f>IF(L83="",IF(ISNUMBER(SEARCH("NOT NULL",UPPER(L$3))),"''","null"),SUBSTITUTE(VLOOKUP(L$2,convert!$A$1:$B$4,2,0),"@@@",L83))</f>
        <v>'g8arceus'</v>
      </c>
      <c r="AB83" s="4" t="str">
        <f>IF(M83="",IF(ISNUMBER(SEARCH("NOT NULL",UPPER(M$3))),"''","null"),SUBSTITUTE(VLOOKUP(M$2,convert!$A$1:$B$4,2,0),"@@@",M83))</f>
        <v>null</v>
      </c>
      <c r="AC83" s="4" t="str">
        <f>IF(N83="",IF(ISNUMBER(SEARCH("NOT NULL",UPPER(N$3))),"''","null"),SUBSTITUTE(VLOOKUP(N$2,convert!$A$1:$B$4,2,0),"@@@",N83))</f>
        <v>null</v>
      </c>
      <c r="AD83" s="4" t="str">
        <f>IF(O83="",IF(ISNUMBER(SEARCH("NOT NULL",UPPER(O$3))),"''","null"),SUBSTITUTE(VLOOKUP(O$2,convert!$A$1:$B$4,2,0),"@@@",O83))</f>
        <v>TRUE</v>
      </c>
      <c r="AE83" s="4" t="str">
        <f t="shared" si="1"/>
        <v>    ('0059H01', 'ウインディ', 95, 115, 80, 95, 80, 90, 'ヒスイのすがた', 'fire', 'rock', 'g8arceus', null, null, TRUE),</v>
      </c>
    </row>
    <row r="84" spans="1:31">
      <c r="A84" s="4" t="s">
        <v>201</v>
      </c>
      <c r="B84" s="4" t="s">
        <v>202</v>
      </c>
      <c r="C84" s="5">
        <v>40</v>
      </c>
      <c r="D84" s="5">
        <v>50</v>
      </c>
      <c r="E84" s="5">
        <v>40</v>
      </c>
      <c r="F84" s="5">
        <v>40</v>
      </c>
      <c r="G84" s="5">
        <v>40</v>
      </c>
      <c r="H84" s="5">
        <v>90</v>
      </c>
      <c r="I84" s="5"/>
      <c r="J84" s="4" t="s">
        <v>55</v>
      </c>
      <c r="K84" s="5"/>
      <c r="L84" s="4" t="s">
        <v>32</v>
      </c>
      <c r="M84" s="5"/>
      <c r="N84" s="5"/>
      <c r="O84" s="5" t="b">
        <v>1</v>
      </c>
      <c r="P84" s="4" t="str">
        <f>IF(A84="",IF(ISNUMBER(SEARCH("NOT NULL",UPPER(A$3))),"''","null"),SUBSTITUTE(VLOOKUP(A$2,convert!$A$1:$B$4,2,0),"@@@",A84))</f>
        <v>'0060N01'</v>
      </c>
      <c r="Q84" s="4" t="str">
        <f>IF(B84="",IF(ISNUMBER(SEARCH("NOT NULL",UPPER(B$3))),"''","null"),SUBSTITUTE(VLOOKUP(B$2,convert!$A$1:$B$4,2,0),"@@@",B84))</f>
        <v>'ニョロモ'</v>
      </c>
      <c r="R84" s="4" t="str">
        <f>IF(C84="",IF(ISNUMBER(SEARCH("NOT NULL",UPPER(C$3))),"''","null"),SUBSTITUTE(VLOOKUP(C$2,convert!$A$1:$B$4,2,0),"@@@",C84))</f>
        <v>40</v>
      </c>
      <c r="S84" s="4" t="str">
        <f>IF(D84="",IF(ISNUMBER(SEARCH("NOT NULL",UPPER(D$3))),"''","null"),SUBSTITUTE(VLOOKUP(D$2,convert!$A$1:$B$4,2,0),"@@@",D84))</f>
        <v>50</v>
      </c>
      <c r="T84" s="4" t="str">
        <f>IF(E84="",IF(ISNUMBER(SEARCH("NOT NULL",UPPER(E$3))),"''","null"),SUBSTITUTE(VLOOKUP(E$2,convert!$A$1:$B$4,2,0),"@@@",E84))</f>
        <v>40</v>
      </c>
      <c r="U84" s="4" t="str">
        <f>IF(F84="",IF(ISNUMBER(SEARCH("NOT NULL",UPPER(F$3))),"''","null"),SUBSTITUTE(VLOOKUP(F$2,convert!$A$1:$B$4,2,0),"@@@",F84))</f>
        <v>40</v>
      </c>
      <c r="V84" s="4" t="str">
        <f>IF(G84="",IF(ISNUMBER(SEARCH("NOT NULL",UPPER(G$3))),"''","null"),SUBSTITUTE(VLOOKUP(G$2,convert!$A$1:$B$4,2,0),"@@@",G84))</f>
        <v>40</v>
      </c>
      <c r="W84" s="4" t="str">
        <f>IF(H84="",IF(ISNUMBER(SEARCH("NOT NULL",UPPER(H$3))),"''","null"),SUBSTITUTE(VLOOKUP(H$2,convert!$A$1:$B$4,2,0),"@@@",H84))</f>
        <v>90</v>
      </c>
      <c r="X84" s="4" t="str">
        <f>IF(I84="",IF(ISNUMBER(SEARCH("NOT NULL",UPPER(I$3))),"''","null"),SUBSTITUTE(VLOOKUP(I$2,convert!$A$1:$B$4,2,0),"@@@",I84))</f>
        <v>''</v>
      </c>
      <c r="Y84" s="4" t="str">
        <f>IF(J84="",IF(ISNUMBER(SEARCH("NOT NULL",UPPER(J$3))),"''","null"),SUBSTITUTE(VLOOKUP(J$2,convert!$A$1:$B$4,2,0),"@@@",J84))</f>
        <v>'water'</v>
      </c>
      <c r="Z84" s="4" t="str">
        <f>IF(K84="",IF(ISNUMBER(SEARCH("NOT NULL",UPPER(K$3))),"''","null"),SUBSTITUTE(VLOOKUP(K$2,convert!$A$1:$B$4,2,0),"@@@",K84))</f>
        <v>null</v>
      </c>
      <c r="AA84" s="4" t="str">
        <f>IF(L84="",IF(ISNUMBER(SEARCH("NOT NULL",UPPER(L$3))),"''","null"),SUBSTITUTE(VLOOKUP(L$2,convert!$A$1:$B$4,2,0),"@@@",L84))</f>
        <v>'g1'</v>
      </c>
      <c r="AB84" s="4" t="str">
        <f>IF(M84="",IF(ISNUMBER(SEARCH("NOT NULL",UPPER(M$3))),"''","null"),SUBSTITUTE(VLOOKUP(M$2,convert!$A$1:$B$4,2,0),"@@@",M84))</f>
        <v>null</v>
      </c>
      <c r="AC84" s="4" t="str">
        <f>IF(N84="",IF(ISNUMBER(SEARCH("NOT NULL",UPPER(N$3))),"''","null"),SUBSTITUTE(VLOOKUP(N$2,convert!$A$1:$B$4,2,0),"@@@",N84))</f>
        <v>null</v>
      </c>
      <c r="AD84" s="4" t="str">
        <f>IF(O84="",IF(ISNUMBER(SEARCH("NOT NULL",UPPER(O$3))),"''","null"),SUBSTITUTE(VLOOKUP(O$2,convert!$A$1:$B$4,2,0),"@@@",O84))</f>
        <v>TRUE</v>
      </c>
      <c r="AE84" s="4" t="str">
        <f t="shared" si="1"/>
        <v>    ('0060N01', 'ニョロモ', 40, 50, 40, 40, 40, 90, '', 'water', null, 'g1', null, null, TRUE),</v>
      </c>
    </row>
    <row r="85" spans="1:31">
      <c r="A85" s="4" t="s">
        <v>203</v>
      </c>
      <c r="B85" s="4" t="s">
        <v>204</v>
      </c>
      <c r="C85" s="5">
        <v>65</v>
      </c>
      <c r="D85" s="5">
        <v>65</v>
      </c>
      <c r="E85" s="5">
        <v>65</v>
      </c>
      <c r="F85" s="5">
        <v>50</v>
      </c>
      <c r="G85" s="5">
        <v>50</v>
      </c>
      <c r="H85" s="5">
        <v>90</v>
      </c>
      <c r="I85" s="5"/>
      <c r="J85" s="4" t="s">
        <v>55</v>
      </c>
      <c r="K85" s="5"/>
      <c r="L85" s="4" t="s">
        <v>32</v>
      </c>
      <c r="M85" s="5"/>
      <c r="N85" s="5"/>
      <c r="O85" s="5" t="b">
        <v>1</v>
      </c>
      <c r="P85" s="4" t="str">
        <f>IF(A85="",IF(ISNUMBER(SEARCH("NOT NULL",UPPER(A$3))),"''","null"),SUBSTITUTE(VLOOKUP(A$2,convert!$A$1:$B$4,2,0),"@@@",A85))</f>
        <v>'0061N01'</v>
      </c>
      <c r="Q85" s="4" t="str">
        <f>IF(B85="",IF(ISNUMBER(SEARCH("NOT NULL",UPPER(B$3))),"''","null"),SUBSTITUTE(VLOOKUP(B$2,convert!$A$1:$B$4,2,0),"@@@",B85))</f>
        <v>'ニョロゾ'</v>
      </c>
      <c r="R85" s="4" t="str">
        <f>IF(C85="",IF(ISNUMBER(SEARCH("NOT NULL",UPPER(C$3))),"''","null"),SUBSTITUTE(VLOOKUP(C$2,convert!$A$1:$B$4,2,0),"@@@",C85))</f>
        <v>65</v>
      </c>
      <c r="S85" s="4" t="str">
        <f>IF(D85="",IF(ISNUMBER(SEARCH("NOT NULL",UPPER(D$3))),"''","null"),SUBSTITUTE(VLOOKUP(D$2,convert!$A$1:$B$4,2,0),"@@@",D85))</f>
        <v>65</v>
      </c>
      <c r="T85" s="4" t="str">
        <f>IF(E85="",IF(ISNUMBER(SEARCH("NOT NULL",UPPER(E$3))),"''","null"),SUBSTITUTE(VLOOKUP(E$2,convert!$A$1:$B$4,2,0),"@@@",E85))</f>
        <v>65</v>
      </c>
      <c r="U85" s="4" t="str">
        <f>IF(F85="",IF(ISNUMBER(SEARCH("NOT NULL",UPPER(F$3))),"''","null"),SUBSTITUTE(VLOOKUP(F$2,convert!$A$1:$B$4,2,0),"@@@",F85))</f>
        <v>50</v>
      </c>
      <c r="V85" s="4" t="str">
        <f>IF(G85="",IF(ISNUMBER(SEARCH("NOT NULL",UPPER(G$3))),"''","null"),SUBSTITUTE(VLOOKUP(G$2,convert!$A$1:$B$4,2,0),"@@@",G85))</f>
        <v>50</v>
      </c>
      <c r="W85" s="4" t="str">
        <f>IF(H85="",IF(ISNUMBER(SEARCH("NOT NULL",UPPER(H$3))),"''","null"),SUBSTITUTE(VLOOKUP(H$2,convert!$A$1:$B$4,2,0),"@@@",H85))</f>
        <v>90</v>
      </c>
      <c r="X85" s="4" t="str">
        <f>IF(I85="",IF(ISNUMBER(SEARCH("NOT NULL",UPPER(I$3))),"''","null"),SUBSTITUTE(VLOOKUP(I$2,convert!$A$1:$B$4,2,0),"@@@",I85))</f>
        <v>''</v>
      </c>
      <c r="Y85" s="4" t="str">
        <f>IF(J85="",IF(ISNUMBER(SEARCH("NOT NULL",UPPER(J$3))),"''","null"),SUBSTITUTE(VLOOKUP(J$2,convert!$A$1:$B$4,2,0),"@@@",J85))</f>
        <v>'water'</v>
      </c>
      <c r="Z85" s="4" t="str">
        <f>IF(K85="",IF(ISNUMBER(SEARCH("NOT NULL",UPPER(K$3))),"''","null"),SUBSTITUTE(VLOOKUP(K$2,convert!$A$1:$B$4,2,0),"@@@",K85))</f>
        <v>null</v>
      </c>
      <c r="AA85" s="4" t="str">
        <f>IF(L85="",IF(ISNUMBER(SEARCH("NOT NULL",UPPER(L$3))),"''","null"),SUBSTITUTE(VLOOKUP(L$2,convert!$A$1:$B$4,2,0),"@@@",L85))</f>
        <v>'g1'</v>
      </c>
      <c r="AB85" s="4" t="str">
        <f>IF(M85="",IF(ISNUMBER(SEARCH("NOT NULL",UPPER(M$3))),"''","null"),SUBSTITUTE(VLOOKUP(M$2,convert!$A$1:$B$4,2,0),"@@@",M85))</f>
        <v>null</v>
      </c>
      <c r="AC85" s="4" t="str">
        <f>IF(N85="",IF(ISNUMBER(SEARCH("NOT NULL",UPPER(N$3))),"''","null"),SUBSTITUTE(VLOOKUP(N$2,convert!$A$1:$B$4,2,0),"@@@",N85))</f>
        <v>null</v>
      </c>
      <c r="AD85" s="4" t="str">
        <f>IF(O85="",IF(ISNUMBER(SEARCH("NOT NULL",UPPER(O$3))),"''","null"),SUBSTITUTE(VLOOKUP(O$2,convert!$A$1:$B$4,2,0),"@@@",O85))</f>
        <v>TRUE</v>
      </c>
      <c r="AE85" s="4" t="str">
        <f t="shared" si="1"/>
        <v>    ('0061N01', 'ニョロゾ', 65, 65, 65, 50, 50, 90, '', 'water', null, 'g1', null, null, TRUE),</v>
      </c>
    </row>
    <row r="86" spans="1:31">
      <c r="A86" s="4" t="s">
        <v>205</v>
      </c>
      <c r="B86" s="4" t="s">
        <v>206</v>
      </c>
      <c r="C86" s="5">
        <v>90</v>
      </c>
      <c r="D86" s="5">
        <v>95</v>
      </c>
      <c r="E86" s="5">
        <v>95</v>
      </c>
      <c r="F86" s="5">
        <v>70</v>
      </c>
      <c r="G86" s="5">
        <v>90</v>
      </c>
      <c r="H86" s="5">
        <v>70</v>
      </c>
      <c r="I86" s="5"/>
      <c r="J86" s="4" t="s">
        <v>55</v>
      </c>
      <c r="K86" s="4" t="s">
        <v>189</v>
      </c>
      <c r="L86" s="4" t="s">
        <v>32</v>
      </c>
      <c r="M86" s="5"/>
      <c r="N86" s="5"/>
      <c r="O86" s="5" t="b">
        <v>1</v>
      </c>
      <c r="P86" s="4" t="str">
        <f>IF(A86="",IF(ISNUMBER(SEARCH("NOT NULL",UPPER(A$3))),"''","null"),SUBSTITUTE(VLOOKUP(A$2,convert!$A$1:$B$4,2,0),"@@@",A86))</f>
        <v>'0062N01'</v>
      </c>
      <c r="Q86" s="4" t="str">
        <f>IF(B86="",IF(ISNUMBER(SEARCH("NOT NULL",UPPER(B$3))),"''","null"),SUBSTITUTE(VLOOKUP(B$2,convert!$A$1:$B$4,2,0),"@@@",B86))</f>
        <v>'ニョロボン'</v>
      </c>
      <c r="R86" s="4" t="str">
        <f>IF(C86="",IF(ISNUMBER(SEARCH("NOT NULL",UPPER(C$3))),"''","null"),SUBSTITUTE(VLOOKUP(C$2,convert!$A$1:$B$4,2,0),"@@@",C86))</f>
        <v>90</v>
      </c>
      <c r="S86" s="4" t="str">
        <f>IF(D86="",IF(ISNUMBER(SEARCH("NOT NULL",UPPER(D$3))),"''","null"),SUBSTITUTE(VLOOKUP(D$2,convert!$A$1:$B$4,2,0),"@@@",D86))</f>
        <v>95</v>
      </c>
      <c r="T86" s="4" t="str">
        <f>IF(E86="",IF(ISNUMBER(SEARCH("NOT NULL",UPPER(E$3))),"''","null"),SUBSTITUTE(VLOOKUP(E$2,convert!$A$1:$B$4,2,0),"@@@",E86))</f>
        <v>95</v>
      </c>
      <c r="U86" s="4" t="str">
        <f>IF(F86="",IF(ISNUMBER(SEARCH("NOT NULL",UPPER(F$3))),"''","null"),SUBSTITUTE(VLOOKUP(F$2,convert!$A$1:$B$4,2,0),"@@@",F86))</f>
        <v>70</v>
      </c>
      <c r="V86" s="4" t="str">
        <f>IF(G86="",IF(ISNUMBER(SEARCH("NOT NULL",UPPER(G$3))),"''","null"),SUBSTITUTE(VLOOKUP(G$2,convert!$A$1:$B$4,2,0),"@@@",G86))</f>
        <v>90</v>
      </c>
      <c r="W86" s="4" t="str">
        <f>IF(H86="",IF(ISNUMBER(SEARCH("NOT NULL",UPPER(H$3))),"''","null"),SUBSTITUTE(VLOOKUP(H$2,convert!$A$1:$B$4,2,0),"@@@",H86))</f>
        <v>70</v>
      </c>
      <c r="X86" s="4" t="str">
        <f>IF(I86="",IF(ISNUMBER(SEARCH("NOT NULL",UPPER(I$3))),"''","null"),SUBSTITUTE(VLOOKUP(I$2,convert!$A$1:$B$4,2,0),"@@@",I86))</f>
        <v>''</v>
      </c>
      <c r="Y86" s="4" t="str">
        <f>IF(J86="",IF(ISNUMBER(SEARCH("NOT NULL",UPPER(J$3))),"''","null"),SUBSTITUTE(VLOOKUP(J$2,convert!$A$1:$B$4,2,0),"@@@",J86))</f>
        <v>'water'</v>
      </c>
      <c r="Z86" s="4" t="str">
        <f>IF(K86="",IF(ISNUMBER(SEARCH("NOT NULL",UPPER(K$3))),"''","null"),SUBSTITUTE(VLOOKUP(K$2,convert!$A$1:$B$4,2,0),"@@@",K86))</f>
        <v>'fighting'</v>
      </c>
      <c r="AA86" s="4" t="str">
        <f>IF(L86="",IF(ISNUMBER(SEARCH("NOT NULL",UPPER(L$3))),"''","null"),SUBSTITUTE(VLOOKUP(L$2,convert!$A$1:$B$4,2,0),"@@@",L86))</f>
        <v>'g1'</v>
      </c>
      <c r="AB86" s="4" t="str">
        <f>IF(M86="",IF(ISNUMBER(SEARCH("NOT NULL",UPPER(M$3))),"''","null"),SUBSTITUTE(VLOOKUP(M$2,convert!$A$1:$B$4,2,0),"@@@",M86))</f>
        <v>null</v>
      </c>
      <c r="AC86" s="4" t="str">
        <f>IF(N86="",IF(ISNUMBER(SEARCH("NOT NULL",UPPER(N$3))),"''","null"),SUBSTITUTE(VLOOKUP(N$2,convert!$A$1:$B$4,2,0),"@@@",N86))</f>
        <v>null</v>
      </c>
      <c r="AD86" s="4" t="str">
        <f>IF(O86="",IF(ISNUMBER(SEARCH("NOT NULL",UPPER(O$3))),"''","null"),SUBSTITUTE(VLOOKUP(O$2,convert!$A$1:$B$4,2,0),"@@@",O86))</f>
        <v>TRUE</v>
      </c>
      <c r="AE86" s="4" t="str">
        <f t="shared" si="1"/>
        <v>    ('0062N01', 'ニョロボン', 90, 95, 95, 70, 90, 70, '', 'water', 'fighting', 'g1', null, null, TRUE),</v>
      </c>
    </row>
    <row r="87" spans="1:31">
      <c r="A87" s="4" t="s">
        <v>207</v>
      </c>
      <c r="B87" s="4" t="s">
        <v>208</v>
      </c>
      <c r="C87" s="5">
        <v>25</v>
      </c>
      <c r="D87" s="5">
        <v>20</v>
      </c>
      <c r="E87" s="5">
        <v>15</v>
      </c>
      <c r="F87" s="5">
        <v>105</v>
      </c>
      <c r="G87" s="5">
        <v>55</v>
      </c>
      <c r="H87" s="5">
        <v>90</v>
      </c>
      <c r="I87" s="5"/>
      <c r="J87" s="4" t="s">
        <v>113</v>
      </c>
      <c r="K87" s="5"/>
      <c r="L87" s="4" t="s">
        <v>32</v>
      </c>
      <c r="M87" s="5"/>
      <c r="N87" s="5"/>
      <c r="O87" s="5" t="b">
        <v>1</v>
      </c>
      <c r="P87" s="4" t="str">
        <f>IF(A87="",IF(ISNUMBER(SEARCH("NOT NULL",UPPER(A$3))),"''","null"),SUBSTITUTE(VLOOKUP(A$2,convert!$A$1:$B$4,2,0),"@@@",A87))</f>
        <v>'0063N01'</v>
      </c>
      <c r="Q87" s="4" t="str">
        <f>IF(B87="",IF(ISNUMBER(SEARCH("NOT NULL",UPPER(B$3))),"''","null"),SUBSTITUTE(VLOOKUP(B$2,convert!$A$1:$B$4,2,0),"@@@",B87))</f>
        <v>'ケーシィ'</v>
      </c>
      <c r="R87" s="4" t="str">
        <f>IF(C87="",IF(ISNUMBER(SEARCH("NOT NULL",UPPER(C$3))),"''","null"),SUBSTITUTE(VLOOKUP(C$2,convert!$A$1:$B$4,2,0),"@@@",C87))</f>
        <v>25</v>
      </c>
      <c r="S87" s="4" t="str">
        <f>IF(D87="",IF(ISNUMBER(SEARCH("NOT NULL",UPPER(D$3))),"''","null"),SUBSTITUTE(VLOOKUP(D$2,convert!$A$1:$B$4,2,0),"@@@",D87))</f>
        <v>20</v>
      </c>
      <c r="T87" s="4" t="str">
        <f>IF(E87="",IF(ISNUMBER(SEARCH("NOT NULL",UPPER(E$3))),"''","null"),SUBSTITUTE(VLOOKUP(E$2,convert!$A$1:$B$4,2,0),"@@@",E87))</f>
        <v>15</v>
      </c>
      <c r="U87" s="4" t="str">
        <f>IF(F87="",IF(ISNUMBER(SEARCH("NOT NULL",UPPER(F$3))),"''","null"),SUBSTITUTE(VLOOKUP(F$2,convert!$A$1:$B$4,2,0),"@@@",F87))</f>
        <v>105</v>
      </c>
      <c r="V87" s="4" t="str">
        <f>IF(G87="",IF(ISNUMBER(SEARCH("NOT NULL",UPPER(G$3))),"''","null"),SUBSTITUTE(VLOOKUP(G$2,convert!$A$1:$B$4,2,0),"@@@",G87))</f>
        <v>55</v>
      </c>
      <c r="W87" s="4" t="str">
        <f>IF(H87="",IF(ISNUMBER(SEARCH("NOT NULL",UPPER(H$3))),"''","null"),SUBSTITUTE(VLOOKUP(H$2,convert!$A$1:$B$4,2,0),"@@@",H87))</f>
        <v>90</v>
      </c>
      <c r="X87" s="4" t="str">
        <f>IF(I87="",IF(ISNUMBER(SEARCH("NOT NULL",UPPER(I$3))),"''","null"),SUBSTITUTE(VLOOKUP(I$2,convert!$A$1:$B$4,2,0),"@@@",I87))</f>
        <v>''</v>
      </c>
      <c r="Y87" s="4" t="str">
        <f>IF(J87="",IF(ISNUMBER(SEARCH("NOT NULL",UPPER(J$3))),"''","null"),SUBSTITUTE(VLOOKUP(J$2,convert!$A$1:$B$4,2,0),"@@@",J87))</f>
        <v>'psychic'</v>
      </c>
      <c r="Z87" s="4" t="str">
        <f>IF(K87="",IF(ISNUMBER(SEARCH("NOT NULL",UPPER(K$3))),"''","null"),SUBSTITUTE(VLOOKUP(K$2,convert!$A$1:$B$4,2,0),"@@@",K87))</f>
        <v>null</v>
      </c>
      <c r="AA87" s="4" t="str">
        <f>IF(L87="",IF(ISNUMBER(SEARCH("NOT NULL",UPPER(L$3))),"''","null"),SUBSTITUTE(VLOOKUP(L$2,convert!$A$1:$B$4,2,0),"@@@",L87))</f>
        <v>'g1'</v>
      </c>
      <c r="AB87" s="4" t="str">
        <f>IF(M87="",IF(ISNUMBER(SEARCH("NOT NULL",UPPER(M$3))),"''","null"),SUBSTITUTE(VLOOKUP(M$2,convert!$A$1:$B$4,2,0),"@@@",M87))</f>
        <v>null</v>
      </c>
      <c r="AC87" s="4" t="str">
        <f>IF(N87="",IF(ISNUMBER(SEARCH("NOT NULL",UPPER(N$3))),"''","null"),SUBSTITUTE(VLOOKUP(N$2,convert!$A$1:$B$4,2,0),"@@@",N87))</f>
        <v>null</v>
      </c>
      <c r="AD87" s="4" t="str">
        <f>IF(O87="",IF(ISNUMBER(SEARCH("NOT NULL",UPPER(O$3))),"''","null"),SUBSTITUTE(VLOOKUP(O$2,convert!$A$1:$B$4,2,0),"@@@",O87))</f>
        <v>TRUE</v>
      </c>
      <c r="AE87" s="4" t="str">
        <f t="shared" si="1"/>
        <v>    ('0063N01', 'ケーシィ', 25, 20, 15, 105, 55, 90, '', 'psychic', null, 'g1', null, null, TRUE),</v>
      </c>
    </row>
    <row r="88" spans="1:31">
      <c r="A88" s="4" t="s">
        <v>209</v>
      </c>
      <c r="B88" s="4" t="s">
        <v>210</v>
      </c>
      <c r="C88" s="5">
        <v>40</v>
      </c>
      <c r="D88" s="5">
        <v>35</v>
      </c>
      <c r="E88" s="5">
        <v>30</v>
      </c>
      <c r="F88" s="5">
        <v>120</v>
      </c>
      <c r="G88" s="5">
        <v>70</v>
      </c>
      <c r="H88" s="5">
        <v>105</v>
      </c>
      <c r="I88" s="5"/>
      <c r="J88" s="4" t="s">
        <v>113</v>
      </c>
      <c r="K88" s="5"/>
      <c r="L88" s="4" t="s">
        <v>32</v>
      </c>
      <c r="M88" s="5"/>
      <c r="N88" s="5"/>
      <c r="O88" s="5" t="b">
        <v>1</v>
      </c>
      <c r="P88" s="4" t="str">
        <f>IF(A88="",IF(ISNUMBER(SEARCH("NOT NULL",UPPER(A$3))),"''","null"),SUBSTITUTE(VLOOKUP(A$2,convert!$A$1:$B$4,2,0),"@@@",A88))</f>
        <v>'0064N01'</v>
      </c>
      <c r="Q88" s="4" t="str">
        <f>IF(B88="",IF(ISNUMBER(SEARCH("NOT NULL",UPPER(B$3))),"''","null"),SUBSTITUTE(VLOOKUP(B$2,convert!$A$1:$B$4,2,0),"@@@",B88))</f>
        <v>'ユンゲラー'</v>
      </c>
      <c r="R88" s="4" t="str">
        <f>IF(C88="",IF(ISNUMBER(SEARCH("NOT NULL",UPPER(C$3))),"''","null"),SUBSTITUTE(VLOOKUP(C$2,convert!$A$1:$B$4,2,0),"@@@",C88))</f>
        <v>40</v>
      </c>
      <c r="S88" s="4" t="str">
        <f>IF(D88="",IF(ISNUMBER(SEARCH("NOT NULL",UPPER(D$3))),"''","null"),SUBSTITUTE(VLOOKUP(D$2,convert!$A$1:$B$4,2,0),"@@@",D88))</f>
        <v>35</v>
      </c>
      <c r="T88" s="4" t="str">
        <f>IF(E88="",IF(ISNUMBER(SEARCH("NOT NULL",UPPER(E$3))),"''","null"),SUBSTITUTE(VLOOKUP(E$2,convert!$A$1:$B$4,2,0),"@@@",E88))</f>
        <v>30</v>
      </c>
      <c r="U88" s="4" t="str">
        <f>IF(F88="",IF(ISNUMBER(SEARCH("NOT NULL",UPPER(F$3))),"''","null"),SUBSTITUTE(VLOOKUP(F$2,convert!$A$1:$B$4,2,0),"@@@",F88))</f>
        <v>120</v>
      </c>
      <c r="V88" s="4" t="str">
        <f>IF(G88="",IF(ISNUMBER(SEARCH("NOT NULL",UPPER(G$3))),"''","null"),SUBSTITUTE(VLOOKUP(G$2,convert!$A$1:$B$4,2,0),"@@@",G88))</f>
        <v>70</v>
      </c>
      <c r="W88" s="4" t="str">
        <f>IF(H88="",IF(ISNUMBER(SEARCH("NOT NULL",UPPER(H$3))),"''","null"),SUBSTITUTE(VLOOKUP(H$2,convert!$A$1:$B$4,2,0),"@@@",H88))</f>
        <v>105</v>
      </c>
      <c r="X88" s="4" t="str">
        <f>IF(I88="",IF(ISNUMBER(SEARCH("NOT NULL",UPPER(I$3))),"''","null"),SUBSTITUTE(VLOOKUP(I$2,convert!$A$1:$B$4,2,0),"@@@",I88))</f>
        <v>''</v>
      </c>
      <c r="Y88" s="4" t="str">
        <f>IF(J88="",IF(ISNUMBER(SEARCH("NOT NULL",UPPER(J$3))),"''","null"),SUBSTITUTE(VLOOKUP(J$2,convert!$A$1:$B$4,2,0),"@@@",J88))</f>
        <v>'psychic'</v>
      </c>
      <c r="Z88" s="4" t="str">
        <f>IF(K88="",IF(ISNUMBER(SEARCH("NOT NULL",UPPER(K$3))),"''","null"),SUBSTITUTE(VLOOKUP(K$2,convert!$A$1:$B$4,2,0),"@@@",K88))</f>
        <v>null</v>
      </c>
      <c r="AA88" s="4" t="str">
        <f>IF(L88="",IF(ISNUMBER(SEARCH("NOT NULL",UPPER(L$3))),"''","null"),SUBSTITUTE(VLOOKUP(L$2,convert!$A$1:$B$4,2,0),"@@@",L88))</f>
        <v>'g1'</v>
      </c>
      <c r="AB88" s="4" t="str">
        <f>IF(M88="",IF(ISNUMBER(SEARCH("NOT NULL",UPPER(M$3))),"''","null"),SUBSTITUTE(VLOOKUP(M$2,convert!$A$1:$B$4,2,0),"@@@",M88))</f>
        <v>null</v>
      </c>
      <c r="AC88" s="4" t="str">
        <f>IF(N88="",IF(ISNUMBER(SEARCH("NOT NULL",UPPER(N$3))),"''","null"),SUBSTITUTE(VLOOKUP(N$2,convert!$A$1:$B$4,2,0),"@@@",N88))</f>
        <v>null</v>
      </c>
      <c r="AD88" s="4" t="str">
        <f>IF(O88="",IF(ISNUMBER(SEARCH("NOT NULL",UPPER(O$3))),"''","null"),SUBSTITUTE(VLOOKUP(O$2,convert!$A$1:$B$4,2,0),"@@@",O88))</f>
        <v>TRUE</v>
      </c>
      <c r="AE88" s="4" t="str">
        <f t="shared" si="1"/>
        <v>    ('0064N01', 'ユンゲラー', 40, 35, 30, 120, 70, 105, '', 'psychic', null, 'g1', null, null, TRUE),</v>
      </c>
    </row>
    <row r="89" spans="1:31">
      <c r="A89" s="4" t="s">
        <v>211</v>
      </c>
      <c r="B89" s="4" t="s">
        <v>212</v>
      </c>
      <c r="C89" s="5">
        <v>55</v>
      </c>
      <c r="D89" s="5">
        <v>50</v>
      </c>
      <c r="E89" s="5">
        <v>45</v>
      </c>
      <c r="F89" s="5">
        <v>135</v>
      </c>
      <c r="G89" s="5">
        <v>95</v>
      </c>
      <c r="H89" s="5">
        <v>120</v>
      </c>
      <c r="I89" s="5"/>
      <c r="J89" s="4" t="s">
        <v>113</v>
      </c>
      <c r="K89" s="5"/>
      <c r="L89" s="4" t="s">
        <v>32</v>
      </c>
      <c r="M89" s="5"/>
      <c r="N89" s="5"/>
      <c r="O89" s="5" t="b">
        <v>1</v>
      </c>
      <c r="P89" s="4" t="str">
        <f>IF(A89="",IF(ISNUMBER(SEARCH("NOT NULL",UPPER(A$3))),"''","null"),SUBSTITUTE(VLOOKUP(A$2,convert!$A$1:$B$4,2,0),"@@@",A89))</f>
        <v>'0065N01'</v>
      </c>
      <c r="Q89" s="4" t="str">
        <f>IF(B89="",IF(ISNUMBER(SEARCH("NOT NULL",UPPER(B$3))),"''","null"),SUBSTITUTE(VLOOKUP(B$2,convert!$A$1:$B$4,2,0),"@@@",B89))</f>
        <v>'フーディン'</v>
      </c>
      <c r="R89" s="4" t="str">
        <f>IF(C89="",IF(ISNUMBER(SEARCH("NOT NULL",UPPER(C$3))),"''","null"),SUBSTITUTE(VLOOKUP(C$2,convert!$A$1:$B$4,2,0),"@@@",C89))</f>
        <v>55</v>
      </c>
      <c r="S89" s="4" t="str">
        <f>IF(D89="",IF(ISNUMBER(SEARCH("NOT NULL",UPPER(D$3))),"''","null"),SUBSTITUTE(VLOOKUP(D$2,convert!$A$1:$B$4,2,0),"@@@",D89))</f>
        <v>50</v>
      </c>
      <c r="T89" s="4" t="str">
        <f>IF(E89="",IF(ISNUMBER(SEARCH("NOT NULL",UPPER(E$3))),"''","null"),SUBSTITUTE(VLOOKUP(E$2,convert!$A$1:$B$4,2,0),"@@@",E89))</f>
        <v>45</v>
      </c>
      <c r="U89" s="4" t="str">
        <f>IF(F89="",IF(ISNUMBER(SEARCH("NOT NULL",UPPER(F$3))),"''","null"),SUBSTITUTE(VLOOKUP(F$2,convert!$A$1:$B$4,2,0),"@@@",F89))</f>
        <v>135</v>
      </c>
      <c r="V89" s="4" t="str">
        <f>IF(G89="",IF(ISNUMBER(SEARCH("NOT NULL",UPPER(G$3))),"''","null"),SUBSTITUTE(VLOOKUP(G$2,convert!$A$1:$B$4,2,0),"@@@",G89))</f>
        <v>95</v>
      </c>
      <c r="W89" s="4" t="str">
        <f>IF(H89="",IF(ISNUMBER(SEARCH("NOT NULL",UPPER(H$3))),"''","null"),SUBSTITUTE(VLOOKUP(H$2,convert!$A$1:$B$4,2,0),"@@@",H89))</f>
        <v>120</v>
      </c>
      <c r="X89" s="4" t="str">
        <f>IF(I89="",IF(ISNUMBER(SEARCH("NOT NULL",UPPER(I$3))),"''","null"),SUBSTITUTE(VLOOKUP(I$2,convert!$A$1:$B$4,2,0),"@@@",I89))</f>
        <v>''</v>
      </c>
      <c r="Y89" s="4" t="str">
        <f>IF(J89="",IF(ISNUMBER(SEARCH("NOT NULL",UPPER(J$3))),"''","null"),SUBSTITUTE(VLOOKUP(J$2,convert!$A$1:$B$4,2,0),"@@@",J89))</f>
        <v>'psychic'</v>
      </c>
      <c r="Z89" s="4" t="str">
        <f>IF(K89="",IF(ISNUMBER(SEARCH("NOT NULL",UPPER(K$3))),"''","null"),SUBSTITUTE(VLOOKUP(K$2,convert!$A$1:$B$4,2,0),"@@@",K89))</f>
        <v>null</v>
      </c>
      <c r="AA89" s="4" t="str">
        <f>IF(L89="",IF(ISNUMBER(SEARCH("NOT NULL",UPPER(L$3))),"''","null"),SUBSTITUTE(VLOOKUP(L$2,convert!$A$1:$B$4,2,0),"@@@",L89))</f>
        <v>'g1'</v>
      </c>
      <c r="AB89" s="4" t="str">
        <f>IF(M89="",IF(ISNUMBER(SEARCH("NOT NULL",UPPER(M$3))),"''","null"),SUBSTITUTE(VLOOKUP(M$2,convert!$A$1:$B$4,2,0),"@@@",M89))</f>
        <v>null</v>
      </c>
      <c r="AC89" s="4" t="str">
        <f>IF(N89="",IF(ISNUMBER(SEARCH("NOT NULL",UPPER(N$3))),"''","null"),SUBSTITUTE(VLOOKUP(N$2,convert!$A$1:$B$4,2,0),"@@@",N89))</f>
        <v>null</v>
      </c>
      <c r="AD89" s="4" t="str">
        <f>IF(O89="",IF(ISNUMBER(SEARCH("NOT NULL",UPPER(O$3))),"''","null"),SUBSTITUTE(VLOOKUP(O$2,convert!$A$1:$B$4,2,0),"@@@",O89))</f>
        <v>TRUE</v>
      </c>
      <c r="AE89" s="4" t="str">
        <f t="shared" si="1"/>
        <v>    ('0065N01', 'フーディン', 55, 50, 45, 135, 95, 120, '', 'psychic', null, 'g1', null, null, TRUE),</v>
      </c>
    </row>
    <row r="90" spans="1:31">
      <c r="A90" s="4" t="s">
        <v>213</v>
      </c>
      <c r="B90" s="4" t="s">
        <v>214</v>
      </c>
      <c r="C90" s="5">
        <v>55</v>
      </c>
      <c r="D90" s="5">
        <v>50</v>
      </c>
      <c r="E90" s="5">
        <v>65</v>
      </c>
      <c r="F90" s="5">
        <v>175</v>
      </c>
      <c r="G90" s="5">
        <v>105</v>
      </c>
      <c r="H90" s="5">
        <v>150</v>
      </c>
      <c r="I90" s="5"/>
      <c r="J90" s="4" t="s">
        <v>113</v>
      </c>
      <c r="K90" s="5"/>
      <c r="L90" s="4" t="s">
        <v>39</v>
      </c>
      <c r="M90" s="5"/>
      <c r="N90" s="5"/>
      <c r="O90" s="5" t="b">
        <v>1</v>
      </c>
      <c r="P90" s="4" t="str">
        <f>IF(A90="",IF(ISNUMBER(SEARCH("NOT NULL",UPPER(A$3))),"''","null"),SUBSTITUTE(VLOOKUP(A$2,convert!$A$1:$B$4,2,0),"@@@",A90))</f>
        <v>'0065M01'</v>
      </c>
      <c r="Q90" s="4" t="str">
        <f>IF(B90="",IF(ISNUMBER(SEARCH("NOT NULL",UPPER(B$3))),"''","null"),SUBSTITUTE(VLOOKUP(B$2,convert!$A$1:$B$4,2,0),"@@@",B90))</f>
        <v>'メガフーディン'</v>
      </c>
      <c r="R90" s="4" t="str">
        <f>IF(C90="",IF(ISNUMBER(SEARCH("NOT NULL",UPPER(C$3))),"''","null"),SUBSTITUTE(VLOOKUP(C$2,convert!$A$1:$B$4,2,0),"@@@",C90))</f>
        <v>55</v>
      </c>
      <c r="S90" s="4" t="str">
        <f>IF(D90="",IF(ISNUMBER(SEARCH("NOT NULL",UPPER(D$3))),"''","null"),SUBSTITUTE(VLOOKUP(D$2,convert!$A$1:$B$4,2,0),"@@@",D90))</f>
        <v>50</v>
      </c>
      <c r="T90" s="4" t="str">
        <f>IF(E90="",IF(ISNUMBER(SEARCH("NOT NULL",UPPER(E$3))),"''","null"),SUBSTITUTE(VLOOKUP(E$2,convert!$A$1:$B$4,2,0),"@@@",E90))</f>
        <v>65</v>
      </c>
      <c r="U90" s="4" t="str">
        <f>IF(F90="",IF(ISNUMBER(SEARCH("NOT NULL",UPPER(F$3))),"''","null"),SUBSTITUTE(VLOOKUP(F$2,convert!$A$1:$B$4,2,0),"@@@",F90))</f>
        <v>175</v>
      </c>
      <c r="V90" s="4" t="str">
        <f>IF(G90="",IF(ISNUMBER(SEARCH("NOT NULL",UPPER(G$3))),"''","null"),SUBSTITUTE(VLOOKUP(G$2,convert!$A$1:$B$4,2,0),"@@@",G90))</f>
        <v>105</v>
      </c>
      <c r="W90" s="4" t="str">
        <f>IF(H90="",IF(ISNUMBER(SEARCH("NOT NULL",UPPER(H$3))),"''","null"),SUBSTITUTE(VLOOKUP(H$2,convert!$A$1:$B$4,2,0),"@@@",H90))</f>
        <v>150</v>
      </c>
      <c r="X90" s="4" t="str">
        <f>IF(I90="",IF(ISNUMBER(SEARCH("NOT NULL",UPPER(I$3))),"''","null"),SUBSTITUTE(VLOOKUP(I$2,convert!$A$1:$B$4,2,0),"@@@",I90))</f>
        <v>''</v>
      </c>
      <c r="Y90" s="4" t="str">
        <f>IF(J90="",IF(ISNUMBER(SEARCH("NOT NULL",UPPER(J$3))),"''","null"),SUBSTITUTE(VLOOKUP(J$2,convert!$A$1:$B$4,2,0),"@@@",J90))</f>
        <v>'psychic'</v>
      </c>
      <c r="Z90" s="4" t="str">
        <f>IF(K90="",IF(ISNUMBER(SEARCH("NOT NULL",UPPER(K$3))),"''","null"),SUBSTITUTE(VLOOKUP(K$2,convert!$A$1:$B$4,2,0),"@@@",K90))</f>
        <v>null</v>
      </c>
      <c r="AA90" s="4" t="str">
        <f>IF(L90="",IF(ISNUMBER(SEARCH("NOT NULL",UPPER(L$3))),"''","null"),SUBSTITUTE(VLOOKUP(L$2,convert!$A$1:$B$4,2,0),"@@@",L90))</f>
        <v>'g6'</v>
      </c>
      <c r="AB90" s="4" t="str">
        <f>IF(M90="",IF(ISNUMBER(SEARCH("NOT NULL",UPPER(M$3))),"''","null"),SUBSTITUTE(VLOOKUP(M$2,convert!$A$1:$B$4,2,0),"@@@",M90))</f>
        <v>null</v>
      </c>
      <c r="AC90" s="4" t="str">
        <f>IF(N90="",IF(ISNUMBER(SEARCH("NOT NULL",UPPER(N$3))),"''","null"),SUBSTITUTE(VLOOKUP(N$2,convert!$A$1:$B$4,2,0),"@@@",N90))</f>
        <v>null</v>
      </c>
      <c r="AD90" s="4" t="str">
        <f>IF(O90="",IF(ISNUMBER(SEARCH("NOT NULL",UPPER(O$3))),"''","null"),SUBSTITUTE(VLOOKUP(O$2,convert!$A$1:$B$4,2,0),"@@@",O90))</f>
        <v>TRUE</v>
      </c>
      <c r="AE90" s="4" t="str">
        <f t="shared" si="1"/>
        <v>    ('0065M01', 'メガフーディン', 55, 50, 65, 175, 105, 150, '', 'psychic', null, 'g6', null, null, TRUE),</v>
      </c>
    </row>
    <row r="91" spans="1:31">
      <c r="A91" s="4" t="s">
        <v>215</v>
      </c>
      <c r="B91" s="4" t="s">
        <v>216</v>
      </c>
      <c r="C91" s="5">
        <v>70</v>
      </c>
      <c r="D91" s="5">
        <v>80</v>
      </c>
      <c r="E91" s="5">
        <v>50</v>
      </c>
      <c r="F91" s="5">
        <v>35</v>
      </c>
      <c r="G91" s="5">
        <v>35</v>
      </c>
      <c r="H91" s="5">
        <v>35</v>
      </c>
      <c r="I91" s="5"/>
      <c r="J91" s="4" t="s">
        <v>189</v>
      </c>
      <c r="K91" s="5"/>
      <c r="L91" s="4" t="s">
        <v>32</v>
      </c>
      <c r="M91" s="5"/>
      <c r="N91" s="5"/>
      <c r="O91" s="5" t="b">
        <v>1</v>
      </c>
      <c r="P91" s="4" t="str">
        <f>IF(A91="",IF(ISNUMBER(SEARCH("NOT NULL",UPPER(A$3))),"''","null"),SUBSTITUTE(VLOOKUP(A$2,convert!$A$1:$B$4,2,0),"@@@",A91))</f>
        <v>'0066N01'</v>
      </c>
      <c r="Q91" s="4" t="str">
        <f>IF(B91="",IF(ISNUMBER(SEARCH("NOT NULL",UPPER(B$3))),"''","null"),SUBSTITUTE(VLOOKUP(B$2,convert!$A$1:$B$4,2,0),"@@@",B91))</f>
        <v>'ワンリキー'</v>
      </c>
      <c r="R91" s="4" t="str">
        <f>IF(C91="",IF(ISNUMBER(SEARCH("NOT NULL",UPPER(C$3))),"''","null"),SUBSTITUTE(VLOOKUP(C$2,convert!$A$1:$B$4,2,0),"@@@",C91))</f>
        <v>70</v>
      </c>
      <c r="S91" s="4" t="str">
        <f>IF(D91="",IF(ISNUMBER(SEARCH("NOT NULL",UPPER(D$3))),"''","null"),SUBSTITUTE(VLOOKUP(D$2,convert!$A$1:$B$4,2,0),"@@@",D91))</f>
        <v>80</v>
      </c>
      <c r="T91" s="4" t="str">
        <f>IF(E91="",IF(ISNUMBER(SEARCH("NOT NULL",UPPER(E$3))),"''","null"),SUBSTITUTE(VLOOKUP(E$2,convert!$A$1:$B$4,2,0),"@@@",E91))</f>
        <v>50</v>
      </c>
      <c r="U91" s="4" t="str">
        <f>IF(F91="",IF(ISNUMBER(SEARCH("NOT NULL",UPPER(F$3))),"''","null"),SUBSTITUTE(VLOOKUP(F$2,convert!$A$1:$B$4,2,0),"@@@",F91))</f>
        <v>35</v>
      </c>
      <c r="V91" s="4" t="str">
        <f>IF(G91="",IF(ISNUMBER(SEARCH("NOT NULL",UPPER(G$3))),"''","null"),SUBSTITUTE(VLOOKUP(G$2,convert!$A$1:$B$4,2,0),"@@@",G91))</f>
        <v>35</v>
      </c>
      <c r="W91" s="4" t="str">
        <f>IF(H91="",IF(ISNUMBER(SEARCH("NOT NULL",UPPER(H$3))),"''","null"),SUBSTITUTE(VLOOKUP(H$2,convert!$A$1:$B$4,2,0),"@@@",H91))</f>
        <v>35</v>
      </c>
      <c r="X91" s="4" t="str">
        <f>IF(I91="",IF(ISNUMBER(SEARCH("NOT NULL",UPPER(I$3))),"''","null"),SUBSTITUTE(VLOOKUP(I$2,convert!$A$1:$B$4,2,0),"@@@",I91))</f>
        <v>''</v>
      </c>
      <c r="Y91" s="4" t="str">
        <f>IF(J91="",IF(ISNUMBER(SEARCH("NOT NULL",UPPER(J$3))),"''","null"),SUBSTITUTE(VLOOKUP(J$2,convert!$A$1:$B$4,2,0),"@@@",J91))</f>
        <v>'fighting'</v>
      </c>
      <c r="Z91" s="4" t="str">
        <f>IF(K91="",IF(ISNUMBER(SEARCH("NOT NULL",UPPER(K$3))),"''","null"),SUBSTITUTE(VLOOKUP(K$2,convert!$A$1:$B$4,2,0),"@@@",K91))</f>
        <v>null</v>
      </c>
      <c r="AA91" s="4" t="str">
        <f>IF(L91="",IF(ISNUMBER(SEARCH("NOT NULL",UPPER(L$3))),"''","null"),SUBSTITUTE(VLOOKUP(L$2,convert!$A$1:$B$4,2,0),"@@@",L91))</f>
        <v>'g1'</v>
      </c>
      <c r="AB91" s="4" t="str">
        <f>IF(M91="",IF(ISNUMBER(SEARCH("NOT NULL",UPPER(M$3))),"''","null"),SUBSTITUTE(VLOOKUP(M$2,convert!$A$1:$B$4,2,0),"@@@",M91))</f>
        <v>null</v>
      </c>
      <c r="AC91" s="4" t="str">
        <f>IF(N91="",IF(ISNUMBER(SEARCH("NOT NULL",UPPER(N$3))),"''","null"),SUBSTITUTE(VLOOKUP(N$2,convert!$A$1:$B$4,2,0),"@@@",N91))</f>
        <v>null</v>
      </c>
      <c r="AD91" s="4" t="str">
        <f>IF(O91="",IF(ISNUMBER(SEARCH("NOT NULL",UPPER(O$3))),"''","null"),SUBSTITUTE(VLOOKUP(O$2,convert!$A$1:$B$4,2,0),"@@@",O91))</f>
        <v>TRUE</v>
      </c>
      <c r="AE91" s="4" t="str">
        <f t="shared" si="1"/>
        <v>    ('0066N01', 'ワンリキー', 70, 80, 50, 35, 35, 35, '', 'fighting', null, 'g1', null, null, TRUE),</v>
      </c>
    </row>
    <row r="92" spans="1:31">
      <c r="A92" s="4" t="s">
        <v>217</v>
      </c>
      <c r="B92" s="4" t="s">
        <v>218</v>
      </c>
      <c r="C92" s="5">
        <v>80</v>
      </c>
      <c r="D92" s="5">
        <v>100</v>
      </c>
      <c r="E92" s="5">
        <v>70</v>
      </c>
      <c r="F92" s="5">
        <v>50</v>
      </c>
      <c r="G92" s="5">
        <v>60</v>
      </c>
      <c r="H92" s="5">
        <v>45</v>
      </c>
      <c r="I92" s="5"/>
      <c r="J92" s="4" t="s">
        <v>189</v>
      </c>
      <c r="K92" s="5"/>
      <c r="L92" s="4" t="s">
        <v>32</v>
      </c>
      <c r="M92" s="5"/>
      <c r="N92" s="5"/>
      <c r="O92" s="5" t="b">
        <v>1</v>
      </c>
      <c r="P92" s="4" t="str">
        <f>IF(A92="",IF(ISNUMBER(SEARCH("NOT NULL",UPPER(A$3))),"''","null"),SUBSTITUTE(VLOOKUP(A$2,convert!$A$1:$B$4,2,0),"@@@",A92))</f>
        <v>'0067N01'</v>
      </c>
      <c r="Q92" s="4" t="str">
        <f>IF(B92="",IF(ISNUMBER(SEARCH("NOT NULL",UPPER(B$3))),"''","null"),SUBSTITUTE(VLOOKUP(B$2,convert!$A$1:$B$4,2,0),"@@@",B92))</f>
        <v>'ゴーリキー'</v>
      </c>
      <c r="R92" s="4" t="str">
        <f>IF(C92="",IF(ISNUMBER(SEARCH("NOT NULL",UPPER(C$3))),"''","null"),SUBSTITUTE(VLOOKUP(C$2,convert!$A$1:$B$4,2,0),"@@@",C92))</f>
        <v>80</v>
      </c>
      <c r="S92" s="4" t="str">
        <f>IF(D92="",IF(ISNUMBER(SEARCH("NOT NULL",UPPER(D$3))),"''","null"),SUBSTITUTE(VLOOKUP(D$2,convert!$A$1:$B$4,2,0),"@@@",D92))</f>
        <v>100</v>
      </c>
      <c r="T92" s="4" t="str">
        <f>IF(E92="",IF(ISNUMBER(SEARCH("NOT NULL",UPPER(E$3))),"''","null"),SUBSTITUTE(VLOOKUP(E$2,convert!$A$1:$B$4,2,0),"@@@",E92))</f>
        <v>70</v>
      </c>
      <c r="U92" s="4" t="str">
        <f>IF(F92="",IF(ISNUMBER(SEARCH("NOT NULL",UPPER(F$3))),"''","null"),SUBSTITUTE(VLOOKUP(F$2,convert!$A$1:$B$4,2,0),"@@@",F92))</f>
        <v>50</v>
      </c>
      <c r="V92" s="4" t="str">
        <f>IF(G92="",IF(ISNUMBER(SEARCH("NOT NULL",UPPER(G$3))),"''","null"),SUBSTITUTE(VLOOKUP(G$2,convert!$A$1:$B$4,2,0),"@@@",G92))</f>
        <v>60</v>
      </c>
      <c r="W92" s="4" t="str">
        <f>IF(H92="",IF(ISNUMBER(SEARCH("NOT NULL",UPPER(H$3))),"''","null"),SUBSTITUTE(VLOOKUP(H$2,convert!$A$1:$B$4,2,0),"@@@",H92))</f>
        <v>45</v>
      </c>
      <c r="X92" s="4" t="str">
        <f>IF(I92="",IF(ISNUMBER(SEARCH("NOT NULL",UPPER(I$3))),"''","null"),SUBSTITUTE(VLOOKUP(I$2,convert!$A$1:$B$4,2,0),"@@@",I92))</f>
        <v>''</v>
      </c>
      <c r="Y92" s="4" t="str">
        <f>IF(J92="",IF(ISNUMBER(SEARCH("NOT NULL",UPPER(J$3))),"''","null"),SUBSTITUTE(VLOOKUP(J$2,convert!$A$1:$B$4,2,0),"@@@",J92))</f>
        <v>'fighting'</v>
      </c>
      <c r="Z92" s="4" t="str">
        <f>IF(K92="",IF(ISNUMBER(SEARCH("NOT NULL",UPPER(K$3))),"''","null"),SUBSTITUTE(VLOOKUP(K$2,convert!$A$1:$B$4,2,0),"@@@",K92))</f>
        <v>null</v>
      </c>
      <c r="AA92" s="4" t="str">
        <f>IF(L92="",IF(ISNUMBER(SEARCH("NOT NULL",UPPER(L$3))),"''","null"),SUBSTITUTE(VLOOKUP(L$2,convert!$A$1:$B$4,2,0),"@@@",L92))</f>
        <v>'g1'</v>
      </c>
      <c r="AB92" s="4" t="str">
        <f>IF(M92="",IF(ISNUMBER(SEARCH("NOT NULL",UPPER(M$3))),"''","null"),SUBSTITUTE(VLOOKUP(M$2,convert!$A$1:$B$4,2,0),"@@@",M92))</f>
        <v>null</v>
      </c>
      <c r="AC92" s="4" t="str">
        <f>IF(N92="",IF(ISNUMBER(SEARCH("NOT NULL",UPPER(N$3))),"''","null"),SUBSTITUTE(VLOOKUP(N$2,convert!$A$1:$B$4,2,0),"@@@",N92))</f>
        <v>null</v>
      </c>
      <c r="AD92" s="4" t="str">
        <f>IF(O92="",IF(ISNUMBER(SEARCH("NOT NULL",UPPER(O$3))),"''","null"),SUBSTITUTE(VLOOKUP(O$2,convert!$A$1:$B$4,2,0),"@@@",O92))</f>
        <v>TRUE</v>
      </c>
      <c r="AE92" s="4" t="str">
        <f t="shared" si="1"/>
        <v>    ('0067N01', 'ゴーリキー', 80, 100, 70, 50, 60, 45, '', 'fighting', null, 'g1', null, null, TRUE),</v>
      </c>
    </row>
    <row r="93" spans="1:31">
      <c r="A93" s="4" t="s">
        <v>219</v>
      </c>
      <c r="B93" s="4" t="s">
        <v>220</v>
      </c>
      <c r="C93" s="5">
        <v>90</v>
      </c>
      <c r="D93" s="5">
        <v>130</v>
      </c>
      <c r="E93" s="5">
        <v>80</v>
      </c>
      <c r="F93" s="5">
        <v>65</v>
      </c>
      <c r="G93" s="5">
        <v>85</v>
      </c>
      <c r="H93" s="5">
        <v>55</v>
      </c>
      <c r="I93" s="5"/>
      <c r="J93" s="4" t="s">
        <v>189</v>
      </c>
      <c r="K93" s="5"/>
      <c r="L93" s="4" t="s">
        <v>32</v>
      </c>
      <c r="M93" s="5"/>
      <c r="N93" s="5"/>
      <c r="O93" s="5" t="b">
        <v>1</v>
      </c>
      <c r="P93" s="4" t="str">
        <f>IF(A93="",IF(ISNUMBER(SEARCH("NOT NULL",UPPER(A$3))),"''","null"),SUBSTITUTE(VLOOKUP(A$2,convert!$A$1:$B$4,2,0),"@@@",A93))</f>
        <v>'0068N01'</v>
      </c>
      <c r="Q93" s="4" t="str">
        <f>IF(B93="",IF(ISNUMBER(SEARCH("NOT NULL",UPPER(B$3))),"''","null"),SUBSTITUTE(VLOOKUP(B$2,convert!$A$1:$B$4,2,0),"@@@",B93))</f>
        <v>'カイリキー'</v>
      </c>
      <c r="R93" s="4" t="str">
        <f>IF(C93="",IF(ISNUMBER(SEARCH("NOT NULL",UPPER(C$3))),"''","null"),SUBSTITUTE(VLOOKUP(C$2,convert!$A$1:$B$4,2,0),"@@@",C93))</f>
        <v>90</v>
      </c>
      <c r="S93" s="4" t="str">
        <f>IF(D93="",IF(ISNUMBER(SEARCH("NOT NULL",UPPER(D$3))),"''","null"),SUBSTITUTE(VLOOKUP(D$2,convert!$A$1:$B$4,2,0),"@@@",D93))</f>
        <v>130</v>
      </c>
      <c r="T93" s="4" t="str">
        <f>IF(E93="",IF(ISNUMBER(SEARCH("NOT NULL",UPPER(E$3))),"''","null"),SUBSTITUTE(VLOOKUP(E$2,convert!$A$1:$B$4,2,0),"@@@",E93))</f>
        <v>80</v>
      </c>
      <c r="U93" s="4" t="str">
        <f>IF(F93="",IF(ISNUMBER(SEARCH("NOT NULL",UPPER(F$3))),"''","null"),SUBSTITUTE(VLOOKUP(F$2,convert!$A$1:$B$4,2,0),"@@@",F93))</f>
        <v>65</v>
      </c>
      <c r="V93" s="4" t="str">
        <f>IF(G93="",IF(ISNUMBER(SEARCH("NOT NULL",UPPER(G$3))),"''","null"),SUBSTITUTE(VLOOKUP(G$2,convert!$A$1:$B$4,2,0),"@@@",G93))</f>
        <v>85</v>
      </c>
      <c r="W93" s="4" t="str">
        <f>IF(H93="",IF(ISNUMBER(SEARCH("NOT NULL",UPPER(H$3))),"''","null"),SUBSTITUTE(VLOOKUP(H$2,convert!$A$1:$B$4,2,0),"@@@",H93))</f>
        <v>55</v>
      </c>
      <c r="X93" s="4" t="str">
        <f>IF(I93="",IF(ISNUMBER(SEARCH("NOT NULL",UPPER(I$3))),"''","null"),SUBSTITUTE(VLOOKUP(I$2,convert!$A$1:$B$4,2,0),"@@@",I93))</f>
        <v>''</v>
      </c>
      <c r="Y93" s="4" t="str">
        <f>IF(J93="",IF(ISNUMBER(SEARCH("NOT NULL",UPPER(J$3))),"''","null"),SUBSTITUTE(VLOOKUP(J$2,convert!$A$1:$B$4,2,0),"@@@",J93))</f>
        <v>'fighting'</v>
      </c>
      <c r="Z93" s="4" t="str">
        <f>IF(K93="",IF(ISNUMBER(SEARCH("NOT NULL",UPPER(K$3))),"''","null"),SUBSTITUTE(VLOOKUP(K$2,convert!$A$1:$B$4,2,0),"@@@",K93))</f>
        <v>null</v>
      </c>
      <c r="AA93" s="4" t="str">
        <f>IF(L93="",IF(ISNUMBER(SEARCH("NOT NULL",UPPER(L$3))),"''","null"),SUBSTITUTE(VLOOKUP(L$2,convert!$A$1:$B$4,2,0),"@@@",L93))</f>
        <v>'g1'</v>
      </c>
      <c r="AB93" s="4" t="str">
        <f>IF(M93="",IF(ISNUMBER(SEARCH("NOT NULL",UPPER(M$3))),"''","null"),SUBSTITUTE(VLOOKUP(M$2,convert!$A$1:$B$4,2,0),"@@@",M93))</f>
        <v>null</v>
      </c>
      <c r="AC93" s="4" t="str">
        <f>IF(N93="",IF(ISNUMBER(SEARCH("NOT NULL",UPPER(N$3))),"''","null"),SUBSTITUTE(VLOOKUP(N$2,convert!$A$1:$B$4,2,0),"@@@",N93))</f>
        <v>null</v>
      </c>
      <c r="AD93" s="4" t="str">
        <f>IF(O93="",IF(ISNUMBER(SEARCH("NOT NULL",UPPER(O$3))),"''","null"),SUBSTITUTE(VLOOKUP(O$2,convert!$A$1:$B$4,2,0),"@@@",O93))</f>
        <v>TRUE</v>
      </c>
      <c r="AE93" s="4" t="str">
        <f t="shared" si="1"/>
        <v>    ('0068N01', 'カイリキー', 90, 130, 80, 65, 85, 55, '', 'fighting', null, 'g1', null, null, TRUE),</v>
      </c>
    </row>
    <row r="94" spans="1:31">
      <c r="A94" s="4" t="s">
        <v>221</v>
      </c>
      <c r="B94" s="4" t="s">
        <v>222</v>
      </c>
      <c r="C94" s="5">
        <v>50</v>
      </c>
      <c r="D94" s="5">
        <v>75</v>
      </c>
      <c r="E94" s="5">
        <v>35</v>
      </c>
      <c r="F94" s="5">
        <v>70</v>
      </c>
      <c r="G94" s="5">
        <v>30</v>
      </c>
      <c r="H94" s="5">
        <v>40</v>
      </c>
      <c r="I94" s="5"/>
      <c r="J94" s="4" t="s">
        <v>30</v>
      </c>
      <c r="K94" s="4" t="s">
        <v>31</v>
      </c>
      <c r="L94" s="4" t="s">
        <v>32</v>
      </c>
      <c r="M94" s="5"/>
      <c r="N94" s="5"/>
      <c r="O94" s="5" t="b">
        <v>1</v>
      </c>
      <c r="P94" s="4" t="str">
        <f>IF(A94="",IF(ISNUMBER(SEARCH("NOT NULL",UPPER(A$3))),"''","null"),SUBSTITUTE(VLOOKUP(A$2,convert!$A$1:$B$4,2,0),"@@@",A94))</f>
        <v>'0069N01'</v>
      </c>
      <c r="Q94" s="4" t="str">
        <f>IF(B94="",IF(ISNUMBER(SEARCH("NOT NULL",UPPER(B$3))),"''","null"),SUBSTITUTE(VLOOKUP(B$2,convert!$A$1:$B$4,2,0),"@@@",B94))</f>
        <v>'マダツボミ'</v>
      </c>
      <c r="R94" s="4" t="str">
        <f>IF(C94="",IF(ISNUMBER(SEARCH("NOT NULL",UPPER(C$3))),"''","null"),SUBSTITUTE(VLOOKUP(C$2,convert!$A$1:$B$4,2,0),"@@@",C94))</f>
        <v>50</v>
      </c>
      <c r="S94" s="4" t="str">
        <f>IF(D94="",IF(ISNUMBER(SEARCH("NOT NULL",UPPER(D$3))),"''","null"),SUBSTITUTE(VLOOKUP(D$2,convert!$A$1:$B$4,2,0),"@@@",D94))</f>
        <v>75</v>
      </c>
      <c r="T94" s="4" t="str">
        <f>IF(E94="",IF(ISNUMBER(SEARCH("NOT NULL",UPPER(E$3))),"''","null"),SUBSTITUTE(VLOOKUP(E$2,convert!$A$1:$B$4,2,0),"@@@",E94))</f>
        <v>35</v>
      </c>
      <c r="U94" s="4" t="str">
        <f>IF(F94="",IF(ISNUMBER(SEARCH("NOT NULL",UPPER(F$3))),"''","null"),SUBSTITUTE(VLOOKUP(F$2,convert!$A$1:$B$4,2,0),"@@@",F94))</f>
        <v>70</v>
      </c>
      <c r="V94" s="4" t="str">
        <f>IF(G94="",IF(ISNUMBER(SEARCH("NOT NULL",UPPER(G$3))),"''","null"),SUBSTITUTE(VLOOKUP(G$2,convert!$A$1:$B$4,2,0),"@@@",G94))</f>
        <v>30</v>
      </c>
      <c r="W94" s="4" t="str">
        <f>IF(H94="",IF(ISNUMBER(SEARCH("NOT NULL",UPPER(H$3))),"''","null"),SUBSTITUTE(VLOOKUP(H$2,convert!$A$1:$B$4,2,0),"@@@",H94))</f>
        <v>40</v>
      </c>
      <c r="X94" s="4" t="str">
        <f>IF(I94="",IF(ISNUMBER(SEARCH("NOT NULL",UPPER(I$3))),"''","null"),SUBSTITUTE(VLOOKUP(I$2,convert!$A$1:$B$4,2,0),"@@@",I94))</f>
        <v>''</v>
      </c>
      <c r="Y94" s="4" t="str">
        <f>IF(J94="",IF(ISNUMBER(SEARCH("NOT NULL",UPPER(J$3))),"''","null"),SUBSTITUTE(VLOOKUP(J$2,convert!$A$1:$B$4,2,0),"@@@",J94))</f>
        <v>'grass'</v>
      </c>
      <c r="Z94" s="4" t="str">
        <f>IF(K94="",IF(ISNUMBER(SEARCH("NOT NULL",UPPER(K$3))),"''","null"),SUBSTITUTE(VLOOKUP(K$2,convert!$A$1:$B$4,2,0),"@@@",K94))</f>
        <v>'poison'</v>
      </c>
      <c r="AA94" s="4" t="str">
        <f>IF(L94="",IF(ISNUMBER(SEARCH("NOT NULL",UPPER(L$3))),"''","null"),SUBSTITUTE(VLOOKUP(L$2,convert!$A$1:$B$4,2,0),"@@@",L94))</f>
        <v>'g1'</v>
      </c>
      <c r="AB94" s="4" t="str">
        <f>IF(M94="",IF(ISNUMBER(SEARCH("NOT NULL",UPPER(M$3))),"''","null"),SUBSTITUTE(VLOOKUP(M$2,convert!$A$1:$B$4,2,0),"@@@",M94))</f>
        <v>null</v>
      </c>
      <c r="AC94" s="4" t="str">
        <f>IF(N94="",IF(ISNUMBER(SEARCH("NOT NULL",UPPER(N$3))),"''","null"),SUBSTITUTE(VLOOKUP(N$2,convert!$A$1:$B$4,2,0),"@@@",N94))</f>
        <v>null</v>
      </c>
      <c r="AD94" s="4" t="str">
        <f>IF(O94="",IF(ISNUMBER(SEARCH("NOT NULL",UPPER(O$3))),"''","null"),SUBSTITUTE(VLOOKUP(O$2,convert!$A$1:$B$4,2,0),"@@@",O94))</f>
        <v>TRUE</v>
      </c>
      <c r="AE94" s="4" t="str">
        <f t="shared" si="1"/>
        <v>    ('0069N01', 'マダツボミ', 50, 75, 35, 70, 30, 40, '', 'grass', 'poison', 'g1', null, null, TRUE),</v>
      </c>
    </row>
    <row r="95" spans="1:31">
      <c r="A95" s="4" t="s">
        <v>223</v>
      </c>
      <c r="B95" s="4" t="s">
        <v>224</v>
      </c>
      <c r="C95" s="5">
        <v>65</v>
      </c>
      <c r="D95" s="5">
        <v>90</v>
      </c>
      <c r="E95" s="5">
        <v>50</v>
      </c>
      <c r="F95" s="5">
        <v>85</v>
      </c>
      <c r="G95" s="5">
        <v>45</v>
      </c>
      <c r="H95" s="5">
        <v>55</v>
      </c>
      <c r="I95" s="5"/>
      <c r="J95" s="4" t="s">
        <v>30</v>
      </c>
      <c r="K95" s="4" t="s">
        <v>31</v>
      </c>
      <c r="L95" s="4" t="s">
        <v>32</v>
      </c>
      <c r="M95" s="5"/>
      <c r="N95" s="5"/>
      <c r="O95" s="5" t="b">
        <v>1</v>
      </c>
      <c r="P95" s="4" t="str">
        <f>IF(A95="",IF(ISNUMBER(SEARCH("NOT NULL",UPPER(A$3))),"''","null"),SUBSTITUTE(VLOOKUP(A$2,convert!$A$1:$B$4,2,0),"@@@",A95))</f>
        <v>'0070N01'</v>
      </c>
      <c r="Q95" s="4" t="str">
        <f>IF(B95="",IF(ISNUMBER(SEARCH("NOT NULL",UPPER(B$3))),"''","null"),SUBSTITUTE(VLOOKUP(B$2,convert!$A$1:$B$4,2,0),"@@@",B95))</f>
        <v>'ウツドン'</v>
      </c>
      <c r="R95" s="4" t="str">
        <f>IF(C95="",IF(ISNUMBER(SEARCH("NOT NULL",UPPER(C$3))),"''","null"),SUBSTITUTE(VLOOKUP(C$2,convert!$A$1:$B$4,2,0),"@@@",C95))</f>
        <v>65</v>
      </c>
      <c r="S95" s="4" t="str">
        <f>IF(D95="",IF(ISNUMBER(SEARCH("NOT NULL",UPPER(D$3))),"''","null"),SUBSTITUTE(VLOOKUP(D$2,convert!$A$1:$B$4,2,0),"@@@",D95))</f>
        <v>90</v>
      </c>
      <c r="T95" s="4" t="str">
        <f>IF(E95="",IF(ISNUMBER(SEARCH("NOT NULL",UPPER(E$3))),"''","null"),SUBSTITUTE(VLOOKUP(E$2,convert!$A$1:$B$4,2,0),"@@@",E95))</f>
        <v>50</v>
      </c>
      <c r="U95" s="4" t="str">
        <f>IF(F95="",IF(ISNUMBER(SEARCH("NOT NULL",UPPER(F$3))),"''","null"),SUBSTITUTE(VLOOKUP(F$2,convert!$A$1:$B$4,2,0),"@@@",F95))</f>
        <v>85</v>
      </c>
      <c r="V95" s="4" t="str">
        <f>IF(G95="",IF(ISNUMBER(SEARCH("NOT NULL",UPPER(G$3))),"''","null"),SUBSTITUTE(VLOOKUP(G$2,convert!$A$1:$B$4,2,0),"@@@",G95))</f>
        <v>45</v>
      </c>
      <c r="W95" s="4" t="str">
        <f>IF(H95="",IF(ISNUMBER(SEARCH("NOT NULL",UPPER(H$3))),"''","null"),SUBSTITUTE(VLOOKUP(H$2,convert!$A$1:$B$4,2,0),"@@@",H95))</f>
        <v>55</v>
      </c>
      <c r="X95" s="4" t="str">
        <f>IF(I95="",IF(ISNUMBER(SEARCH("NOT NULL",UPPER(I$3))),"''","null"),SUBSTITUTE(VLOOKUP(I$2,convert!$A$1:$B$4,2,0),"@@@",I95))</f>
        <v>''</v>
      </c>
      <c r="Y95" s="4" t="str">
        <f>IF(J95="",IF(ISNUMBER(SEARCH("NOT NULL",UPPER(J$3))),"''","null"),SUBSTITUTE(VLOOKUP(J$2,convert!$A$1:$B$4,2,0),"@@@",J95))</f>
        <v>'grass'</v>
      </c>
      <c r="Z95" s="4" t="str">
        <f>IF(K95="",IF(ISNUMBER(SEARCH("NOT NULL",UPPER(K$3))),"''","null"),SUBSTITUTE(VLOOKUP(K$2,convert!$A$1:$B$4,2,0),"@@@",K95))</f>
        <v>'poison'</v>
      </c>
      <c r="AA95" s="4" t="str">
        <f>IF(L95="",IF(ISNUMBER(SEARCH("NOT NULL",UPPER(L$3))),"''","null"),SUBSTITUTE(VLOOKUP(L$2,convert!$A$1:$B$4,2,0),"@@@",L95))</f>
        <v>'g1'</v>
      </c>
      <c r="AB95" s="4" t="str">
        <f>IF(M95="",IF(ISNUMBER(SEARCH("NOT NULL",UPPER(M$3))),"''","null"),SUBSTITUTE(VLOOKUP(M$2,convert!$A$1:$B$4,2,0),"@@@",M95))</f>
        <v>null</v>
      </c>
      <c r="AC95" s="4" t="str">
        <f>IF(N95="",IF(ISNUMBER(SEARCH("NOT NULL",UPPER(N$3))),"''","null"),SUBSTITUTE(VLOOKUP(N$2,convert!$A$1:$B$4,2,0),"@@@",N95))</f>
        <v>null</v>
      </c>
      <c r="AD95" s="4" t="str">
        <f>IF(O95="",IF(ISNUMBER(SEARCH("NOT NULL",UPPER(O$3))),"''","null"),SUBSTITUTE(VLOOKUP(O$2,convert!$A$1:$B$4,2,0),"@@@",O95))</f>
        <v>TRUE</v>
      </c>
      <c r="AE95" s="4" t="str">
        <f t="shared" si="1"/>
        <v>    ('0070N01', 'ウツドン', 65, 90, 50, 85, 45, 55, '', 'grass', 'poison', 'g1', null, null, TRUE),</v>
      </c>
    </row>
    <row r="96" spans="1:31">
      <c r="A96" s="4" t="s">
        <v>225</v>
      </c>
      <c r="B96" s="4" t="s">
        <v>226</v>
      </c>
      <c r="C96" s="5">
        <v>80</v>
      </c>
      <c r="D96" s="5">
        <v>105</v>
      </c>
      <c r="E96" s="5">
        <v>65</v>
      </c>
      <c r="F96" s="5">
        <v>100</v>
      </c>
      <c r="G96" s="5">
        <v>70</v>
      </c>
      <c r="H96" s="5">
        <v>70</v>
      </c>
      <c r="I96" s="5"/>
      <c r="J96" s="4" t="s">
        <v>30</v>
      </c>
      <c r="K96" s="4" t="s">
        <v>31</v>
      </c>
      <c r="L96" s="4" t="s">
        <v>32</v>
      </c>
      <c r="M96" s="5"/>
      <c r="N96" s="5"/>
      <c r="O96" s="5" t="b">
        <v>1</v>
      </c>
      <c r="P96" s="4" t="str">
        <f>IF(A96="",IF(ISNUMBER(SEARCH("NOT NULL",UPPER(A$3))),"''","null"),SUBSTITUTE(VLOOKUP(A$2,convert!$A$1:$B$4,2,0),"@@@",A96))</f>
        <v>'0071N01'</v>
      </c>
      <c r="Q96" s="4" t="str">
        <f>IF(B96="",IF(ISNUMBER(SEARCH("NOT NULL",UPPER(B$3))),"''","null"),SUBSTITUTE(VLOOKUP(B$2,convert!$A$1:$B$4,2,0),"@@@",B96))</f>
        <v>'ウツボット'</v>
      </c>
      <c r="R96" s="4" t="str">
        <f>IF(C96="",IF(ISNUMBER(SEARCH("NOT NULL",UPPER(C$3))),"''","null"),SUBSTITUTE(VLOOKUP(C$2,convert!$A$1:$B$4,2,0),"@@@",C96))</f>
        <v>80</v>
      </c>
      <c r="S96" s="4" t="str">
        <f>IF(D96="",IF(ISNUMBER(SEARCH("NOT NULL",UPPER(D$3))),"''","null"),SUBSTITUTE(VLOOKUP(D$2,convert!$A$1:$B$4,2,0),"@@@",D96))</f>
        <v>105</v>
      </c>
      <c r="T96" s="4" t="str">
        <f>IF(E96="",IF(ISNUMBER(SEARCH("NOT NULL",UPPER(E$3))),"''","null"),SUBSTITUTE(VLOOKUP(E$2,convert!$A$1:$B$4,2,0),"@@@",E96))</f>
        <v>65</v>
      </c>
      <c r="U96" s="4" t="str">
        <f>IF(F96="",IF(ISNUMBER(SEARCH("NOT NULL",UPPER(F$3))),"''","null"),SUBSTITUTE(VLOOKUP(F$2,convert!$A$1:$B$4,2,0),"@@@",F96))</f>
        <v>100</v>
      </c>
      <c r="V96" s="4" t="str">
        <f>IF(G96="",IF(ISNUMBER(SEARCH("NOT NULL",UPPER(G$3))),"''","null"),SUBSTITUTE(VLOOKUP(G$2,convert!$A$1:$B$4,2,0),"@@@",G96))</f>
        <v>70</v>
      </c>
      <c r="W96" s="4" t="str">
        <f>IF(H96="",IF(ISNUMBER(SEARCH("NOT NULL",UPPER(H$3))),"''","null"),SUBSTITUTE(VLOOKUP(H$2,convert!$A$1:$B$4,2,0),"@@@",H96))</f>
        <v>70</v>
      </c>
      <c r="X96" s="4" t="str">
        <f>IF(I96="",IF(ISNUMBER(SEARCH("NOT NULL",UPPER(I$3))),"''","null"),SUBSTITUTE(VLOOKUP(I$2,convert!$A$1:$B$4,2,0),"@@@",I96))</f>
        <v>''</v>
      </c>
      <c r="Y96" s="4" t="str">
        <f>IF(J96="",IF(ISNUMBER(SEARCH("NOT NULL",UPPER(J$3))),"''","null"),SUBSTITUTE(VLOOKUP(J$2,convert!$A$1:$B$4,2,0),"@@@",J96))</f>
        <v>'grass'</v>
      </c>
      <c r="Z96" s="4" t="str">
        <f>IF(K96="",IF(ISNUMBER(SEARCH("NOT NULL",UPPER(K$3))),"''","null"),SUBSTITUTE(VLOOKUP(K$2,convert!$A$1:$B$4,2,0),"@@@",K96))</f>
        <v>'poison'</v>
      </c>
      <c r="AA96" s="4" t="str">
        <f>IF(L96="",IF(ISNUMBER(SEARCH("NOT NULL",UPPER(L$3))),"''","null"),SUBSTITUTE(VLOOKUP(L$2,convert!$A$1:$B$4,2,0),"@@@",L96))</f>
        <v>'g1'</v>
      </c>
      <c r="AB96" s="4" t="str">
        <f>IF(M96="",IF(ISNUMBER(SEARCH("NOT NULL",UPPER(M$3))),"''","null"),SUBSTITUTE(VLOOKUP(M$2,convert!$A$1:$B$4,2,0),"@@@",M96))</f>
        <v>null</v>
      </c>
      <c r="AC96" s="4" t="str">
        <f>IF(N96="",IF(ISNUMBER(SEARCH("NOT NULL",UPPER(N$3))),"''","null"),SUBSTITUTE(VLOOKUP(N$2,convert!$A$1:$B$4,2,0),"@@@",N96))</f>
        <v>null</v>
      </c>
      <c r="AD96" s="4" t="str">
        <f>IF(O96="",IF(ISNUMBER(SEARCH("NOT NULL",UPPER(O$3))),"''","null"),SUBSTITUTE(VLOOKUP(O$2,convert!$A$1:$B$4,2,0),"@@@",O96))</f>
        <v>TRUE</v>
      </c>
      <c r="AE96" s="4" t="str">
        <f t="shared" si="1"/>
        <v>    ('0071N01', 'ウツボット', 80, 105, 65, 100, 70, 70, '', 'grass', 'poison', 'g1', null, null, TRUE),</v>
      </c>
    </row>
    <row r="97" spans="1:31">
      <c r="A97" s="4" t="s">
        <v>227</v>
      </c>
      <c r="B97" s="4" t="s">
        <v>228</v>
      </c>
      <c r="C97" s="5">
        <v>40</v>
      </c>
      <c r="D97" s="5">
        <v>40</v>
      </c>
      <c r="E97" s="5">
        <v>35</v>
      </c>
      <c r="F97" s="5">
        <v>50</v>
      </c>
      <c r="G97" s="5">
        <v>100</v>
      </c>
      <c r="H97" s="5">
        <v>70</v>
      </c>
      <c r="I97" s="5"/>
      <c r="J97" s="4" t="s">
        <v>55</v>
      </c>
      <c r="K97" s="4" t="s">
        <v>31</v>
      </c>
      <c r="L97" s="4" t="s">
        <v>32</v>
      </c>
      <c r="M97" s="5"/>
      <c r="N97" s="5"/>
      <c r="O97" s="5" t="b">
        <v>1</v>
      </c>
      <c r="P97" s="4" t="str">
        <f>IF(A97="",IF(ISNUMBER(SEARCH("NOT NULL",UPPER(A$3))),"''","null"),SUBSTITUTE(VLOOKUP(A$2,convert!$A$1:$B$4,2,0),"@@@",A97))</f>
        <v>'0072N01'</v>
      </c>
      <c r="Q97" s="4" t="str">
        <f>IF(B97="",IF(ISNUMBER(SEARCH("NOT NULL",UPPER(B$3))),"''","null"),SUBSTITUTE(VLOOKUP(B$2,convert!$A$1:$B$4,2,0),"@@@",B97))</f>
        <v>'メノクラゲ'</v>
      </c>
      <c r="R97" s="4" t="str">
        <f>IF(C97="",IF(ISNUMBER(SEARCH("NOT NULL",UPPER(C$3))),"''","null"),SUBSTITUTE(VLOOKUP(C$2,convert!$A$1:$B$4,2,0),"@@@",C97))</f>
        <v>40</v>
      </c>
      <c r="S97" s="4" t="str">
        <f>IF(D97="",IF(ISNUMBER(SEARCH("NOT NULL",UPPER(D$3))),"''","null"),SUBSTITUTE(VLOOKUP(D$2,convert!$A$1:$B$4,2,0),"@@@",D97))</f>
        <v>40</v>
      </c>
      <c r="T97" s="4" t="str">
        <f>IF(E97="",IF(ISNUMBER(SEARCH("NOT NULL",UPPER(E$3))),"''","null"),SUBSTITUTE(VLOOKUP(E$2,convert!$A$1:$B$4,2,0),"@@@",E97))</f>
        <v>35</v>
      </c>
      <c r="U97" s="4" t="str">
        <f>IF(F97="",IF(ISNUMBER(SEARCH("NOT NULL",UPPER(F$3))),"''","null"),SUBSTITUTE(VLOOKUP(F$2,convert!$A$1:$B$4,2,0),"@@@",F97))</f>
        <v>50</v>
      </c>
      <c r="V97" s="4" t="str">
        <f>IF(G97="",IF(ISNUMBER(SEARCH("NOT NULL",UPPER(G$3))),"''","null"),SUBSTITUTE(VLOOKUP(G$2,convert!$A$1:$B$4,2,0),"@@@",G97))</f>
        <v>100</v>
      </c>
      <c r="W97" s="4" t="str">
        <f>IF(H97="",IF(ISNUMBER(SEARCH("NOT NULL",UPPER(H$3))),"''","null"),SUBSTITUTE(VLOOKUP(H$2,convert!$A$1:$B$4,2,0),"@@@",H97))</f>
        <v>70</v>
      </c>
      <c r="X97" s="4" t="str">
        <f>IF(I97="",IF(ISNUMBER(SEARCH("NOT NULL",UPPER(I$3))),"''","null"),SUBSTITUTE(VLOOKUP(I$2,convert!$A$1:$B$4,2,0),"@@@",I97))</f>
        <v>''</v>
      </c>
      <c r="Y97" s="4" t="str">
        <f>IF(J97="",IF(ISNUMBER(SEARCH("NOT NULL",UPPER(J$3))),"''","null"),SUBSTITUTE(VLOOKUP(J$2,convert!$A$1:$B$4,2,0),"@@@",J97))</f>
        <v>'water'</v>
      </c>
      <c r="Z97" s="4" t="str">
        <f>IF(K97="",IF(ISNUMBER(SEARCH("NOT NULL",UPPER(K$3))),"''","null"),SUBSTITUTE(VLOOKUP(K$2,convert!$A$1:$B$4,2,0),"@@@",K97))</f>
        <v>'poison'</v>
      </c>
      <c r="AA97" s="4" t="str">
        <f>IF(L97="",IF(ISNUMBER(SEARCH("NOT NULL",UPPER(L$3))),"''","null"),SUBSTITUTE(VLOOKUP(L$2,convert!$A$1:$B$4,2,0),"@@@",L97))</f>
        <v>'g1'</v>
      </c>
      <c r="AB97" s="4" t="str">
        <f>IF(M97="",IF(ISNUMBER(SEARCH("NOT NULL",UPPER(M$3))),"''","null"),SUBSTITUTE(VLOOKUP(M$2,convert!$A$1:$B$4,2,0),"@@@",M97))</f>
        <v>null</v>
      </c>
      <c r="AC97" s="4" t="str">
        <f>IF(N97="",IF(ISNUMBER(SEARCH("NOT NULL",UPPER(N$3))),"''","null"),SUBSTITUTE(VLOOKUP(N$2,convert!$A$1:$B$4,2,0),"@@@",N97))</f>
        <v>null</v>
      </c>
      <c r="AD97" s="4" t="str">
        <f>IF(O97="",IF(ISNUMBER(SEARCH("NOT NULL",UPPER(O$3))),"''","null"),SUBSTITUTE(VLOOKUP(O$2,convert!$A$1:$B$4,2,0),"@@@",O97))</f>
        <v>TRUE</v>
      </c>
      <c r="AE97" s="4" t="str">
        <f t="shared" si="1"/>
        <v>    ('0072N01', 'メノクラゲ', 40, 40, 35, 50, 100, 70, '', 'water', 'poison', 'g1', null, null, TRUE),</v>
      </c>
    </row>
    <row r="98" spans="1:31">
      <c r="A98" s="4" t="s">
        <v>229</v>
      </c>
      <c r="B98" s="4" t="s">
        <v>230</v>
      </c>
      <c r="C98" s="5">
        <v>80</v>
      </c>
      <c r="D98" s="5">
        <v>70</v>
      </c>
      <c r="E98" s="5">
        <v>65</v>
      </c>
      <c r="F98" s="5">
        <v>80</v>
      </c>
      <c r="G98" s="5">
        <v>120</v>
      </c>
      <c r="H98" s="5">
        <v>100</v>
      </c>
      <c r="I98" s="5"/>
      <c r="J98" s="4" t="s">
        <v>55</v>
      </c>
      <c r="K98" s="4" t="s">
        <v>31</v>
      </c>
      <c r="L98" s="4" t="s">
        <v>32</v>
      </c>
      <c r="M98" s="5"/>
      <c r="N98" s="5"/>
      <c r="O98" s="5" t="b">
        <v>1</v>
      </c>
      <c r="P98" s="4" t="str">
        <f>IF(A98="",IF(ISNUMBER(SEARCH("NOT NULL",UPPER(A$3))),"''","null"),SUBSTITUTE(VLOOKUP(A$2,convert!$A$1:$B$4,2,0),"@@@",A98))</f>
        <v>'0073N01'</v>
      </c>
      <c r="Q98" s="4" t="str">
        <f>IF(B98="",IF(ISNUMBER(SEARCH("NOT NULL",UPPER(B$3))),"''","null"),SUBSTITUTE(VLOOKUP(B$2,convert!$A$1:$B$4,2,0),"@@@",B98))</f>
        <v>'ドククラゲ'</v>
      </c>
      <c r="R98" s="4" t="str">
        <f>IF(C98="",IF(ISNUMBER(SEARCH("NOT NULL",UPPER(C$3))),"''","null"),SUBSTITUTE(VLOOKUP(C$2,convert!$A$1:$B$4,2,0),"@@@",C98))</f>
        <v>80</v>
      </c>
      <c r="S98" s="4" t="str">
        <f>IF(D98="",IF(ISNUMBER(SEARCH("NOT NULL",UPPER(D$3))),"''","null"),SUBSTITUTE(VLOOKUP(D$2,convert!$A$1:$B$4,2,0),"@@@",D98))</f>
        <v>70</v>
      </c>
      <c r="T98" s="4" t="str">
        <f>IF(E98="",IF(ISNUMBER(SEARCH("NOT NULL",UPPER(E$3))),"''","null"),SUBSTITUTE(VLOOKUP(E$2,convert!$A$1:$B$4,2,0),"@@@",E98))</f>
        <v>65</v>
      </c>
      <c r="U98" s="4" t="str">
        <f>IF(F98="",IF(ISNUMBER(SEARCH("NOT NULL",UPPER(F$3))),"''","null"),SUBSTITUTE(VLOOKUP(F$2,convert!$A$1:$B$4,2,0),"@@@",F98))</f>
        <v>80</v>
      </c>
      <c r="V98" s="4" t="str">
        <f>IF(G98="",IF(ISNUMBER(SEARCH("NOT NULL",UPPER(G$3))),"''","null"),SUBSTITUTE(VLOOKUP(G$2,convert!$A$1:$B$4,2,0),"@@@",G98))</f>
        <v>120</v>
      </c>
      <c r="W98" s="4" t="str">
        <f>IF(H98="",IF(ISNUMBER(SEARCH("NOT NULL",UPPER(H$3))),"''","null"),SUBSTITUTE(VLOOKUP(H$2,convert!$A$1:$B$4,2,0),"@@@",H98))</f>
        <v>100</v>
      </c>
      <c r="X98" s="4" t="str">
        <f>IF(I98="",IF(ISNUMBER(SEARCH("NOT NULL",UPPER(I$3))),"''","null"),SUBSTITUTE(VLOOKUP(I$2,convert!$A$1:$B$4,2,0),"@@@",I98))</f>
        <v>''</v>
      </c>
      <c r="Y98" s="4" t="str">
        <f>IF(J98="",IF(ISNUMBER(SEARCH("NOT NULL",UPPER(J$3))),"''","null"),SUBSTITUTE(VLOOKUP(J$2,convert!$A$1:$B$4,2,0),"@@@",J98))</f>
        <v>'water'</v>
      </c>
      <c r="Z98" s="4" t="str">
        <f>IF(K98="",IF(ISNUMBER(SEARCH("NOT NULL",UPPER(K$3))),"''","null"),SUBSTITUTE(VLOOKUP(K$2,convert!$A$1:$B$4,2,0),"@@@",K98))</f>
        <v>'poison'</v>
      </c>
      <c r="AA98" s="4" t="str">
        <f>IF(L98="",IF(ISNUMBER(SEARCH("NOT NULL",UPPER(L$3))),"''","null"),SUBSTITUTE(VLOOKUP(L$2,convert!$A$1:$B$4,2,0),"@@@",L98))</f>
        <v>'g1'</v>
      </c>
      <c r="AB98" s="4" t="str">
        <f>IF(M98="",IF(ISNUMBER(SEARCH("NOT NULL",UPPER(M$3))),"''","null"),SUBSTITUTE(VLOOKUP(M$2,convert!$A$1:$B$4,2,0),"@@@",M98))</f>
        <v>null</v>
      </c>
      <c r="AC98" s="4" t="str">
        <f>IF(N98="",IF(ISNUMBER(SEARCH("NOT NULL",UPPER(N$3))),"''","null"),SUBSTITUTE(VLOOKUP(N$2,convert!$A$1:$B$4,2,0),"@@@",N98))</f>
        <v>null</v>
      </c>
      <c r="AD98" s="4" t="str">
        <f>IF(O98="",IF(ISNUMBER(SEARCH("NOT NULL",UPPER(O$3))),"''","null"),SUBSTITUTE(VLOOKUP(O$2,convert!$A$1:$B$4,2,0),"@@@",O98))</f>
        <v>TRUE</v>
      </c>
      <c r="AE98" s="4" t="str">
        <f t="shared" si="1"/>
        <v>    ('0073N01', 'ドククラゲ', 80, 70, 65, 80, 120, 100, '', 'water', 'poison', 'g1', null, null, TRUE),</v>
      </c>
    </row>
    <row r="99" spans="1:31">
      <c r="A99" s="4" t="s">
        <v>231</v>
      </c>
      <c r="B99" s="4" t="s">
        <v>232</v>
      </c>
      <c r="C99" s="5">
        <v>40</v>
      </c>
      <c r="D99" s="5">
        <v>80</v>
      </c>
      <c r="E99" s="5">
        <v>100</v>
      </c>
      <c r="F99" s="5">
        <v>30</v>
      </c>
      <c r="G99" s="5">
        <v>30</v>
      </c>
      <c r="H99" s="5">
        <v>20</v>
      </c>
      <c r="I99" s="5"/>
      <c r="J99" s="4" t="s">
        <v>196</v>
      </c>
      <c r="K99" s="4" t="s">
        <v>116</v>
      </c>
      <c r="L99" s="4" t="s">
        <v>32</v>
      </c>
      <c r="M99" s="5"/>
      <c r="N99" s="5"/>
      <c r="O99" s="5" t="b">
        <v>1</v>
      </c>
      <c r="P99" s="4" t="str">
        <f>IF(A99="",IF(ISNUMBER(SEARCH("NOT NULL",UPPER(A$3))),"''","null"),SUBSTITUTE(VLOOKUP(A$2,convert!$A$1:$B$4,2,0),"@@@",A99))</f>
        <v>'0074N01'</v>
      </c>
      <c r="Q99" s="4" t="str">
        <f>IF(B99="",IF(ISNUMBER(SEARCH("NOT NULL",UPPER(B$3))),"''","null"),SUBSTITUTE(VLOOKUP(B$2,convert!$A$1:$B$4,2,0),"@@@",B99))</f>
        <v>'イシツブテ'</v>
      </c>
      <c r="R99" s="4" t="str">
        <f>IF(C99="",IF(ISNUMBER(SEARCH("NOT NULL",UPPER(C$3))),"''","null"),SUBSTITUTE(VLOOKUP(C$2,convert!$A$1:$B$4,2,0),"@@@",C99))</f>
        <v>40</v>
      </c>
      <c r="S99" s="4" t="str">
        <f>IF(D99="",IF(ISNUMBER(SEARCH("NOT NULL",UPPER(D$3))),"''","null"),SUBSTITUTE(VLOOKUP(D$2,convert!$A$1:$B$4,2,0),"@@@",D99))</f>
        <v>80</v>
      </c>
      <c r="T99" s="4" t="str">
        <f>IF(E99="",IF(ISNUMBER(SEARCH("NOT NULL",UPPER(E$3))),"''","null"),SUBSTITUTE(VLOOKUP(E$2,convert!$A$1:$B$4,2,0),"@@@",E99))</f>
        <v>100</v>
      </c>
      <c r="U99" s="4" t="str">
        <f>IF(F99="",IF(ISNUMBER(SEARCH("NOT NULL",UPPER(F$3))),"''","null"),SUBSTITUTE(VLOOKUP(F$2,convert!$A$1:$B$4,2,0),"@@@",F99))</f>
        <v>30</v>
      </c>
      <c r="V99" s="4" t="str">
        <f>IF(G99="",IF(ISNUMBER(SEARCH("NOT NULL",UPPER(G$3))),"''","null"),SUBSTITUTE(VLOOKUP(G$2,convert!$A$1:$B$4,2,0),"@@@",G99))</f>
        <v>30</v>
      </c>
      <c r="W99" s="4" t="str">
        <f>IF(H99="",IF(ISNUMBER(SEARCH("NOT NULL",UPPER(H$3))),"''","null"),SUBSTITUTE(VLOOKUP(H$2,convert!$A$1:$B$4,2,0),"@@@",H99))</f>
        <v>20</v>
      </c>
      <c r="X99" s="4" t="str">
        <f>IF(I99="",IF(ISNUMBER(SEARCH("NOT NULL",UPPER(I$3))),"''","null"),SUBSTITUTE(VLOOKUP(I$2,convert!$A$1:$B$4,2,0),"@@@",I99))</f>
        <v>''</v>
      </c>
      <c r="Y99" s="4" t="str">
        <f>IF(J99="",IF(ISNUMBER(SEARCH("NOT NULL",UPPER(J$3))),"''","null"),SUBSTITUTE(VLOOKUP(J$2,convert!$A$1:$B$4,2,0),"@@@",J99))</f>
        <v>'rock'</v>
      </c>
      <c r="Z99" s="4" t="str">
        <f>IF(K99="",IF(ISNUMBER(SEARCH("NOT NULL",UPPER(K$3))),"''","null"),SUBSTITUTE(VLOOKUP(K$2,convert!$A$1:$B$4,2,0),"@@@",K99))</f>
        <v>'ground'</v>
      </c>
      <c r="AA99" s="4" t="str">
        <f>IF(L99="",IF(ISNUMBER(SEARCH("NOT NULL",UPPER(L$3))),"''","null"),SUBSTITUTE(VLOOKUP(L$2,convert!$A$1:$B$4,2,0),"@@@",L99))</f>
        <v>'g1'</v>
      </c>
      <c r="AB99" s="4" t="str">
        <f>IF(M99="",IF(ISNUMBER(SEARCH("NOT NULL",UPPER(M$3))),"''","null"),SUBSTITUTE(VLOOKUP(M$2,convert!$A$1:$B$4,2,0),"@@@",M99))</f>
        <v>null</v>
      </c>
      <c r="AC99" s="4" t="str">
        <f>IF(N99="",IF(ISNUMBER(SEARCH("NOT NULL",UPPER(N$3))),"''","null"),SUBSTITUTE(VLOOKUP(N$2,convert!$A$1:$B$4,2,0),"@@@",N99))</f>
        <v>null</v>
      </c>
      <c r="AD99" s="4" t="str">
        <f>IF(O99="",IF(ISNUMBER(SEARCH("NOT NULL",UPPER(O$3))),"''","null"),SUBSTITUTE(VLOOKUP(O$2,convert!$A$1:$B$4,2,0),"@@@",O99))</f>
        <v>TRUE</v>
      </c>
      <c r="AE99" s="4" t="str">
        <f t="shared" si="1"/>
        <v>    ('0074N01', 'イシツブテ', 40, 80, 100, 30, 30, 20, '', 'rock', 'ground', 'g1', null, null, TRUE),</v>
      </c>
    </row>
    <row r="100" spans="1:31">
      <c r="A100" s="4" t="s">
        <v>233</v>
      </c>
      <c r="B100" s="4" t="s">
        <v>232</v>
      </c>
      <c r="C100" s="5">
        <v>40</v>
      </c>
      <c r="D100" s="5">
        <v>80</v>
      </c>
      <c r="E100" s="5">
        <v>100</v>
      </c>
      <c r="F100" s="5">
        <v>30</v>
      </c>
      <c r="G100" s="5">
        <v>30</v>
      </c>
      <c r="H100" s="5">
        <v>20</v>
      </c>
      <c r="I100" s="4" t="s">
        <v>90</v>
      </c>
      <c r="J100" s="4" t="s">
        <v>196</v>
      </c>
      <c r="K100" s="4" t="s">
        <v>106</v>
      </c>
      <c r="L100" s="4" t="s">
        <v>92</v>
      </c>
      <c r="M100" s="5"/>
      <c r="N100" s="5"/>
      <c r="O100" s="5" t="b">
        <v>1</v>
      </c>
      <c r="P100" s="4" t="str">
        <f>IF(A100="",IF(ISNUMBER(SEARCH("NOT NULL",UPPER(A$3))),"''","null"),SUBSTITUTE(VLOOKUP(A$2,convert!$A$1:$B$4,2,0),"@@@",A100))</f>
        <v>'0074A01'</v>
      </c>
      <c r="Q100" s="4" t="str">
        <f>IF(B100="",IF(ISNUMBER(SEARCH("NOT NULL",UPPER(B$3))),"''","null"),SUBSTITUTE(VLOOKUP(B$2,convert!$A$1:$B$4,2,0),"@@@",B100))</f>
        <v>'イシツブテ'</v>
      </c>
      <c r="R100" s="4" t="str">
        <f>IF(C100="",IF(ISNUMBER(SEARCH("NOT NULL",UPPER(C$3))),"''","null"),SUBSTITUTE(VLOOKUP(C$2,convert!$A$1:$B$4,2,0),"@@@",C100))</f>
        <v>40</v>
      </c>
      <c r="S100" s="4" t="str">
        <f>IF(D100="",IF(ISNUMBER(SEARCH("NOT NULL",UPPER(D$3))),"''","null"),SUBSTITUTE(VLOOKUP(D$2,convert!$A$1:$B$4,2,0),"@@@",D100))</f>
        <v>80</v>
      </c>
      <c r="T100" s="4" t="str">
        <f>IF(E100="",IF(ISNUMBER(SEARCH("NOT NULL",UPPER(E$3))),"''","null"),SUBSTITUTE(VLOOKUP(E$2,convert!$A$1:$B$4,2,0),"@@@",E100))</f>
        <v>100</v>
      </c>
      <c r="U100" s="4" t="str">
        <f>IF(F100="",IF(ISNUMBER(SEARCH("NOT NULL",UPPER(F$3))),"''","null"),SUBSTITUTE(VLOOKUP(F$2,convert!$A$1:$B$4,2,0),"@@@",F100))</f>
        <v>30</v>
      </c>
      <c r="V100" s="4" t="str">
        <f>IF(G100="",IF(ISNUMBER(SEARCH("NOT NULL",UPPER(G$3))),"''","null"),SUBSTITUTE(VLOOKUP(G$2,convert!$A$1:$B$4,2,0),"@@@",G100))</f>
        <v>30</v>
      </c>
      <c r="W100" s="4" t="str">
        <f>IF(H100="",IF(ISNUMBER(SEARCH("NOT NULL",UPPER(H$3))),"''","null"),SUBSTITUTE(VLOOKUP(H$2,convert!$A$1:$B$4,2,0),"@@@",H100))</f>
        <v>20</v>
      </c>
      <c r="X100" s="4" t="str">
        <f>IF(I100="",IF(ISNUMBER(SEARCH("NOT NULL",UPPER(I$3))),"''","null"),SUBSTITUTE(VLOOKUP(I$2,convert!$A$1:$B$4,2,0),"@@@",I100))</f>
        <v>'アローラのすがた'</v>
      </c>
      <c r="Y100" s="4" t="str">
        <f>IF(J100="",IF(ISNUMBER(SEARCH("NOT NULL",UPPER(J$3))),"''","null"),SUBSTITUTE(VLOOKUP(J$2,convert!$A$1:$B$4,2,0),"@@@",J100))</f>
        <v>'rock'</v>
      </c>
      <c r="Z100" s="4" t="str">
        <f>IF(K100="",IF(ISNUMBER(SEARCH("NOT NULL",UPPER(K$3))),"''","null"),SUBSTITUTE(VLOOKUP(K$2,convert!$A$1:$B$4,2,0),"@@@",K100))</f>
        <v>'electric'</v>
      </c>
      <c r="AA100" s="4" t="str">
        <f>IF(L100="",IF(ISNUMBER(SEARCH("NOT NULL",UPPER(L$3))),"''","null"),SUBSTITUTE(VLOOKUP(L$2,convert!$A$1:$B$4,2,0),"@@@",L100))</f>
        <v>'g7'</v>
      </c>
      <c r="AB100" s="4" t="str">
        <f>IF(M100="",IF(ISNUMBER(SEARCH("NOT NULL",UPPER(M$3))),"''","null"),SUBSTITUTE(VLOOKUP(M$2,convert!$A$1:$B$4,2,0),"@@@",M100))</f>
        <v>null</v>
      </c>
      <c r="AC100" s="4" t="str">
        <f>IF(N100="",IF(ISNUMBER(SEARCH("NOT NULL",UPPER(N$3))),"''","null"),SUBSTITUTE(VLOOKUP(N$2,convert!$A$1:$B$4,2,0),"@@@",N100))</f>
        <v>null</v>
      </c>
      <c r="AD100" s="4" t="str">
        <f>IF(O100="",IF(ISNUMBER(SEARCH("NOT NULL",UPPER(O$3))),"''","null"),SUBSTITUTE(VLOOKUP(O$2,convert!$A$1:$B$4,2,0),"@@@",O100))</f>
        <v>TRUE</v>
      </c>
      <c r="AE100" s="4" t="str">
        <f t="shared" si="1"/>
        <v>    ('0074A01', 'イシツブテ', 40, 80, 100, 30, 30, 20, 'アローラのすがた', 'rock', 'electric', 'g7', null, null, TRUE),</v>
      </c>
    </row>
    <row r="101" spans="1:31">
      <c r="A101" s="4" t="s">
        <v>234</v>
      </c>
      <c r="B101" s="4" t="s">
        <v>235</v>
      </c>
      <c r="C101" s="5">
        <v>55</v>
      </c>
      <c r="D101" s="5">
        <v>95</v>
      </c>
      <c r="E101" s="5">
        <v>115</v>
      </c>
      <c r="F101" s="5">
        <v>45</v>
      </c>
      <c r="G101" s="5">
        <v>45</v>
      </c>
      <c r="H101" s="5">
        <v>35</v>
      </c>
      <c r="I101" s="5"/>
      <c r="J101" s="4" t="s">
        <v>196</v>
      </c>
      <c r="K101" s="4" t="s">
        <v>116</v>
      </c>
      <c r="L101" s="4" t="s">
        <v>32</v>
      </c>
      <c r="M101" s="5"/>
      <c r="N101" s="5"/>
      <c r="O101" s="5" t="b">
        <v>1</v>
      </c>
      <c r="P101" s="4" t="str">
        <f>IF(A101="",IF(ISNUMBER(SEARCH("NOT NULL",UPPER(A$3))),"''","null"),SUBSTITUTE(VLOOKUP(A$2,convert!$A$1:$B$4,2,0),"@@@",A101))</f>
        <v>'0075N01'</v>
      </c>
      <c r="Q101" s="4" t="str">
        <f>IF(B101="",IF(ISNUMBER(SEARCH("NOT NULL",UPPER(B$3))),"''","null"),SUBSTITUTE(VLOOKUP(B$2,convert!$A$1:$B$4,2,0),"@@@",B101))</f>
        <v>'ゴローン'</v>
      </c>
      <c r="R101" s="4" t="str">
        <f>IF(C101="",IF(ISNUMBER(SEARCH("NOT NULL",UPPER(C$3))),"''","null"),SUBSTITUTE(VLOOKUP(C$2,convert!$A$1:$B$4,2,0),"@@@",C101))</f>
        <v>55</v>
      </c>
      <c r="S101" s="4" t="str">
        <f>IF(D101="",IF(ISNUMBER(SEARCH("NOT NULL",UPPER(D$3))),"''","null"),SUBSTITUTE(VLOOKUP(D$2,convert!$A$1:$B$4,2,0),"@@@",D101))</f>
        <v>95</v>
      </c>
      <c r="T101" s="4" t="str">
        <f>IF(E101="",IF(ISNUMBER(SEARCH("NOT NULL",UPPER(E$3))),"''","null"),SUBSTITUTE(VLOOKUP(E$2,convert!$A$1:$B$4,2,0),"@@@",E101))</f>
        <v>115</v>
      </c>
      <c r="U101" s="4" t="str">
        <f>IF(F101="",IF(ISNUMBER(SEARCH("NOT NULL",UPPER(F$3))),"''","null"),SUBSTITUTE(VLOOKUP(F$2,convert!$A$1:$B$4,2,0),"@@@",F101))</f>
        <v>45</v>
      </c>
      <c r="V101" s="4" t="str">
        <f>IF(G101="",IF(ISNUMBER(SEARCH("NOT NULL",UPPER(G$3))),"''","null"),SUBSTITUTE(VLOOKUP(G$2,convert!$A$1:$B$4,2,0),"@@@",G101))</f>
        <v>45</v>
      </c>
      <c r="W101" s="4" t="str">
        <f>IF(H101="",IF(ISNUMBER(SEARCH("NOT NULL",UPPER(H$3))),"''","null"),SUBSTITUTE(VLOOKUP(H$2,convert!$A$1:$B$4,2,0),"@@@",H101))</f>
        <v>35</v>
      </c>
      <c r="X101" s="4" t="str">
        <f>IF(I101="",IF(ISNUMBER(SEARCH("NOT NULL",UPPER(I$3))),"''","null"),SUBSTITUTE(VLOOKUP(I$2,convert!$A$1:$B$4,2,0),"@@@",I101))</f>
        <v>''</v>
      </c>
      <c r="Y101" s="4" t="str">
        <f>IF(J101="",IF(ISNUMBER(SEARCH("NOT NULL",UPPER(J$3))),"''","null"),SUBSTITUTE(VLOOKUP(J$2,convert!$A$1:$B$4,2,0),"@@@",J101))</f>
        <v>'rock'</v>
      </c>
      <c r="Z101" s="4" t="str">
        <f>IF(K101="",IF(ISNUMBER(SEARCH("NOT NULL",UPPER(K$3))),"''","null"),SUBSTITUTE(VLOOKUP(K$2,convert!$A$1:$B$4,2,0),"@@@",K101))</f>
        <v>'ground'</v>
      </c>
      <c r="AA101" s="4" t="str">
        <f>IF(L101="",IF(ISNUMBER(SEARCH("NOT NULL",UPPER(L$3))),"''","null"),SUBSTITUTE(VLOOKUP(L$2,convert!$A$1:$B$4,2,0),"@@@",L101))</f>
        <v>'g1'</v>
      </c>
      <c r="AB101" s="4" t="str">
        <f>IF(M101="",IF(ISNUMBER(SEARCH("NOT NULL",UPPER(M$3))),"''","null"),SUBSTITUTE(VLOOKUP(M$2,convert!$A$1:$B$4,2,0),"@@@",M101))</f>
        <v>null</v>
      </c>
      <c r="AC101" s="4" t="str">
        <f>IF(N101="",IF(ISNUMBER(SEARCH("NOT NULL",UPPER(N$3))),"''","null"),SUBSTITUTE(VLOOKUP(N$2,convert!$A$1:$B$4,2,0),"@@@",N101))</f>
        <v>null</v>
      </c>
      <c r="AD101" s="4" t="str">
        <f>IF(O101="",IF(ISNUMBER(SEARCH("NOT NULL",UPPER(O$3))),"''","null"),SUBSTITUTE(VLOOKUP(O$2,convert!$A$1:$B$4,2,0),"@@@",O101))</f>
        <v>TRUE</v>
      </c>
      <c r="AE101" s="4" t="str">
        <f t="shared" si="1"/>
        <v>    ('0075N01', 'ゴローン', 55, 95, 115, 45, 45, 35, '', 'rock', 'ground', 'g1', null, null, TRUE),</v>
      </c>
    </row>
    <row r="102" spans="1:31">
      <c r="A102" s="4" t="s">
        <v>236</v>
      </c>
      <c r="B102" s="4" t="s">
        <v>235</v>
      </c>
      <c r="C102" s="5">
        <v>55</v>
      </c>
      <c r="D102" s="5">
        <v>95</v>
      </c>
      <c r="E102" s="5">
        <v>115</v>
      </c>
      <c r="F102" s="5">
        <v>45</v>
      </c>
      <c r="G102" s="5">
        <v>45</v>
      </c>
      <c r="H102" s="5">
        <v>35</v>
      </c>
      <c r="I102" s="4" t="s">
        <v>90</v>
      </c>
      <c r="J102" s="4" t="s">
        <v>196</v>
      </c>
      <c r="K102" s="4" t="s">
        <v>106</v>
      </c>
      <c r="L102" s="4" t="s">
        <v>92</v>
      </c>
      <c r="M102" s="5"/>
      <c r="N102" s="5"/>
      <c r="O102" s="5" t="b">
        <v>1</v>
      </c>
      <c r="P102" s="4" t="str">
        <f>IF(A102="",IF(ISNUMBER(SEARCH("NOT NULL",UPPER(A$3))),"''","null"),SUBSTITUTE(VLOOKUP(A$2,convert!$A$1:$B$4,2,0),"@@@",A102))</f>
        <v>'0075A01'</v>
      </c>
      <c r="Q102" s="4" t="str">
        <f>IF(B102="",IF(ISNUMBER(SEARCH("NOT NULL",UPPER(B$3))),"''","null"),SUBSTITUTE(VLOOKUP(B$2,convert!$A$1:$B$4,2,0),"@@@",B102))</f>
        <v>'ゴローン'</v>
      </c>
      <c r="R102" s="4" t="str">
        <f>IF(C102="",IF(ISNUMBER(SEARCH("NOT NULL",UPPER(C$3))),"''","null"),SUBSTITUTE(VLOOKUP(C$2,convert!$A$1:$B$4,2,0),"@@@",C102))</f>
        <v>55</v>
      </c>
      <c r="S102" s="4" t="str">
        <f>IF(D102="",IF(ISNUMBER(SEARCH("NOT NULL",UPPER(D$3))),"''","null"),SUBSTITUTE(VLOOKUP(D$2,convert!$A$1:$B$4,2,0),"@@@",D102))</f>
        <v>95</v>
      </c>
      <c r="T102" s="4" t="str">
        <f>IF(E102="",IF(ISNUMBER(SEARCH("NOT NULL",UPPER(E$3))),"''","null"),SUBSTITUTE(VLOOKUP(E$2,convert!$A$1:$B$4,2,0),"@@@",E102))</f>
        <v>115</v>
      </c>
      <c r="U102" s="4" t="str">
        <f>IF(F102="",IF(ISNUMBER(SEARCH("NOT NULL",UPPER(F$3))),"''","null"),SUBSTITUTE(VLOOKUP(F$2,convert!$A$1:$B$4,2,0),"@@@",F102))</f>
        <v>45</v>
      </c>
      <c r="V102" s="4" t="str">
        <f>IF(G102="",IF(ISNUMBER(SEARCH("NOT NULL",UPPER(G$3))),"''","null"),SUBSTITUTE(VLOOKUP(G$2,convert!$A$1:$B$4,2,0),"@@@",G102))</f>
        <v>45</v>
      </c>
      <c r="W102" s="4" t="str">
        <f>IF(H102="",IF(ISNUMBER(SEARCH("NOT NULL",UPPER(H$3))),"''","null"),SUBSTITUTE(VLOOKUP(H$2,convert!$A$1:$B$4,2,0),"@@@",H102))</f>
        <v>35</v>
      </c>
      <c r="X102" s="4" t="str">
        <f>IF(I102="",IF(ISNUMBER(SEARCH("NOT NULL",UPPER(I$3))),"''","null"),SUBSTITUTE(VLOOKUP(I$2,convert!$A$1:$B$4,2,0),"@@@",I102))</f>
        <v>'アローラのすがた'</v>
      </c>
      <c r="Y102" s="4" t="str">
        <f>IF(J102="",IF(ISNUMBER(SEARCH("NOT NULL",UPPER(J$3))),"''","null"),SUBSTITUTE(VLOOKUP(J$2,convert!$A$1:$B$4,2,0),"@@@",J102))</f>
        <v>'rock'</v>
      </c>
      <c r="Z102" s="4" t="str">
        <f>IF(K102="",IF(ISNUMBER(SEARCH("NOT NULL",UPPER(K$3))),"''","null"),SUBSTITUTE(VLOOKUP(K$2,convert!$A$1:$B$4,2,0),"@@@",K102))</f>
        <v>'electric'</v>
      </c>
      <c r="AA102" s="4" t="str">
        <f>IF(L102="",IF(ISNUMBER(SEARCH("NOT NULL",UPPER(L$3))),"''","null"),SUBSTITUTE(VLOOKUP(L$2,convert!$A$1:$B$4,2,0),"@@@",L102))</f>
        <v>'g7'</v>
      </c>
      <c r="AB102" s="4" t="str">
        <f>IF(M102="",IF(ISNUMBER(SEARCH("NOT NULL",UPPER(M$3))),"''","null"),SUBSTITUTE(VLOOKUP(M$2,convert!$A$1:$B$4,2,0),"@@@",M102))</f>
        <v>null</v>
      </c>
      <c r="AC102" s="4" t="str">
        <f>IF(N102="",IF(ISNUMBER(SEARCH("NOT NULL",UPPER(N$3))),"''","null"),SUBSTITUTE(VLOOKUP(N$2,convert!$A$1:$B$4,2,0),"@@@",N102))</f>
        <v>null</v>
      </c>
      <c r="AD102" s="4" t="str">
        <f>IF(O102="",IF(ISNUMBER(SEARCH("NOT NULL",UPPER(O$3))),"''","null"),SUBSTITUTE(VLOOKUP(O$2,convert!$A$1:$B$4,2,0),"@@@",O102))</f>
        <v>TRUE</v>
      </c>
      <c r="AE102" s="4" t="str">
        <f t="shared" si="1"/>
        <v>    ('0075A01', 'ゴローン', 55, 95, 115, 45, 45, 35, 'アローラのすがた', 'rock', 'electric', 'g7', null, null, TRUE),</v>
      </c>
    </row>
    <row r="103" spans="1:31">
      <c r="A103" s="4" t="s">
        <v>237</v>
      </c>
      <c r="B103" s="4" t="s">
        <v>238</v>
      </c>
      <c r="C103" s="5">
        <v>80</v>
      </c>
      <c r="D103" s="5">
        <v>120</v>
      </c>
      <c r="E103" s="5">
        <v>130</v>
      </c>
      <c r="F103" s="5">
        <v>55</v>
      </c>
      <c r="G103" s="5">
        <v>65</v>
      </c>
      <c r="H103" s="5">
        <v>45</v>
      </c>
      <c r="I103" s="5"/>
      <c r="J103" s="4" t="s">
        <v>196</v>
      </c>
      <c r="K103" s="4" t="s">
        <v>116</v>
      </c>
      <c r="L103" s="4" t="s">
        <v>32</v>
      </c>
      <c r="M103" s="5"/>
      <c r="N103" s="5"/>
      <c r="O103" s="5" t="b">
        <v>1</v>
      </c>
      <c r="P103" s="4" t="str">
        <f>IF(A103="",IF(ISNUMBER(SEARCH("NOT NULL",UPPER(A$3))),"''","null"),SUBSTITUTE(VLOOKUP(A$2,convert!$A$1:$B$4,2,0),"@@@",A103))</f>
        <v>'0076N01'</v>
      </c>
      <c r="Q103" s="4" t="str">
        <f>IF(B103="",IF(ISNUMBER(SEARCH("NOT NULL",UPPER(B$3))),"''","null"),SUBSTITUTE(VLOOKUP(B$2,convert!$A$1:$B$4,2,0),"@@@",B103))</f>
        <v>'ゴローニャ'</v>
      </c>
      <c r="R103" s="4" t="str">
        <f>IF(C103="",IF(ISNUMBER(SEARCH("NOT NULL",UPPER(C$3))),"''","null"),SUBSTITUTE(VLOOKUP(C$2,convert!$A$1:$B$4,2,0),"@@@",C103))</f>
        <v>80</v>
      </c>
      <c r="S103" s="4" t="str">
        <f>IF(D103="",IF(ISNUMBER(SEARCH("NOT NULL",UPPER(D$3))),"''","null"),SUBSTITUTE(VLOOKUP(D$2,convert!$A$1:$B$4,2,0),"@@@",D103))</f>
        <v>120</v>
      </c>
      <c r="T103" s="4" t="str">
        <f>IF(E103="",IF(ISNUMBER(SEARCH("NOT NULL",UPPER(E$3))),"''","null"),SUBSTITUTE(VLOOKUP(E$2,convert!$A$1:$B$4,2,0),"@@@",E103))</f>
        <v>130</v>
      </c>
      <c r="U103" s="4" t="str">
        <f>IF(F103="",IF(ISNUMBER(SEARCH("NOT NULL",UPPER(F$3))),"''","null"),SUBSTITUTE(VLOOKUP(F$2,convert!$A$1:$B$4,2,0),"@@@",F103))</f>
        <v>55</v>
      </c>
      <c r="V103" s="4" t="str">
        <f>IF(G103="",IF(ISNUMBER(SEARCH("NOT NULL",UPPER(G$3))),"''","null"),SUBSTITUTE(VLOOKUP(G$2,convert!$A$1:$B$4,2,0),"@@@",G103))</f>
        <v>65</v>
      </c>
      <c r="W103" s="4" t="str">
        <f>IF(H103="",IF(ISNUMBER(SEARCH("NOT NULL",UPPER(H$3))),"''","null"),SUBSTITUTE(VLOOKUP(H$2,convert!$A$1:$B$4,2,0),"@@@",H103))</f>
        <v>45</v>
      </c>
      <c r="X103" s="4" t="str">
        <f>IF(I103="",IF(ISNUMBER(SEARCH("NOT NULL",UPPER(I$3))),"''","null"),SUBSTITUTE(VLOOKUP(I$2,convert!$A$1:$B$4,2,0),"@@@",I103))</f>
        <v>''</v>
      </c>
      <c r="Y103" s="4" t="str">
        <f>IF(J103="",IF(ISNUMBER(SEARCH("NOT NULL",UPPER(J$3))),"''","null"),SUBSTITUTE(VLOOKUP(J$2,convert!$A$1:$B$4,2,0),"@@@",J103))</f>
        <v>'rock'</v>
      </c>
      <c r="Z103" s="4" t="str">
        <f>IF(K103="",IF(ISNUMBER(SEARCH("NOT NULL",UPPER(K$3))),"''","null"),SUBSTITUTE(VLOOKUP(K$2,convert!$A$1:$B$4,2,0),"@@@",K103))</f>
        <v>'ground'</v>
      </c>
      <c r="AA103" s="4" t="str">
        <f>IF(L103="",IF(ISNUMBER(SEARCH("NOT NULL",UPPER(L$3))),"''","null"),SUBSTITUTE(VLOOKUP(L$2,convert!$A$1:$B$4,2,0),"@@@",L103))</f>
        <v>'g1'</v>
      </c>
      <c r="AB103" s="4" t="str">
        <f>IF(M103="",IF(ISNUMBER(SEARCH("NOT NULL",UPPER(M$3))),"''","null"),SUBSTITUTE(VLOOKUP(M$2,convert!$A$1:$B$4,2,0),"@@@",M103))</f>
        <v>null</v>
      </c>
      <c r="AC103" s="4" t="str">
        <f>IF(N103="",IF(ISNUMBER(SEARCH("NOT NULL",UPPER(N$3))),"''","null"),SUBSTITUTE(VLOOKUP(N$2,convert!$A$1:$B$4,2,0),"@@@",N103))</f>
        <v>null</v>
      </c>
      <c r="AD103" s="4" t="str">
        <f>IF(O103="",IF(ISNUMBER(SEARCH("NOT NULL",UPPER(O$3))),"''","null"),SUBSTITUTE(VLOOKUP(O$2,convert!$A$1:$B$4,2,0),"@@@",O103))</f>
        <v>TRUE</v>
      </c>
      <c r="AE103" s="4" t="str">
        <f t="shared" si="1"/>
        <v>    ('0076N01', 'ゴローニャ', 80, 120, 130, 55, 65, 45, '', 'rock', 'ground', 'g1', null, null, TRUE),</v>
      </c>
    </row>
    <row r="104" spans="1:31">
      <c r="A104" s="4" t="s">
        <v>239</v>
      </c>
      <c r="B104" s="4" t="s">
        <v>238</v>
      </c>
      <c r="C104" s="5">
        <v>80</v>
      </c>
      <c r="D104" s="5">
        <v>120</v>
      </c>
      <c r="E104" s="5">
        <v>130</v>
      </c>
      <c r="F104" s="5">
        <v>55</v>
      </c>
      <c r="G104" s="5">
        <v>65</v>
      </c>
      <c r="H104" s="5">
        <v>45</v>
      </c>
      <c r="I104" s="4" t="s">
        <v>90</v>
      </c>
      <c r="J104" s="4" t="s">
        <v>196</v>
      </c>
      <c r="K104" s="4" t="s">
        <v>106</v>
      </c>
      <c r="L104" s="4" t="s">
        <v>92</v>
      </c>
      <c r="M104" s="5"/>
      <c r="N104" s="5"/>
      <c r="O104" s="5" t="b">
        <v>1</v>
      </c>
      <c r="P104" s="4" t="str">
        <f>IF(A104="",IF(ISNUMBER(SEARCH("NOT NULL",UPPER(A$3))),"''","null"),SUBSTITUTE(VLOOKUP(A$2,convert!$A$1:$B$4,2,0),"@@@",A104))</f>
        <v>'0076A01'</v>
      </c>
      <c r="Q104" s="4" t="str">
        <f>IF(B104="",IF(ISNUMBER(SEARCH("NOT NULL",UPPER(B$3))),"''","null"),SUBSTITUTE(VLOOKUP(B$2,convert!$A$1:$B$4,2,0),"@@@",B104))</f>
        <v>'ゴローニャ'</v>
      </c>
      <c r="R104" s="4" t="str">
        <f>IF(C104="",IF(ISNUMBER(SEARCH("NOT NULL",UPPER(C$3))),"''","null"),SUBSTITUTE(VLOOKUP(C$2,convert!$A$1:$B$4,2,0),"@@@",C104))</f>
        <v>80</v>
      </c>
      <c r="S104" s="4" t="str">
        <f>IF(D104="",IF(ISNUMBER(SEARCH("NOT NULL",UPPER(D$3))),"''","null"),SUBSTITUTE(VLOOKUP(D$2,convert!$A$1:$B$4,2,0),"@@@",D104))</f>
        <v>120</v>
      </c>
      <c r="T104" s="4" t="str">
        <f>IF(E104="",IF(ISNUMBER(SEARCH("NOT NULL",UPPER(E$3))),"''","null"),SUBSTITUTE(VLOOKUP(E$2,convert!$A$1:$B$4,2,0),"@@@",E104))</f>
        <v>130</v>
      </c>
      <c r="U104" s="4" t="str">
        <f>IF(F104="",IF(ISNUMBER(SEARCH("NOT NULL",UPPER(F$3))),"''","null"),SUBSTITUTE(VLOOKUP(F$2,convert!$A$1:$B$4,2,0),"@@@",F104))</f>
        <v>55</v>
      </c>
      <c r="V104" s="4" t="str">
        <f>IF(G104="",IF(ISNUMBER(SEARCH("NOT NULL",UPPER(G$3))),"''","null"),SUBSTITUTE(VLOOKUP(G$2,convert!$A$1:$B$4,2,0),"@@@",G104))</f>
        <v>65</v>
      </c>
      <c r="W104" s="4" t="str">
        <f>IF(H104="",IF(ISNUMBER(SEARCH("NOT NULL",UPPER(H$3))),"''","null"),SUBSTITUTE(VLOOKUP(H$2,convert!$A$1:$B$4,2,0),"@@@",H104))</f>
        <v>45</v>
      </c>
      <c r="X104" s="4" t="str">
        <f>IF(I104="",IF(ISNUMBER(SEARCH("NOT NULL",UPPER(I$3))),"''","null"),SUBSTITUTE(VLOOKUP(I$2,convert!$A$1:$B$4,2,0),"@@@",I104))</f>
        <v>'アローラのすがた'</v>
      </c>
      <c r="Y104" s="4" t="str">
        <f>IF(J104="",IF(ISNUMBER(SEARCH("NOT NULL",UPPER(J$3))),"''","null"),SUBSTITUTE(VLOOKUP(J$2,convert!$A$1:$B$4,2,0),"@@@",J104))</f>
        <v>'rock'</v>
      </c>
      <c r="Z104" s="4" t="str">
        <f>IF(K104="",IF(ISNUMBER(SEARCH("NOT NULL",UPPER(K$3))),"''","null"),SUBSTITUTE(VLOOKUP(K$2,convert!$A$1:$B$4,2,0),"@@@",K104))</f>
        <v>'electric'</v>
      </c>
      <c r="AA104" s="4" t="str">
        <f>IF(L104="",IF(ISNUMBER(SEARCH("NOT NULL",UPPER(L$3))),"''","null"),SUBSTITUTE(VLOOKUP(L$2,convert!$A$1:$B$4,2,0),"@@@",L104))</f>
        <v>'g7'</v>
      </c>
      <c r="AB104" s="4" t="str">
        <f>IF(M104="",IF(ISNUMBER(SEARCH("NOT NULL",UPPER(M$3))),"''","null"),SUBSTITUTE(VLOOKUP(M$2,convert!$A$1:$B$4,2,0),"@@@",M104))</f>
        <v>null</v>
      </c>
      <c r="AC104" s="4" t="str">
        <f>IF(N104="",IF(ISNUMBER(SEARCH("NOT NULL",UPPER(N$3))),"''","null"),SUBSTITUTE(VLOOKUP(N$2,convert!$A$1:$B$4,2,0),"@@@",N104))</f>
        <v>null</v>
      </c>
      <c r="AD104" s="4" t="str">
        <f>IF(O104="",IF(ISNUMBER(SEARCH("NOT NULL",UPPER(O$3))),"''","null"),SUBSTITUTE(VLOOKUP(O$2,convert!$A$1:$B$4,2,0),"@@@",O104))</f>
        <v>TRUE</v>
      </c>
      <c r="AE104" s="4" t="str">
        <f t="shared" si="1"/>
        <v>    ('0076A01', 'ゴローニャ', 80, 120, 130, 55, 65, 45, 'アローラのすがた', 'rock', 'electric', 'g7', null, null, TRUE),</v>
      </c>
    </row>
    <row r="105" spans="1:31">
      <c r="A105" s="4" t="s">
        <v>240</v>
      </c>
      <c r="B105" s="4" t="s">
        <v>241</v>
      </c>
      <c r="C105" s="5">
        <v>50</v>
      </c>
      <c r="D105" s="5">
        <v>85</v>
      </c>
      <c r="E105" s="5">
        <v>55</v>
      </c>
      <c r="F105" s="5">
        <v>65</v>
      </c>
      <c r="G105" s="5">
        <v>65</v>
      </c>
      <c r="H105" s="5">
        <v>90</v>
      </c>
      <c r="I105" s="5"/>
      <c r="J105" s="4" t="s">
        <v>42</v>
      </c>
      <c r="K105" s="5"/>
      <c r="L105" s="4" t="s">
        <v>32</v>
      </c>
      <c r="M105" s="5"/>
      <c r="N105" s="5"/>
      <c r="O105" s="5" t="b">
        <v>1</v>
      </c>
      <c r="P105" s="4" t="str">
        <f>IF(A105="",IF(ISNUMBER(SEARCH("NOT NULL",UPPER(A$3))),"''","null"),SUBSTITUTE(VLOOKUP(A$2,convert!$A$1:$B$4,2,0),"@@@",A105))</f>
        <v>'0077N01'</v>
      </c>
      <c r="Q105" s="4" t="str">
        <f>IF(B105="",IF(ISNUMBER(SEARCH("NOT NULL",UPPER(B$3))),"''","null"),SUBSTITUTE(VLOOKUP(B$2,convert!$A$1:$B$4,2,0),"@@@",B105))</f>
        <v>'ポニータ'</v>
      </c>
      <c r="R105" s="4" t="str">
        <f>IF(C105="",IF(ISNUMBER(SEARCH("NOT NULL",UPPER(C$3))),"''","null"),SUBSTITUTE(VLOOKUP(C$2,convert!$A$1:$B$4,2,0),"@@@",C105))</f>
        <v>50</v>
      </c>
      <c r="S105" s="4" t="str">
        <f>IF(D105="",IF(ISNUMBER(SEARCH("NOT NULL",UPPER(D$3))),"''","null"),SUBSTITUTE(VLOOKUP(D$2,convert!$A$1:$B$4,2,0),"@@@",D105))</f>
        <v>85</v>
      </c>
      <c r="T105" s="4" t="str">
        <f>IF(E105="",IF(ISNUMBER(SEARCH("NOT NULL",UPPER(E$3))),"''","null"),SUBSTITUTE(VLOOKUP(E$2,convert!$A$1:$B$4,2,0),"@@@",E105))</f>
        <v>55</v>
      </c>
      <c r="U105" s="4" t="str">
        <f>IF(F105="",IF(ISNUMBER(SEARCH("NOT NULL",UPPER(F$3))),"''","null"),SUBSTITUTE(VLOOKUP(F$2,convert!$A$1:$B$4,2,0),"@@@",F105))</f>
        <v>65</v>
      </c>
      <c r="V105" s="4" t="str">
        <f>IF(G105="",IF(ISNUMBER(SEARCH("NOT NULL",UPPER(G$3))),"''","null"),SUBSTITUTE(VLOOKUP(G$2,convert!$A$1:$B$4,2,0),"@@@",G105))</f>
        <v>65</v>
      </c>
      <c r="W105" s="4" t="str">
        <f>IF(H105="",IF(ISNUMBER(SEARCH("NOT NULL",UPPER(H$3))),"''","null"),SUBSTITUTE(VLOOKUP(H$2,convert!$A$1:$B$4,2,0),"@@@",H105))</f>
        <v>90</v>
      </c>
      <c r="X105" s="4" t="str">
        <f>IF(I105="",IF(ISNUMBER(SEARCH("NOT NULL",UPPER(I$3))),"''","null"),SUBSTITUTE(VLOOKUP(I$2,convert!$A$1:$B$4,2,0),"@@@",I105))</f>
        <v>''</v>
      </c>
      <c r="Y105" s="4" t="str">
        <f>IF(J105="",IF(ISNUMBER(SEARCH("NOT NULL",UPPER(J$3))),"''","null"),SUBSTITUTE(VLOOKUP(J$2,convert!$A$1:$B$4,2,0),"@@@",J105))</f>
        <v>'fire'</v>
      </c>
      <c r="Z105" s="4" t="str">
        <f>IF(K105="",IF(ISNUMBER(SEARCH("NOT NULL",UPPER(K$3))),"''","null"),SUBSTITUTE(VLOOKUP(K$2,convert!$A$1:$B$4,2,0),"@@@",K105))</f>
        <v>null</v>
      </c>
      <c r="AA105" s="4" t="str">
        <f>IF(L105="",IF(ISNUMBER(SEARCH("NOT NULL",UPPER(L$3))),"''","null"),SUBSTITUTE(VLOOKUP(L$2,convert!$A$1:$B$4,2,0),"@@@",L105))</f>
        <v>'g1'</v>
      </c>
      <c r="AB105" s="4" t="str">
        <f>IF(M105="",IF(ISNUMBER(SEARCH("NOT NULL",UPPER(M$3))),"''","null"),SUBSTITUTE(VLOOKUP(M$2,convert!$A$1:$B$4,2,0),"@@@",M105))</f>
        <v>null</v>
      </c>
      <c r="AC105" s="4" t="str">
        <f>IF(N105="",IF(ISNUMBER(SEARCH("NOT NULL",UPPER(N$3))),"''","null"),SUBSTITUTE(VLOOKUP(N$2,convert!$A$1:$B$4,2,0),"@@@",N105))</f>
        <v>null</v>
      </c>
      <c r="AD105" s="4" t="str">
        <f>IF(O105="",IF(ISNUMBER(SEARCH("NOT NULL",UPPER(O$3))),"''","null"),SUBSTITUTE(VLOOKUP(O$2,convert!$A$1:$B$4,2,0),"@@@",O105))</f>
        <v>TRUE</v>
      </c>
      <c r="AE105" s="4" t="str">
        <f t="shared" si="1"/>
        <v>    ('0077N01', 'ポニータ', 50, 85, 55, 65, 65, 90, '', 'fire', null, 'g1', null, null, TRUE),</v>
      </c>
    </row>
    <row r="106" spans="1:31">
      <c r="A106" s="4" t="s">
        <v>242</v>
      </c>
      <c r="B106" s="4" t="s">
        <v>241</v>
      </c>
      <c r="C106" s="5">
        <v>50</v>
      </c>
      <c r="D106" s="5">
        <v>85</v>
      </c>
      <c r="E106" s="5">
        <v>55</v>
      </c>
      <c r="F106" s="5">
        <v>65</v>
      </c>
      <c r="G106" s="5">
        <v>65</v>
      </c>
      <c r="H106" s="5">
        <v>90</v>
      </c>
      <c r="I106" s="4" t="s">
        <v>178</v>
      </c>
      <c r="J106" s="4" t="s">
        <v>113</v>
      </c>
      <c r="K106" s="5"/>
      <c r="L106" s="4" t="s">
        <v>179</v>
      </c>
      <c r="M106" s="5"/>
      <c r="N106" s="5"/>
      <c r="O106" s="5" t="b">
        <v>1</v>
      </c>
      <c r="P106" s="4" t="str">
        <f>IF(A106="",IF(ISNUMBER(SEARCH("NOT NULL",UPPER(A$3))),"''","null"),SUBSTITUTE(VLOOKUP(A$2,convert!$A$1:$B$4,2,0),"@@@",A106))</f>
        <v>'0077G01'</v>
      </c>
      <c r="Q106" s="4" t="str">
        <f>IF(B106="",IF(ISNUMBER(SEARCH("NOT NULL",UPPER(B$3))),"''","null"),SUBSTITUTE(VLOOKUP(B$2,convert!$A$1:$B$4,2,0),"@@@",B106))</f>
        <v>'ポニータ'</v>
      </c>
      <c r="R106" s="4" t="str">
        <f>IF(C106="",IF(ISNUMBER(SEARCH("NOT NULL",UPPER(C$3))),"''","null"),SUBSTITUTE(VLOOKUP(C$2,convert!$A$1:$B$4,2,0),"@@@",C106))</f>
        <v>50</v>
      </c>
      <c r="S106" s="4" t="str">
        <f>IF(D106="",IF(ISNUMBER(SEARCH("NOT NULL",UPPER(D$3))),"''","null"),SUBSTITUTE(VLOOKUP(D$2,convert!$A$1:$B$4,2,0),"@@@",D106))</f>
        <v>85</v>
      </c>
      <c r="T106" s="4" t="str">
        <f>IF(E106="",IF(ISNUMBER(SEARCH("NOT NULL",UPPER(E$3))),"''","null"),SUBSTITUTE(VLOOKUP(E$2,convert!$A$1:$B$4,2,0),"@@@",E106))</f>
        <v>55</v>
      </c>
      <c r="U106" s="4" t="str">
        <f>IF(F106="",IF(ISNUMBER(SEARCH("NOT NULL",UPPER(F$3))),"''","null"),SUBSTITUTE(VLOOKUP(F$2,convert!$A$1:$B$4,2,0),"@@@",F106))</f>
        <v>65</v>
      </c>
      <c r="V106" s="4" t="str">
        <f>IF(G106="",IF(ISNUMBER(SEARCH("NOT NULL",UPPER(G$3))),"''","null"),SUBSTITUTE(VLOOKUP(G$2,convert!$A$1:$B$4,2,0),"@@@",G106))</f>
        <v>65</v>
      </c>
      <c r="W106" s="4" t="str">
        <f>IF(H106="",IF(ISNUMBER(SEARCH("NOT NULL",UPPER(H$3))),"''","null"),SUBSTITUTE(VLOOKUP(H$2,convert!$A$1:$B$4,2,0),"@@@",H106))</f>
        <v>90</v>
      </c>
      <c r="X106" s="4" t="str">
        <f>IF(I106="",IF(ISNUMBER(SEARCH("NOT NULL",UPPER(I$3))),"''","null"),SUBSTITUTE(VLOOKUP(I$2,convert!$A$1:$B$4,2,0),"@@@",I106))</f>
        <v>'ガラルのすがた'</v>
      </c>
      <c r="Y106" s="4" t="str">
        <f>IF(J106="",IF(ISNUMBER(SEARCH("NOT NULL",UPPER(J$3))),"''","null"),SUBSTITUTE(VLOOKUP(J$2,convert!$A$1:$B$4,2,0),"@@@",J106))</f>
        <v>'psychic'</v>
      </c>
      <c r="Z106" s="4" t="str">
        <f>IF(K106="",IF(ISNUMBER(SEARCH("NOT NULL",UPPER(K$3))),"''","null"),SUBSTITUTE(VLOOKUP(K$2,convert!$A$1:$B$4,2,0),"@@@",K106))</f>
        <v>null</v>
      </c>
      <c r="AA106" s="4" t="str">
        <f>IF(L106="",IF(ISNUMBER(SEARCH("NOT NULL",UPPER(L$3))),"''","null"),SUBSTITUTE(VLOOKUP(L$2,convert!$A$1:$B$4,2,0),"@@@",L106))</f>
        <v>'g8'</v>
      </c>
      <c r="AB106" s="4" t="str">
        <f>IF(M106="",IF(ISNUMBER(SEARCH("NOT NULL",UPPER(M$3))),"''","null"),SUBSTITUTE(VLOOKUP(M$2,convert!$A$1:$B$4,2,0),"@@@",M106))</f>
        <v>null</v>
      </c>
      <c r="AC106" s="4" t="str">
        <f>IF(N106="",IF(ISNUMBER(SEARCH("NOT NULL",UPPER(N$3))),"''","null"),SUBSTITUTE(VLOOKUP(N$2,convert!$A$1:$B$4,2,0),"@@@",N106))</f>
        <v>null</v>
      </c>
      <c r="AD106" s="4" t="str">
        <f>IF(O106="",IF(ISNUMBER(SEARCH("NOT NULL",UPPER(O$3))),"''","null"),SUBSTITUTE(VLOOKUP(O$2,convert!$A$1:$B$4,2,0),"@@@",O106))</f>
        <v>TRUE</v>
      </c>
      <c r="AE106" s="4" t="str">
        <f t="shared" si="1"/>
        <v>    ('0077G01', 'ポニータ', 50, 85, 55, 65, 65, 90, 'ガラルのすがた', 'psychic', null, 'g8', null, null, TRUE),</v>
      </c>
    </row>
    <row r="107" spans="1:31">
      <c r="A107" s="4" t="s">
        <v>243</v>
      </c>
      <c r="B107" s="4" t="s">
        <v>244</v>
      </c>
      <c r="C107" s="5">
        <v>65</v>
      </c>
      <c r="D107" s="5">
        <v>100</v>
      </c>
      <c r="E107" s="5">
        <v>70</v>
      </c>
      <c r="F107" s="5">
        <v>80</v>
      </c>
      <c r="G107" s="5">
        <v>80</v>
      </c>
      <c r="H107" s="5">
        <v>105</v>
      </c>
      <c r="I107" s="5"/>
      <c r="J107" s="4" t="s">
        <v>42</v>
      </c>
      <c r="K107" s="5"/>
      <c r="L107" s="4" t="s">
        <v>32</v>
      </c>
      <c r="M107" s="5"/>
      <c r="N107" s="5"/>
      <c r="O107" s="5" t="b">
        <v>1</v>
      </c>
      <c r="P107" s="4" t="str">
        <f>IF(A107="",IF(ISNUMBER(SEARCH("NOT NULL",UPPER(A$3))),"''","null"),SUBSTITUTE(VLOOKUP(A$2,convert!$A$1:$B$4,2,0),"@@@",A107))</f>
        <v>'0078N01'</v>
      </c>
      <c r="Q107" s="4" t="str">
        <f>IF(B107="",IF(ISNUMBER(SEARCH("NOT NULL",UPPER(B$3))),"''","null"),SUBSTITUTE(VLOOKUP(B$2,convert!$A$1:$B$4,2,0),"@@@",B107))</f>
        <v>'ギャロップ'</v>
      </c>
      <c r="R107" s="4" t="str">
        <f>IF(C107="",IF(ISNUMBER(SEARCH("NOT NULL",UPPER(C$3))),"''","null"),SUBSTITUTE(VLOOKUP(C$2,convert!$A$1:$B$4,2,0),"@@@",C107))</f>
        <v>65</v>
      </c>
      <c r="S107" s="4" t="str">
        <f>IF(D107="",IF(ISNUMBER(SEARCH("NOT NULL",UPPER(D$3))),"''","null"),SUBSTITUTE(VLOOKUP(D$2,convert!$A$1:$B$4,2,0),"@@@",D107))</f>
        <v>100</v>
      </c>
      <c r="T107" s="4" t="str">
        <f>IF(E107="",IF(ISNUMBER(SEARCH("NOT NULL",UPPER(E$3))),"''","null"),SUBSTITUTE(VLOOKUP(E$2,convert!$A$1:$B$4,2,0),"@@@",E107))</f>
        <v>70</v>
      </c>
      <c r="U107" s="4" t="str">
        <f>IF(F107="",IF(ISNUMBER(SEARCH("NOT NULL",UPPER(F$3))),"''","null"),SUBSTITUTE(VLOOKUP(F$2,convert!$A$1:$B$4,2,0),"@@@",F107))</f>
        <v>80</v>
      </c>
      <c r="V107" s="4" t="str">
        <f>IF(G107="",IF(ISNUMBER(SEARCH("NOT NULL",UPPER(G$3))),"''","null"),SUBSTITUTE(VLOOKUP(G$2,convert!$A$1:$B$4,2,0),"@@@",G107))</f>
        <v>80</v>
      </c>
      <c r="W107" s="4" t="str">
        <f>IF(H107="",IF(ISNUMBER(SEARCH("NOT NULL",UPPER(H$3))),"''","null"),SUBSTITUTE(VLOOKUP(H$2,convert!$A$1:$B$4,2,0),"@@@",H107))</f>
        <v>105</v>
      </c>
      <c r="X107" s="4" t="str">
        <f>IF(I107="",IF(ISNUMBER(SEARCH("NOT NULL",UPPER(I$3))),"''","null"),SUBSTITUTE(VLOOKUP(I$2,convert!$A$1:$B$4,2,0),"@@@",I107))</f>
        <v>''</v>
      </c>
      <c r="Y107" s="4" t="str">
        <f>IF(J107="",IF(ISNUMBER(SEARCH("NOT NULL",UPPER(J$3))),"''","null"),SUBSTITUTE(VLOOKUP(J$2,convert!$A$1:$B$4,2,0),"@@@",J107))</f>
        <v>'fire'</v>
      </c>
      <c r="Z107" s="4" t="str">
        <f>IF(K107="",IF(ISNUMBER(SEARCH("NOT NULL",UPPER(K$3))),"''","null"),SUBSTITUTE(VLOOKUP(K$2,convert!$A$1:$B$4,2,0),"@@@",K107))</f>
        <v>null</v>
      </c>
      <c r="AA107" s="4" t="str">
        <f>IF(L107="",IF(ISNUMBER(SEARCH("NOT NULL",UPPER(L$3))),"''","null"),SUBSTITUTE(VLOOKUP(L$2,convert!$A$1:$B$4,2,0),"@@@",L107))</f>
        <v>'g1'</v>
      </c>
      <c r="AB107" s="4" t="str">
        <f>IF(M107="",IF(ISNUMBER(SEARCH("NOT NULL",UPPER(M$3))),"''","null"),SUBSTITUTE(VLOOKUP(M$2,convert!$A$1:$B$4,2,0),"@@@",M107))</f>
        <v>null</v>
      </c>
      <c r="AC107" s="4" t="str">
        <f>IF(N107="",IF(ISNUMBER(SEARCH("NOT NULL",UPPER(N$3))),"''","null"),SUBSTITUTE(VLOOKUP(N$2,convert!$A$1:$B$4,2,0),"@@@",N107))</f>
        <v>null</v>
      </c>
      <c r="AD107" s="4" t="str">
        <f>IF(O107="",IF(ISNUMBER(SEARCH("NOT NULL",UPPER(O$3))),"''","null"),SUBSTITUTE(VLOOKUP(O$2,convert!$A$1:$B$4,2,0),"@@@",O107))</f>
        <v>TRUE</v>
      </c>
      <c r="AE107" s="4" t="str">
        <f t="shared" si="1"/>
        <v>    ('0078N01', 'ギャロップ', 65, 100, 70, 80, 80, 105, '', 'fire', null, 'g1', null, null, TRUE),</v>
      </c>
    </row>
    <row r="108" spans="1:31">
      <c r="A108" s="4" t="s">
        <v>245</v>
      </c>
      <c r="B108" s="4" t="s">
        <v>244</v>
      </c>
      <c r="C108" s="5">
        <v>65</v>
      </c>
      <c r="D108" s="5">
        <v>100</v>
      </c>
      <c r="E108" s="5">
        <v>70</v>
      </c>
      <c r="F108" s="5">
        <v>80</v>
      </c>
      <c r="G108" s="5">
        <v>80</v>
      </c>
      <c r="H108" s="5">
        <v>105</v>
      </c>
      <c r="I108" s="4" t="s">
        <v>178</v>
      </c>
      <c r="J108" s="4" t="s">
        <v>113</v>
      </c>
      <c r="K108" s="4" t="s">
        <v>137</v>
      </c>
      <c r="L108" s="4" t="s">
        <v>179</v>
      </c>
      <c r="M108" s="5"/>
      <c r="N108" s="5"/>
      <c r="O108" s="5" t="b">
        <v>1</v>
      </c>
      <c r="P108" s="4" t="str">
        <f>IF(A108="",IF(ISNUMBER(SEARCH("NOT NULL",UPPER(A$3))),"''","null"),SUBSTITUTE(VLOOKUP(A$2,convert!$A$1:$B$4,2,0),"@@@",A108))</f>
        <v>'0078G01'</v>
      </c>
      <c r="Q108" s="4" t="str">
        <f>IF(B108="",IF(ISNUMBER(SEARCH("NOT NULL",UPPER(B$3))),"''","null"),SUBSTITUTE(VLOOKUP(B$2,convert!$A$1:$B$4,2,0),"@@@",B108))</f>
        <v>'ギャロップ'</v>
      </c>
      <c r="R108" s="4" t="str">
        <f>IF(C108="",IF(ISNUMBER(SEARCH("NOT NULL",UPPER(C$3))),"''","null"),SUBSTITUTE(VLOOKUP(C$2,convert!$A$1:$B$4,2,0),"@@@",C108))</f>
        <v>65</v>
      </c>
      <c r="S108" s="4" t="str">
        <f>IF(D108="",IF(ISNUMBER(SEARCH("NOT NULL",UPPER(D$3))),"''","null"),SUBSTITUTE(VLOOKUP(D$2,convert!$A$1:$B$4,2,0),"@@@",D108))</f>
        <v>100</v>
      </c>
      <c r="T108" s="4" t="str">
        <f>IF(E108="",IF(ISNUMBER(SEARCH("NOT NULL",UPPER(E$3))),"''","null"),SUBSTITUTE(VLOOKUP(E$2,convert!$A$1:$B$4,2,0),"@@@",E108))</f>
        <v>70</v>
      </c>
      <c r="U108" s="4" t="str">
        <f>IF(F108="",IF(ISNUMBER(SEARCH("NOT NULL",UPPER(F$3))),"''","null"),SUBSTITUTE(VLOOKUP(F$2,convert!$A$1:$B$4,2,0),"@@@",F108))</f>
        <v>80</v>
      </c>
      <c r="V108" s="4" t="str">
        <f>IF(G108="",IF(ISNUMBER(SEARCH("NOT NULL",UPPER(G$3))),"''","null"),SUBSTITUTE(VLOOKUP(G$2,convert!$A$1:$B$4,2,0),"@@@",G108))</f>
        <v>80</v>
      </c>
      <c r="W108" s="4" t="str">
        <f>IF(H108="",IF(ISNUMBER(SEARCH("NOT NULL",UPPER(H$3))),"''","null"),SUBSTITUTE(VLOOKUP(H$2,convert!$A$1:$B$4,2,0),"@@@",H108))</f>
        <v>105</v>
      </c>
      <c r="X108" s="4" t="str">
        <f>IF(I108="",IF(ISNUMBER(SEARCH("NOT NULL",UPPER(I$3))),"''","null"),SUBSTITUTE(VLOOKUP(I$2,convert!$A$1:$B$4,2,0),"@@@",I108))</f>
        <v>'ガラルのすがた'</v>
      </c>
      <c r="Y108" s="4" t="str">
        <f>IF(J108="",IF(ISNUMBER(SEARCH("NOT NULL",UPPER(J$3))),"''","null"),SUBSTITUTE(VLOOKUP(J$2,convert!$A$1:$B$4,2,0),"@@@",J108))</f>
        <v>'psychic'</v>
      </c>
      <c r="Z108" s="4" t="str">
        <f>IF(K108="",IF(ISNUMBER(SEARCH("NOT NULL",UPPER(K$3))),"''","null"),SUBSTITUTE(VLOOKUP(K$2,convert!$A$1:$B$4,2,0),"@@@",K108))</f>
        <v>'fairy'</v>
      </c>
      <c r="AA108" s="4" t="str">
        <f>IF(L108="",IF(ISNUMBER(SEARCH("NOT NULL",UPPER(L$3))),"''","null"),SUBSTITUTE(VLOOKUP(L$2,convert!$A$1:$B$4,2,0),"@@@",L108))</f>
        <v>'g8'</v>
      </c>
      <c r="AB108" s="4" t="str">
        <f>IF(M108="",IF(ISNUMBER(SEARCH("NOT NULL",UPPER(M$3))),"''","null"),SUBSTITUTE(VLOOKUP(M$2,convert!$A$1:$B$4,2,0),"@@@",M108))</f>
        <v>null</v>
      </c>
      <c r="AC108" s="4" t="str">
        <f>IF(N108="",IF(ISNUMBER(SEARCH("NOT NULL",UPPER(N$3))),"''","null"),SUBSTITUTE(VLOOKUP(N$2,convert!$A$1:$B$4,2,0),"@@@",N108))</f>
        <v>null</v>
      </c>
      <c r="AD108" s="4" t="str">
        <f>IF(O108="",IF(ISNUMBER(SEARCH("NOT NULL",UPPER(O$3))),"''","null"),SUBSTITUTE(VLOOKUP(O$2,convert!$A$1:$B$4,2,0),"@@@",O108))</f>
        <v>TRUE</v>
      </c>
      <c r="AE108" s="4" t="str">
        <f t="shared" si="1"/>
        <v>    ('0078G01', 'ギャロップ', 65, 100, 70, 80, 80, 105, 'ガラルのすがた', 'psychic', 'fairy', 'g8', null, null, TRUE),</v>
      </c>
    </row>
    <row r="109" spans="1:31">
      <c r="A109" s="4" t="s">
        <v>246</v>
      </c>
      <c r="B109" s="4" t="s">
        <v>247</v>
      </c>
      <c r="C109" s="5">
        <v>90</v>
      </c>
      <c r="D109" s="5">
        <v>65</v>
      </c>
      <c r="E109" s="5">
        <v>65</v>
      </c>
      <c r="F109" s="5">
        <v>40</v>
      </c>
      <c r="G109" s="5">
        <v>40</v>
      </c>
      <c r="H109" s="5">
        <v>15</v>
      </c>
      <c r="I109" s="5"/>
      <c r="J109" s="4" t="s">
        <v>55</v>
      </c>
      <c r="K109" s="4" t="s">
        <v>113</v>
      </c>
      <c r="L109" s="4" t="s">
        <v>32</v>
      </c>
      <c r="M109" s="5"/>
      <c r="N109" s="5"/>
      <c r="O109" s="5" t="b">
        <v>1</v>
      </c>
      <c r="P109" s="4" t="str">
        <f>IF(A109="",IF(ISNUMBER(SEARCH("NOT NULL",UPPER(A$3))),"''","null"),SUBSTITUTE(VLOOKUP(A$2,convert!$A$1:$B$4,2,0),"@@@",A109))</f>
        <v>'0079N01'</v>
      </c>
      <c r="Q109" s="4" t="str">
        <f>IF(B109="",IF(ISNUMBER(SEARCH("NOT NULL",UPPER(B$3))),"''","null"),SUBSTITUTE(VLOOKUP(B$2,convert!$A$1:$B$4,2,0),"@@@",B109))</f>
        <v>'ヤドン'</v>
      </c>
      <c r="R109" s="4" t="str">
        <f>IF(C109="",IF(ISNUMBER(SEARCH("NOT NULL",UPPER(C$3))),"''","null"),SUBSTITUTE(VLOOKUP(C$2,convert!$A$1:$B$4,2,0),"@@@",C109))</f>
        <v>90</v>
      </c>
      <c r="S109" s="4" t="str">
        <f>IF(D109="",IF(ISNUMBER(SEARCH("NOT NULL",UPPER(D$3))),"''","null"),SUBSTITUTE(VLOOKUP(D$2,convert!$A$1:$B$4,2,0),"@@@",D109))</f>
        <v>65</v>
      </c>
      <c r="T109" s="4" t="str">
        <f>IF(E109="",IF(ISNUMBER(SEARCH("NOT NULL",UPPER(E$3))),"''","null"),SUBSTITUTE(VLOOKUP(E$2,convert!$A$1:$B$4,2,0),"@@@",E109))</f>
        <v>65</v>
      </c>
      <c r="U109" s="4" t="str">
        <f>IF(F109="",IF(ISNUMBER(SEARCH("NOT NULL",UPPER(F$3))),"''","null"),SUBSTITUTE(VLOOKUP(F$2,convert!$A$1:$B$4,2,0),"@@@",F109))</f>
        <v>40</v>
      </c>
      <c r="V109" s="4" t="str">
        <f>IF(G109="",IF(ISNUMBER(SEARCH("NOT NULL",UPPER(G$3))),"''","null"),SUBSTITUTE(VLOOKUP(G$2,convert!$A$1:$B$4,2,0),"@@@",G109))</f>
        <v>40</v>
      </c>
      <c r="W109" s="4" t="str">
        <f>IF(H109="",IF(ISNUMBER(SEARCH("NOT NULL",UPPER(H$3))),"''","null"),SUBSTITUTE(VLOOKUP(H$2,convert!$A$1:$B$4,2,0),"@@@",H109))</f>
        <v>15</v>
      </c>
      <c r="X109" s="4" t="str">
        <f>IF(I109="",IF(ISNUMBER(SEARCH("NOT NULL",UPPER(I$3))),"''","null"),SUBSTITUTE(VLOOKUP(I$2,convert!$A$1:$B$4,2,0),"@@@",I109))</f>
        <v>''</v>
      </c>
      <c r="Y109" s="4" t="str">
        <f>IF(J109="",IF(ISNUMBER(SEARCH("NOT NULL",UPPER(J$3))),"''","null"),SUBSTITUTE(VLOOKUP(J$2,convert!$A$1:$B$4,2,0),"@@@",J109))</f>
        <v>'water'</v>
      </c>
      <c r="Z109" s="4" t="str">
        <f>IF(K109="",IF(ISNUMBER(SEARCH("NOT NULL",UPPER(K$3))),"''","null"),SUBSTITUTE(VLOOKUP(K$2,convert!$A$1:$B$4,2,0),"@@@",K109))</f>
        <v>'psychic'</v>
      </c>
      <c r="AA109" s="4" t="str">
        <f>IF(L109="",IF(ISNUMBER(SEARCH("NOT NULL",UPPER(L$3))),"''","null"),SUBSTITUTE(VLOOKUP(L$2,convert!$A$1:$B$4,2,0),"@@@",L109))</f>
        <v>'g1'</v>
      </c>
      <c r="AB109" s="4" t="str">
        <f>IF(M109="",IF(ISNUMBER(SEARCH("NOT NULL",UPPER(M$3))),"''","null"),SUBSTITUTE(VLOOKUP(M$2,convert!$A$1:$B$4,2,0),"@@@",M109))</f>
        <v>null</v>
      </c>
      <c r="AC109" s="4" t="str">
        <f>IF(N109="",IF(ISNUMBER(SEARCH("NOT NULL",UPPER(N$3))),"''","null"),SUBSTITUTE(VLOOKUP(N$2,convert!$A$1:$B$4,2,0),"@@@",N109))</f>
        <v>null</v>
      </c>
      <c r="AD109" s="4" t="str">
        <f>IF(O109="",IF(ISNUMBER(SEARCH("NOT NULL",UPPER(O$3))),"''","null"),SUBSTITUTE(VLOOKUP(O$2,convert!$A$1:$B$4,2,0),"@@@",O109))</f>
        <v>TRUE</v>
      </c>
      <c r="AE109" s="4" t="str">
        <f t="shared" si="1"/>
        <v>    ('0079N01', 'ヤドン', 90, 65, 65, 40, 40, 15, '', 'water', 'psychic', 'g1', null, null, TRUE),</v>
      </c>
    </row>
    <row r="110" spans="1:31">
      <c r="A110" s="4" t="s">
        <v>248</v>
      </c>
      <c r="B110" s="4" t="s">
        <v>247</v>
      </c>
      <c r="C110" s="5">
        <v>90</v>
      </c>
      <c r="D110" s="5">
        <v>65</v>
      </c>
      <c r="E110" s="5">
        <v>65</v>
      </c>
      <c r="F110" s="5">
        <v>40</v>
      </c>
      <c r="G110" s="5">
        <v>40</v>
      </c>
      <c r="H110" s="5">
        <v>15</v>
      </c>
      <c r="I110" s="4" t="s">
        <v>178</v>
      </c>
      <c r="J110" s="4" t="s">
        <v>113</v>
      </c>
      <c r="K110" s="5"/>
      <c r="L110" s="4" t="s">
        <v>179</v>
      </c>
      <c r="M110" s="5"/>
      <c r="N110" s="5"/>
      <c r="O110" s="5" t="b">
        <v>1</v>
      </c>
      <c r="P110" s="4" t="str">
        <f>IF(A110="",IF(ISNUMBER(SEARCH("NOT NULL",UPPER(A$3))),"''","null"),SUBSTITUTE(VLOOKUP(A$2,convert!$A$1:$B$4,2,0),"@@@",A110))</f>
        <v>'0079G01'</v>
      </c>
      <c r="Q110" s="4" t="str">
        <f>IF(B110="",IF(ISNUMBER(SEARCH("NOT NULL",UPPER(B$3))),"''","null"),SUBSTITUTE(VLOOKUP(B$2,convert!$A$1:$B$4,2,0),"@@@",B110))</f>
        <v>'ヤドン'</v>
      </c>
      <c r="R110" s="4" t="str">
        <f>IF(C110="",IF(ISNUMBER(SEARCH("NOT NULL",UPPER(C$3))),"''","null"),SUBSTITUTE(VLOOKUP(C$2,convert!$A$1:$B$4,2,0),"@@@",C110))</f>
        <v>90</v>
      </c>
      <c r="S110" s="4" t="str">
        <f>IF(D110="",IF(ISNUMBER(SEARCH("NOT NULL",UPPER(D$3))),"''","null"),SUBSTITUTE(VLOOKUP(D$2,convert!$A$1:$B$4,2,0),"@@@",D110))</f>
        <v>65</v>
      </c>
      <c r="T110" s="4" t="str">
        <f>IF(E110="",IF(ISNUMBER(SEARCH("NOT NULL",UPPER(E$3))),"''","null"),SUBSTITUTE(VLOOKUP(E$2,convert!$A$1:$B$4,2,0),"@@@",E110))</f>
        <v>65</v>
      </c>
      <c r="U110" s="4" t="str">
        <f>IF(F110="",IF(ISNUMBER(SEARCH("NOT NULL",UPPER(F$3))),"''","null"),SUBSTITUTE(VLOOKUP(F$2,convert!$A$1:$B$4,2,0),"@@@",F110))</f>
        <v>40</v>
      </c>
      <c r="V110" s="4" t="str">
        <f>IF(G110="",IF(ISNUMBER(SEARCH("NOT NULL",UPPER(G$3))),"''","null"),SUBSTITUTE(VLOOKUP(G$2,convert!$A$1:$B$4,2,0),"@@@",G110))</f>
        <v>40</v>
      </c>
      <c r="W110" s="4" t="str">
        <f>IF(H110="",IF(ISNUMBER(SEARCH("NOT NULL",UPPER(H$3))),"''","null"),SUBSTITUTE(VLOOKUP(H$2,convert!$A$1:$B$4,2,0),"@@@",H110))</f>
        <v>15</v>
      </c>
      <c r="X110" s="4" t="str">
        <f>IF(I110="",IF(ISNUMBER(SEARCH("NOT NULL",UPPER(I$3))),"''","null"),SUBSTITUTE(VLOOKUP(I$2,convert!$A$1:$B$4,2,0),"@@@",I110))</f>
        <v>'ガラルのすがた'</v>
      </c>
      <c r="Y110" s="4" t="str">
        <f>IF(J110="",IF(ISNUMBER(SEARCH("NOT NULL",UPPER(J$3))),"''","null"),SUBSTITUTE(VLOOKUP(J$2,convert!$A$1:$B$4,2,0),"@@@",J110))</f>
        <v>'psychic'</v>
      </c>
      <c r="Z110" s="4" t="str">
        <f>IF(K110="",IF(ISNUMBER(SEARCH("NOT NULL",UPPER(K$3))),"''","null"),SUBSTITUTE(VLOOKUP(K$2,convert!$A$1:$B$4,2,0),"@@@",K110))</f>
        <v>null</v>
      </c>
      <c r="AA110" s="4" t="str">
        <f>IF(L110="",IF(ISNUMBER(SEARCH("NOT NULL",UPPER(L$3))),"''","null"),SUBSTITUTE(VLOOKUP(L$2,convert!$A$1:$B$4,2,0),"@@@",L110))</f>
        <v>'g8'</v>
      </c>
      <c r="AB110" s="4" t="str">
        <f>IF(M110="",IF(ISNUMBER(SEARCH("NOT NULL",UPPER(M$3))),"''","null"),SUBSTITUTE(VLOOKUP(M$2,convert!$A$1:$B$4,2,0),"@@@",M110))</f>
        <v>null</v>
      </c>
      <c r="AC110" s="4" t="str">
        <f>IF(N110="",IF(ISNUMBER(SEARCH("NOT NULL",UPPER(N$3))),"''","null"),SUBSTITUTE(VLOOKUP(N$2,convert!$A$1:$B$4,2,0),"@@@",N110))</f>
        <v>null</v>
      </c>
      <c r="AD110" s="4" t="str">
        <f>IF(O110="",IF(ISNUMBER(SEARCH("NOT NULL",UPPER(O$3))),"''","null"),SUBSTITUTE(VLOOKUP(O$2,convert!$A$1:$B$4,2,0),"@@@",O110))</f>
        <v>TRUE</v>
      </c>
      <c r="AE110" s="4" t="str">
        <f t="shared" si="1"/>
        <v>    ('0079G01', 'ヤドン', 90, 65, 65, 40, 40, 15, 'ガラルのすがた', 'psychic', null, 'g8', null, null, TRUE),</v>
      </c>
    </row>
    <row r="111" spans="1:31">
      <c r="A111" s="4" t="s">
        <v>249</v>
      </c>
      <c r="B111" s="4" t="s">
        <v>250</v>
      </c>
      <c r="C111" s="5">
        <v>95</v>
      </c>
      <c r="D111" s="5">
        <v>75</v>
      </c>
      <c r="E111" s="5">
        <v>110</v>
      </c>
      <c r="F111" s="5">
        <v>100</v>
      </c>
      <c r="G111" s="5">
        <v>80</v>
      </c>
      <c r="H111" s="5">
        <v>30</v>
      </c>
      <c r="I111" s="5"/>
      <c r="J111" s="4" t="s">
        <v>55</v>
      </c>
      <c r="K111" s="4" t="s">
        <v>113</v>
      </c>
      <c r="L111" s="4" t="s">
        <v>32</v>
      </c>
      <c r="M111" s="5"/>
      <c r="N111" s="5"/>
      <c r="O111" s="5" t="b">
        <v>1</v>
      </c>
      <c r="P111" s="4" t="str">
        <f>IF(A111="",IF(ISNUMBER(SEARCH("NOT NULL",UPPER(A$3))),"''","null"),SUBSTITUTE(VLOOKUP(A$2,convert!$A$1:$B$4,2,0),"@@@",A111))</f>
        <v>'0080N01'</v>
      </c>
      <c r="Q111" s="4" t="str">
        <f>IF(B111="",IF(ISNUMBER(SEARCH("NOT NULL",UPPER(B$3))),"''","null"),SUBSTITUTE(VLOOKUP(B$2,convert!$A$1:$B$4,2,0),"@@@",B111))</f>
        <v>'ヤドラン'</v>
      </c>
      <c r="R111" s="4" t="str">
        <f>IF(C111="",IF(ISNUMBER(SEARCH("NOT NULL",UPPER(C$3))),"''","null"),SUBSTITUTE(VLOOKUP(C$2,convert!$A$1:$B$4,2,0),"@@@",C111))</f>
        <v>95</v>
      </c>
      <c r="S111" s="4" t="str">
        <f>IF(D111="",IF(ISNUMBER(SEARCH("NOT NULL",UPPER(D$3))),"''","null"),SUBSTITUTE(VLOOKUP(D$2,convert!$A$1:$B$4,2,0),"@@@",D111))</f>
        <v>75</v>
      </c>
      <c r="T111" s="4" t="str">
        <f>IF(E111="",IF(ISNUMBER(SEARCH("NOT NULL",UPPER(E$3))),"''","null"),SUBSTITUTE(VLOOKUP(E$2,convert!$A$1:$B$4,2,0),"@@@",E111))</f>
        <v>110</v>
      </c>
      <c r="U111" s="4" t="str">
        <f>IF(F111="",IF(ISNUMBER(SEARCH("NOT NULL",UPPER(F$3))),"''","null"),SUBSTITUTE(VLOOKUP(F$2,convert!$A$1:$B$4,2,0),"@@@",F111))</f>
        <v>100</v>
      </c>
      <c r="V111" s="4" t="str">
        <f>IF(G111="",IF(ISNUMBER(SEARCH("NOT NULL",UPPER(G$3))),"''","null"),SUBSTITUTE(VLOOKUP(G$2,convert!$A$1:$B$4,2,0),"@@@",G111))</f>
        <v>80</v>
      </c>
      <c r="W111" s="4" t="str">
        <f>IF(H111="",IF(ISNUMBER(SEARCH("NOT NULL",UPPER(H$3))),"''","null"),SUBSTITUTE(VLOOKUP(H$2,convert!$A$1:$B$4,2,0),"@@@",H111))</f>
        <v>30</v>
      </c>
      <c r="X111" s="4" t="str">
        <f>IF(I111="",IF(ISNUMBER(SEARCH("NOT NULL",UPPER(I$3))),"''","null"),SUBSTITUTE(VLOOKUP(I$2,convert!$A$1:$B$4,2,0),"@@@",I111))</f>
        <v>''</v>
      </c>
      <c r="Y111" s="4" t="str">
        <f>IF(J111="",IF(ISNUMBER(SEARCH("NOT NULL",UPPER(J$3))),"''","null"),SUBSTITUTE(VLOOKUP(J$2,convert!$A$1:$B$4,2,0),"@@@",J111))</f>
        <v>'water'</v>
      </c>
      <c r="Z111" s="4" t="str">
        <f>IF(K111="",IF(ISNUMBER(SEARCH("NOT NULL",UPPER(K$3))),"''","null"),SUBSTITUTE(VLOOKUP(K$2,convert!$A$1:$B$4,2,0),"@@@",K111))</f>
        <v>'psychic'</v>
      </c>
      <c r="AA111" s="4" t="str">
        <f>IF(L111="",IF(ISNUMBER(SEARCH("NOT NULL",UPPER(L$3))),"''","null"),SUBSTITUTE(VLOOKUP(L$2,convert!$A$1:$B$4,2,0),"@@@",L111))</f>
        <v>'g1'</v>
      </c>
      <c r="AB111" s="4" t="str">
        <f>IF(M111="",IF(ISNUMBER(SEARCH("NOT NULL",UPPER(M$3))),"''","null"),SUBSTITUTE(VLOOKUP(M$2,convert!$A$1:$B$4,2,0),"@@@",M111))</f>
        <v>null</v>
      </c>
      <c r="AC111" s="4" t="str">
        <f>IF(N111="",IF(ISNUMBER(SEARCH("NOT NULL",UPPER(N$3))),"''","null"),SUBSTITUTE(VLOOKUP(N$2,convert!$A$1:$B$4,2,0),"@@@",N111))</f>
        <v>null</v>
      </c>
      <c r="AD111" s="4" t="str">
        <f>IF(O111="",IF(ISNUMBER(SEARCH("NOT NULL",UPPER(O$3))),"''","null"),SUBSTITUTE(VLOOKUP(O$2,convert!$A$1:$B$4,2,0),"@@@",O111))</f>
        <v>TRUE</v>
      </c>
      <c r="AE111" s="4" t="str">
        <f t="shared" si="1"/>
        <v>    ('0080N01', 'ヤドラン', 95, 75, 110, 100, 80, 30, '', 'water', 'psychic', 'g1', null, null, TRUE),</v>
      </c>
    </row>
    <row r="112" spans="1:31">
      <c r="A112" s="4" t="s">
        <v>251</v>
      </c>
      <c r="B112" s="4" t="s">
        <v>252</v>
      </c>
      <c r="C112" s="5">
        <v>95</v>
      </c>
      <c r="D112" s="5">
        <v>75</v>
      </c>
      <c r="E112" s="5">
        <v>180</v>
      </c>
      <c r="F112" s="5">
        <v>130</v>
      </c>
      <c r="G112" s="5">
        <v>80</v>
      </c>
      <c r="H112" s="5">
        <v>30</v>
      </c>
      <c r="I112" s="5"/>
      <c r="J112" s="4" t="s">
        <v>55</v>
      </c>
      <c r="K112" s="4" t="s">
        <v>113</v>
      </c>
      <c r="L112" s="4" t="s">
        <v>77</v>
      </c>
      <c r="M112" s="5"/>
      <c r="N112" s="5"/>
      <c r="O112" s="5" t="b">
        <v>1</v>
      </c>
      <c r="P112" s="4" t="str">
        <f>IF(A112="",IF(ISNUMBER(SEARCH("NOT NULL",UPPER(A$3))),"''","null"),SUBSTITUTE(VLOOKUP(A$2,convert!$A$1:$B$4,2,0),"@@@",A112))</f>
        <v>'0080M01'</v>
      </c>
      <c r="Q112" s="4" t="str">
        <f>IF(B112="",IF(ISNUMBER(SEARCH("NOT NULL",UPPER(B$3))),"''","null"),SUBSTITUTE(VLOOKUP(B$2,convert!$A$1:$B$4,2,0),"@@@",B112))</f>
        <v>'メガヤドラン'</v>
      </c>
      <c r="R112" s="4" t="str">
        <f>IF(C112="",IF(ISNUMBER(SEARCH("NOT NULL",UPPER(C$3))),"''","null"),SUBSTITUTE(VLOOKUP(C$2,convert!$A$1:$B$4,2,0),"@@@",C112))</f>
        <v>95</v>
      </c>
      <c r="S112" s="4" t="str">
        <f>IF(D112="",IF(ISNUMBER(SEARCH("NOT NULL",UPPER(D$3))),"''","null"),SUBSTITUTE(VLOOKUP(D$2,convert!$A$1:$B$4,2,0),"@@@",D112))</f>
        <v>75</v>
      </c>
      <c r="T112" s="4" t="str">
        <f>IF(E112="",IF(ISNUMBER(SEARCH("NOT NULL",UPPER(E$3))),"''","null"),SUBSTITUTE(VLOOKUP(E$2,convert!$A$1:$B$4,2,0),"@@@",E112))</f>
        <v>180</v>
      </c>
      <c r="U112" s="4" t="str">
        <f>IF(F112="",IF(ISNUMBER(SEARCH("NOT NULL",UPPER(F$3))),"''","null"),SUBSTITUTE(VLOOKUP(F$2,convert!$A$1:$B$4,2,0),"@@@",F112))</f>
        <v>130</v>
      </c>
      <c r="V112" s="4" t="str">
        <f>IF(G112="",IF(ISNUMBER(SEARCH("NOT NULL",UPPER(G$3))),"''","null"),SUBSTITUTE(VLOOKUP(G$2,convert!$A$1:$B$4,2,0),"@@@",G112))</f>
        <v>80</v>
      </c>
      <c r="W112" s="4" t="str">
        <f>IF(H112="",IF(ISNUMBER(SEARCH("NOT NULL",UPPER(H$3))),"''","null"),SUBSTITUTE(VLOOKUP(H$2,convert!$A$1:$B$4,2,0),"@@@",H112))</f>
        <v>30</v>
      </c>
      <c r="X112" s="4" t="str">
        <f>IF(I112="",IF(ISNUMBER(SEARCH("NOT NULL",UPPER(I$3))),"''","null"),SUBSTITUTE(VLOOKUP(I$2,convert!$A$1:$B$4,2,0),"@@@",I112))</f>
        <v>''</v>
      </c>
      <c r="Y112" s="4" t="str">
        <f>IF(J112="",IF(ISNUMBER(SEARCH("NOT NULL",UPPER(J$3))),"''","null"),SUBSTITUTE(VLOOKUP(J$2,convert!$A$1:$B$4,2,0),"@@@",J112))</f>
        <v>'water'</v>
      </c>
      <c r="Z112" s="4" t="str">
        <f>IF(K112="",IF(ISNUMBER(SEARCH("NOT NULL",UPPER(K$3))),"''","null"),SUBSTITUTE(VLOOKUP(K$2,convert!$A$1:$B$4,2,0),"@@@",K112))</f>
        <v>'psychic'</v>
      </c>
      <c r="AA112" s="4" t="str">
        <f>IF(L112="",IF(ISNUMBER(SEARCH("NOT NULL",UPPER(L$3))),"''","null"),SUBSTITUTE(VLOOKUP(L$2,convert!$A$1:$B$4,2,0),"@@@",L112))</f>
        <v>'g6oras'</v>
      </c>
      <c r="AB112" s="4" t="str">
        <f>IF(M112="",IF(ISNUMBER(SEARCH("NOT NULL",UPPER(M$3))),"''","null"),SUBSTITUTE(VLOOKUP(M$2,convert!$A$1:$B$4,2,0),"@@@",M112))</f>
        <v>null</v>
      </c>
      <c r="AC112" s="4" t="str">
        <f>IF(N112="",IF(ISNUMBER(SEARCH("NOT NULL",UPPER(N$3))),"''","null"),SUBSTITUTE(VLOOKUP(N$2,convert!$A$1:$B$4,2,0),"@@@",N112))</f>
        <v>null</v>
      </c>
      <c r="AD112" s="4" t="str">
        <f>IF(O112="",IF(ISNUMBER(SEARCH("NOT NULL",UPPER(O$3))),"''","null"),SUBSTITUTE(VLOOKUP(O$2,convert!$A$1:$B$4,2,0),"@@@",O112))</f>
        <v>TRUE</v>
      </c>
      <c r="AE112" s="4" t="str">
        <f t="shared" si="1"/>
        <v>    ('0080M01', 'メガヤドラン', 95, 75, 180, 130, 80, 30, '', 'water', 'psychic', 'g6oras', null, null, TRUE),</v>
      </c>
    </row>
    <row r="113" spans="1:31">
      <c r="A113" s="4" t="s">
        <v>253</v>
      </c>
      <c r="B113" s="4" t="s">
        <v>250</v>
      </c>
      <c r="C113" s="5">
        <v>95</v>
      </c>
      <c r="D113" s="5">
        <v>100</v>
      </c>
      <c r="E113" s="5">
        <v>95</v>
      </c>
      <c r="F113" s="5">
        <v>100</v>
      </c>
      <c r="G113" s="5">
        <v>70</v>
      </c>
      <c r="H113" s="5">
        <v>30</v>
      </c>
      <c r="I113" s="4" t="s">
        <v>178</v>
      </c>
      <c r="J113" s="4" t="s">
        <v>31</v>
      </c>
      <c r="K113" s="4" t="s">
        <v>113</v>
      </c>
      <c r="L113" s="4" t="s">
        <v>179</v>
      </c>
      <c r="M113" s="5"/>
      <c r="N113" s="5"/>
      <c r="O113" s="5" t="b">
        <v>1</v>
      </c>
      <c r="P113" s="4" t="str">
        <f>IF(A113="",IF(ISNUMBER(SEARCH("NOT NULL",UPPER(A$3))),"''","null"),SUBSTITUTE(VLOOKUP(A$2,convert!$A$1:$B$4,2,0),"@@@",A113))</f>
        <v>'0080G01'</v>
      </c>
      <c r="Q113" s="4" t="str">
        <f>IF(B113="",IF(ISNUMBER(SEARCH("NOT NULL",UPPER(B$3))),"''","null"),SUBSTITUTE(VLOOKUP(B$2,convert!$A$1:$B$4,2,0),"@@@",B113))</f>
        <v>'ヤドラン'</v>
      </c>
      <c r="R113" s="4" t="str">
        <f>IF(C113="",IF(ISNUMBER(SEARCH("NOT NULL",UPPER(C$3))),"''","null"),SUBSTITUTE(VLOOKUP(C$2,convert!$A$1:$B$4,2,0),"@@@",C113))</f>
        <v>95</v>
      </c>
      <c r="S113" s="4" t="str">
        <f>IF(D113="",IF(ISNUMBER(SEARCH("NOT NULL",UPPER(D$3))),"''","null"),SUBSTITUTE(VLOOKUP(D$2,convert!$A$1:$B$4,2,0),"@@@",D113))</f>
        <v>100</v>
      </c>
      <c r="T113" s="4" t="str">
        <f>IF(E113="",IF(ISNUMBER(SEARCH("NOT NULL",UPPER(E$3))),"''","null"),SUBSTITUTE(VLOOKUP(E$2,convert!$A$1:$B$4,2,0),"@@@",E113))</f>
        <v>95</v>
      </c>
      <c r="U113" s="4" t="str">
        <f>IF(F113="",IF(ISNUMBER(SEARCH("NOT NULL",UPPER(F$3))),"''","null"),SUBSTITUTE(VLOOKUP(F$2,convert!$A$1:$B$4,2,0),"@@@",F113))</f>
        <v>100</v>
      </c>
      <c r="V113" s="4" t="str">
        <f>IF(G113="",IF(ISNUMBER(SEARCH("NOT NULL",UPPER(G$3))),"''","null"),SUBSTITUTE(VLOOKUP(G$2,convert!$A$1:$B$4,2,0),"@@@",G113))</f>
        <v>70</v>
      </c>
      <c r="W113" s="4" t="str">
        <f>IF(H113="",IF(ISNUMBER(SEARCH("NOT NULL",UPPER(H$3))),"''","null"),SUBSTITUTE(VLOOKUP(H$2,convert!$A$1:$B$4,2,0),"@@@",H113))</f>
        <v>30</v>
      </c>
      <c r="X113" s="4" t="str">
        <f>IF(I113="",IF(ISNUMBER(SEARCH("NOT NULL",UPPER(I$3))),"''","null"),SUBSTITUTE(VLOOKUP(I$2,convert!$A$1:$B$4,2,0),"@@@",I113))</f>
        <v>'ガラルのすがた'</v>
      </c>
      <c r="Y113" s="4" t="str">
        <f>IF(J113="",IF(ISNUMBER(SEARCH("NOT NULL",UPPER(J$3))),"''","null"),SUBSTITUTE(VLOOKUP(J$2,convert!$A$1:$B$4,2,0),"@@@",J113))</f>
        <v>'poison'</v>
      </c>
      <c r="Z113" s="4" t="str">
        <f>IF(K113="",IF(ISNUMBER(SEARCH("NOT NULL",UPPER(K$3))),"''","null"),SUBSTITUTE(VLOOKUP(K$2,convert!$A$1:$B$4,2,0),"@@@",K113))</f>
        <v>'psychic'</v>
      </c>
      <c r="AA113" s="4" t="str">
        <f>IF(L113="",IF(ISNUMBER(SEARCH("NOT NULL",UPPER(L$3))),"''","null"),SUBSTITUTE(VLOOKUP(L$2,convert!$A$1:$B$4,2,0),"@@@",L113))</f>
        <v>'g8'</v>
      </c>
      <c r="AB113" s="4" t="str">
        <f>IF(M113="",IF(ISNUMBER(SEARCH("NOT NULL",UPPER(M$3))),"''","null"),SUBSTITUTE(VLOOKUP(M$2,convert!$A$1:$B$4,2,0),"@@@",M113))</f>
        <v>null</v>
      </c>
      <c r="AC113" s="4" t="str">
        <f>IF(N113="",IF(ISNUMBER(SEARCH("NOT NULL",UPPER(N$3))),"''","null"),SUBSTITUTE(VLOOKUP(N$2,convert!$A$1:$B$4,2,0),"@@@",N113))</f>
        <v>null</v>
      </c>
      <c r="AD113" s="4" t="str">
        <f>IF(O113="",IF(ISNUMBER(SEARCH("NOT NULL",UPPER(O$3))),"''","null"),SUBSTITUTE(VLOOKUP(O$2,convert!$A$1:$B$4,2,0),"@@@",O113))</f>
        <v>TRUE</v>
      </c>
      <c r="AE113" s="4" t="str">
        <f t="shared" si="1"/>
        <v>    ('0080G01', 'ヤドラン', 95, 100, 95, 100, 70, 30, 'ガラルのすがた', 'poison', 'psychic', 'g8', null, null, TRUE),</v>
      </c>
    </row>
    <row r="114" spans="1:31">
      <c r="A114" s="4" t="s">
        <v>254</v>
      </c>
      <c r="B114" s="4" t="s">
        <v>255</v>
      </c>
      <c r="C114" s="5">
        <v>25</v>
      </c>
      <c r="D114" s="5">
        <v>35</v>
      </c>
      <c r="E114" s="5">
        <v>70</v>
      </c>
      <c r="F114" s="5">
        <v>95</v>
      </c>
      <c r="G114" s="5">
        <v>55</v>
      </c>
      <c r="H114" s="5">
        <v>45</v>
      </c>
      <c r="I114" s="5"/>
      <c r="J114" s="4" t="s">
        <v>106</v>
      </c>
      <c r="K114" s="4" t="s">
        <v>119</v>
      </c>
      <c r="L114" s="4" t="s">
        <v>32</v>
      </c>
      <c r="M114" s="5"/>
      <c r="N114" s="5"/>
      <c r="O114" s="5" t="b">
        <v>1</v>
      </c>
      <c r="P114" s="4" t="str">
        <f>IF(A114="",IF(ISNUMBER(SEARCH("NOT NULL",UPPER(A$3))),"''","null"),SUBSTITUTE(VLOOKUP(A$2,convert!$A$1:$B$4,2,0),"@@@",A114))</f>
        <v>'0081N01'</v>
      </c>
      <c r="Q114" s="4" t="str">
        <f>IF(B114="",IF(ISNUMBER(SEARCH("NOT NULL",UPPER(B$3))),"''","null"),SUBSTITUTE(VLOOKUP(B$2,convert!$A$1:$B$4,2,0),"@@@",B114))</f>
        <v>'コイル'</v>
      </c>
      <c r="R114" s="4" t="str">
        <f>IF(C114="",IF(ISNUMBER(SEARCH("NOT NULL",UPPER(C$3))),"''","null"),SUBSTITUTE(VLOOKUP(C$2,convert!$A$1:$B$4,2,0),"@@@",C114))</f>
        <v>25</v>
      </c>
      <c r="S114" s="4" t="str">
        <f>IF(D114="",IF(ISNUMBER(SEARCH("NOT NULL",UPPER(D$3))),"''","null"),SUBSTITUTE(VLOOKUP(D$2,convert!$A$1:$B$4,2,0),"@@@",D114))</f>
        <v>35</v>
      </c>
      <c r="T114" s="4" t="str">
        <f>IF(E114="",IF(ISNUMBER(SEARCH("NOT NULL",UPPER(E$3))),"''","null"),SUBSTITUTE(VLOOKUP(E$2,convert!$A$1:$B$4,2,0),"@@@",E114))</f>
        <v>70</v>
      </c>
      <c r="U114" s="4" t="str">
        <f>IF(F114="",IF(ISNUMBER(SEARCH("NOT NULL",UPPER(F$3))),"''","null"),SUBSTITUTE(VLOOKUP(F$2,convert!$A$1:$B$4,2,0),"@@@",F114))</f>
        <v>95</v>
      </c>
      <c r="V114" s="4" t="str">
        <f>IF(G114="",IF(ISNUMBER(SEARCH("NOT NULL",UPPER(G$3))),"''","null"),SUBSTITUTE(VLOOKUP(G$2,convert!$A$1:$B$4,2,0),"@@@",G114))</f>
        <v>55</v>
      </c>
      <c r="W114" s="4" t="str">
        <f>IF(H114="",IF(ISNUMBER(SEARCH("NOT NULL",UPPER(H$3))),"''","null"),SUBSTITUTE(VLOOKUP(H$2,convert!$A$1:$B$4,2,0),"@@@",H114))</f>
        <v>45</v>
      </c>
      <c r="X114" s="4" t="str">
        <f>IF(I114="",IF(ISNUMBER(SEARCH("NOT NULL",UPPER(I$3))),"''","null"),SUBSTITUTE(VLOOKUP(I$2,convert!$A$1:$B$4,2,0),"@@@",I114))</f>
        <v>''</v>
      </c>
      <c r="Y114" s="4" t="str">
        <f>IF(J114="",IF(ISNUMBER(SEARCH("NOT NULL",UPPER(J$3))),"''","null"),SUBSTITUTE(VLOOKUP(J$2,convert!$A$1:$B$4,2,0),"@@@",J114))</f>
        <v>'electric'</v>
      </c>
      <c r="Z114" s="4" t="str">
        <f>IF(K114="",IF(ISNUMBER(SEARCH("NOT NULL",UPPER(K$3))),"''","null"),SUBSTITUTE(VLOOKUP(K$2,convert!$A$1:$B$4,2,0),"@@@",K114))</f>
        <v>'steel'</v>
      </c>
      <c r="AA114" s="4" t="str">
        <f>IF(L114="",IF(ISNUMBER(SEARCH("NOT NULL",UPPER(L$3))),"''","null"),SUBSTITUTE(VLOOKUP(L$2,convert!$A$1:$B$4,2,0),"@@@",L114))</f>
        <v>'g1'</v>
      </c>
      <c r="AB114" s="4" t="str">
        <f>IF(M114="",IF(ISNUMBER(SEARCH("NOT NULL",UPPER(M$3))),"''","null"),SUBSTITUTE(VLOOKUP(M$2,convert!$A$1:$B$4,2,0),"@@@",M114))</f>
        <v>null</v>
      </c>
      <c r="AC114" s="4" t="str">
        <f>IF(N114="",IF(ISNUMBER(SEARCH("NOT NULL",UPPER(N$3))),"''","null"),SUBSTITUTE(VLOOKUP(N$2,convert!$A$1:$B$4,2,0),"@@@",N114))</f>
        <v>null</v>
      </c>
      <c r="AD114" s="4" t="str">
        <f>IF(O114="",IF(ISNUMBER(SEARCH("NOT NULL",UPPER(O$3))),"''","null"),SUBSTITUTE(VLOOKUP(O$2,convert!$A$1:$B$4,2,0),"@@@",O114))</f>
        <v>TRUE</v>
      </c>
      <c r="AE114" s="4" t="str">
        <f t="shared" si="1"/>
        <v>    ('0081N01', 'コイル', 25, 35, 70, 95, 55, 45, '', 'electric', 'steel', 'g1', null, null, TRUE),</v>
      </c>
    </row>
    <row r="115" spans="1:31">
      <c r="A115" s="4" t="s">
        <v>256</v>
      </c>
      <c r="B115" s="4" t="s">
        <v>257</v>
      </c>
      <c r="C115" s="5">
        <v>50</v>
      </c>
      <c r="D115" s="5">
        <v>60</v>
      </c>
      <c r="E115" s="5">
        <v>95</v>
      </c>
      <c r="F115" s="5">
        <v>120</v>
      </c>
      <c r="G115" s="5">
        <v>70</v>
      </c>
      <c r="H115" s="5">
        <v>70</v>
      </c>
      <c r="I115" s="5"/>
      <c r="J115" s="4" t="s">
        <v>106</v>
      </c>
      <c r="K115" s="4" t="s">
        <v>119</v>
      </c>
      <c r="L115" s="4" t="s">
        <v>32</v>
      </c>
      <c r="M115" s="5"/>
      <c r="N115" s="5"/>
      <c r="O115" s="5" t="b">
        <v>1</v>
      </c>
      <c r="P115" s="4" t="str">
        <f>IF(A115="",IF(ISNUMBER(SEARCH("NOT NULL",UPPER(A$3))),"''","null"),SUBSTITUTE(VLOOKUP(A$2,convert!$A$1:$B$4,2,0),"@@@",A115))</f>
        <v>'0082N01'</v>
      </c>
      <c r="Q115" s="4" t="str">
        <f>IF(B115="",IF(ISNUMBER(SEARCH("NOT NULL",UPPER(B$3))),"''","null"),SUBSTITUTE(VLOOKUP(B$2,convert!$A$1:$B$4,2,0),"@@@",B115))</f>
        <v>'レアコイル'</v>
      </c>
      <c r="R115" s="4" t="str">
        <f>IF(C115="",IF(ISNUMBER(SEARCH("NOT NULL",UPPER(C$3))),"''","null"),SUBSTITUTE(VLOOKUP(C$2,convert!$A$1:$B$4,2,0),"@@@",C115))</f>
        <v>50</v>
      </c>
      <c r="S115" s="4" t="str">
        <f>IF(D115="",IF(ISNUMBER(SEARCH("NOT NULL",UPPER(D$3))),"''","null"),SUBSTITUTE(VLOOKUP(D$2,convert!$A$1:$B$4,2,0),"@@@",D115))</f>
        <v>60</v>
      </c>
      <c r="T115" s="4" t="str">
        <f>IF(E115="",IF(ISNUMBER(SEARCH("NOT NULL",UPPER(E$3))),"''","null"),SUBSTITUTE(VLOOKUP(E$2,convert!$A$1:$B$4,2,0),"@@@",E115))</f>
        <v>95</v>
      </c>
      <c r="U115" s="4" t="str">
        <f>IF(F115="",IF(ISNUMBER(SEARCH("NOT NULL",UPPER(F$3))),"''","null"),SUBSTITUTE(VLOOKUP(F$2,convert!$A$1:$B$4,2,0),"@@@",F115))</f>
        <v>120</v>
      </c>
      <c r="V115" s="4" t="str">
        <f>IF(G115="",IF(ISNUMBER(SEARCH("NOT NULL",UPPER(G$3))),"''","null"),SUBSTITUTE(VLOOKUP(G$2,convert!$A$1:$B$4,2,0),"@@@",G115))</f>
        <v>70</v>
      </c>
      <c r="W115" s="4" t="str">
        <f>IF(H115="",IF(ISNUMBER(SEARCH("NOT NULL",UPPER(H$3))),"''","null"),SUBSTITUTE(VLOOKUP(H$2,convert!$A$1:$B$4,2,0),"@@@",H115))</f>
        <v>70</v>
      </c>
      <c r="X115" s="4" t="str">
        <f>IF(I115="",IF(ISNUMBER(SEARCH("NOT NULL",UPPER(I$3))),"''","null"),SUBSTITUTE(VLOOKUP(I$2,convert!$A$1:$B$4,2,0),"@@@",I115))</f>
        <v>''</v>
      </c>
      <c r="Y115" s="4" t="str">
        <f>IF(J115="",IF(ISNUMBER(SEARCH("NOT NULL",UPPER(J$3))),"''","null"),SUBSTITUTE(VLOOKUP(J$2,convert!$A$1:$B$4,2,0),"@@@",J115))</f>
        <v>'electric'</v>
      </c>
      <c r="Z115" s="4" t="str">
        <f>IF(K115="",IF(ISNUMBER(SEARCH("NOT NULL",UPPER(K$3))),"''","null"),SUBSTITUTE(VLOOKUP(K$2,convert!$A$1:$B$4,2,0),"@@@",K115))</f>
        <v>'steel'</v>
      </c>
      <c r="AA115" s="4" t="str">
        <f>IF(L115="",IF(ISNUMBER(SEARCH("NOT NULL",UPPER(L$3))),"''","null"),SUBSTITUTE(VLOOKUP(L$2,convert!$A$1:$B$4,2,0),"@@@",L115))</f>
        <v>'g1'</v>
      </c>
      <c r="AB115" s="4" t="str">
        <f>IF(M115="",IF(ISNUMBER(SEARCH("NOT NULL",UPPER(M$3))),"''","null"),SUBSTITUTE(VLOOKUP(M$2,convert!$A$1:$B$4,2,0),"@@@",M115))</f>
        <v>null</v>
      </c>
      <c r="AC115" s="4" t="str">
        <f>IF(N115="",IF(ISNUMBER(SEARCH("NOT NULL",UPPER(N$3))),"''","null"),SUBSTITUTE(VLOOKUP(N$2,convert!$A$1:$B$4,2,0),"@@@",N115))</f>
        <v>null</v>
      </c>
      <c r="AD115" s="4" t="str">
        <f>IF(O115="",IF(ISNUMBER(SEARCH("NOT NULL",UPPER(O$3))),"''","null"),SUBSTITUTE(VLOOKUP(O$2,convert!$A$1:$B$4,2,0),"@@@",O115))</f>
        <v>TRUE</v>
      </c>
      <c r="AE115" s="4" t="str">
        <f t="shared" si="1"/>
        <v>    ('0082N01', 'レアコイル', 50, 60, 95, 120, 70, 70, '', 'electric', 'steel', 'g1', null, null, TRUE),</v>
      </c>
    </row>
    <row r="116" spans="1:31">
      <c r="A116" s="4" t="s">
        <v>258</v>
      </c>
      <c r="B116" s="4" t="s">
        <v>259</v>
      </c>
      <c r="C116" s="5">
        <v>52</v>
      </c>
      <c r="D116" s="5">
        <v>90</v>
      </c>
      <c r="E116" s="5">
        <v>55</v>
      </c>
      <c r="F116" s="5">
        <v>58</v>
      </c>
      <c r="G116" s="5">
        <v>62</v>
      </c>
      <c r="H116" s="5">
        <v>60</v>
      </c>
      <c r="I116" s="5"/>
      <c r="J116" s="4" t="s">
        <v>80</v>
      </c>
      <c r="K116" s="4" t="s">
        <v>47</v>
      </c>
      <c r="L116" s="4" t="s">
        <v>32</v>
      </c>
      <c r="M116" s="5"/>
      <c r="N116" s="5"/>
      <c r="O116" s="5" t="b">
        <v>1</v>
      </c>
      <c r="P116" s="4" t="str">
        <f>IF(A116="",IF(ISNUMBER(SEARCH("NOT NULL",UPPER(A$3))),"''","null"),SUBSTITUTE(VLOOKUP(A$2,convert!$A$1:$B$4,2,0),"@@@",A116))</f>
        <v>'0083N01'</v>
      </c>
      <c r="Q116" s="4" t="str">
        <f>IF(B116="",IF(ISNUMBER(SEARCH("NOT NULL",UPPER(B$3))),"''","null"),SUBSTITUTE(VLOOKUP(B$2,convert!$A$1:$B$4,2,0),"@@@",B116))</f>
        <v>'カモネギ'</v>
      </c>
      <c r="R116" s="4" t="str">
        <f>IF(C116="",IF(ISNUMBER(SEARCH("NOT NULL",UPPER(C$3))),"''","null"),SUBSTITUTE(VLOOKUP(C$2,convert!$A$1:$B$4,2,0),"@@@",C116))</f>
        <v>52</v>
      </c>
      <c r="S116" s="4" t="str">
        <f>IF(D116="",IF(ISNUMBER(SEARCH("NOT NULL",UPPER(D$3))),"''","null"),SUBSTITUTE(VLOOKUP(D$2,convert!$A$1:$B$4,2,0),"@@@",D116))</f>
        <v>90</v>
      </c>
      <c r="T116" s="4" t="str">
        <f>IF(E116="",IF(ISNUMBER(SEARCH("NOT NULL",UPPER(E$3))),"''","null"),SUBSTITUTE(VLOOKUP(E$2,convert!$A$1:$B$4,2,0),"@@@",E116))</f>
        <v>55</v>
      </c>
      <c r="U116" s="4" t="str">
        <f>IF(F116="",IF(ISNUMBER(SEARCH("NOT NULL",UPPER(F$3))),"''","null"),SUBSTITUTE(VLOOKUP(F$2,convert!$A$1:$B$4,2,0),"@@@",F116))</f>
        <v>58</v>
      </c>
      <c r="V116" s="4" t="str">
        <f>IF(G116="",IF(ISNUMBER(SEARCH("NOT NULL",UPPER(G$3))),"''","null"),SUBSTITUTE(VLOOKUP(G$2,convert!$A$1:$B$4,2,0),"@@@",G116))</f>
        <v>62</v>
      </c>
      <c r="W116" s="4" t="str">
        <f>IF(H116="",IF(ISNUMBER(SEARCH("NOT NULL",UPPER(H$3))),"''","null"),SUBSTITUTE(VLOOKUP(H$2,convert!$A$1:$B$4,2,0),"@@@",H116))</f>
        <v>60</v>
      </c>
      <c r="X116" s="4" t="str">
        <f>IF(I116="",IF(ISNUMBER(SEARCH("NOT NULL",UPPER(I$3))),"''","null"),SUBSTITUTE(VLOOKUP(I$2,convert!$A$1:$B$4,2,0),"@@@",I116))</f>
        <v>''</v>
      </c>
      <c r="Y116" s="4" t="str">
        <f>IF(J116="",IF(ISNUMBER(SEARCH("NOT NULL",UPPER(J$3))),"''","null"),SUBSTITUTE(VLOOKUP(J$2,convert!$A$1:$B$4,2,0),"@@@",J116))</f>
        <v>'normal'</v>
      </c>
      <c r="Z116" s="4" t="str">
        <f>IF(K116="",IF(ISNUMBER(SEARCH("NOT NULL",UPPER(K$3))),"''","null"),SUBSTITUTE(VLOOKUP(K$2,convert!$A$1:$B$4,2,0),"@@@",K116))</f>
        <v>'flying'</v>
      </c>
      <c r="AA116" s="4" t="str">
        <f>IF(L116="",IF(ISNUMBER(SEARCH("NOT NULL",UPPER(L$3))),"''","null"),SUBSTITUTE(VLOOKUP(L$2,convert!$A$1:$B$4,2,0),"@@@",L116))</f>
        <v>'g1'</v>
      </c>
      <c r="AB116" s="4" t="str">
        <f>IF(M116="",IF(ISNUMBER(SEARCH("NOT NULL",UPPER(M$3))),"''","null"),SUBSTITUTE(VLOOKUP(M$2,convert!$A$1:$B$4,2,0),"@@@",M116))</f>
        <v>null</v>
      </c>
      <c r="AC116" s="4" t="str">
        <f>IF(N116="",IF(ISNUMBER(SEARCH("NOT NULL",UPPER(N$3))),"''","null"),SUBSTITUTE(VLOOKUP(N$2,convert!$A$1:$B$4,2,0),"@@@",N116))</f>
        <v>null</v>
      </c>
      <c r="AD116" s="4" t="str">
        <f>IF(O116="",IF(ISNUMBER(SEARCH("NOT NULL",UPPER(O$3))),"''","null"),SUBSTITUTE(VLOOKUP(O$2,convert!$A$1:$B$4,2,0),"@@@",O116))</f>
        <v>TRUE</v>
      </c>
      <c r="AE116" s="4" t="str">
        <f t="shared" si="1"/>
        <v>    ('0083N01', 'カモネギ', 52, 90, 55, 58, 62, 60, '', 'normal', 'flying', 'g1', null, null, TRUE),</v>
      </c>
    </row>
    <row r="117" spans="1:31">
      <c r="A117" s="4" t="s">
        <v>260</v>
      </c>
      <c r="B117" s="4" t="s">
        <v>259</v>
      </c>
      <c r="C117" s="5">
        <v>52</v>
      </c>
      <c r="D117" s="5">
        <v>95</v>
      </c>
      <c r="E117" s="5">
        <v>55</v>
      </c>
      <c r="F117" s="5">
        <v>58</v>
      </c>
      <c r="G117" s="5">
        <v>62</v>
      </c>
      <c r="H117" s="5">
        <v>55</v>
      </c>
      <c r="I117" s="4" t="s">
        <v>178</v>
      </c>
      <c r="J117" s="4" t="s">
        <v>189</v>
      </c>
      <c r="K117" s="5"/>
      <c r="L117" s="4" t="s">
        <v>179</v>
      </c>
      <c r="M117" s="5"/>
      <c r="N117" s="5"/>
      <c r="O117" s="5" t="b">
        <v>1</v>
      </c>
      <c r="P117" s="4" t="str">
        <f>IF(A117="",IF(ISNUMBER(SEARCH("NOT NULL",UPPER(A$3))),"''","null"),SUBSTITUTE(VLOOKUP(A$2,convert!$A$1:$B$4,2,0),"@@@",A117))</f>
        <v>'0083G01'</v>
      </c>
      <c r="Q117" s="4" t="str">
        <f>IF(B117="",IF(ISNUMBER(SEARCH("NOT NULL",UPPER(B$3))),"''","null"),SUBSTITUTE(VLOOKUP(B$2,convert!$A$1:$B$4,2,0),"@@@",B117))</f>
        <v>'カモネギ'</v>
      </c>
      <c r="R117" s="4" t="str">
        <f>IF(C117="",IF(ISNUMBER(SEARCH("NOT NULL",UPPER(C$3))),"''","null"),SUBSTITUTE(VLOOKUP(C$2,convert!$A$1:$B$4,2,0),"@@@",C117))</f>
        <v>52</v>
      </c>
      <c r="S117" s="4" t="str">
        <f>IF(D117="",IF(ISNUMBER(SEARCH("NOT NULL",UPPER(D$3))),"''","null"),SUBSTITUTE(VLOOKUP(D$2,convert!$A$1:$B$4,2,0),"@@@",D117))</f>
        <v>95</v>
      </c>
      <c r="T117" s="4" t="str">
        <f>IF(E117="",IF(ISNUMBER(SEARCH("NOT NULL",UPPER(E$3))),"''","null"),SUBSTITUTE(VLOOKUP(E$2,convert!$A$1:$B$4,2,0),"@@@",E117))</f>
        <v>55</v>
      </c>
      <c r="U117" s="4" t="str">
        <f>IF(F117="",IF(ISNUMBER(SEARCH("NOT NULL",UPPER(F$3))),"''","null"),SUBSTITUTE(VLOOKUP(F$2,convert!$A$1:$B$4,2,0),"@@@",F117))</f>
        <v>58</v>
      </c>
      <c r="V117" s="4" t="str">
        <f>IF(G117="",IF(ISNUMBER(SEARCH("NOT NULL",UPPER(G$3))),"''","null"),SUBSTITUTE(VLOOKUP(G$2,convert!$A$1:$B$4,2,0),"@@@",G117))</f>
        <v>62</v>
      </c>
      <c r="W117" s="4" t="str">
        <f>IF(H117="",IF(ISNUMBER(SEARCH("NOT NULL",UPPER(H$3))),"''","null"),SUBSTITUTE(VLOOKUP(H$2,convert!$A$1:$B$4,2,0),"@@@",H117))</f>
        <v>55</v>
      </c>
      <c r="X117" s="4" t="str">
        <f>IF(I117="",IF(ISNUMBER(SEARCH("NOT NULL",UPPER(I$3))),"''","null"),SUBSTITUTE(VLOOKUP(I$2,convert!$A$1:$B$4,2,0),"@@@",I117))</f>
        <v>'ガラルのすがた'</v>
      </c>
      <c r="Y117" s="4" t="str">
        <f>IF(J117="",IF(ISNUMBER(SEARCH("NOT NULL",UPPER(J$3))),"''","null"),SUBSTITUTE(VLOOKUP(J$2,convert!$A$1:$B$4,2,0),"@@@",J117))</f>
        <v>'fighting'</v>
      </c>
      <c r="Z117" s="4" t="str">
        <f>IF(K117="",IF(ISNUMBER(SEARCH("NOT NULL",UPPER(K$3))),"''","null"),SUBSTITUTE(VLOOKUP(K$2,convert!$A$1:$B$4,2,0),"@@@",K117))</f>
        <v>null</v>
      </c>
      <c r="AA117" s="4" t="str">
        <f>IF(L117="",IF(ISNUMBER(SEARCH("NOT NULL",UPPER(L$3))),"''","null"),SUBSTITUTE(VLOOKUP(L$2,convert!$A$1:$B$4,2,0),"@@@",L117))</f>
        <v>'g8'</v>
      </c>
      <c r="AB117" s="4" t="str">
        <f>IF(M117="",IF(ISNUMBER(SEARCH("NOT NULL",UPPER(M$3))),"''","null"),SUBSTITUTE(VLOOKUP(M$2,convert!$A$1:$B$4,2,0),"@@@",M117))</f>
        <v>null</v>
      </c>
      <c r="AC117" s="4" t="str">
        <f>IF(N117="",IF(ISNUMBER(SEARCH("NOT NULL",UPPER(N$3))),"''","null"),SUBSTITUTE(VLOOKUP(N$2,convert!$A$1:$B$4,2,0),"@@@",N117))</f>
        <v>null</v>
      </c>
      <c r="AD117" s="4" t="str">
        <f>IF(O117="",IF(ISNUMBER(SEARCH("NOT NULL",UPPER(O$3))),"''","null"),SUBSTITUTE(VLOOKUP(O$2,convert!$A$1:$B$4,2,0),"@@@",O117))</f>
        <v>TRUE</v>
      </c>
      <c r="AE117" s="4" t="str">
        <f t="shared" si="1"/>
        <v>    ('0083G01', 'カモネギ', 52, 95, 55, 58, 62, 55, 'ガラルのすがた', 'fighting', null, 'g8', null, null, TRUE),</v>
      </c>
    </row>
    <row r="118" spans="1:31">
      <c r="A118" s="4" t="s">
        <v>261</v>
      </c>
      <c r="B118" s="4" t="s">
        <v>262</v>
      </c>
      <c r="C118" s="5">
        <v>35</v>
      </c>
      <c r="D118" s="5">
        <v>85</v>
      </c>
      <c r="E118" s="5">
        <v>45</v>
      </c>
      <c r="F118" s="5">
        <v>35</v>
      </c>
      <c r="G118" s="5">
        <v>35</v>
      </c>
      <c r="H118" s="5">
        <v>75</v>
      </c>
      <c r="I118" s="5"/>
      <c r="J118" s="4" t="s">
        <v>80</v>
      </c>
      <c r="K118" s="4" t="s">
        <v>47</v>
      </c>
      <c r="L118" s="4" t="s">
        <v>32</v>
      </c>
      <c r="M118" s="5"/>
      <c r="N118" s="5"/>
      <c r="O118" s="5" t="b">
        <v>1</v>
      </c>
      <c r="P118" s="4" t="str">
        <f>IF(A118="",IF(ISNUMBER(SEARCH("NOT NULL",UPPER(A$3))),"''","null"),SUBSTITUTE(VLOOKUP(A$2,convert!$A$1:$B$4,2,0),"@@@",A118))</f>
        <v>'0084N01'</v>
      </c>
      <c r="Q118" s="4" t="str">
        <f>IF(B118="",IF(ISNUMBER(SEARCH("NOT NULL",UPPER(B$3))),"''","null"),SUBSTITUTE(VLOOKUP(B$2,convert!$A$1:$B$4,2,0),"@@@",B118))</f>
        <v>'ドードー'</v>
      </c>
      <c r="R118" s="4" t="str">
        <f>IF(C118="",IF(ISNUMBER(SEARCH("NOT NULL",UPPER(C$3))),"''","null"),SUBSTITUTE(VLOOKUP(C$2,convert!$A$1:$B$4,2,0),"@@@",C118))</f>
        <v>35</v>
      </c>
      <c r="S118" s="4" t="str">
        <f>IF(D118="",IF(ISNUMBER(SEARCH("NOT NULL",UPPER(D$3))),"''","null"),SUBSTITUTE(VLOOKUP(D$2,convert!$A$1:$B$4,2,0),"@@@",D118))</f>
        <v>85</v>
      </c>
      <c r="T118" s="4" t="str">
        <f>IF(E118="",IF(ISNUMBER(SEARCH("NOT NULL",UPPER(E$3))),"''","null"),SUBSTITUTE(VLOOKUP(E$2,convert!$A$1:$B$4,2,0),"@@@",E118))</f>
        <v>45</v>
      </c>
      <c r="U118" s="4" t="str">
        <f>IF(F118="",IF(ISNUMBER(SEARCH("NOT NULL",UPPER(F$3))),"''","null"),SUBSTITUTE(VLOOKUP(F$2,convert!$A$1:$B$4,2,0),"@@@",F118))</f>
        <v>35</v>
      </c>
      <c r="V118" s="4" t="str">
        <f>IF(G118="",IF(ISNUMBER(SEARCH("NOT NULL",UPPER(G$3))),"''","null"),SUBSTITUTE(VLOOKUP(G$2,convert!$A$1:$B$4,2,0),"@@@",G118))</f>
        <v>35</v>
      </c>
      <c r="W118" s="4" t="str">
        <f>IF(H118="",IF(ISNUMBER(SEARCH("NOT NULL",UPPER(H$3))),"''","null"),SUBSTITUTE(VLOOKUP(H$2,convert!$A$1:$B$4,2,0),"@@@",H118))</f>
        <v>75</v>
      </c>
      <c r="X118" s="4" t="str">
        <f>IF(I118="",IF(ISNUMBER(SEARCH("NOT NULL",UPPER(I$3))),"''","null"),SUBSTITUTE(VLOOKUP(I$2,convert!$A$1:$B$4,2,0),"@@@",I118))</f>
        <v>''</v>
      </c>
      <c r="Y118" s="4" t="str">
        <f>IF(J118="",IF(ISNUMBER(SEARCH("NOT NULL",UPPER(J$3))),"''","null"),SUBSTITUTE(VLOOKUP(J$2,convert!$A$1:$B$4,2,0),"@@@",J118))</f>
        <v>'normal'</v>
      </c>
      <c r="Z118" s="4" t="str">
        <f>IF(K118="",IF(ISNUMBER(SEARCH("NOT NULL",UPPER(K$3))),"''","null"),SUBSTITUTE(VLOOKUP(K$2,convert!$A$1:$B$4,2,0),"@@@",K118))</f>
        <v>'flying'</v>
      </c>
      <c r="AA118" s="4" t="str">
        <f>IF(L118="",IF(ISNUMBER(SEARCH("NOT NULL",UPPER(L$3))),"''","null"),SUBSTITUTE(VLOOKUP(L$2,convert!$A$1:$B$4,2,0),"@@@",L118))</f>
        <v>'g1'</v>
      </c>
      <c r="AB118" s="4" t="str">
        <f>IF(M118="",IF(ISNUMBER(SEARCH("NOT NULL",UPPER(M$3))),"''","null"),SUBSTITUTE(VLOOKUP(M$2,convert!$A$1:$B$4,2,0),"@@@",M118))</f>
        <v>null</v>
      </c>
      <c r="AC118" s="4" t="str">
        <f>IF(N118="",IF(ISNUMBER(SEARCH("NOT NULL",UPPER(N$3))),"''","null"),SUBSTITUTE(VLOOKUP(N$2,convert!$A$1:$B$4,2,0),"@@@",N118))</f>
        <v>null</v>
      </c>
      <c r="AD118" s="4" t="str">
        <f>IF(O118="",IF(ISNUMBER(SEARCH("NOT NULL",UPPER(O$3))),"''","null"),SUBSTITUTE(VLOOKUP(O$2,convert!$A$1:$B$4,2,0),"@@@",O118))</f>
        <v>TRUE</v>
      </c>
      <c r="AE118" s="4" t="str">
        <f t="shared" si="1"/>
        <v>    ('0084N01', 'ドードー', 35, 85, 45, 35, 35, 75, '', 'normal', 'flying', 'g1', null, null, TRUE),</v>
      </c>
    </row>
    <row r="119" spans="1:31">
      <c r="A119" s="4" t="s">
        <v>263</v>
      </c>
      <c r="B119" s="4" t="s">
        <v>264</v>
      </c>
      <c r="C119" s="5">
        <v>60</v>
      </c>
      <c r="D119" s="5">
        <v>110</v>
      </c>
      <c r="E119" s="5">
        <v>70</v>
      </c>
      <c r="F119" s="5">
        <v>60</v>
      </c>
      <c r="G119" s="5">
        <v>60</v>
      </c>
      <c r="H119" s="5">
        <v>110</v>
      </c>
      <c r="I119" s="5"/>
      <c r="J119" s="4" t="s">
        <v>80</v>
      </c>
      <c r="K119" s="4" t="s">
        <v>47</v>
      </c>
      <c r="L119" s="4" t="s">
        <v>32</v>
      </c>
      <c r="M119" s="5"/>
      <c r="N119" s="5"/>
      <c r="O119" s="5" t="b">
        <v>1</v>
      </c>
      <c r="P119" s="4" t="str">
        <f>IF(A119="",IF(ISNUMBER(SEARCH("NOT NULL",UPPER(A$3))),"''","null"),SUBSTITUTE(VLOOKUP(A$2,convert!$A$1:$B$4,2,0),"@@@",A119))</f>
        <v>'0085N01'</v>
      </c>
      <c r="Q119" s="4" t="str">
        <f>IF(B119="",IF(ISNUMBER(SEARCH("NOT NULL",UPPER(B$3))),"''","null"),SUBSTITUTE(VLOOKUP(B$2,convert!$A$1:$B$4,2,0),"@@@",B119))</f>
        <v>'ドードリオ'</v>
      </c>
      <c r="R119" s="4" t="str">
        <f>IF(C119="",IF(ISNUMBER(SEARCH("NOT NULL",UPPER(C$3))),"''","null"),SUBSTITUTE(VLOOKUP(C$2,convert!$A$1:$B$4,2,0),"@@@",C119))</f>
        <v>60</v>
      </c>
      <c r="S119" s="4" t="str">
        <f>IF(D119="",IF(ISNUMBER(SEARCH("NOT NULL",UPPER(D$3))),"''","null"),SUBSTITUTE(VLOOKUP(D$2,convert!$A$1:$B$4,2,0),"@@@",D119))</f>
        <v>110</v>
      </c>
      <c r="T119" s="4" t="str">
        <f>IF(E119="",IF(ISNUMBER(SEARCH("NOT NULL",UPPER(E$3))),"''","null"),SUBSTITUTE(VLOOKUP(E$2,convert!$A$1:$B$4,2,0),"@@@",E119))</f>
        <v>70</v>
      </c>
      <c r="U119" s="4" t="str">
        <f>IF(F119="",IF(ISNUMBER(SEARCH("NOT NULL",UPPER(F$3))),"''","null"),SUBSTITUTE(VLOOKUP(F$2,convert!$A$1:$B$4,2,0),"@@@",F119))</f>
        <v>60</v>
      </c>
      <c r="V119" s="4" t="str">
        <f>IF(G119="",IF(ISNUMBER(SEARCH("NOT NULL",UPPER(G$3))),"''","null"),SUBSTITUTE(VLOOKUP(G$2,convert!$A$1:$B$4,2,0),"@@@",G119))</f>
        <v>60</v>
      </c>
      <c r="W119" s="4" t="str">
        <f>IF(H119="",IF(ISNUMBER(SEARCH("NOT NULL",UPPER(H$3))),"''","null"),SUBSTITUTE(VLOOKUP(H$2,convert!$A$1:$B$4,2,0),"@@@",H119))</f>
        <v>110</v>
      </c>
      <c r="X119" s="4" t="str">
        <f>IF(I119="",IF(ISNUMBER(SEARCH("NOT NULL",UPPER(I$3))),"''","null"),SUBSTITUTE(VLOOKUP(I$2,convert!$A$1:$B$4,2,0),"@@@",I119))</f>
        <v>''</v>
      </c>
      <c r="Y119" s="4" t="str">
        <f>IF(J119="",IF(ISNUMBER(SEARCH("NOT NULL",UPPER(J$3))),"''","null"),SUBSTITUTE(VLOOKUP(J$2,convert!$A$1:$B$4,2,0),"@@@",J119))</f>
        <v>'normal'</v>
      </c>
      <c r="Z119" s="4" t="str">
        <f>IF(K119="",IF(ISNUMBER(SEARCH("NOT NULL",UPPER(K$3))),"''","null"),SUBSTITUTE(VLOOKUP(K$2,convert!$A$1:$B$4,2,0),"@@@",K119))</f>
        <v>'flying'</v>
      </c>
      <c r="AA119" s="4" t="str">
        <f>IF(L119="",IF(ISNUMBER(SEARCH("NOT NULL",UPPER(L$3))),"''","null"),SUBSTITUTE(VLOOKUP(L$2,convert!$A$1:$B$4,2,0),"@@@",L119))</f>
        <v>'g1'</v>
      </c>
      <c r="AB119" s="4" t="str">
        <f>IF(M119="",IF(ISNUMBER(SEARCH("NOT NULL",UPPER(M$3))),"''","null"),SUBSTITUTE(VLOOKUP(M$2,convert!$A$1:$B$4,2,0),"@@@",M119))</f>
        <v>null</v>
      </c>
      <c r="AC119" s="4" t="str">
        <f>IF(N119="",IF(ISNUMBER(SEARCH("NOT NULL",UPPER(N$3))),"''","null"),SUBSTITUTE(VLOOKUP(N$2,convert!$A$1:$B$4,2,0),"@@@",N119))</f>
        <v>null</v>
      </c>
      <c r="AD119" s="4" t="str">
        <f>IF(O119="",IF(ISNUMBER(SEARCH("NOT NULL",UPPER(O$3))),"''","null"),SUBSTITUTE(VLOOKUP(O$2,convert!$A$1:$B$4,2,0),"@@@",O119))</f>
        <v>TRUE</v>
      </c>
      <c r="AE119" s="4" t="str">
        <f t="shared" si="1"/>
        <v>    ('0085N01', 'ドードリオ', 60, 110, 70, 60, 60, 110, '', 'normal', 'flying', 'g1', null, null, TRUE),</v>
      </c>
    </row>
    <row r="120" spans="1:31">
      <c r="A120" s="4" t="s">
        <v>265</v>
      </c>
      <c r="B120" s="4" t="s">
        <v>266</v>
      </c>
      <c r="C120" s="5">
        <v>65</v>
      </c>
      <c r="D120" s="5">
        <v>45</v>
      </c>
      <c r="E120" s="5">
        <v>55</v>
      </c>
      <c r="F120" s="5">
        <v>45</v>
      </c>
      <c r="G120" s="5">
        <v>70</v>
      </c>
      <c r="H120" s="5">
        <v>45</v>
      </c>
      <c r="I120" s="5"/>
      <c r="J120" s="4" t="s">
        <v>55</v>
      </c>
      <c r="K120" s="5"/>
      <c r="L120" s="4" t="s">
        <v>32</v>
      </c>
      <c r="M120" s="5"/>
      <c r="N120" s="5"/>
      <c r="O120" s="5" t="b">
        <v>1</v>
      </c>
      <c r="P120" s="4" t="str">
        <f>IF(A120="",IF(ISNUMBER(SEARCH("NOT NULL",UPPER(A$3))),"''","null"),SUBSTITUTE(VLOOKUP(A$2,convert!$A$1:$B$4,2,0),"@@@",A120))</f>
        <v>'0086N01'</v>
      </c>
      <c r="Q120" s="4" t="str">
        <f>IF(B120="",IF(ISNUMBER(SEARCH("NOT NULL",UPPER(B$3))),"''","null"),SUBSTITUTE(VLOOKUP(B$2,convert!$A$1:$B$4,2,0),"@@@",B120))</f>
        <v>'パウワウ'</v>
      </c>
      <c r="R120" s="4" t="str">
        <f>IF(C120="",IF(ISNUMBER(SEARCH("NOT NULL",UPPER(C$3))),"''","null"),SUBSTITUTE(VLOOKUP(C$2,convert!$A$1:$B$4,2,0),"@@@",C120))</f>
        <v>65</v>
      </c>
      <c r="S120" s="4" t="str">
        <f>IF(D120="",IF(ISNUMBER(SEARCH("NOT NULL",UPPER(D$3))),"''","null"),SUBSTITUTE(VLOOKUP(D$2,convert!$A$1:$B$4,2,0),"@@@",D120))</f>
        <v>45</v>
      </c>
      <c r="T120" s="4" t="str">
        <f>IF(E120="",IF(ISNUMBER(SEARCH("NOT NULL",UPPER(E$3))),"''","null"),SUBSTITUTE(VLOOKUP(E$2,convert!$A$1:$B$4,2,0),"@@@",E120))</f>
        <v>55</v>
      </c>
      <c r="U120" s="4" t="str">
        <f>IF(F120="",IF(ISNUMBER(SEARCH("NOT NULL",UPPER(F$3))),"''","null"),SUBSTITUTE(VLOOKUP(F$2,convert!$A$1:$B$4,2,0),"@@@",F120))</f>
        <v>45</v>
      </c>
      <c r="V120" s="4" t="str">
        <f>IF(G120="",IF(ISNUMBER(SEARCH("NOT NULL",UPPER(G$3))),"''","null"),SUBSTITUTE(VLOOKUP(G$2,convert!$A$1:$B$4,2,0),"@@@",G120))</f>
        <v>70</v>
      </c>
      <c r="W120" s="4" t="str">
        <f>IF(H120="",IF(ISNUMBER(SEARCH("NOT NULL",UPPER(H$3))),"''","null"),SUBSTITUTE(VLOOKUP(H$2,convert!$A$1:$B$4,2,0),"@@@",H120))</f>
        <v>45</v>
      </c>
      <c r="X120" s="4" t="str">
        <f>IF(I120="",IF(ISNUMBER(SEARCH("NOT NULL",UPPER(I$3))),"''","null"),SUBSTITUTE(VLOOKUP(I$2,convert!$A$1:$B$4,2,0),"@@@",I120))</f>
        <v>''</v>
      </c>
      <c r="Y120" s="4" t="str">
        <f>IF(J120="",IF(ISNUMBER(SEARCH("NOT NULL",UPPER(J$3))),"''","null"),SUBSTITUTE(VLOOKUP(J$2,convert!$A$1:$B$4,2,0),"@@@",J120))</f>
        <v>'water'</v>
      </c>
      <c r="Z120" s="4" t="str">
        <f>IF(K120="",IF(ISNUMBER(SEARCH("NOT NULL",UPPER(K$3))),"''","null"),SUBSTITUTE(VLOOKUP(K$2,convert!$A$1:$B$4,2,0),"@@@",K120))</f>
        <v>null</v>
      </c>
      <c r="AA120" s="4" t="str">
        <f>IF(L120="",IF(ISNUMBER(SEARCH("NOT NULL",UPPER(L$3))),"''","null"),SUBSTITUTE(VLOOKUP(L$2,convert!$A$1:$B$4,2,0),"@@@",L120))</f>
        <v>'g1'</v>
      </c>
      <c r="AB120" s="4" t="str">
        <f>IF(M120="",IF(ISNUMBER(SEARCH("NOT NULL",UPPER(M$3))),"''","null"),SUBSTITUTE(VLOOKUP(M$2,convert!$A$1:$B$4,2,0),"@@@",M120))</f>
        <v>null</v>
      </c>
      <c r="AC120" s="4" t="str">
        <f>IF(N120="",IF(ISNUMBER(SEARCH("NOT NULL",UPPER(N$3))),"''","null"),SUBSTITUTE(VLOOKUP(N$2,convert!$A$1:$B$4,2,0),"@@@",N120))</f>
        <v>null</v>
      </c>
      <c r="AD120" s="4" t="str">
        <f>IF(O120="",IF(ISNUMBER(SEARCH("NOT NULL",UPPER(O$3))),"''","null"),SUBSTITUTE(VLOOKUP(O$2,convert!$A$1:$B$4,2,0),"@@@",O120))</f>
        <v>TRUE</v>
      </c>
      <c r="AE120" s="4" t="str">
        <f t="shared" si="1"/>
        <v>    ('0086N01', 'パウワウ', 65, 45, 55, 45, 70, 45, '', 'water', null, 'g1', null, null, TRUE),</v>
      </c>
    </row>
    <row r="121" spans="1:31">
      <c r="A121" s="4" t="s">
        <v>267</v>
      </c>
      <c r="B121" s="4" t="s">
        <v>268</v>
      </c>
      <c r="C121" s="5">
        <v>90</v>
      </c>
      <c r="D121" s="5">
        <v>70</v>
      </c>
      <c r="E121" s="5">
        <v>80</v>
      </c>
      <c r="F121" s="5">
        <v>70</v>
      </c>
      <c r="G121" s="5">
        <v>95</v>
      </c>
      <c r="H121" s="5">
        <v>70</v>
      </c>
      <c r="I121" s="5"/>
      <c r="J121" s="4" t="s">
        <v>55</v>
      </c>
      <c r="K121" s="4" t="s">
        <v>118</v>
      </c>
      <c r="L121" s="4" t="s">
        <v>32</v>
      </c>
      <c r="M121" s="5"/>
      <c r="N121" s="5"/>
      <c r="O121" s="5" t="b">
        <v>1</v>
      </c>
      <c r="P121" s="4" t="str">
        <f>IF(A121="",IF(ISNUMBER(SEARCH("NOT NULL",UPPER(A$3))),"''","null"),SUBSTITUTE(VLOOKUP(A$2,convert!$A$1:$B$4,2,0),"@@@",A121))</f>
        <v>'0087N01'</v>
      </c>
      <c r="Q121" s="4" t="str">
        <f>IF(B121="",IF(ISNUMBER(SEARCH("NOT NULL",UPPER(B$3))),"''","null"),SUBSTITUTE(VLOOKUP(B$2,convert!$A$1:$B$4,2,0),"@@@",B121))</f>
        <v>'ジュゴン'</v>
      </c>
      <c r="R121" s="4" t="str">
        <f>IF(C121="",IF(ISNUMBER(SEARCH("NOT NULL",UPPER(C$3))),"''","null"),SUBSTITUTE(VLOOKUP(C$2,convert!$A$1:$B$4,2,0),"@@@",C121))</f>
        <v>90</v>
      </c>
      <c r="S121" s="4" t="str">
        <f>IF(D121="",IF(ISNUMBER(SEARCH("NOT NULL",UPPER(D$3))),"''","null"),SUBSTITUTE(VLOOKUP(D$2,convert!$A$1:$B$4,2,0),"@@@",D121))</f>
        <v>70</v>
      </c>
      <c r="T121" s="4" t="str">
        <f>IF(E121="",IF(ISNUMBER(SEARCH("NOT NULL",UPPER(E$3))),"''","null"),SUBSTITUTE(VLOOKUP(E$2,convert!$A$1:$B$4,2,0),"@@@",E121))</f>
        <v>80</v>
      </c>
      <c r="U121" s="4" t="str">
        <f>IF(F121="",IF(ISNUMBER(SEARCH("NOT NULL",UPPER(F$3))),"''","null"),SUBSTITUTE(VLOOKUP(F$2,convert!$A$1:$B$4,2,0),"@@@",F121))</f>
        <v>70</v>
      </c>
      <c r="V121" s="4" t="str">
        <f>IF(G121="",IF(ISNUMBER(SEARCH("NOT NULL",UPPER(G$3))),"''","null"),SUBSTITUTE(VLOOKUP(G$2,convert!$A$1:$B$4,2,0),"@@@",G121))</f>
        <v>95</v>
      </c>
      <c r="W121" s="4" t="str">
        <f>IF(H121="",IF(ISNUMBER(SEARCH("NOT NULL",UPPER(H$3))),"''","null"),SUBSTITUTE(VLOOKUP(H$2,convert!$A$1:$B$4,2,0),"@@@",H121))</f>
        <v>70</v>
      </c>
      <c r="X121" s="4" t="str">
        <f>IF(I121="",IF(ISNUMBER(SEARCH("NOT NULL",UPPER(I$3))),"''","null"),SUBSTITUTE(VLOOKUP(I$2,convert!$A$1:$B$4,2,0),"@@@",I121))</f>
        <v>''</v>
      </c>
      <c r="Y121" s="4" t="str">
        <f>IF(J121="",IF(ISNUMBER(SEARCH("NOT NULL",UPPER(J$3))),"''","null"),SUBSTITUTE(VLOOKUP(J$2,convert!$A$1:$B$4,2,0),"@@@",J121))</f>
        <v>'water'</v>
      </c>
      <c r="Z121" s="4" t="str">
        <f>IF(K121="",IF(ISNUMBER(SEARCH("NOT NULL",UPPER(K$3))),"''","null"),SUBSTITUTE(VLOOKUP(K$2,convert!$A$1:$B$4,2,0),"@@@",K121))</f>
        <v>'ice'</v>
      </c>
      <c r="AA121" s="4" t="str">
        <f>IF(L121="",IF(ISNUMBER(SEARCH("NOT NULL",UPPER(L$3))),"''","null"),SUBSTITUTE(VLOOKUP(L$2,convert!$A$1:$B$4,2,0),"@@@",L121))</f>
        <v>'g1'</v>
      </c>
      <c r="AB121" s="4" t="str">
        <f>IF(M121="",IF(ISNUMBER(SEARCH("NOT NULL",UPPER(M$3))),"''","null"),SUBSTITUTE(VLOOKUP(M$2,convert!$A$1:$B$4,2,0),"@@@",M121))</f>
        <v>null</v>
      </c>
      <c r="AC121" s="4" t="str">
        <f>IF(N121="",IF(ISNUMBER(SEARCH("NOT NULL",UPPER(N$3))),"''","null"),SUBSTITUTE(VLOOKUP(N$2,convert!$A$1:$B$4,2,0),"@@@",N121))</f>
        <v>null</v>
      </c>
      <c r="AD121" s="4" t="str">
        <f>IF(O121="",IF(ISNUMBER(SEARCH("NOT NULL",UPPER(O$3))),"''","null"),SUBSTITUTE(VLOOKUP(O$2,convert!$A$1:$B$4,2,0),"@@@",O121))</f>
        <v>TRUE</v>
      </c>
      <c r="AE121" s="4" t="str">
        <f t="shared" si="1"/>
        <v>    ('0087N01', 'ジュゴン', 90, 70, 80, 70, 95, 70, '', 'water', 'ice', 'g1', null, null, TRUE),</v>
      </c>
    </row>
    <row r="122" spans="1:31">
      <c r="A122" s="4" t="s">
        <v>269</v>
      </c>
      <c r="B122" s="4" t="s">
        <v>270</v>
      </c>
      <c r="C122" s="5">
        <v>80</v>
      </c>
      <c r="D122" s="5">
        <v>80</v>
      </c>
      <c r="E122" s="5">
        <v>50</v>
      </c>
      <c r="F122" s="5">
        <v>40</v>
      </c>
      <c r="G122" s="5">
        <v>50</v>
      </c>
      <c r="H122" s="5">
        <v>25</v>
      </c>
      <c r="I122" s="5"/>
      <c r="J122" s="4" t="s">
        <v>31</v>
      </c>
      <c r="K122" s="5"/>
      <c r="L122" s="4" t="s">
        <v>32</v>
      </c>
      <c r="M122" s="5"/>
      <c r="N122" s="5"/>
      <c r="O122" s="5" t="b">
        <v>1</v>
      </c>
      <c r="P122" s="4" t="str">
        <f>IF(A122="",IF(ISNUMBER(SEARCH("NOT NULL",UPPER(A$3))),"''","null"),SUBSTITUTE(VLOOKUP(A$2,convert!$A$1:$B$4,2,0),"@@@",A122))</f>
        <v>'0088N01'</v>
      </c>
      <c r="Q122" s="4" t="str">
        <f>IF(B122="",IF(ISNUMBER(SEARCH("NOT NULL",UPPER(B$3))),"''","null"),SUBSTITUTE(VLOOKUP(B$2,convert!$A$1:$B$4,2,0),"@@@",B122))</f>
        <v>'ベトベター'</v>
      </c>
      <c r="R122" s="4" t="str">
        <f>IF(C122="",IF(ISNUMBER(SEARCH("NOT NULL",UPPER(C$3))),"''","null"),SUBSTITUTE(VLOOKUP(C$2,convert!$A$1:$B$4,2,0),"@@@",C122))</f>
        <v>80</v>
      </c>
      <c r="S122" s="4" t="str">
        <f>IF(D122="",IF(ISNUMBER(SEARCH("NOT NULL",UPPER(D$3))),"''","null"),SUBSTITUTE(VLOOKUP(D$2,convert!$A$1:$B$4,2,0),"@@@",D122))</f>
        <v>80</v>
      </c>
      <c r="T122" s="4" t="str">
        <f>IF(E122="",IF(ISNUMBER(SEARCH("NOT NULL",UPPER(E$3))),"''","null"),SUBSTITUTE(VLOOKUP(E$2,convert!$A$1:$B$4,2,0),"@@@",E122))</f>
        <v>50</v>
      </c>
      <c r="U122" s="4" t="str">
        <f>IF(F122="",IF(ISNUMBER(SEARCH("NOT NULL",UPPER(F$3))),"''","null"),SUBSTITUTE(VLOOKUP(F$2,convert!$A$1:$B$4,2,0),"@@@",F122))</f>
        <v>40</v>
      </c>
      <c r="V122" s="4" t="str">
        <f>IF(G122="",IF(ISNUMBER(SEARCH("NOT NULL",UPPER(G$3))),"''","null"),SUBSTITUTE(VLOOKUP(G$2,convert!$A$1:$B$4,2,0),"@@@",G122))</f>
        <v>50</v>
      </c>
      <c r="W122" s="4" t="str">
        <f>IF(H122="",IF(ISNUMBER(SEARCH("NOT NULL",UPPER(H$3))),"''","null"),SUBSTITUTE(VLOOKUP(H$2,convert!$A$1:$B$4,2,0),"@@@",H122))</f>
        <v>25</v>
      </c>
      <c r="X122" s="4" t="str">
        <f>IF(I122="",IF(ISNUMBER(SEARCH("NOT NULL",UPPER(I$3))),"''","null"),SUBSTITUTE(VLOOKUP(I$2,convert!$A$1:$B$4,2,0),"@@@",I122))</f>
        <v>''</v>
      </c>
      <c r="Y122" s="4" t="str">
        <f>IF(J122="",IF(ISNUMBER(SEARCH("NOT NULL",UPPER(J$3))),"''","null"),SUBSTITUTE(VLOOKUP(J$2,convert!$A$1:$B$4,2,0),"@@@",J122))</f>
        <v>'poison'</v>
      </c>
      <c r="Z122" s="4" t="str">
        <f>IF(K122="",IF(ISNUMBER(SEARCH("NOT NULL",UPPER(K$3))),"''","null"),SUBSTITUTE(VLOOKUP(K$2,convert!$A$1:$B$4,2,0),"@@@",K122))</f>
        <v>null</v>
      </c>
      <c r="AA122" s="4" t="str">
        <f>IF(L122="",IF(ISNUMBER(SEARCH("NOT NULL",UPPER(L$3))),"''","null"),SUBSTITUTE(VLOOKUP(L$2,convert!$A$1:$B$4,2,0),"@@@",L122))</f>
        <v>'g1'</v>
      </c>
      <c r="AB122" s="4" t="str">
        <f>IF(M122="",IF(ISNUMBER(SEARCH("NOT NULL",UPPER(M$3))),"''","null"),SUBSTITUTE(VLOOKUP(M$2,convert!$A$1:$B$4,2,0),"@@@",M122))</f>
        <v>null</v>
      </c>
      <c r="AC122" s="4" t="str">
        <f>IF(N122="",IF(ISNUMBER(SEARCH("NOT NULL",UPPER(N$3))),"''","null"),SUBSTITUTE(VLOOKUP(N$2,convert!$A$1:$B$4,2,0),"@@@",N122))</f>
        <v>null</v>
      </c>
      <c r="AD122" s="4" t="str">
        <f>IF(O122="",IF(ISNUMBER(SEARCH("NOT NULL",UPPER(O$3))),"''","null"),SUBSTITUTE(VLOOKUP(O$2,convert!$A$1:$B$4,2,0),"@@@",O122))</f>
        <v>TRUE</v>
      </c>
      <c r="AE122" s="4" t="str">
        <f t="shared" si="1"/>
        <v>    ('0088N01', 'ベトベター', 80, 80, 50, 40, 50, 25, '', 'poison', null, 'g1', null, null, TRUE),</v>
      </c>
    </row>
    <row r="123" spans="1:31">
      <c r="A123" s="4" t="s">
        <v>271</v>
      </c>
      <c r="B123" s="4" t="s">
        <v>270</v>
      </c>
      <c r="C123" s="5">
        <v>80</v>
      </c>
      <c r="D123" s="5">
        <v>80</v>
      </c>
      <c r="E123" s="5">
        <v>50</v>
      </c>
      <c r="F123" s="5">
        <v>40</v>
      </c>
      <c r="G123" s="5">
        <v>50</v>
      </c>
      <c r="H123" s="5">
        <v>25</v>
      </c>
      <c r="I123" s="4" t="s">
        <v>90</v>
      </c>
      <c r="J123" s="4" t="s">
        <v>31</v>
      </c>
      <c r="K123" s="4" t="s">
        <v>91</v>
      </c>
      <c r="L123" s="4" t="s">
        <v>92</v>
      </c>
      <c r="M123" s="5"/>
      <c r="N123" s="5"/>
      <c r="O123" s="5" t="b">
        <v>1</v>
      </c>
      <c r="P123" s="4" t="str">
        <f>IF(A123="",IF(ISNUMBER(SEARCH("NOT NULL",UPPER(A$3))),"''","null"),SUBSTITUTE(VLOOKUP(A$2,convert!$A$1:$B$4,2,0),"@@@",A123))</f>
        <v>'0088A01'</v>
      </c>
      <c r="Q123" s="4" t="str">
        <f>IF(B123="",IF(ISNUMBER(SEARCH("NOT NULL",UPPER(B$3))),"''","null"),SUBSTITUTE(VLOOKUP(B$2,convert!$A$1:$B$4,2,0),"@@@",B123))</f>
        <v>'ベトベター'</v>
      </c>
      <c r="R123" s="4" t="str">
        <f>IF(C123="",IF(ISNUMBER(SEARCH("NOT NULL",UPPER(C$3))),"''","null"),SUBSTITUTE(VLOOKUP(C$2,convert!$A$1:$B$4,2,0),"@@@",C123))</f>
        <v>80</v>
      </c>
      <c r="S123" s="4" t="str">
        <f>IF(D123="",IF(ISNUMBER(SEARCH("NOT NULL",UPPER(D$3))),"''","null"),SUBSTITUTE(VLOOKUP(D$2,convert!$A$1:$B$4,2,0),"@@@",D123))</f>
        <v>80</v>
      </c>
      <c r="T123" s="4" t="str">
        <f>IF(E123="",IF(ISNUMBER(SEARCH("NOT NULL",UPPER(E$3))),"''","null"),SUBSTITUTE(VLOOKUP(E$2,convert!$A$1:$B$4,2,0),"@@@",E123))</f>
        <v>50</v>
      </c>
      <c r="U123" s="4" t="str">
        <f>IF(F123="",IF(ISNUMBER(SEARCH("NOT NULL",UPPER(F$3))),"''","null"),SUBSTITUTE(VLOOKUP(F$2,convert!$A$1:$B$4,2,0),"@@@",F123))</f>
        <v>40</v>
      </c>
      <c r="V123" s="4" t="str">
        <f>IF(G123="",IF(ISNUMBER(SEARCH("NOT NULL",UPPER(G$3))),"''","null"),SUBSTITUTE(VLOOKUP(G$2,convert!$A$1:$B$4,2,0),"@@@",G123))</f>
        <v>50</v>
      </c>
      <c r="W123" s="4" t="str">
        <f>IF(H123="",IF(ISNUMBER(SEARCH("NOT NULL",UPPER(H$3))),"''","null"),SUBSTITUTE(VLOOKUP(H$2,convert!$A$1:$B$4,2,0),"@@@",H123))</f>
        <v>25</v>
      </c>
      <c r="X123" s="4" t="str">
        <f>IF(I123="",IF(ISNUMBER(SEARCH("NOT NULL",UPPER(I$3))),"''","null"),SUBSTITUTE(VLOOKUP(I$2,convert!$A$1:$B$4,2,0),"@@@",I123))</f>
        <v>'アローラのすがた'</v>
      </c>
      <c r="Y123" s="4" t="str">
        <f>IF(J123="",IF(ISNUMBER(SEARCH("NOT NULL",UPPER(J$3))),"''","null"),SUBSTITUTE(VLOOKUP(J$2,convert!$A$1:$B$4,2,0),"@@@",J123))</f>
        <v>'poison'</v>
      </c>
      <c r="Z123" s="4" t="str">
        <f>IF(K123="",IF(ISNUMBER(SEARCH("NOT NULL",UPPER(K$3))),"''","null"),SUBSTITUTE(VLOOKUP(K$2,convert!$A$1:$B$4,2,0),"@@@",K123))</f>
        <v>'dark'</v>
      </c>
      <c r="AA123" s="4" t="str">
        <f>IF(L123="",IF(ISNUMBER(SEARCH("NOT NULL",UPPER(L$3))),"''","null"),SUBSTITUTE(VLOOKUP(L$2,convert!$A$1:$B$4,2,0),"@@@",L123))</f>
        <v>'g7'</v>
      </c>
      <c r="AB123" s="4" t="str">
        <f>IF(M123="",IF(ISNUMBER(SEARCH("NOT NULL",UPPER(M$3))),"''","null"),SUBSTITUTE(VLOOKUP(M$2,convert!$A$1:$B$4,2,0),"@@@",M123))</f>
        <v>null</v>
      </c>
      <c r="AC123" s="4" t="str">
        <f>IF(N123="",IF(ISNUMBER(SEARCH("NOT NULL",UPPER(N$3))),"''","null"),SUBSTITUTE(VLOOKUP(N$2,convert!$A$1:$B$4,2,0),"@@@",N123))</f>
        <v>null</v>
      </c>
      <c r="AD123" s="4" t="str">
        <f>IF(O123="",IF(ISNUMBER(SEARCH("NOT NULL",UPPER(O$3))),"''","null"),SUBSTITUTE(VLOOKUP(O$2,convert!$A$1:$B$4,2,0),"@@@",O123))</f>
        <v>TRUE</v>
      </c>
      <c r="AE123" s="4" t="str">
        <f t="shared" si="1"/>
        <v>    ('0088A01', 'ベトベター', 80, 80, 50, 40, 50, 25, 'アローラのすがた', 'poison', 'dark', 'g7', null, null, TRUE),</v>
      </c>
    </row>
    <row r="124" spans="1:31">
      <c r="A124" s="4" t="s">
        <v>272</v>
      </c>
      <c r="B124" s="4" t="s">
        <v>273</v>
      </c>
      <c r="C124" s="5">
        <v>105</v>
      </c>
      <c r="D124" s="5">
        <v>105</v>
      </c>
      <c r="E124" s="5">
        <v>75</v>
      </c>
      <c r="F124" s="5">
        <v>65</v>
      </c>
      <c r="G124" s="5">
        <v>100</v>
      </c>
      <c r="H124" s="5">
        <v>50</v>
      </c>
      <c r="I124" s="5"/>
      <c r="J124" s="4" t="s">
        <v>31</v>
      </c>
      <c r="K124" s="5"/>
      <c r="L124" s="4" t="s">
        <v>32</v>
      </c>
      <c r="M124" s="5"/>
      <c r="N124" s="5"/>
      <c r="O124" s="5" t="b">
        <v>1</v>
      </c>
      <c r="P124" s="4" t="str">
        <f>IF(A124="",IF(ISNUMBER(SEARCH("NOT NULL",UPPER(A$3))),"''","null"),SUBSTITUTE(VLOOKUP(A$2,convert!$A$1:$B$4,2,0),"@@@",A124))</f>
        <v>'0089N01'</v>
      </c>
      <c r="Q124" s="4" t="str">
        <f>IF(B124="",IF(ISNUMBER(SEARCH("NOT NULL",UPPER(B$3))),"''","null"),SUBSTITUTE(VLOOKUP(B$2,convert!$A$1:$B$4,2,0),"@@@",B124))</f>
        <v>'ベトベトン'</v>
      </c>
      <c r="R124" s="4" t="str">
        <f>IF(C124="",IF(ISNUMBER(SEARCH("NOT NULL",UPPER(C$3))),"''","null"),SUBSTITUTE(VLOOKUP(C$2,convert!$A$1:$B$4,2,0),"@@@",C124))</f>
        <v>105</v>
      </c>
      <c r="S124" s="4" t="str">
        <f>IF(D124="",IF(ISNUMBER(SEARCH("NOT NULL",UPPER(D$3))),"''","null"),SUBSTITUTE(VLOOKUP(D$2,convert!$A$1:$B$4,2,0),"@@@",D124))</f>
        <v>105</v>
      </c>
      <c r="T124" s="4" t="str">
        <f>IF(E124="",IF(ISNUMBER(SEARCH("NOT NULL",UPPER(E$3))),"''","null"),SUBSTITUTE(VLOOKUP(E$2,convert!$A$1:$B$4,2,0),"@@@",E124))</f>
        <v>75</v>
      </c>
      <c r="U124" s="4" t="str">
        <f>IF(F124="",IF(ISNUMBER(SEARCH("NOT NULL",UPPER(F$3))),"''","null"),SUBSTITUTE(VLOOKUP(F$2,convert!$A$1:$B$4,2,0),"@@@",F124))</f>
        <v>65</v>
      </c>
      <c r="V124" s="4" t="str">
        <f>IF(G124="",IF(ISNUMBER(SEARCH("NOT NULL",UPPER(G$3))),"''","null"),SUBSTITUTE(VLOOKUP(G$2,convert!$A$1:$B$4,2,0),"@@@",G124))</f>
        <v>100</v>
      </c>
      <c r="W124" s="4" t="str">
        <f>IF(H124="",IF(ISNUMBER(SEARCH("NOT NULL",UPPER(H$3))),"''","null"),SUBSTITUTE(VLOOKUP(H$2,convert!$A$1:$B$4,2,0),"@@@",H124))</f>
        <v>50</v>
      </c>
      <c r="X124" s="4" t="str">
        <f>IF(I124="",IF(ISNUMBER(SEARCH("NOT NULL",UPPER(I$3))),"''","null"),SUBSTITUTE(VLOOKUP(I$2,convert!$A$1:$B$4,2,0),"@@@",I124))</f>
        <v>''</v>
      </c>
      <c r="Y124" s="4" t="str">
        <f>IF(J124="",IF(ISNUMBER(SEARCH("NOT NULL",UPPER(J$3))),"''","null"),SUBSTITUTE(VLOOKUP(J$2,convert!$A$1:$B$4,2,0),"@@@",J124))</f>
        <v>'poison'</v>
      </c>
      <c r="Z124" s="4" t="str">
        <f>IF(K124="",IF(ISNUMBER(SEARCH("NOT NULL",UPPER(K$3))),"''","null"),SUBSTITUTE(VLOOKUP(K$2,convert!$A$1:$B$4,2,0),"@@@",K124))</f>
        <v>null</v>
      </c>
      <c r="AA124" s="4" t="str">
        <f>IF(L124="",IF(ISNUMBER(SEARCH("NOT NULL",UPPER(L$3))),"''","null"),SUBSTITUTE(VLOOKUP(L$2,convert!$A$1:$B$4,2,0),"@@@",L124))</f>
        <v>'g1'</v>
      </c>
      <c r="AB124" s="4" t="str">
        <f>IF(M124="",IF(ISNUMBER(SEARCH("NOT NULL",UPPER(M$3))),"''","null"),SUBSTITUTE(VLOOKUP(M$2,convert!$A$1:$B$4,2,0),"@@@",M124))</f>
        <v>null</v>
      </c>
      <c r="AC124" s="4" t="str">
        <f>IF(N124="",IF(ISNUMBER(SEARCH("NOT NULL",UPPER(N$3))),"''","null"),SUBSTITUTE(VLOOKUP(N$2,convert!$A$1:$B$4,2,0),"@@@",N124))</f>
        <v>null</v>
      </c>
      <c r="AD124" s="4" t="str">
        <f>IF(O124="",IF(ISNUMBER(SEARCH("NOT NULL",UPPER(O$3))),"''","null"),SUBSTITUTE(VLOOKUP(O$2,convert!$A$1:$B$4,2,0),"@@@",O124))</f>
        <v>TRUE</v>
      </c>
      <c r="AE124" s="4" t="str">
        <f t="shared" si="1"/>
        <v>    ('0089N01', 'ベトベトン', 105, 105, 75, 65, 100, 50, '', 'poison', null, 'g1', null, null, TRUE),</v>
      </c>
    </row>
    <row r="125" spans="1:31">
      <c r="A125" s="4" t="s">
        <v>274</v>
      </c>
      <c r="B125" s="4" t="s">
        <v>273</v>
      </c>
      <c r="C125" s="5">
        <v>105</v>
      </c>
      <c r="D125" s="5">
        <v>105</v>
      </c>
      <c r="E125" s="5">
        <v>75</v>
      </c>
      <c r="F125" s="5">
        <v>65</v>
      </c>
      <c r="G125" s="5">
        <v>100</v>
      </c>
      <c r="H125" s="5">
        <v>50</v>
      </c>
      <c r="I125" s="4" t="s">
        <v>90</v>
      </c>
      <c r="J125" s="4" t="s">
        <v>31</v>
      </c>
      <c r="K125" s="4" t="s">
        <v>91</v>
      </c>
      <c r="L125" s="4" t="s">
        <v>92</v>
      </c>
      <c r="M125" s="5"/>
      <c r="N125" s="5"/>
      <c r="O125" s="5" t="b">
        <v>1</v>
      </c>
      <c r="P125" s="4" t="str">
        <f>IF(A125="",IF(ISNUMBER(SEARCH("NOT NULL",UPPER(A$3))),"''","null"),SUBSTITUTE(VLOOKUP(A$2,convert!$A$1:$B$4,2,0),"@@@",A125))</f>
        <v>'0089A01'</v>
      </c>
      <c r="Q125" s="4" t="str">
        <f>IF(B125="",IF(ISNUMBER(SEARCH("NOT NULL",UPPER(B$3))),"''","null"),SUBSTITUTE(VLOOKUP(B$2,convert!$A$1:$B$4,2,0),"@@@",B125))</f>
        <v>'ベトベトン'</v>
      </c>
      <c r="R125" s="4" t="str">
        <f>IF(C125="",IF(ISNUMBER(SEARCH("NOT NULL",UPPER(C$3))),"''","null"),SUBSTITUTE(VLOOKUP(C$2,convert!$A$1:$B$4,2,0),"@@@",C125))</f>
        <v>105</v>
      </c>
      <c r="S125" s="4" t="str">
        <f>IF(D125="",IF(ISNUMBER(SEARCH("NOT NULL",UPPER(D$3))),"''","null"),SUBSTITUTE(VLOOKUP(D$2,convert!$A$1:$B$4,2,0),"@@@",D125))</f>
        <v>105</v>
      </c>
      <c r="T125" s="4" t="str">
        <f>IF(E125="",IF(ISNUMBER(SEARCH("NOT NULL",UPPER(E$3))),"''","null"),SUBSTITUTE(VLOOKUP(E$2,convert!$A$1:$B$4,2,0),"@@@",E125))</f>
        <v>75</v>
      </c>
      <c r="U125" s="4" t="str">
        <f>IF(F125="",IF(ISNUMBER(SEARCH("NOT NULL",UPPER(F$3))),"''","null"),SUBSTITUTE(VLOOKUP(F$2,convert!$A$1:$B$4,2,0),"@@@",F125))</f>
        <v>65</v>
      </c>
      <c r="V125" s="4" t="str">
        <f>IF(G125="",IF(ISNUMBER(SEARCH("NOT NULL",UPPER(G$3))),"''","null"),SUBSTITUTE(VLOOKUP(G$2,convert!$A$1:$B$4,2,0),"@@@",G125))</f>
        <v>100</v>
      </c>
      <c r="W125" s="4" t="str">
        <f>IF(H125="",IF(ISNUMBER(SEARCH("NOT NULL",UPPER(H$3))),"''","null"),SUBSTITUTE(VLOOKUP(H$2,convert!$A$1:$B$4,2,0),"@@@",H125))</f>
        <v>50</v>
      </c>
      <c r="X125" s="4" t="str">
        <f>IF(I125="",IF(ISNUMBER(SEARCH("NOT NULL",UPPER(I$3))),"''","null"),SUBSTITUTE(VLOOKUP(I$2,convert!$A$1:$B$4,2,0),"@@@",I125))</f>
        <v>'アローラのすがた'</v>
      </c>
      <c r="Y125" s="4" t="str">
        <f>IF(J125="",IF(ISNUMBER(SEARCH("NOT NULL",UPPER(J$3))),"''","null"),SUBSTITUTE(VLOOKUP(J$2,convert!$A$1:$B$4,2,0),"@@@",J125))</f>
        <v>'poison'</v>
      </c>
      <c r="Z125" s="4" t="str">
        <f>IF(K125="",IF(ISNUMBER(SEARCH("NOT NULL",UPPER(K$3))),"''","null"),SUBSTITUTE(VLOOKUP(K$2,convert!$A$1:$B$4,2,0),"@@@",K125))</f>
        <v>'dark'</v>
      </c>
      <c r="AA125" s="4" t="str">
        <f>IF(L125="",IF(ISNUMBER(SEARCH("NOT NULL",UPPER(L$3))),"''","null"),SUBSTITUTE(VLOOKUP(L$2,convert!$A$1:$B$4,2,0),"@@@",L125))</f>
        <v>'g7'</v>
      </c>
      <c r="AB125" s="4" t="str">
        <f>IF(M125="",IF(ISNUMBER(SEARCH("NOT NULL",UPPER(M$3))),"''","null"),SUBSTITUTE(VLOOKUP(M$2,convert!$A$1:$B$4,2,0),"@@@",M125))</f>
        <v>null</v>
      </c>
      <c r="AC125" s="4" t="str">
        <f>IF(N125="",IF(ISNUMBER(SEARCH("NOT NULL",UPPER(N$3))),"''","null"),SUBSTITUTE(VLOOKUP(N$2,convert!$A$1:$B$4,2,0),"@@@",N125))</f>
        <v>null</v>
      </c>
      <c r="AD125" s="4" t="str">
        <f>IF(O125="",IF(ISNUMBER(SEARCH("NOT NULL",UPPER(O$3))),"''","null"),SUBSTITUTE(VLOOKUP(O$2,convert!$A$1:$B$4,2,0),"@@@",O125))</f>
        <v>TRUE</v>
      </c>
      <c r="AE125" s="4" t="str">
        <f t="shared" si="1"/>
        <v>    ('0089A01', 'ベトベトン', 105, 105, 75, 65, 100, 50, 'アローラのすがた', 'poison', 'dark', 'g7', null, null, TRUE),</v>
      </c>
    </row>
    <row r="126" spans="1:31">
      <c r="A126" s="4" t="s">
        <v>275</v>
      </c>
      <c r="B126" s="4" t="s">
        <v>276</v>
      </c>
      <c r="C126" s="5">
        <v>30</v>
      </c>
      <c r="D126" s="5">
        <v>65</v>
      </c>
      <c r="E126" s="5">
        <v>100</v>
      </c>
      <c r="F126" s="5">
        <v>45</v>
      </c>
      <c r="G126" s="5">
        <v>25</v>
      </c>
      <c r="H126" s="5">
        <v>40</v>
      </c>
      <c r="I126" s="5"/>
      <c r="J126" s="4" t="s">
        <v>55</v>
      </c>
      <c r="K126" s="5"/>
      <c r="L126" s="4" t="s">
        <v>32</v>
      </c>
      <c r="M126" s="5"/>
      <c r="N126" s="5"/>
      <c r="O126" s="5" t="b">
        <v>1</v>
      </c>
      <c r="P126" s="4" t="str">
        <f>IF(A126="",IF(ISNUMBER(SEARCH("NOT NULL",UPPER(A$3))),"''","null"),SUBSTITUTE(VLOOKUP(A$2,convert!$A$1:$B$4,2,0),"@@@",A126))</f>
        <v>'0090N01'</v>
      </c>
      <c r="Q126" s="4" t="str">
        <f>IF(B126="",IF(ISNUMBER(SEARCH("NOT NULL",UPPER(B$3))),"''","null"),SUBSTITUTE(VLOOKUP(B$2,convert!$A$1:$B$4,2,0),"@@@",B126))</f>
        <v>'シェルダー'</v>
      </c>
      <c r="R126" s="4" t="str">
        <f>IF(C126="",IF(ISNUMBER(SEARCH("NOT NULL",UPPER(C$3))),"''","null"),SUBSTITUTE(VLOOKUP(C$2,convert!$A$1:$B$4,2,0),"@@@",C126))</f>
        <v>30</v>
      </c>
      <c r="S126" s="4" t="str">
        <f>IF(D126="",IF(ISNUMBER(SEARCH("NOT NULL",UPPER(D$3))),"''","null"),SUBSTITUTE(VLOOKUP(D$2,convert!$A$1:$B$4,2,0),"@@@",D126))</f>
        <v>65</v>
      </c>
      <c r="T126" s="4" t="str">
        <f>IF(E126="",IF(ISNUMBER(SEARCH("NOT NULL",UPPER(E$3))),"''","null"),SUBSTITUTE(VLOOKUP(E$2,convert!$A$1:$B$4,2,0),"@@@",E126))</f>
        <v>100</v>
      </c>
      <c r="U126" s="4" t="str">
        <f>IF(F126="",IF(ISNUMBER(SEARCH("NOT NULL",UPPER(F$3))),"''","null"),SUBSTITUTE(VLOOKUP(F$2,convert!$A$1:$B$4,2,0),"@@@",F126))</f>
        <v>45</v>
      </c>
      <c r="V126" s="4" t="str">
        <f>IF(G126="",IF(ISNUMBER(SEARCH("NOT NULL",UPPER(G$3))),"''","null"),SUBSTITUTE(VLOOKUP(G$2,convert!$A$1:$B$4,2,0),"@@@",G126))</f>
        <v>25</v>
      </c>
      <c r="W126" s="4" t="str">
        <f>IF(H126="",IF(ISNUMBER(SEARCH("NOT NULL",UPPER(H$3))),"''","null"),SUBSTITUTE(VLOOKUP(H$2,convert!$A$1:$B$4,2,0),"@@@",H126))</f>
        <v>40</v>
      </c>
      <c r="X126" s="4" t="str">
        <f>IF(I126="",IF(ISNUMBER(SEARCH("NOT NULL",UPPER(I$3))),"''","null"),SUBSTITUTE(VLOOKUP(I$2,convert!$A$1:$B$4,2,0),"@@@",I126))</f>
        <v>''</v>
      </c>
      <c r="Y126" s="4" t="str">
        <f>IF(J126="",IF(ISNUMBER(SEARCH("NOT NULL",UPPER(J$3))),"''","null"),SUBSTITUTE(VLOOKUP(J$2,convert!$A$1:$B$4,2,0),"@@@",J126))</f>
        <v>'water'</v>
      </c>
      <c r="Z126" s="4" t="str">
        <f>IF(K126="",IF(ISNUMBER(SEARCH("NOT NULL",UPPER(K$3))),"''","null"),SUBSTITUTE(VLOOKUP(K$2,convert!$A$1:$B$4,2,0),"@@@",K126))</f>
        <v>null</v>
      </c>
      <c r="AA126" s="4" t="str">
        <f>IF(L126="",IF(ISNUMBER(SEARCH("NOT NULL",UPPER(L$3))),"''","null"),SUBSTITUTE(VLOOKUP(L$2,convert!$A$1:$B$4,2,0),"@@@",L126))</f>
        <v>'g1'</v>
      </c>
      <c r="AB126" s="4" t="str">
        <f>IF(M126="",IF(ISNUMBER(SEARCH("NOT NULL",UPPER(M$3))),"''","null"),SUBSTITUTE(VLOOKUP(M$2,convert!$A$1:$B$4,2,0),"@@@",M126))</f>
        <v>null</v>
      </c>
      <c r="AC126" s="4" t="str">
        <f>IF(N126="",IF(ISNUMBER(SEARCH("NOT NULL",UPPER(N$3))),"''","null"),SUBSTITUTE(VLOOKUP(N$2,convert!$A$1:$B$4,2,0),"@@@",N126))</f>
        <v>null</v>
      </c>
      <c r="AD126" s="4" t="str">
        <f>IF(O126="",IF(ISNUMBER(SEARCH("NOT NULL",UPPER(O$3))),"''","null"),SUBSTITUTE(VLOOKUP(O$2,convert!$A$1:$B$4,2,0),"@@@",O126))</f>
        <v>TRUE</v>
      </c>
      <c r="AE126" s="4" t="str">
        <f t="shared" si="1"/>
        <v>    ('0090N01', 'シェルダー', 30, 65, 100, 45, 25, 40, '', 'water', null, 'g1', null, null, TRUE),</v>
      </c>
    </row>
    <row r="127" spans="1:31">
      <c r="A127" s="4" t="s">
        <v>277</v>
      </c>
      <c r="B127" s="4" t="s">
        <v>278</v>
      </c>
      <c r="C127" s="5">
        <v>50</v>
      </c>
      <c r="D127" s="5">
        <v>95</v>
      </c>
      <c r="E127" s="5">
        <v>180</v>
      </c>
      <c r="F127" s="5">
        <v>85</v>
      </c>
      <c r="G127" s="5">
        <v>45</v>
      </c>
      <c r="H127" s="5">
        <v>70</v>
      </c>
      <c r="I127" s="5"/>
      <c r="J127" s="4" t="s">
        <v>55</v>
      </c>
      <c r="K127" s="4" t="s">
        <v>118</v>
      </c>
      <c r="L127" s="4" t="s">
        <v>32</v>
      </c>
      <c r="M127" s="5"/>
      <c r="N127" s="5"/>
      <c r="O127" s="5" t="b">
        <v>1</v>
      </c>
      <c r="P127" s="4" t="str">
        <f>IF(A127="",IF(ISNUMBER(SEARCH("NOT NULL",UPPER(A$3))),"''","null"),SUBSTITUTE(VLOOKUP(A$2,convert!$A$1:$B$4,2,0),"@@@",A127))</f>
        <v>'0091N01'</v>
      </c>
      <c r="Q127" s="4" t="str">
        <f>IF(B127="",IF(ISNUMBER(SEARCH("NOT NULL",UPPER(B$3))),"''","null"),SUBSTITUTE(VLOOKUP(B$2,convert!$A$1:$B$4,2,0),"@@@",B127))</f>
        <v>'パルシェン'</v>
      </c>
      <c r="R127" s="4" t="str">
        <f>IF(C127="",IF(ISNUMBER(SEARCH("NOT NULL",UPPER(C$3))),"''","null"),SUBSTITUTE(VLOOKUP(C$2,convert!$A$1:$B$4,2,0),"@@@",C127))</f>
        <v>50</v>
      </c>
      <c r="S127" s="4" t="str">
        <f>IF(D127="",IF(ISNUMBER(SEARCH("NOT NULL",UPPER(D$3))),"''","null"),SUBSTITUTE(VLOOKUP(D$2,convert!$A$1:$B$4,2,0),"@@@",D127))</f>
        <v>95</v>
      </c>
      <c r="T127" s="4" t="str">
        <f>IF(E127="",IF(ISNUMBER(SEARCH("NOT NULL",UPPER(E$3))),"''","null"),SUBSTITUTE(VLOOKUP(E$2,convert!$A$1:$B$4,2,0),"@@@",E127))</f>
        <v>180</v>
      </c>
      <c r="U127" s="4" t="str">
        <f>IF(F127="",IF(ISNUMBER(SEARCH("NOT NULL",UPPER(F$3))),"''","null"),SUBSTITUTE(VLOOKUP(F$2,convert!$A$1:$B$4,2,0),"@@@",F127))</f>
        <v>85</v>
      </c>
      <c r="V127" s="4" t="str">
        <f>IF(G127="",IF(ISNUMBER(SEARCH("NOT NULL",UPPER(G$3))),"''","null"),SUBSTITUTE(VLOOKUP(G$2,convert!$A$1:$B$4,2,0),"@@@",G127))</f>
        <v>45</v>
      </c>
      <c r="W127" s="4" t="str">
        <f>IF(H127="",IF(ISNUMBER(SEARCH("NOT NULL",UPPER(H$3))),"''","null"),SUBSTITUTE(VLOOKUP(H$2,convert!$A$1:$B$4,2,0),"@@@",H127))</f>
        <v>70</v>
      </c>
      <c r="X127" s="4" t="str">
        <f>IF(I127="",IF(ISNUMBER(SEARCH("NOT NULL",UPPER(I$3))),"''","null"),SUBSTITUTE(VLOOKUP(I$2,convert!$A$1:$B$4,2,0),"@@@",I127))</f>
        <v>''</v>
      </c>
      <c r="Y127" s="4" t="str">
        <f>IF(J127="",IF(ISNUMBER(SEARCH("NOT NULL",UPPER(J$3))),"''","null"),SUBSTITUTE(VLOOKUP(J$2,convert!$A$1:$B$4,2,0),"@@@",J127))</f>
        <v>'water'</v>
      </c>
      <c r="Z127" s="4" t="str">
        <f>IF(K127="",IF(ISNUMBER(SEARCH("NOT NULL",UPPER(K$3))),"''","null"),SUBSTITUTE(VLOOKUP(K$2,convert!$A$1:$B$4,2,0),"@@@",K127))</f>
        <v>'ice'</v>
      </c>
      <c r="AA127" s="4" t="str">
        <f>IF(L127="",IF(ISNUMBER(SEARCH("NOT NULL",UPPER(L$3))),"''","null"),SUBSTITUTE(VLOOKUP(L$2,convert!$A$1:$B$4,2,0),"@@@",L127))</f>
        <v>'g1'</v>
      </c>
      <c r="AB127" s="4" t="str">
        <f>IF(M127="",IF(ISNUMBER(SEARCH("NOT NULL",UPPER(M$3))),"''","null"),SUBSTITUTE(VLOOKUP(M$2,convert!$A$1:$B$4,2,0),"@@@",M127))</f>
        <v>null</v>
      </c>
      <c r="AC127" s="4" t="str">
        <f>IF(N127="",IF(ISNUMBER(SEARCH("NOT NULL",UPPER(N$3))),"''","null"),SUBSTITUTE(VLOOKUP(N$2,convert!$A$1:$B$4,2,0),"@@@",N127))</f>
        <v>null</v>
      </c>
      <c r="AD127" s="4" t="str">
        <f>IF(O127="",IF(ISNUMBER(SEARCH("NOT NULL",UPPER(O$3))),"''","null"),SUBSTITUTE(VLOOKUP(O$2,convert!$A$1:$B$4,2,0),"@@@",O127))</f>
        <v>TRUE</v>
      </c>
      <c r="AE127" s="4" t="str">
        <f t="shared" si="1"/>
        <v>    ('0091N01', 'パルシェン', 50, 95, 180, 85, 45, 70, '', 'water', 'ice', 'g1', null, null, TRUE),</v>
      </c>
    </row>
    <row r="128" spans="1:31">
      <c r="A128" s="4" t="s">
        <v>279</v>
      </c>
      <c r="B128" s="4" t="s">
        <v>280</v>
      </c>
      <c r="C128" s="5">
        <v>30</v>
      </c>
      <c r="D128" s="5">
        <v>35</v>
      </c>
      <c r="E128" s="5">
        <v>30</v>
      </c>
      <c r="F128" s="5">
        <v>100</v>
      </c>
      <c r="G128" s="5">
        <v>35</v>
      </c>
      <c r="H128" s="5">
        <v>80</v>
      </c>
      <c r="I128" s="5"/>
      <c r="J128" s="4" t="s">
        <v>281</v>
      </c>
      <c r="K128" s="4" t="s">
        <v>31</v>
      </c>
      <c r="L128" s="4" t="s">
        <v>32</v>
      </c>
      <c r="M128" s="5"/>
      <c r="N128" s="5"/>
      <c r="O128" s="5" t="b">
        <v>1</v>
      </c>
      <c r="P128" s="4" t="str">
        <f>IF(A128="",IF(ISNUMBER(SEARCH("NOT NULL",UPPER(A$3))),"''","null"),SUBSTITUTE(VLOOKUP(A$2,convert!$A$1:$B$4,2,0),"@@@",A128))</f>
        <v>'0092N01'</v>
      </c>
      <c r="Q128" s="4" t="str">
        <f>IF(B128="",IF(ISNUMBER(SEARCH("NOT NULL",UPPER(B$3))),"''","null"),SUBSTITUTE(VLOOKUP(B$2,convert!$A$1:$B$4,2,0),"@@@",B128))</f>
        <v>'ゴース'</v>
      </c>
      <c r="R128" s="4" t="str">
        <f>IF(C128="",IF(ISNUMBER(SEARCH("NOT NULL",UPPER(C$3))),"''","null"),SUBSTITUTE(VLOOKUP(C$2,convert!$A$1:$B$4,2,0),"@@@",C128))</f>
        <v>30</v>
      </c>
      <c r="S128" s="4" t="str">
        <f>IF(D128="",IF(ISNUMBER(SEARCH("NOT NULL",UPPER(D$3))),"''","null"),SUBSTITUTE(VLOOKUP(D$2,convert!$A$1:$B$4,2,0),"@@@",D128))</f>
        <v>35</v>
      </c>
      <c r="T128" s="4" t="str">
        <f>IF(E128="",IF(ISNUMBER(SEARCH("NOT NULL",UPPER(E$3))),"''","null"),SUBSTITUTE(VLOOKUP(E$2,convert!$A$1:$B$4,2,0),"@@@",E128))</f>
        <v>30</v>
      </c>
      <c r="U128" s="4" t="str">
        <f>IF(F128="",IF(ISNUMBER(SEARCH("NOT NULL",UPPER(F$3))),"''","null"),SUBSTITUTE(VLOOKUP(F$2,convert!$A$1:$B$4,2,0),"@@@",F128))</f>
        <v>100</v>
      </c>
      <c r="V128" s="4" t="str">
        <f>IF(G128="",IF(ISNUMBER(SEARCH("NOT NULL",UPPER(G$3))),"''","null"),SUBSTITUTE(VLOOKUP(G$2,convert!$A$1:$B$4,2,0),"@@@",G128))</f>
        <v>35</v>
      </c>
      <c r="W128" s="4" t="str">
        <f>IF(H128="",IF(ISNUMBER(SEARCH("NOT NULL",UPPER(H$3))),"''","null"),SUBSTITUTE(VLOOKUP(H$2,convert!$A$1:$B$4,2,0),"@@@",H128))</f>
        <v>80</v>
      </c>
      <c r="X128" s="4" t="str">
        <f>IF(I128="",IF(ISNUMBER(SEARCH("NOT NULL",UPPER(I$3))),"''","null"),SUBSTITUTE(VLOOKUP(I$2,convert!$A$1:$B$4,2,0),"@@@",I128))</f>
        <v>''</v>
      </c>
      <c r="Y128" s="4" t="str">
        <f>IF(J128="",IF(ISNUMBER(SEARCH("NOT NULL",UPPER(J$3))),"''","null"),SUBSTITUTE(VLOOKUP(J$2,convert!$A$1:$B$4,2,0),"@@@",J128))</f>
        <v>'ghost'</v>
      </c>
      <c r="Z128" s="4" t="str">
        <f>IF(K128="",IF(ISNUMBER(SEARCH("NOT NULL",UPPER(K$3))),"''","null"),SUBSTITUTE(VLOOKUP(K$2,convert!$A$1:$B$4,2,0),"@@@",K128))</f>
        <v>'poison'</v>
      </c>
      <c r="AA128" s="4" t="str">
        <f>IF(L128="",IF(ISNUMBER(SEARCH("NOT NULL",UPPER(L$3))),"''","null"),SUBSTITUTE(VLOOKUP(L$2,convert!$A$1:$B$4,2,0),"@@@",L128))</f>
        <v>'g1'</v>
      </c>
      <c r="AB128" s="4" t="str">
        <f>IF(M128="",IF(ISNUMBER(SEARCH("NOT NULL",UPPER(M$3))),"''","null"),SUBSTITUTE(VLOOKUP(M$2,convert!$A$1:$B$4,2,0),"@@@",M128))</f>
        <v>null</v>
      </c>
      <c r="AC128" s="4" t="str">
        <f>IF(N128="",IF(ISNUMBER(SEARCH("NOT NULL",UPPER(N$3))),"''","null"),SUBSTITUTE(VLOOKUP(N$2,convert!$A$1:$B$4,2,0),"@@@",N128))</f>
        <v>null</v>
      </c>
      <c r="AD128" s="4" t="str">
        <f>IF(O128="",IF(ISNUMBER(SEARCH("NOT NULL",UPPER(O$3))),"''","null"),SUBSTITUTE(VLOOKUP(O$2,convert!$A$1:$B$4,2,0),"@@@",O128))</f>
        <v>TRUE</v>
      </c>
      <c r="AE128" s="4" t="str">
        <f t="shared" si="1"/>
        <v>    ('0092N01', 'ゴース', 30, 35, 30, 100, 35, 80, '', 'ghost', 'poison', 'g1', null, null, TRUE),</v>
      </c>
    </row>
    <row r="129" spans="1:31">
      <c r="A129" s="4" t="s">
        <v>282</v>
      </c>
      <c r="B129" s="4" t="s">
        <v>283</v>
      </c>
      <c r="C129" s="5">
        <v>45</v>
      </c>
      <c r="D129" s="5">
        <v>50</v>
      </c>
      <c r="E129" s="5">
        <v>45</v>
      </c>
      <c r="F129" s="5">
        <v>115</v>
      </c>
      <c r="G129" s="5">
        <v>55</v>
      </c>
      <c r="H129" s="5">
        <v>95</v>
      </c>
      <c r="I129" s="5"/>
      <c r="J129" s="4" t="s">
        <v>281</v>
      </c>
      <c r="K129" s="4" t="s">
        <v>31</v>
      </c>
      <c r="L129" s="4" t="s">
        <v>32</v>
      </c>
      <c r="M129" s="5"/>
      <c r="N129" s="5"/>
      <c r="O129" s="5" t="b">
        <v>1</v>
      </c>
      <c r="P129" s="4" t="str">
        <f>IF(A129="",IF(ISNUMBER(SEARCH("NOT NULL",UPPER(A$3))),"''","null"),SUBSTITUTE(VLOOKUP(A$2,convert!$A$1:$B$4,2,0),"@@@",A129))</f>
        <v>'0093N01'</v>
      </c>
      <c r="Q129" s="4" t="str">
        <f>IF(B129="",IF(ISNUMBER(SEARCH("NOT NULL",UPPER(B$3))),"''","null"),SUBSTITUTE(VLOOKUP(B$2,convert!$A$1:$B$4,2,0),"@@@",B129))</f>
        <v>'ゴースト'</v>
      </c>
      <c r="R129" s="4" t="str">
        <f>IF(C129="",IF(ISNUMBER(SEARCH("NOT NULL",UPPER(C$3))),"''","null"),SUBSTITUTE(VLOOKUP(C$2,convert!$A$1:$B$4,2,0),"@@@",C129))</f>
        <v>45</v>
      </c>
      <c r="S129" s="4" t="str">
        <f>IF(D129="",IF(ISNUMBER(SEARCH("NOT NULL",UPPER(D$3))),"''","null"),SUBSTITUTE(VLOOKUP(D$2,convert!$A$1:$B$4,2,0),"@@@",D129))</f>
        <v>50</v>
      </c>
      <c r="T129" s="4" t="str">
        <f>IF(E129="",IF(ISNUMBER(SEARCH("NOT NULL",UPPER(E$3))),"''","null"),SUBSTITUTE(VLOOKUP(E$2,convert!$A$1:$B$4,2,0),"@@@",E129))</f>
        <v>45</v>
      </c>
      <c r="U129" s="4" t="str">
        <f>IF(F129="",IF(ISNUMBER(SEARCH("NOT NULL",UPPER(F$3))),"''","null"),SUBSTITUTE(VLOOKUP(F$2,convert!$A$1:$B$4,2,0),"@@@",F129))</f>
        <v>115</v>
      </c>
      <c r="V129" s="4" t="str">
        <f>IF(G129="",IF(ISNUMBER(SEARCH("NOT NULL",UPPER(G$3))),"''","null"),SUBSTITUTE(VLOOKUP(G$2,convert!$A$1:$B$4,2,0),"@@@",G129))</f>
        <v>55</v>
      </c>
      <c r="W129" s="4" t="str">
        <f>IF(H129="",IF(ISNUMBER(SEARCH("NOT NULL",UPPER(H$3))),"''","null"),SUBSTITUTE(VLOOKUP(H$2,convert!$A$1:$B$4,2,0),"@@@",H129))</f>
        <v>95</v>
      </c>
      <c r="X129" s="4" t="str">
        <f>IF(I129="",IF(ISNUMBER(SEARCH("NOT NULL",UPPER(I$3))),"''","null"),SUBSTITUTE(VLOOKUP(I$2,convert!$A$1:$B$4,2,0),"@@@",I129))</f>
        <v>''</v>
      </c>
      <c r="Y129" s="4" t="str">
        <f>IF(J129="",IF(ISNUMBER(SEARCH("NOT NULL",UPPER(J$3))),"''","null"),SUBSTITUTE(VLOOKUP(J$2,convert!$A$1:$B$4,2,0),"@@@",J129))</f>
        <v>'ghost'</v>
      </c>
      <c r="Z129" s="4" t="str">
        <f>IF(K129="",IF(ISNUMBER(SEARCH("NOT NULL",UPPER(K$3))),"''","null"),SUBSTITUTE(VLOOKUP(K$2,convert!$A$1:$B$4,2,0),"@@@",K129))</f>
        <v>'poison'</v>
      </c>
      <c r="AA129" s="4" t="str">
        <f>IF(L129="",IF(ISNUMBER(SEARCH("NOT NULL",UPPER(L$3))),"''","null"),SUBSTITUTE(VLOOKUP(L$2,convert!$A$1:$B$4,2,0),"@@@",L129))</f>
        <v>'g1'</v>
      </c>
      <c r="AB129" s="4" t="str">
        <f>IF(M129="",IF(ISNUMBER(SEARCH("NOT NULL",UPPER(M$3))),"''","null"),SUBSTITUTE(VLOOKUP(M$2,convert!$A$1:$B$4,2,0),"@@@",M129))</f>
        <v>null</v>
      </c>
      <c r="AC129" s="4" t="str">
        <f>IF(N129="",IF(ISNUMBER(SEARCH("NOT NULL",UPPER(N$3))),"''","null"),SUBSTITUTE(VLOOKUP(N$2,convert!$A$1:$B$4,2,0),"@@@",N129))</f>
        <v>null</v>
      </c>
      <c r="AD129" s="4" t="str">
        <f>IF(O129="",IF(ISNUMBER(SEARCH("NOT NULL",UPPER(O$3))),"''","null"),SUBSTITUTE(VLOOKUP(O$2,convert!$A$1:$B$4,2,0),"@@@",O129))</f>
        <v>TRUE</v>
      </c>
      <c r="AE129" s="4" t="str">
        <f t="shared" si="1"/>
        <v>    ('0093N01', 'ゴースト', 45, 50, 45, 115, 55, 95, '', 'ghost', 'poison', 'g1', null, null, TRUE),</v>
      </c>
    </row>
    <row r="130" spans="1:31">
      <c r="A130" s="4" t="s">
        <v>284</v>
      </c>
      <c r="B130" s="4" t="s">
        <v>285</v>
      </c>
      <c r="C130" s="5">
        <v>60</v>
      </c>
      <c r="D130" s="5">
        <v>65</v>
      </c>
      <c r="E130" s="5">
        <v>60</v>
      </c>
      <c r="F130" s="5">
        <v>130</v>
      </c>
      <c r="G130" s="5">
        <v>75</v>
      </c>
      <c r="H130" s="5">
        <v>110</v>
      </c>
      <c r="I130" s="5"/>
      <c r="J130" s="4" t="s">
        <v>281</v>
      </c>
      <c r="K130" s="4" t="s">
        <v>31</v>
      </c>
      <c r="L130" s="4" t="s">
        <v>32</v>
      </c>
      <c r="M130" s="5"/>
      <c r="N130" s="5"/>
      <c r="O130" s="5" t="b">
        <v>1</v>
      </c>
      <c r="P130" s="4" t="str">
        <f>IF(A130="",IF(ISNUMBER(SEARCH("NOT NULL",UPPER(A$3))),"''","null"),SUBSTITUTE(VLOOKUP(A$2,convert!$A$1:$B$4,2,0),"@@@",A130))</f>
        <v>'0094N01'</v>
      </c>
      <c r="Q130" s="4" t="str">
        <f>IF(B130="",IF(ISNUMBER(SEARCH("NOT NULL",UPPER(B$3))),"''","null"),SUBSTITUTE(VLOOKUP(B$2,convert!$A$1:$B$4,2,0),"@@@",B130))</f>
        <v>'ゲンガー'</v>
      </c>
      <c r="R130" s="4" t="str">
        <f>IF(C130="",IF(ISNUMBER(SEARCH("NOT NULL",UPPER(C$3))),"''","null"),SUBSTITUTE(VLOOKUP(C$2,convert!$A$1:$B$4,2,0),"@@@",C130))</f>
        <v>60</v>
      </c>
      <c r="S130" s="4" t="str">
        <f>IF(D130="",IF(ISNUMBER(SEARCH("NOT NULL",UPPER(D$3))),"''","null"),SUBSTITUTE(VLOOKUP(D$2,convert!$A$1:$B$4,2,0),"@@@",D130))</f>
        <v>65</v>
      </c>
      <c r="T130" s="4" t="str">
        <f>IF(E130="",IF(ISNUMBER(SEARCH("NOT NULL",UPPER(E$3))),"''","null"),SUBSTITUTE(VLOOKUP(E$2,convert!$A$1:$B$4,2,0),"@@@",E130))</f>
        <v>60</v>
      </c>
      <c r="U130" s="4" t="str">
        <f>IF(F130="",IF(ISNUMBER(SEARCH("NOT NULL",UPPER(F$3))),"''","null"),SUBSTITUTE(VLOOKUP(F$2,convert!$A$1:$B$4,2,0),"@@@",F130))</f>
        <v>130</v>
      </c>
      <c r="V130" s="4" t="str">
        <f>IF(G130="",IF(ISNUMBER(SEARCH("NOT NULL",UPPER(G$3))),"''","null"),SUBSTITUTE(VLOOKUP(G$2,convert!$A$1:$B$4,2,0),"@@@",G130))</f>
        <v>75</v>
      </c>
      <c r="W130" s="4" t="str">
        <f>IF(H130="",IF(ISNUMBER(SEARCH("NOT NULL",UPPER(H$3))),"''","null"),SUBSTITUTE(VLOOKUP(H$2,convert!$A$1:$B$4,2,0),"@@@",H130))</f>
        <v>110</v>
      </c>
      <c r="X130" s="4" t="str">
        <f>IF(I130="",IF(ISNUMBER(SEARCH("NOT NULL",UPPER(I$3))),"''","null"),SUBSTITUTE(VLOOKUP(I$2,convert!$A$1:$B$4,2,0),"@@@",I130))</f>
        <v>''</v>
      </c>
      <c r="Y130" s="4" t="str">
        <f>IF(J130="",IF(ISNUMBER(SEARCH("NOT NULL",UPPER(J$3))),"''","null"),SUBSTITUTE(VLOOKUP(J$2,convert!$A$1:$B$4,2,0),"@@@",J130))</f>
        <v>'ghost'</v>
      </c>
      <c r="Z130" s="4" t="str">
        <f>IF(K130="",IF(ISNUMBER(SEARCH("NOT NULL",UPPER(K$3))),"''","null"),SUBSTITUTE(VLOOKUP(K$2,convert!$A$1:$B$4,2,0),"@@@",K130))</f>
        <v>'poison'</v>
      </c>
      <c r="AA130" s="4" t="str">
        <f>IF(L130="",IF(ISNUMBER(SEARCH("NOT NULL",UPPER(L$3))),"''","null"),SUBSTITUTE(VLOOKUP(L$2,convert!$A$1:$B$4,2,0),"@@@",L130))</f>
        <v>'g1'</v>
      </c>
      <c r="AB130" s="4" t="str">
        <f>IF(M130="",IF(ISNUMBER(SEARCH("NOT NULL",UPPER(M$3))),"''","null"),SUBSTITUTE(VLOOKUP(M$2,convert!$A$1:$B$4,2,0),"@@@",M130))</f>
        <v>null</v>
      </c>
      <c r="AC130" s="4" t="str">
        <f>IF(N130="",IF(ISNUMBER(SEARCH("NOT NULL",UPPER(N$3))),"''","null"),SUBSTITUTE(VLOOKUP(N$2,convert!$A$1:$B$4,2,0),"@@@",N130))</f>
        <v>null</v>
      </c>
      <c r="AD130" s="4" t="str">
        <f>IF(O130="",IF(ISNUMBER(SEARCH("NOT NULL",UPPER(O$3))),"''","null"),SUBSTITUTE(VLOOKUP(O$2,convert!$A$1:$B$4,2,0),"@@@",O130))</f>
        <v>TRUE</v>
      </c>
      <c r="AE130" s="4" t="str">
        <f t="shared" si="1"/>
        <v>    ('0094N01', 'ゲンガー', 60, 65, 60, 130, 75, 110, '', 'ghost', 'poison', 'g1', null, null, TRUE),</v>
      </c>
    </row>
    <row r="131" spans="1:31">
      <c r="A131" s="4" t="s">
        <v>286</v>
      </c>
      <c r="B131" s="4" t="s">
        <v>287</v>
      </c>
      <c r="C131" s="5">
        <v>60</v>
      </c>
      <c r="D131" s="5">
        <v>65</v>
      </c>
      <c r="E131" s="5">
        <v>80</v>
      </c>
      <c r="F131" s="5">
        <v>170</v>
      </c>
      <c r="G131" s="5">
        <v>95</v>
      </c>
      <c r="H131" s="5">
        <v>130</v>
      </c>
      <c r="I131" s="5"/>
      <c r="J131" s="4" t="s">
        <v>281</v>
      </c>
      <c r="K131" s="4" t="s">
        <v>31</v>
      </c>
      <c r="L131" s="4" t="s">
        <v>39</v>
      </c>
      <c r="M131" s="5"/>
      <c r="N131" s="5"/>
      <c r="O131" s="5" t="b">
        <v>1</v>
      </c>
      <c r="P131" s="4" t="str">
        <f>IF(A131="",IF(ISNUMBER(SEARCH("NOT NULL",UPPER(A$3))),"''","null"),SUBSTITUTE(VLOOKUP(A$2,convert!$A$1:$B$4,2,0),"@@@",A131))</f>
        <v>'0094M01'</v>
      </c>
      <c r="Q131" s="4" t="str">
        <f>IF(B131="",IF(ISNUMBER(SEARCH("NOT NULL",UPPER(B$3))),"''","null"),SUBSTITUTE(VLOOKUP(B$2,convert!$A$1:$B$4,2,0),"@@@",B131))</f>
        <v>'メガゲンガー'</v>
      </c>
      <c r="R131" s="4" t="str">
        <f>IF(C131="",IF(ISNUMBER(SEARCH("NOT NULL",UPPER(C$3))),"''","null"),SUBSTITUTE(VLOOKUP(C$2,convert!$A$1:$B$4,2,0),"@@@",C131))</f>
        <v>60</v>
      </c>
      <c r="S131" s="4" t="str">
        <f>IF(D131="",IF(ISNUMBER(SEARCH("NOT NULL",UPPER(D$3))),"''","null"),SUBSTITUTE(VLOOKUP(D$2,convert!$A$1:$B$4,2,0),"@@@",D131))</f>
        <v>65</v>
      </c>
      <c r="T131" s="4" t="str">
        <f>IF(E131="",IF(ISNUMBER(SEARCH("NOT NULL",UPPER(E$3))),"''","null"),SUBSTITUTE(VLOOKUP(E$2,convert!$A$1:$B$4,2,0),"@@@",E131))</f>
        <v>80</v>
      </c>
      <c r="U131" s="4" t="str">
        <f>IF(F131="",IF(ISNUMBER(SEARCH("NOT NULL",UPPER(F$3))),"''","null"),SUBSTITUTE(VLOOKUP(F$2,convert!$A$1:$B$4,2,0),"@@@",F131))</f>
        <v>170</v>
      </c>
      <c r="V131" s="4" t="str">
        <f>IF(G131="",IF(ISNUMBER(SEARCH("NOT NULL",UPPER(G$3))),"''","null"),SUBSTITUTE(VLOOKUP(G$2,convert!$A$1:$B$4,2,0),"@@@",G131))</f>
        <v>95</v>
      </c>
      <c r="W131" s="4" t="str">
        <f>IF(H131="",IF(ISNUMBER(SEARCH("NOT NULL",UPPER(H$3))),"''","null"),SUBSTITUTE(VLOOKUP(H$2,convert!$A$1:$B$4,2,0),"@@@",H131))</f>
        <v>130</v>
      </c>
      <c r="X131" s="4" t="str">
        <f>IF(I131="",IF(ISNUMBER(SEARCH("NOT NULL",UPPER(I$3))),"''","null"),SUBSTITUTE(VLOOKUP(I$2,convert!$A$1:$B$4,2,0),"@@@",I131))</f>
        <v>''</v>
      </c>
      <c r="Y131" s="4" t="str">
        <f>IF(J131="",IF(ISNUMBER(SEARCH("NOT NULL",UPPER(J$3))),"''","null"),SUBSTITUTE(VLOOKUP(J$2,convert!$A$1:$B$4,2,0),"@@@",J131))</f>
        <v>'ghost'</v>
      </c>
      <c r="Z131" s="4" t="str">
        <f>IF(K131="",IF(ISNUMBER(SEARCH("NOT NULL",UPPER(K$3))),"''","null"),SUBSTITUTE(VLOOKUP(K$2,convert!$A$1:$B$4,2,0),"@@@",K131))</f>
        <v>'poison'</v>
      </c>
      <c r="AA131" s="4" t="str">
        <f>IF(L131="",IF(ISNUMBER(SEARCH("NOT NULL",UPPER(L$3))),"''","null"),SUBSTITUTE(VLOOKUP(L$2,convert!$A$1:$B$4,2,0),"@@@",L131))</f>
        <v>'g6'</v>
      </c>
      <c r="AB131" s="4" t="str">
        <f>IF(M131="",IF(ISNUMBER(SEARCH("NOT NULL",UPPER(M$3))),"''","null"),SUBSTITUTE(VLOOKUP(M$2,convert!$A$1:$B$4,2,0),"@@@",M131))</f>
        <v>null</v>
      </c>
      <c r="AC131" s="4" t="str">
        <f>IF(N131="",IF(ISNUMBER(SEARCH("NOT NULL",UPPER(N$3))),"''","null"),SUBSTITUTE(VLOOKUP(N$2,convert!$A$1:$B$4,2,0),"@@@",N131))</f>
        <v>null</v>
      </c>
      <c r="AD131" s="4" t="str">
        <f>IF(O131="",IF(ISNUMBER(SEARCH("NOT NULL",UPPER(O$3))),"''","null"),SUBSTITUTE(VLOOKUP(O$2,convert!$A$1:$B$4,2,0),"@@@",O131))</f>
        <v>TRUE</v>
      </c>
      <c r="AE131" s="4" t="str">
        <f t="shared" si="1"/>
        <v>    ('0094M01', 'メガゲンガー', 60, 65, 80, 170, 95, 130, '', 'ghost', 'poison', 'g6', null, null, TRUE),</v>
      </c>
    </row>
    <row r="132" spans="1:31">
      <c r="A132" s="4" t="s">
        <v>288</v>
      </c>
      <c r="B132" s="4" t="s">
        <v>289</v>
      </c>
      <c r="C132" s="5">
        <v>35</v>
      </c>
      <c r="D132" s="5">
        <v>45</v>
      </c>
      <c r="E132" s="5">
        <v>160</v>
      </c>
      <c r="F132" s="5">
        <v>30</v>
      </c>
      <c r="G132" s="5">
        <v>45</v>
      </c>
      <c r="H132" s="5">
        <v>70</v>
      </c>
      <c r="I132" s="5"/>
      <c r="J132" s="4" t="s">
        <v>196</v>
      </c>
      <c r="K132" s="4" t="s">
        <v>116</v>
      </c>
      <c r="L132" s="4" t="s">
        <v>32</v>
      </c>
      <c r="M132" s="5"/>
      <c r="N132" s="5"/>
      <c r="O132" s="5" t="b">
        <v>1</v>
      </c>
      <c r="P132" s="4" t="str">
        <f>IF(A132="",IF(ISNUMBER(SEARCH("NOT NULL",UPPER(A$3))),"''","null"),SUBSTITUTE(VLOOKUP(A$2,convert!$A$1:$B$4,2,0),"@@@",A132))</f>
        <v>'0095N01'</v>
      </c>
      <c r="Q132" s="4" t="str">
        <f>IF(B132="",IF(ISNUMBER(SEARCH("NOT NULL",UPPER(B$3))),"''","null"),SUBSTITUTE(VLOOKUP(B$2,convert!$A$1:$B$4,2,0),"@@@",B132))</f>
        <v>'イワーク'</v>
      </c>
      <c r="R132" s="4" t="str">
        <f>IF(C132="",IF(ISNUMBER(SEARCH("NOT NULL",UPPER(C$3))),"''","null"),SUBSTITUTE(VLOOKUP(C$2,convert!$A$1:$B$4,2,0),"@@@",C132))</f>
        <v>35</v>
      </c>
      <c r="S132" s="4" t="str">
        <f>IF(D132="",IF(ISNUMBER(SEARCH("NOT NULL",UPPER(D$3))),"''","null"),SUBSTITUTE(VLOOKUP(D$2,convert!$A$1:$B$4,2,0),"@@@",D132))</f>
        <v>45</v>
      </c>
      <c r="T132" s="4" t="str">
        <f>IF(E132="",IF(ISNUMBER(SEARCH("NOT NULL",UPPER(E$3))),"''","null"),SUBSTITUTE(VLOOKUP(E$2,convert!$A$1:$B$4,2,0),"@@@",E132))</f>
        <v>160</v>
      </c>
      <c r="U132" s="4" t="str">
        <f>IF(F132="",IF(ISNUMBER(SEARCH("NOT NULL",UPPER(F$3))),"''","null"),SUBSTITUTE(VLOOKUP(F$2,convert!$A$1:$B$4,2,0),"@@@",F132))</f>
        <v>30</v>
      </c>
      <c r="V132" s="4" t="str">
        <f>IF(G132="",IF(ISNUMBER(SEARCH("NOT NULL",UPPER(G$3))),"''","null"),SUBSTITUTE(VLOOKUP(G$2,convert!$A$1:$B$4,2,0),"@@@",G132))</f>
        <v>45</v>
      </c>
      <c r="W132" s="4" t="str">
        <f>IF(H132="",IF(ISNUMBER(SEARCH("NOT NULL",UPPER(H$3))),"''","null"),SUBSTITUTE(VLOOKUP(H$2,convert!$A$1:$B$4,2,0),"@@@",H132))</f>
        <v>70</v>
      </c>
      <c r="X132" s="4" t="str">
        <f>IF(I132="",IF(ISNUMBER(SEARCH("NOT NULL",UPPER(I$3))),"''","null"),SUBSTITUTE(VLOOKUP(I$2,convert!$A$1:$B$4,2,0),"@@@",I132))</f>
        <v>''</v>
      </c>
      <c r="Y132" s="4" t="str">
        <f>IF(J132="",IF(ISNUMBER(SEARCH("NOT NULL",UPPER(J$3))),"''","null"),SUBSTITUTE(VLOOKUP(J$2,convert!$A$1:$B$4,2,0),"@@@",J132))</f>
        <v>'rock'</v>
      </c>
      <c r="Z132" s="4" t="str">
        <f>IF(K132="",IF(ISNUMBER(SEARCH("NOT NULL",UPPER(K$3))),"''","null"),SUBSTITUTE(VLOOKUP(K$2,convert!$A$1:$B$4,2,0),"@@@",K132))</f>
        <v>'ground'</v>
      </c>
      <c r="AA132" s="4" t="str">
        <f>IF(L132="",IF(ISNUMBER(SEARCH("NOT NULL",UPPER(L$3))),"''","null"),SUBSTITUTE(VLOOKUP(L$2,convert!$A$1:$B$4,2,0),"@@@",L132))</f>
        <v>'g1'</v>
      </c>
      <c r="AB132" s="4" t="str">
        <f>IF(M132="",IF(ISNUMBER(SEARCH("NOT NULL",UPPER(M$3))),"''","null"),SUBSTITUTE(VLOOKUP(M$2,convert!$A$1:$B$4,2,0),"@@@",M132))</f>
        <v>null</v>
      </c>
      <c r="AC132" s="4" t="str">
        <f>IF(N132="",IF(ISNUMBER(SEARCH("NOT NULL",UPPER(N$3))),"''","null"),SUBSTITUTE(VLOOKUP(N$2,convert!$A$1:$B$4,2,0),"@@@",N132))</f>
        <v>null</v>
      </c>
      <c r="AD132" s="4" t="str">
        <f>IF(O132="",IF(ISNUMBER(SEARCH("NOT NULL",UPPER(O$3))),"''","null"),SUBSTITUTE(VLOOKUP(O$2,convert!$A$1:$B$4,2,0),"@@@",O132))</f>
        <v>TRUE</v>
      </c>
      <c r="AE132" s="4" t="str">
        <f t="shared" si="1"/>
        <v>    ('0095N01', 'イワーク', 35, 45, 160, 30, 45, 70, '', 'rock', 'ground', 'g1', null, null, TRUE),</v>
      </c>
    </row>
    <row r="133" spans="1:31">
      <c r="A133" s="4" t="s">
        <v>290</v>
      </c>
      <c r="B133" s="4" t="s">
        <v>291</v>
      </c>
      <c r="C133" s="5">
        <v>60</v>
      </c>
      <c r="D133" s="5">
        <v>48</v>
      </c>
      <c r="E133" s="5">
        <v>45</v>
      </c>
      <c r="F133" s="5">
        <v>43</v>
      </c>
      <c r="G133" s="5">
        <v>90</v>
      </c>
      <c r="H133" s="5">
        <v>42</v>
      </c>
      <c r="I133" s="5"/>
      <c r="J133" s="4" t="s">
        <v>113</v>
      </c>
      <c r="K133" s="5"/>
      <c r="L133" s="4" t="s">
        <v>32</v>
      </c>
      <c r="M133" s="5"/>
      <c r="N133" s="5"/>
      <c r="O133" s="5" t="b">
        <v>1</v>
      </c>
      <c r="P133" s="4" t="str">
        <f>IF(A133="",IF(ISNUMBER(SEARCH("NOT NULL",UPPER(A$3))),"''","null"),SUBSTITUTE(VLOOKUP(A$2,convert!$A$1:$B$4,2,0),"@@@",A133))</f>
        <v>'0096N01'</v>
      </c>
      <c r="Q133" s="4" t="str">
        <f>IF(B133="",IF(ISNUMBER(SEARCH("NOT NULL",UPPER(B$3))),"''","null"),SUBSTITUTE(VLOOKUP(B$2,convert!$A$1:$B$4,2,0),"@@@",B133))</f>
        <v>'スリープ'</v>
      </c>
      <c r="R133" s="4" t="str">
        <f>IF(C133="",IF(ISNUMBER(SEARCH("NOT NULL",UPPER(C$3))),"''","null"),SUBSTITUTE(VLOOKUP(C$2,convert!$A$1:$B$4,2,0),"@@@",C133))</f>
        <v>60</v>
      </c>
      <c r="S133" s="4" t="str">
        <f>IF(D133="",IF(ISNUMBER(SEARCH("NOT NULL",UPPER(D$3))),"''","null"),SUBSTITUTE(VLOOKUP(D$2,convert!$A$1:$B$4,2,0),"@@@",D133))</f>
        <v>48</v>
      </c>
      <c r="T133" s="4" t="str">
        <f>IF(E133="",IF(ISNUMBER(SEARCH("NOT NULL",UPPER(E$3))),"''","null"),SUBSTITUTE(VLOOKUP(E$2,convert!$A$1:$B$4,2,0),"@@@",E133))</f>
        <v>45</v>
      </c>
      <c r="U133" s="4" t="str">
        <f>IF(F133="",IF(ISNUMBER(SEARCH("NOT NULL",UPPER(F$3))),"''","null"),SUBSTITUTE(VLOOKUP(F$2,convert!$A$1:$B$4,2,0),"@@@",F133))</f>
        <v>43</v>
      </c>
      <c r="V133" s="4" t="str">
        <f>IF(G133="",IF(ISNUMBER(SEARCH("NOT NULL",UPPER(G$3))),"''","null"),SUBSTITUTE(VLOOKUP(G$2,convert!$A$1:$B$4,2,0),"@@@",G133))</f>
        <v>90</v>
      </c>
      <c r="W133" s="4" t="str">
        <f>IF(H133="",IF(ISNUMBER(SEARCH("NOT NULL",UPPER(H$3))),"''","null"),SUBSTITUTE(VLOOKUP(H$2,convert!$A$1:$B$4,2,0),"@@@",H133))</f>
        <v>42</v>
      </c>
      <c r="X133" s="4" t="str">
        <f>IF(I133="",IF(ISNUMBER(SEARCH("NOT NULL",UPPER(I$3))),"''","null"),SUBSTITUTE(VLOOKUP(I$2,convert!$A$1:$B$4,2,0),"@@@",I133))</f>
        <v>''</v>
      </c>
      <c r="Y133" s="4" t="str">
        <f>IF(J133="",IF(ISNUMBER(SEARCH("NOT NULL",UPPER(J$3))),"''","null"),SUBSTITUTE(VLOOKUP(J$2,convert!$A$1:$B$4,2,0),"@@@",J133))</f>
        <v>'psychic'</v>
      </c>
      <c r="Z133" s="4" t="str">
        <f>IF(K133="",IF(ISNUMBER(SEARCH("NOT NULL",UPPER(K$3))),"''","null"),SUBSTITUTE(VLOOKUP(K$2,convert!$A$1:$B$4,2,0),"@@@",K133))</f>
        <v>null</v>
      </c>
      <c r="AA133" s="4" t="str">
        <f>IF(L133="",IF(ISNUMBER(SEARCH("NOT NULL",UPPER(L$3))),"''","null"),SUBSTITUTE(VLOOKUP(L$2,convert!$A$1:$B$4,2,0),"@@@",L133))</f>
        <v>'g1'</v>
      </c>
      <c r="AB133" s="4" t="str">
        <f>IF(M133="",IF(ISNUMBER(SEARCH("NOT NULL",UPPER(M$3))),"''","null"),SUBSTITUTE(VLOOKUP(M$2,convert!$A$1:$B$4,2,0),"@@@",M133))</f>
        <v>null</v>
      </c>
      <c r="AC133" s="4" t="str">
        <f>IF(N133="",IF(ISNUMBER(SEARCH("NOT NULL",UPPER(N$3))),"''","null"),SUBSTITUTE(VLOOKUP(N$2,convert!$A$1:$B$4,2,0),"@@@",N133))</f>
        <v>null</v>
      </c>
      <c r="AD133" s="4" t="str">
        <f>IF(O133="",IF(ISNUMBER(SEARCH("NOT NULL",UPPER(O$3))),"''","null"),SUBSTITUTE(VLOOKUP(O$2,convert!$A$1:$B$4,2,0),"@@@",O133))</f>
        <v>TRUE</v>
      </c>
      <c r="AE133" s="4" t="str">
        <f t="shared" ref="AE133:AE196" si="2">"    ("&amp;_xlfn.TEXTJOIN(", ",FALSE,P133:AD133)&amp;"),"</f>
        <v>    ('0096N01', 'スリープ', 60, 48, 45, 43, 90, 42, '', 'psychic', null, 'g1', null, null, TRUE),</v>
      </c>
    </row>
    <row r="134" spans="1:31">
      <c r="A134" s="4" t="s">
        <v>292</v>
      </c>
      <c r="B134" s="4" t="s">
        <v>293</v>
      </c>
      <c r="C134" s="5">
        <v>85</v>
      </c>
      <c r="D134" s="5">
        <v>73</v>
      </c>
      <c r="E134" s="5">
        <v>70</v>
      </c>
      <c r="F134" s="5">
        <v>73</v>
      </c>
      <c r="G134" s="5">
        <v>115</v>
      </c>
      <c r="H134" s="5">
        <v>67</v>
      </c>
      <c r="I134" s="5"/>
      <c r="J134" s="4" t="s">
        <v>113</v>
      </c>
      <c r="K134" s="5"/>
      <c r="L134" s="4" t="s">
        <v>32</v>
      </c>
      <c r="M134" s="5"/>
      <c r="N134" s="5"/>
      <c r="O134" s="5" t="b">
        <v>1</v>
      </c>
      <c r="P134" s="4" t="str">
        <f>IF(A134="",IF(ISNUMBER(SEARCH("NOT NULL",UPPER(A$3))),"''","null"),SUBSTITUTE(VLOOKUP(A$2,convert!$A$1:$B$4,2,0),"@@@",A134))</f>
        <v>'0097N01'</v>
      </c>
      <c r="Q134" s="4" t="str">
        <f>IF(B134="",IF(ISNUMBER(SEARCH("NOT NULL",UPPER(B$3))),"''","null"),SUBSTITUTE(VLOOKUP(B$2,convert!$A$1:$B$4,2,0),"@@@",B134))</f>
        <v>'スリーパー'</v>
      </c>
      <c r="R134" s="4" t="str">
        <f>IF(C134="",IF(ISNUMBER(SEARCH("NOT NULL",UPPER(C$3))),"''","null"),SUBSTITUTE(VLOOKUP(C$2,convert!$A$1:$B$4,2,0),"@@@",C134))</f>
        <v>85</v>
      </c>
      <c r="S134" s="4" t="str">
        <f>IF(D134="",IF(ISNUMBER(SEARCH("NOT NULL",UPPER(D$3))),"''","null"),SUBSTITUTE(VLOOKUP(D$2,convert!$A$1:$B$4,2,0),"@@@",D134))</f>
        <v>73</v>
      </c>
      <c r="T134" s="4" t="str">
        <f>IF(E134="",IF(ISNUMBER(SEARCH("NOT NULL",UPPER(E$3))),"''","null"),SUBSTITUTE(VLOOKUP(E$2,convert!$A$1:$B$4,2,0),"@@@",E134))</f>
        <v>70</v>
      </c>
      <c r="U134" s="4" t="str">
        <f>IF(F134="",IF(ISNUMBER(SEARCH("NOT NULL",UPPER(F$3))),"''","null"),SUBSTITUTE(VLOOKUP(F$2,convert!$A$1:$B$4,2,0),"@@@",F134))</f>
        <v>73</v>
      </c>
      <c r="V134" s="4" t="str">
        <f>IF(G134="",IF(ISNUMBER(SEARCH("NOT NULL",UPPER(G$3))),"''","null"),SUBSTITUTE(VLOOKUP(G$2,convert!$A$1:$B$4,2,0),"@@@",G134))</f>
        <v>115</v>
      </c>
      <c r="W134" s="4" t="str">
        <f>IF(H134="",IF(ISNUMBER(SEARCH("NOT NULL",UPPER(H$3))),"''","null"),SUBSTITUTE(VLOOKUP(H$2,convert!$A$1:$B$4,2,0),"@@@",H134))</f>
        <v>67</v>
      </c>
      <c r="X134" s="4" t="str">
        <f>IF(I134="",IF(ISNUMBER(SEARCH("NOT NULL",UPPER(I$3))),"''","null"),SUBSTITUTE(VLOOKUP(I$2,convert!$A$1:$B$4,2,0),"@@@",I134))</f>
        <v>''</v>
      </c>
      <c r="Y134" s="4" t="str">
        <f>IF(J134="",IF(ISNUMBER(SEARCH("NOT NULL",UPPER(J$3))),"''","null"),SUBSTITUTE(VLOOKUP(J$2,convert!$A$1:$B$4,2,0),"@@@",J134))</f>
        <v>'psychic'</v>
      </c>
      <c r="Z134" s="4" t="str">
        <f>IF(K134="",IF(ISNUMBER(SEARCH("NOT NULL",UPPER(K$3))),"''","null"),SUBSTITUTE(VLOOKUP(K$2,convert!$A$1:$B$4,2,0),"@@@",K134))</f>
        <v>null</v>
      </c>
      <c r="AA134" s="4" t="str">
        <f>IF(L134="",IF(ISNUMBER(SEARCH("NOT NULL",UPPER(L$3))),"''","null"),SUBSTITUTE(VLOOKUP(L$2,convert!$A$1:$B$4,2,0),"@@@",L134))</f>
        <v>'g1'</v>
      </c>
      <c r="AB134" s="4" t="str">
        <f>IF(M134="",IF(ISNUMBER(SEARCH("NOT NULL",UPPER(M$3))),"''","null"),SUBSTITUTE(VLOOKUP(M$2,convert!$A$1:$B$4,2,0),"@@@",M134))</f>
        <v>null</v>
      </c>
      <c r="AC134" s="4" t="str">
        <f>IF(N134="",IF(ISNUMBER(SEARCH("NOT NULL",UPPER(N$3))),"''","null"),SUBSTITUTE(VLOOKUP(N$2,convert!$A$1:$B$4,2,0),"@@@",N134))</f>
        <v>null</v>
      </c>
      <c r="AD134" s="4" t="str">
        <f>IF(O134="",IF(ISNUMBER(SEARCH("NOT NULL",UPPER(O$3))),"''","null"),SUBSTITUTE(VLOOKUP(O$2,convert!$A$1:$B$4,2,0),"@@@",O134))</f>
        <v>TRUE</v>
      </c>
      <c r="AE134" s="4" t="str">
        <f t="shared" si="2"/>
        <v>    ('0097N01', 'スリーパー', 85, 73, 70, 73, 115, 67, '', 'psychic', null, 'g1', null, null, TRUE),</v>
      </c>
    </row>
    <row r="135" spans="1:31">
      <c r="A135" s="4" t="s">
        <v>294</v>
      </c>
      <c r="B135" s="4" t="s">
        <v>295</v>
      </c>
      <c r="C135" s="5">
        <v>30</v>
      </c>
      <c r="D135" s="5">
        <v>105</v>
      </c>
      <c r="E135" s="5">
        <v>90</v>
      </c>
      <c r="F135" s="5">
        <v>25</v>
      </c>
      <c r="G135" s="5">
        <v>25</v>
      </c>
      <c r="H135" s="5">
        <v>50</v>
      </c>
      <c r="I135" s="5"/>
      <c r="J135" s="4" t="s">
        <v>55</v>
      </c>
      <c r="K135" s="5"/>
      <c r="L135" s="4" t="s">
        <v>32</v>
      </c>
      <c r="M135" s="5"/>
      <c r="N135" s="5"/>
      <c r="O135" s="5" t="b">
        <v>1</v>
      </c>
      <c r="P135" s="4" t="str">
        <f>IF(A135="",IF(ISNUMBER(SEARCH("NOT NULL",UPPER(A$3))),"''","null"),SUBSTITUTE(VLOOKUP(A$2,convert!$A$1:$B$4,2,0),"@@@",A135))</f>
        <v>'0098N01'</v>
      </c>
      <c r="Q135" s="4" t="str">
        <f>IF(B135="",IF(ISNUMBER(SEARCH("NOT NULL",UPPER(B$3))),"''","null"),SUBSTITUTE(VLOOKUP(B$2,convert!$A$1:$B$4,2,0),"@@@",B135))</f>
        <v>'クラブ'</v>
      </c>
      <c r="R135" s="4" t="str">
        <f>IF(C135="",IF(ISNUMBER(SEARCH("NOT NULL",UPPER(C$3))),"''","null"),SUBSTITUTE(VLOOKUP(C$2,convert!$A$1:$B$4,2,0),"@@@",C135))</f>
        <v>30</v>
      </c>
      <c r="S135" s="4" t="str">
        <f>IF(D135="",IF(ISNUMBER(SEARCH("NOT NULL",UPPER(D$3))),"''","null"),SUBSTITUTE(VLOOKUP(D$2,convert!$A$1:$B$4,2,0),"@@@",D135))</f>
        <v>105</v>
      </c>
      <c r="T135" s="4" t="str">
        <f>IF(E135="",IF(ISNUMBER(SEARCH("NOT NULL",UPPER(E$3))),"''","null"),SUBSTITUTE(VLOOKUP(E$2,convert!$A$1:$B$4,2,0),"@@@",E135))</f>
        <v>90</v>
      </c>
      <c r="U135" s="4" t="str">
        <f>IF(F135="",IF(ISNUMBER(SEARCH("NOT NULL",UPPER(F$3))),"''","null"),SUBSTITUTE(VLOOKUP(F$2,convert!$A$1:$B$4,2,0),"@@@",F135))</f>
        <v>25</v>
      </c>
      <c r="V135" s="4" t="str">
        <f>IF(G135="",IF(ISNUMBER(SEARCH("NOT NULL",UPPER(G$3))),"''","null"),SUBSTITUTE(VLOOKUP(G$2,convert!$A$1:$B$4,2,0),"@@@",G135))</f>
        <v>25</v>
      </c>
      <c r="W135" s="4" t="str">
        <f>IF(H135="",IF(ISNUMBER(SEARCH("NOT NULL",UPPER(H$3))),"''","null"),SUBSTITUTE(VLOOKUP(H$2,convert!$A$1:$B$4,2,0),"@@@",H135))</f>
        <v>50</v>
      </c>
      <c r="X135" s="4" t="str">
        <f>IF(I135="",IF(ISNUMBER(SEARCH("NOT NULL",UPPER(I$3))),"''","null"),SUBSTITUTE(VLOOKUP(I$2,convert!$A$1:$B$4,2,0),"@@@",I135))</f>
        <v>''</v>
      </c>
      <c r="Y135" s="4" t="str">
        <f>IF(J135="",IF(ISNUMBER(SEARCH("NOT NULL",UPPER(J$3))),"''","null"),SUBSTITUTE(VLOOKUP(J$2,convert!$A$1:$B$4,2,0),"@@@",J135))</f>
        <v>'water'</v>
      </c>
      <c r="Z135" s="4" t="str">
        <f>IF(K135="",IF(ISNUMBER(SEARCH("NOT NULL",UPPER(K$3))),"''","null"),SUBSTITUTE(VLOOKUP(K$2,convert!$A$1:$B$4,2,0),"@@@",K135))</f>
        <v>null</v>
      </c>
      <c r="AA135" s="4" t="str">
        <f>IF(L135="",IF(ISNUMBER(SEARCH("NOT NULL",UPPER(L$3))),"''","null"),SUBSTITUTE(VLOOKUP(L$2,convert!$A$1:$B$4,2,0),"@@@",L135))</f>
        <v>'g1'</v>
      </c>
      <c r="AB135" s="4" t="str">
        <f>IF(M135="",IF(ISNUMBER(SEARCH("NOT NULL",UPPER(M$3))),"''","null"),SUBSTITUTE(VLOOKUP(M$2,convert!$A$1:$B$4,2,0),"@@@",M135))</f>
        <v>null</v>
      </c>
      <c r="AC135" s="4" t="str">
        <f>IF(N135="",IF(ISNUMBER(SEARCH("NOT NULL",UPPER(N$3))),"''","null"),SUBSTITUTE(VLOOKUP(N$2,convert!$A$1:$B$4,2,0),"@@@",N135))</f>
        <v>null</v>
      </c>
      <c r="AD135" s="4" t="str">
        <f>IF(O135="",IF(ISNUMBER(SEARCH("NOT NULL",UPPER(O$3))),"''","null"),SUBSTITUTE(VLOOKUP(O$2,convert!$A$1:$B$4,2,0),"@@@",O135))</f>
        <v>TRUE</v>
      </c>
      <c r="AE135" s="4" t="str">
        <f t="shared" si="2"/>
        <v>    ('0098N01', 'クラブ', 30, 105, 90, 25, 25, 50, '', 'water', null, 'g1', null, null, TRUE),</v>
      </c>
    </row>
    <row r="136" spans="1:31">
      <c r="A136" s="4" t="s">
        <v>296</v>
      </c>
      <c r="B136" s="4" t="s">
        <v>297</v>
      </c>
      <c r="C136" s="5">
        <v>55</v>
      </c>
      <c r="D136" s="5">
        <v>130</v>
      </c>
      <c r="E136" s="5">
        <v>115</v>
      </c>
      <c r="F136" s="5">
        <v>50</v>
      </c>
      <c r="G136" s="5">
        <v>50</v>
      </c>
      <c r="H136" s="5">
        <v>75</v>
      </c>
      <c r="I136" s="5"/>
      <c r="J136" s="4" t="s">
        <v>55</v>
      </c>
      <c r="K136" s="5"/>
      <c r="L136" s="4" t="s">
        <v>32</v>
      </c>
      <c r="M136" s="5"/>
      <c r="N136" s="5"/>
      <c r="O136" s="5" t="b">
        <v>1</v>
      </c>
      <c r="P136" s="4" t="str">
        <f>IF(A136="",IF(ISNUMBER(SEARCH("NOT NULL",UPPER(A$3))),"''","null"),SUBSTITUTE(VLOOKUP(A$2,convert!$A$1:$B$4,2,0),"@@@",A136))</f>
        <v>'0099N01'</v>
      </c>
      <c r="Q136" s="4" t="str">
        <f>IF(B136="",IF(ISNUMBER(SEARCH("NOT NULL",UPPER(B$3))),"''","null"),SUBSTITUTE(VLOOKUP(B$2,convert!$A$1:$B$4,2,0),"@@@",B136))</f>
        <v>'キングラー'</v>
      </c>
      <c r="R136" s="4" t="str">
        <f>IF(C136="",IF(ISNUMBER(SEARCH("NOT NULL",UPPER(C$3))),"''","null"),SUBSTITUTE(VLOOKUP(C$2,convert!$A$1:$B$4,2,0),"@@@",C136))</f>
        <v>55</v>
      </c>
      <c r="S136" s="4" t="str">
        <f>IF(D136="",IF(ISNUMBER(SEARCH("NOT NULL",UPPER(D$3))),"''","null"),SUBSTITUTE(VLOOKUP(D$2,convert!$A$1:$B$4,2,0),"@@@",D136))</f>
        <v>130</v>
      </c>
      <c r="T136" s="4" t="str">
        <f>IF(E136="",IF(ISNUMBER(SEARCH("NOT NULL",UPPER(E$3))),"''","null"),SUBSTITUTE(VLOOKUP(E$2,convert!$A$1:$B$4,2,0),"@@@",E136))</f>
        <v>115</v>
      </c>
      <c r="U136" s="4" t="str">
        <f>IF(F136="",IF(ISNUMBER(SEARCH("NOT NULL",UPPER(F$3))),"''","null"),SUBSTITUTE(VLOOKUP(F$2,convert!$A$1:$B$4,2,0),"@@@",F136))</f>
        <v>50</v>
      </c>
      <c r="V136" s="4" t="str">
        <f>IF(G136="",IF(ISNUMBER(SEARCH("NOT NULL",UPPER(G$3))),"''","null"),SUBSTITUTE(VLOOKUP(G$2,convert!$A$1:$B$4,2,0),"@@@",G136))</f>
        <v>50</v>
      </c>
      <c r="W136" s="4" t="str">
        <f>IF(H136="",IF(ISNUMBER(SEARCH("NOT NULL",UPPER(H$3))),"''","null"),SUBSTITUTE(VLOOKUP(H$2,convert!$A$1:$B$4,2,0),"@@@",H136))</f>
        <v>75</v>
      </c>
      <c r="X136" s="4" t="str">
        <f>IF(I136="",IF(ISNUMBER(SEARCH("NOT NULL",UPPER(I$3))),"''","null"),SUBSTITUTE(VLOOKUP(I$2,convert!$A$1:$B$4,2,0),"@@@",I136))</f>
        <v>''</v>
      </c>
      <c r="Y136" s="4" t="str">
        <f>IF(J136="",IF(ISNUMBER(SEARCH("NOT NULL",UPPER(J$3))),"''","null"),SUBSTITUTE(VLOOKUP(J$2,convert!$A$1:$B$4,2,0),"@@@",J136))</f>
        <v>'water'</v>
      </c>
      <c r="Z136" s="4" t="str">
        <f>IF(K136="",IF(ISNUMBER(SEARCH("NOT NULL",UPPER(K$3))),"''","null"),SUBSTITUTE(VLOOKUP(K$2,convert!$A$1:$B$4,2,0),"@@@",K136))</f>
        <v>null</v>
      </c>
      <c r="AA136" s="4" t="str">
        <f>IF(L136="",IF(ISNUMBER(SEARCH("NOT NULL",UPPER(L$3))),"''","null"),SUBSTITUTE(VLOOKUP(L$2,convert!$A$1:$B$4,2,0),"@@@",L136))</f>
        <v>'g1'</v>
      </c>
      <c r="AB136" s="4" t="str">
        <f>IF(M136="",IF(ISNUMBER(SEARCH("NOT NULL",UPPER(M$3))),"''","null"),SUBSTITUTE(VLOOKUP(M$2,convert!$A$1:$B$4,2,0),"@@@",M136))</f>
        <v>null</v>
      </c>
      <c r="AC136" s="4" t="str">
        <f>IF(N136="",IF(ISNUMBER(SEARCH("NOT NULL",UPPER(N$3))),"''","null"),SUBSTITUTE(VLOOKUP(N$2,convert!$A$1:$B$4,2,0),"@@@",N136))</f>
        <v>null</v>
      </c>
      <c r="AD136" s="4" t="str">
        <f>IF(O136="",IF(ISNUMBER(SEARCH("NOT NULL",UPPER(O$3))),"''","null"),SUBSTITUTE(VLOOKUP(O$2,convert!$A$1:$B$4,2,0),"@@@",O136))</f>
        <v>TRUE</v>
      </c>
      <c r="AE136" s="4" t="str">
        <f t="shared" si="2"/>
        <v>    ('0099N01', 'キングラー', 55, 130, 115, 50, 50, 75, '', 'water', null, 'g1', null, null, TRUE),</v>
      </c>
    </row>
    <row r="137" spans="1:31">
      <c r="A137" s="4" t="s">
        <v>298</v>
      </c>
      <c r="B137" s="4" t="s">
        <v>299</v>
      </c>
      <c r="C137" s="5">
        <v>40</v>
      </c>
      <c r="D137" s="5">
        <v>30</v>
      </c>
      <c r="E137" s="5">
        <v>50</v>
      </c>
      <c r="F137" s="5">
        <v>55</v>
      </c>
      <c r="G137" s="5">
        <v>55</v>
      </c>
      <c r="H137" s="5">
        <v>100</v>
      </c>
      <c r="I137" s="5"/>
      <c r="J137" s="4" t="s">
        <v>106</v>
      </c>
      <c r="K137" s="5"/>
      <c r="L137" s="4" t="s">
        <v>32</v>
      </c>
      <c r="M137" s="5"/>
      <c r="N137" s="5"/>
      <c r="O137" s="5" t="b">
        <v>1</v>
      </c>
      <c r="P137" s="4" t="str">
        <f>IF(A137="",IF(ISNUMBER(SEARCH("NOT NULL",UPPER(A$3))),"''","null"),SUBSTITUTE(VLOOKUP(A$2,convert!$A$1:$B$4,2,0),"@@@",A137))</f>
        <v>'0100N01'</v>
      </c>
      <c r="Q137" s="4" t="str">
        <f>IF(B137="",IF(ISNUMBER(SEARCH("NOT NULL",UPPER(B$3))),"''","null"),SUBSTITUTE(VLOOKUP(B$2,convert!$A$1:$B$4,2,0),"@@@",B137))</f>
        <v>'ビリリダマ'</v>
      </c>
      <c r="R137" s="4" t="str">
        <f>IF(C137="",IF(ISNUMBER(SEARCH("NOT NULL",UPPER(C$3))),"''","null"),SUBSTITUTE(VLOOKUP(C$2,convert!$A$1:$B$4,2,0),"@@@",C137))</f>
        <v>40</v>
      </c>
      <c r="S137" s="4" t="str">
        <f>IF(D137="",IF(ISNUMBER(SEARCH("NOT NULL",UPPER(D$3))),"''","null"),SUBSTITUTE(VLOOKUP(D$2,convert!$A$1:$B$4,2,0),"@@@",D137))</f>
        <v>30</v>
      </c>
      <c r="T137" s="4" t="str">
        <f>IF(E137="",IF(ISNUMBER(SEARCH("NOT NULL",UPPER(E$3))),"''","null"),SUBSTITUTE(VLOOKUP(E$2,convert!$A$1:$B$4,2,0),"@@@",E137))</f>
        <v>50</v>
      </c>
      <c r="U137" s="4" t="str">
        <f>IF(F137="",IF(ISNUMBER(SEARCH("NOT NULL",UPPER(F$3))),"''","null"),SUBSTITUTE(VLOOKUP(F$2,convert!$A$1:$B$4,2,0),"@@@",F137))</f>
        <v>55</v>
      </c>
      <c r="V137" s="4" t="str">
        <f>IF(G137="",IF(ISNUMBER(SEARCH("NOT NULL",UPPER(G$3))),"''","null"),SUBSTITUTE(VLOOKUP(G$2,convert!$A$1:$B$4,2,0),"@@@",G137))</f>
        <v>55</v>
      </c>
      <c r="W137" s="4" t="str">
        <f>IF(H137="",IF(ISNUMBER(SEARCH("NOT NULL",UPPER(H$3))),"''","null"),SUBSTITUTE(VLOOKUP(H$2,convert!$A$1:$B$4,2,0),"@@@",H137))</f>
        <v>100</v>
      </c>
      <c r="X137" s="4" t="str">
        <f>IF(I137="",IF(ISNUMBER(SEARCH("NOT NULL",UPPER(I$3))),"''","null"),SUBSTITUTE(VLOOKUP(I$2,convert!$A$1:$B$4,2,0),"@@@",I137))</f>
        <v>''</v>
      </c>
      <c r="Y137" s="4" t="str">
        <f>IF(J137="",IF(ISNUMBER(SEARCH("NOT NULL",UPPER(J$3))),"''","null"),SUBSTITUTE(VLOOKUP(J$2,convert!$A$1:$B$4,2,0),"@@@",J137))</f>
        <v>'electric'</v>
      </c>
      <c r="Z137" s="4" t="str">
        <f>IF(K137="",IF(ISNUMBER(SEARCH("NOT NULL",UPPER(K$3))),"''","null"),SUBSTITUTE(VLOOKUP(K$2,convert!$A$1:$B$4,2,0),"@@@",K137))</f>
        <v>null</v>
      </c>
      <c r="AA137" s="4" t="str">
        <f>IF(L137="",IF(ISNUMBER(SEARCH("NOT NULL",UPPER(L$3))),"''","null"),SUBSTITUTE(VLOOKUP(L$2,convert!$A$1:$B$4,2,0),"@@@",L137))</f>
        <v>'g1'</v>
      </c>
      <c r="AB137" s="4" t="str">
        <f>IF(M137="",IF(ISNUMBER(SEARCH("NOT NULL",UPPER(M$3))),"''","null"),SUBSTITUTE(VLOOKUP(M$2,convert!$A$1:$B$4,2,0),"@@@",M137))</f>
        <v>null</v>
      </c>
      <c r="AC137" s="4" t="str">
        <f>IF(N137="",IF(ISNUMBER(SEARCH("NOT NULL",UPPER(N$3))),"''","null"),SUBSTITUTE(VLOOKUP(N$2,convert!$A$1:$B$4,2,0),"@@@",N137))</f>
        <v>null</v>
      </c>
      <c r="AD137" s="4" t="str">
        <f>IF(O137="",IF(ISNUMBER(SEARCH("NOT NULL",UPPER(O$3))),"''","null"),SUBSTITUTE(VLOOKUP(O$2,convert!$A$1:$B$4,2,0),"@@@",O137))</f>
        <v>TRUE</v>
      </c>
      <c r="AE137" s="4" t="str">
        <f t="shared" si="2"/>
        <v>    ('0100N01', 'ビリリダマ', 40, 30, 50, 55, 55, 100, '', 'electric', null, 'g1', null, null, TRUE),</v>
      </c>
    </row>
    <row r="138" spans="1:31">
      <c r="A138" s="4" t="s">
        <v>300</v>
      </c>
      <c r="B138" s="4" t="s">
        <v>299</v>
      </c>
      <c r="C138" s="5">
        <v>40</v>
      </c>
      <c r="D138" s="5">
        <v>30</v>
      </c>
      <c r="E138" s="5">
        <v>50</v>
      </c>
      <c r="F138" s="5">
        <v>55</v>
      </c>
      <c r="G138" s="5">
        <v>55</v>
      </c>
      <c r="H138" s="5">
        <v>100</v>
      </c>
      <c r="I138" s="4" t="s">
        <v>195</v>
      </c>
      <c r="J138" s="4" t="s">
        <v>106</v>
      </c>
      <c r="K138" s="4" t="s">
        <v>30</v>
      </c>
      <c r="L138" s="4" t="s">
        <v>197</v>
      </c>
      <c r="M138" s="5"/>
      <c r="N138" s="5"/>
      <c r="O138" s="5" t="b">
        <v>1</v>
      </c>
      <c r="P138" s="4" t="str">
        <f>IF(A138="",IF(ISNUMBER(SEARCH("NOT NULL",UPPER(A$3))),"''","null"),SUBSTITUTE(VLOOKUP(A$2,convert!$A$1:$B$4,2,0),"@@@",A138))</f>
        <v>'0100H01'</v>
      </c>
      <c r="Q138" s="4" t="str">
        <f>IF(B138="",IF(ISNUMBER(SEARCH("NOT NULL",UPPER(B$3))),"''","null"),SUBSTITUTE(VLOOKUP(B$2,convert!$A$1:$B$4,2,0),"@@@",B138))</f>
        <v>'ビリリダマ'</v>
      </c>
      <c r="R138" s="4" t="str">
        <f>IF(C138="",IF(ISNUMBER(SEARCH("NOT NULL",UPPER(C$3))),"''","null"),SUBSTITUTE(VLOOKUP(C$2,convert!$A$1:$B$4,2,0),"@@@",C138))</f>
        <v>40</v>
      </c>
      <c r="S138" s="4" t="str">
        <f>IF(D138="",IF(ISNUMBER(SEARCH("NOT NULL",UPPER(D$3))),"''","null"),SUBSTITUTE(VLOOKUP(D$2,convert!$A$1:$B$4,2,0),"@@@",D138))</f>
        <v>30</v>
      </c>
      <c r="T138" s="4" t="str">
        <f>IF(E138="",IF(ISNUMBER(SEARCH("NOT NULL",UPPER(E$3))),"''","null"),SUBSTITUTE(VLOOKUP(E$2,convert!$A$1:$B$4,2,0),"@@@",E138))</f>
        <v>50</v>
      </c>
      <c r="U138" s="4" t="str">
        <f>IF(F138="",IF(ISNUMBER(SEARCH("NOT NULL",UPPER(F$3))),"''","null"),SUBSTITUTE(VLOOKUP(F$2,convert!$A$1:$B$4,2,0),"@@@",F138))</f>
        <v>55</v>
      </c>
      <c r="V138" s="4" t="str">
        <f>IF(G138="",IF(ISNUMBER(SEARCH("NOT NULL",UPPER(G$3))),"''","null"),SUBSTITUTE(VLOOKUP(G$2,convert!$A$1:$B$4,2,0),"@@@",G138))</f>
        <v>55</v>
      </c>
      <c r="W138" s="4" t="str">
        <f>IF(H138="",IF(ISNUMBER(SEARCH("NOT NULL",UPPER(H$3))),"''","null"),SUBSTITUTE(VLOOKUP(H$2,convert!$A$1:$B$4,2,0),"@@@",H138))</f>
        <v>100</v>
      </c>
      <c r="X138" s="4" t="str">
        <f>IF(I138="",IF(ISNUMBER(SEARCH("NOT NULL",UPPER(I$3))),"''","null"),SUBSTITUTE(VLOOKUP(I$2,convert!$A$1:$B$4,2,0),"@@@",I138))</f>
        <v>'ヒスイのすがた'</v>
      </c>
      <c r="Y138" s="4" t="str">
        <f>IF(J138="",IF(ISNUMBER(SEARCH("NOT NULL",UPPER(J$3))),"''","null"),SUBSTITUTE(VLOOKUP(J$2,convert!$A$1:$B$4,2,0),"@@@",J138))</f>
        <v>'electric'</v>
      </c>
      <c r="Z138" s="4" t="str">
        <f>IF(K138="",IF(ISNUMBER(SEARCH("NOT NULL",UPPER(K$3))),"''","null"),SUBSTITUTE(VLOOKUP(K$2,convert!$A$1:$B$4,2,0),"@@@",K138))</f>
        <v>'grass'</v>
      </c>
      <c r="AA138" s="4" t="str">
        <f>IF(L138="",IF(ISNUMBER(SEARCH("NOT NULL",UPPER(L$3))),"''","null"),SUBSTITUTE(VLOOKUP(L$2,convert!$A$1:$B$4,2,0),"@@@",L138))</f>
        <v>'g8arceus'</v>
      </c>
      <c r="AB138" s="4" t="str">
        <f>IF(M138="",IF(ISNUMBER(SEARCH("NOT NULL",UPPER(M$3))),"''","null"),SUBSTITUTE(VLOOKUP(M$2,convert!$A$1:$B$4,2,0),"@@@",M138))</f>
        <v>null</v>
      </c>
      <c r="AC138" s="4" t="str">
        <f>IF(N138="",IF(ISNUMBER(SEARCH("NOT NULL",UPPER(N$3))),"''","null"),SUBSTITUTE(VLOOKUP(N$2,convert!$A$1:$B$4,2,0),"@@@",N138))</f>
        <v>null</v>
      </c>
      <c r="AD138" s="4" t="str">
        <f>IF(O138="",IF(ISNUMBER(SEARCH("NOT NULL",UPPER(O$3))),"''","null"),SUBSTITUTE(VLOOKUP(O$2,convert!$A$1:$B$4,2,0),"@@@",O138))</f>
        <v>TRUE</v>
      </c>
      <c r="AE138" s="4" t="str">
        <f t="shared" si="2"/>
        <v>    ('0100H01', 'ビリリダマ', 40, 30, 50, 55, 55, 100, 'ヒスイのすがた', 'electric', 'grass', 'g8arceus', null, null, TRUE),</v>
      </c>
    </row>
    <row r="139" spans="1:31">
      <c r="A139" s="4" t="s">
        <v>301</v>
      </c>
      <c r="B139" s="4" t="s">
        <v>302</v>
      </c>
      <c r="C139" s="5">
        <v>60</v>
      </c>
      <c r="D139" s="5">
        <v>50</v>
      </c>
      <c r="E139" s="5">
        <v>70</v>
      </c>
      <c r="F139" s="5">
        <v>80</v>
      </c>
      <c r="G139" s="5">
        <v>80</v>
      </c>
      <c r="H139" s="5">
        <v>150</v>
      </c>
      <c r="I139" s="5"/>
      <c r="J139" s="4" t="s">
        <v>106</v>
      </c>
      <c r="K139" s="5"/>
      <c r="L139" s="4" t="s">
        <v>32</v>
      </c>
      <c r="M139" s="5"/>
      <c r="N139" s="5"/>
      <c r="O139" s="5" t="b">
        <v>1</v>
      </c>
      <c r="P139" s="4" t="str">
        <f>IF(A139="",IF(ISNUMBER(SEARCH("NOT NULL",UPPER(A$3))),"''","null"),SUBSTITUTE(VLOOKUP(A$2,convert!$A$1:$B$4,2,0),"@@@",A139))</f>
        <v>'0101N01'</v>
      </c>
      <c r="Q139" s="4" t="str">
        <f>IF(B139="",IF(ISNUMBER(SEARCH("NOT NULL",UPPER(B$3))),"''","null"),SUBSTITUTE(VLOOKUP(B$2,convert!$A$1:$B$4,2,0),"@@@",B139))</f>
        <v>'マルマイン'</v>
      </c>
      <c r="R139" s="4" t="str">
        <f>IF(C139="",IF(ISNUMBER(SEARCH("NOT NULL",UPPER(C$3))),"''","null"),SUBSTITUTE(VLOOKUP(C$2,convert!$A$1:$B$4,2,0),"@@@",C139))</f>
        <v>60</v>
      </c>
      <c r="S139" s="4" t="str">
        <f>IF(D139="",IF(ISNUMBER(SEARCH("NOT NULL",UPPER(D$3))),"''","null"),SUBSTITUTE(VLOOKUP(D$2,convert!$A$1:$B$4,2,0),"@@@",D139))</f>
        <v>50</v>
      </c>
      <c r="T139" s="4" t="str">
        <f>IF(E139="",IF(ISNUMBER(SEARCH("NOT NULL",UPPER(E$3))),"''","null"),SUBSTITUTE(VLOOKUP(E$2,convert!$A$1:$B$4,2,0),"@@@",E139))</f>
        <v>70</v>
      </c>
      <c r="U139" s="4" t="str">
        <f>IF(F139="",IF(ISNUMBER(SEARCH("NOT NULL",UPPER(F$3))),"''","null"),SUBSTITUTE(VLOOKUP(F$2,convert!$A$1:$B$4,2,0),"@@@",F139))</f>
        <v>80</v>
      </c>
      <c r="V139" s="4" t="str">
        <f>IF(G139="",IF(ISNUMBER(SEARCH("NOT NULL",UPPER(G$3))),"''","null"),SUBSTITUTE(VLOOKUP(G$2,convert!$A$1:$B$4,2,0),"@@@",G139))</f>
        <v>80</v>
      </c>
      <c r="W139" s="4" t="str">
        <f>IF(H139="",IF(ISNUMBER(SEARCH("NOT NULL",UPPER(H$3))),"''","null"),SUBSTITUTE(VLOOKUP(H$2,convert!$A$1:$B$4,2,0),"@@@",H139))</f>
        <v>150</v>
      </c>
      <c r="X139" s="4" t="str">
        <f>IF(I139="",IF(ISNUMBER(SEARCH("NOT NULL",UPPER(I$3))),"''","null"),SUBSTITUTE(VLOOKUP(I$2,convert!$A$1:$B$4,2,0),"@@@",I139))</f>
        <v>''</v>
      </c>
      <c r="Y139" s="4" t="str">
        <f>IF(J139="",IF(ISNUMBER(SEARCH("NOT NULL",UPPER(J$3))),"''","null"),SUBSTITUTE(VLOOKUP(J$2,convert!$A$1:$B$4,2,0),"@@@",J139))</f>
        <v>'electric'</v>
      </c>
      <c r="Z139" s="4" t="str">
        <f>IF(K139="",IF(ISNUMBER(SEARCH("NOT NULL",UPPER(K$3))),"''","null"),SUBSTITUTE(VLOOKUP(K$2,convert!$A$1:$B$4,2,0),"@@@",K139))</f>
        <v>null</v>
      </c>
      <c r="AA139" s="4" t="str">
        <f>IF(L139="",IF(ISNUMBER(SEARCH("NOT NULL",UPPER(L$3))),"''","null"),SUBSTITUTE(VLOOKUP(L$2,convert!$A$1:$B$4,2,0),"@@@",L139))</f>
        <v>'g1'</v>
      </c>
      <c r="AB139" s="4" t="str">
        <f>IF(M139="",IF(ISNUMBER(SEARCH("NOT NULL",UPPER(M$3))),"''","null"),SUBSTITUTE(VLOOKUP(M$2,convert!$A$1:$B$4,2,0),"@@@",M139))</f>
        <v>null</v>
      </c>
      <c r="AC139" s="4" t="str">
        <f>IF(N139="",IF(ISNUMBER(SEARCH("NOT NULL",UPPER(N$3))),"''","null"),SUBSTITUTE(VLOOKUP(N$2,convert!$A$1:$B$4,2,0),"@@@",N139))</f>
        <v>null</v>
      </c>
      <c r="AD139" s="4" t="str">
        <f>IF(O139="",IF(ISNUMBER(SEARCH("NOT NULL",UPPER(O$3))),"''","null"),SUBSTITUTE(VLOOKUP(O$2,convert!$A$1:$B$4,2,0),"@@@",O139))</f>
        <v>TRUE</v>
      </c>
      <c r="AE139" s="4" t="str">
        <f t="shared" si="2"/>
        <v>    ('0101N01', 'マルマイン', 60, 50, 70, 80, 80, 150, '', 'electric', null, 'g1', null, null, TRUE),</v>
      </c>
    </row>
    <row r="140" spans="1:31">
      <c r="A140" s="4" t="s">
        <v>303</v>
      </c>
      <c r="B140" s="4" t="s">
        <v>302</v>
      </c>
      <c r="C140" s="5">
        <v>60</v>
      </c>
      <c r="D140" s="5">
        <v>50</v>
      </c>
      <c r="E140" s="5">
        <v>70</v>
      </c>
      <c r="F140" s="5">
        <v>80</v>
      </c>
      <c r="G140" s="5">
        <v>80</v>
      </c>
      <c r="H140" s="5">
        <v>150</v>
      </c>
      <c r="I140" s="4" t="s">
        <v>195</v>
      </c>
      <c r="J140" s="4" t="s">
        <v>106</v>
      </c>
      <c r="K140" s="4" t="s">
        <v>30</v>
      </c>
      <c r="L140" s="4" t="s">
        <v>197</v>
      </c>
      <c r="M140" s="5"/>
      <c r="N140" s="5"/>
      <c r="O140" s="5" t="b">
        <v>1</v>
      </c>
      <c r="P140" s="4" t="str">
        <f>IF(A140="",IF(ISNUMBER(SEARCH("NOT NULL",UPPER(A$3))),"''","null"),SUBSTITUTE(VLOOKUP(A$2,convert!$A$1:$B$4,2,0),"@@@",A140))</f>
        <v>'0101H01'</v>
      </c>
      <c r="Q140" s="4" t="str">
        <f>IF(B140="",IF(ISNUMBER(SEARCH("NOT NULL",UPPER(B$3))),"''","null"),SUBSTITUTE(VLOOKUP(B$2,convert!$A$1:$B$4,2,0),"@@@",B140))</f>
        <v>'マルマイン'</v>
      </c>
      <c r="R140" s="4" t="str">
        <f>IF(C140="",IF(ISNUMBER(SEARCH("NOT NULL",UPPER(C$3))),"''","null"),SUBSTITUTE(VLOOKUP(C$2,convert!$A$1:$B$4,2,0),"@@@",C140))</f>
        <v>60</v>
      </c>
      <c r="S140" s="4" t="str">
        <f>IF(D140="",IF(ISNUMBER(SEARCH("NOT NULL",UPPER(D$3))),"''","null"),SUBSTITUTE(VLOOKUP(D$2,convert!$A$1:$B$4,2,0),"@@@",D140))</f>
        <v>50</v>
      </c>
      <c r="T140" s="4" t="str">
        <f>IF(E140="",IF(ISNUMBER(SEARCH("NOT NULL",UPPER(E$3))),"''","null"),SUBSTITUTE(VLOOKUP(E$2,convert!$A$1:$B$4,2,0),"@@@",E140))</f>
        <v>70</v>
      </c>
      <c r="U140" s="4" t="str">
        <f>IF(F140="",IF(ISNUMBER(SEARCH("NOT NULL",UPPER(F$3))),"''","null"),SUBSTITUTE(VLOOKUP(F$2,convert!$A$1:$B$4,2,0),"@@@",F140))</f>
        <v>80</v>
      </c>
      <c r="V140" s="4" t="str">
        <f>IF(G140="",IF(ISNUMBER(SEARCH("NOT NULL",UPPER(G$3))),"''","null"),SUBSTITUTE(VLOOKUP(G$2,convert!$A$1:$B$4,2,0),"@@@",G140))</f>
        <v>80</v>
      </c>
      <c r="W140" s="4" t="str">
        <f>IF(H140="",IF(ISNUMBER(SEARCH("NOT NULL",UPPER(H$3))),"''","null"),SUBSTITUTE(VLOOKUP(H$2,convert!$A$1:$B$4,2,0),"@@@",H140))</f>
        <v>150</v>
      </c>
      <c r="X140" s="4" t="str">
        <f>IF(I140="",IF(ISNUMBER(SEARCH("NOT NULL",UPPER(I$3))),"''","null"),SUBSTITUTE(VLOOKUP(I$2,convert!$A$1:$B$4,2,0),"@@@",I140))</f>
        <v>'ヒスイのすがた'</v>
      </c>
      <c r="Y140" s="4" t="str">
        <f>IF(J140="",IF(ISNUMBER(SEARCH("NOT NULL",UPPER(J$3))),"''","null"),SUBSTITUTE(VLOOKUP(J$2,convert!$A$1:$B$4,2,0),"@@@",J140))</f>
        <v>'electric'</v>
      </c>
      <c r="Z140" s="4" t="str">
        <f>IF(K140="",IF(ISNUMBER(SEARCH("NOT NULL",UPPER(K$3))),"''","null"),SUBSTITUTE(VLOOKUP(K$2,convert!$A$1:$B$4,2,0),"@@@",K140))</f>
        <v>'grass'</v>
      </c>
      <c r="AA140" s="4" t="str">
        <f>IF(L140="",IF(ISNUMBER(SEARCH("NOT NULL",UPPER(L$3))),"''","null"),SUBSTITUTE(VLOOKUP(L$2,convert!$A$1:$B$4,2,0),"@@@",L140))</f>
        <v>'g8arceus'</v>
      </c>
      <c r="AB140" s="4" t="str">
        <f>IF(M140="",IF(ISNUMBER(SEARCH("NOT NULL",UPPER(M$3))),"''","null"),SUBSTITUTE(VLOOKUP(M$2,convert!$A$1:$B$4,2,0),"@@@",M140))</f>
        <v>null</v>
      </c>
      <c r="AC140" s="4" t="str">
        <f>IF(N140="",IF(ISNUMBER(SEARCH("NOT NULL",UPPER(N$3))),"''","null"),SUBSTITUTE(VLOOKUP(N$2,convert!$A$1:$B$4,2,0),"@@@",N140))</f>
        <v>null</v>
      </c>
      <c r="AD140" s="4" t="str">
        <f>IF(O140="",IF(ISNUMBER(SEARCH("NOT NULL",UPPER(O$3))),"''","null"),SUBSTITUTE(VLOOKUP(O$2,convert!$A$1:$B$4,2,0),"@@@",O140))</f>
        <v>TRUE</v>
      </c>
      <c r="AE140" s="4" t="str">
        <f t="shared" si="2"/>
        <v>    ('0101H01', 'マルマイン', 60, 50, 70, 80, 80, 150, 'ヒスイのすがた', 'electric', 'grass', 'g8arceus', null, null, TRUE),</v>
      </c>
    </row>
    <row r="141" spans="1:31">
      <c r="A141" s="4" t="s">
        <v>304</v>
      </c>
      <c r="B141" s="4" t="s">
        <v>305</v>
      </c>
      <c r="C141" s="5">
        <v>60</v>
      </c>
      <c r="D141" s="5">
        <v>40</v>
      </c>
      <c r="E141" s="5">
        <v>80</v>
      </c>
      <c r="F141" s="5">
        <v>60</v>
      </c>
      <c r="G141" s="5">
        <v>45</v>
      </c>
      <c r="H141" s="5">
        <v>40</v>
      </c>
      <c r="I141" s="5"/>
      <c r="J141" s="4" t="s">
        <v>30</v>
      </c>
      <c r="K141" s="4" t="s">
        <v>113</v>
      </c>
      <c r="L141" s="4" t="s">
        <v>32</v>
      </c>
      <c r="M141" s="5"/>
      <c r="N141" s="5"/>
      <c r="O141" s="5" t="b">
        <v>1</v>
      </c>
      <c r="P141" s="4" t="str">
        <f>IF(A141="",IF(ISNUMBER(SEARCH("NOT NULL",UPPER(A$3))),"''","null"),SUBSTITUTE(VLOOKUP(A$2,convert!$A$1:$B$4,2,0),"@@@",A141))</f>
        <v>'0102N01'</v>
      </c>
      <c r="Q141" s="4" t="str">
        <f>IF(B141="",IF(ISNUMBER(SEARCH("NOT NULL",UPPER(B$3))),"''","null"),SUBSTITUTE(VLOOKUP(B$2,convert!$A$1:$B$4,2,0),"@@@",B141))</f>
        <v>'タマタマ'</v>
      </c>
      <c r="R141" s="4" t="str">
        <f>IF(C141="",IF(ISNUMBER(SEARCH("NOT NULL",UPPER(C$3))),"''","null"),SUBSTITUTE(VLOOKUP(C$2,convert!$A$1:$B$4,2,0),"@@@",C141))</f>
        <v>60</v>
      </c>
      <c r="S141" s="4" t="str">
        <f>IF(D141="",IF(ISNUMBER(SEARCH("NOT NULL",UPPER(D$3))),"''","null"),SUBSTITUTE(VLOOKUP(D$2,convert!$A$1:$B$4,2,0),"@@@",D141))</f>
        <v>40</v>
      </c>
      <c r="T141" s="4" t="str">
        <f>IF(E141="",IF(ISNUMBER(SEARCH("NOT NULL",UPPER(E$3))),"''","null"),SUBSTITUTE(VLOOKUP(E$2,convert!$A$1:$B$4,2,0),"@@@",E141))</f>
        <v>80</v>
      </c>
      <c r="U141" s="4" t="str">
        <f>IF(F141="",IF(ISNUMBER(SEARCH("NOT NULL",UPPER(F$3))),"''","null"),SUBSTITUTE(VLOOKUP(F$2,convert!$A$1:$B$4,2,0),"@@@",F141))</f>
        <v>60</v>
      </c>
      <c r="V141" s="4" t="str">
        <f>IF(G141="",IF(ISNUMBER(SEARCH("NOT NULL",UPPER(G$3))),"''","null"),SUBSTITUTE(VLOOKUP(G$2,convert!$A$1:$B$4,2,0),"@@@",G141))</f>
        <v>45</v>
      </c>
      <c r="W141" s="4" t="str">
        <f>IF(H141="",IF(ISNUMBER(SEARCH("NOT NULL",UPPER(H$3))),"''","null"),SUBSTITUTE(VLOOKUP(H$2,convert!$A$1:$B$4,2,0),"@@@",H141))</f>
        <v>40</v>
      </c>
      <c r="X141" s="4" t="str">
        <f>IF(I141="",IF(ISNUMBER(SEARCH("NOT NULL",UPPER(I$3))),"''","null"),SUBSTITUTE(VLOOKUP(I$2,convert!$A$1:$B$4,2,0),"@@@",I141))</f>
        <v>''</v>
      </c>
      <c r="Y141" s="4" t="str">
        <f>IF(J141="",IF(ISNUMBER(SEARCH("NOT NULL",UPPER(J$3))),"''","null"),SUBSTITUTE(VLOOKUP(J$2,convert!$A$1:$B$4,2,0),"@@@",J141))</f>
        <v>'grass'</v>
      </c>
      <c r="Z141" s="4" t="str">
        <f>IF(K141="",IF(ISNUMBER(SEARCH("NOT NULL",UPPER(K$3))),"''","null"),SUBSTITUTE(VLOOKUP(K$2,convert!$A$1:$B$4,2,0),"@@@",K141))</f>
        <v>'psychic'</v>
      </c>
      <c r="AA141" s="4" t="str">
        <f>IF(L141="",IF(ISNUMBER(SEARCH("NOT NULL",UPPER(L$3))),"''","null"),SUBSTITUTE(VLOOKUP(L$2,convert!$A$1:$B$4,2,0),"@@@",L141))</f>
        <v>'g1'</v>
      </c>
      <c r="AB141" s="4" t="str">
        <f>IF(M141="",IF(ISNUMBER(SEARCH("NOT NULL",UPPER(M$3))),"''","null"),SUBSTITUTE(VLOOKUP(M$2,convert!$A$1:$B$4,2,0),"@@@",M141))</f>
        <v>null</v>
      </c>
      <c r="AC141" s="4" t="str">
        <f>IF(N141="",IF(ISNUMBER(SEARCH("NOT NULL",UPPER(N$3))),"''","null"),SUBSTITUTE(VLOOKUP(N$2,convert!$A$1:$B$4,2,0),"@@@",N141))</f>
        <v>null</v>
      </c>
      <c r="AD141" s="4" t="str">
        <f>IF(O141="",IF(ISNUMBER(SEARCH("NOT NULL",UPPER(O$3))),"''","null"),SUBSTITUTE(VLOOKUP(O$2,convert!$A$1:$B$4,2,0),"@@@",O141))</f>
        <v>TRUE</v>
      </c>
      <c r="AE141" s="4" t="str">
        <f t="shared" si="2"/>
        <v>    ('0102N01', 'タマタマ', 60, 40, 80, 60, 45, 40, '', 'grass', 'psychic', 'g1', null, null, TRUE),</v>
      </c>
    </row>
    <row r="142" spans="1:31">
      <c r="A142" s="4" t="s">
        <v>306</v>
      </c>
      <c r="B142" s="4" t="s">
        <v>307</v>
      </c>
      <c r="C142" s="5">
        <v>95</v>
      </c>
      <c r="D142" s="5">
        <v>95</v>
      </c>
      <c r="E142" s="5">
        <v>85</v>
      </c>
      <c r="F142" s="5">
        <v>125</v>
      </c>
      <c r="G142" s="5">
        <v>75</v>
      </c>
      <c r="H142" s="5">
        <v>55</v>
      </c>
      <c r="I142" s="5"/>
      <c r="J142" s="4" t="s">
        <v>30</v>
      </c>
      <c r="K142" s="4" t="s">
        <v>113</v>
      </c>
      <c r="L142" s="4" t="s">
        <v>32</v>
      </c>
      <c r="M142" s="5"/>
      <c r="N142" s="5"/>
      <c r="O142" s="5" t="b">
        <v>1</v>
      </c>
      <c r="P142" s="4" t="str">
        <f>IF(A142="",IF(ISNUMBER(SEARCH("NOT NULL",UPPER(A$3))),"''","null"),SUBSTITUTE(VLOOKUP(A$2,convert!$A$1:$B$4,2,0),"@@@",A142))</f>
        <v>'0103N01'</v>
      </c>
      <c r="Q142" s="4" t="str">
        <f>IF(B142="",IF(ISNUMBER(SEARCH("NOT NULL",UPPER(B$3))),"''","null"),SUBSTITUTE(VLOOKUP(B$2,convert!$A$1:$B$4,2,0),"@@@",B142))</f>
        <v>'ナッシー'</v>
      </c>
      <c r="R142" s="4" t="str">
        <f>IF(C142="",IF(ISNUMBER(SEARCH("NOT NULL",UPPER(C$3))),"''","null"),SUBSTITUTE(VLOOKUP(C$2,convert!$A$1:$B$4,2,0),"@@@",C142))</f>
        <v>95</v>
      </c>
      <c r="S142" s="4" t="str">
        <f>IF(D142="",IF(ISNUMBER(SEARCH("NOT NULL",UPPER(D$3))),"''","null"),SUBSTITUTE(VLOOKUP(D$2,convert!$A$1:$B$4,2,0),"@@@",D142))</f>
        <v>95</v>
      </c>
      <c r="T142" s="4" t="str">
        <f>IF(E142="",IF(ISNUMBER(SEARCH("NOT NULL",UPPER(E$3))),"''","null"),SUBSTITUTE(VLOOKUP(E$2,convert!$A$1:$B$4,2,0),"@@@",E142))</f>
        <v>85</v>
      </c>
      <c r="U142" s="4" t="str">
        <f>IF(F142="",IF(ISNUMBER(SEARCH("NOT NULL",UPPER(F$3))),"''","null"),SUBSTITUTE(VLOOKUP(F$2,convert!$A$1:$B$4,2,0),"@@@",F142))</f>
        <v>125</v>
      </c>
      <c r="V142" s="4" t="str">
        <f>IF(G142="",IF(ISNUMBER(SEARCH("NOT NULL",UPPER(G$3))),"''","null"),SUBSTITUTE(VLOOKUP(G$2,convert!$A$1:$B$4,2,0),"@@@",G142))</f>
        <v>75</v>
      </c>
      <c r="W142" s="4" t="str">
        <f>IF(H142="",IF(ISNUMBER(SEARCH("NOT NULL",UPPER(H$3))),"''","null"),SUBSTITUTE(VLOOKUP(H$2,convert!$A$1:$B$4,2,0),"@@@",H142))</f>
        <v>55</v>
      </c>
      <c r="X142" s="4" t="str">
        <f>IF(I142="",IF(ISNUMBER(SEARCH("NOT NULL",UPPER(I$3))),"''","null"),SUBSTITUTE(VLOOKUP(I$2,convert!$A$1:$B$4,2,0),"@@@",I142))</f>
        <v>''</v>
      </c>
      <c r="Y142" s="4" t="str">
        <f>IF(J142="",IF(ISNUMBER(SEARCH("NOT NULL",UPPER(J$3))),"''","null"),SUBSTITUTE(VLOOKUP(J$2,convert!$A$1:$B$4,2,0),"@@@",J142))</f>
        <v>'grass'</v>
      </c>
      <c r="Z142" s="4" t="str">
        <f>IF(K142="",IF(ISNUMBER(SEARCH("NOT NULL",UPPER(K$3))),"''","null"),SUBSTITUTE(VLOOKUP(K$2,convert!$A$1:$B$4,2,0),"@@@",K142))</f>
        <v>'psychic'</v>
      </c>
      <c r="AA142" s="4" t="str">
        <f>IF(L142="",IF(ISNUMBER(SEARCH("NOT NULL",UPPER(L$3))),"''","null"),SUBSTITUTE(VLOOKUP(L$2,convert!$A$1:$B$4,2,0),"@@@",L142))</f>
        <v>'g1'</v>
      </c>
      <c r="AB142" s="4" t="str">
        <f>IF(M142="",IF(ISNUMBER(SEARCH("NOT NULL",UPPER(M$3))),"''","null"),SUBSTITUTE(VLOOKUP(M$2,convert!$A$1:$B$4,2,0),"@@@",M142))</f>
        <v>null</v>
      </c>
      <c r="AC142" s="4" t="str">
        <f>IF(N142="",IF(ISNUMBER(SEARCH("NOT NULL",UPPER(N$3))),"''","null"),SUBSTITUTE(VLOOKUP(N$2,convert!$A$1:$B$4,2,0),"@@@",N142))</f>
        <v>null</v>
      </c>
      <c r="AD142" s="4" t="str">
        <f>IF(O142="",IF(ISNUMBER(SEARCH("NOT NULL",UPPER(O$3))),"''","null"),SUBSTITUTE(VLOOKUP(O$2,convert!$A$1:$B$4,2,0),"@@@",O142))</f>
        <v>TRUE</v>
      </c>
      <c r="AE142" s="4" t="str">
        <f t="shared" si="2"/>
        <v>    ('0103N01', 'ナッシー', 95, 95, 85, 125, 75, 55, '', 'grass', 'psychic', 'g1', null, null, TRUE),</v>
      </c>
    </row>
    <row r="143" spans="1:31">
      <c r="A143" s="4" t="s">
        <v>308</v>
      </c>
      <c r="B143" s="4" t="s">
        <v>307</v>
      </c>
      <c r="C143" s="5">
        <v>95</v>
      </c>
      <c r="D143" s="5">
        <v>105</v>
      </c>
      <c r="E143" s="5">
        <v>85</v>
      </c>
      <c r="F143" s="5">
        <v>125</v>
      </c>
      <c r="G143" s="5">
        <v>75</v>
      </c>
      <c r="H143" s="5">
        <v>45</v>
      </c>
      <c r="I143" s="4" t="s">
        <v>90</v>
      </c>
      <c r="J143" s="4" t="s">
        <v>30</v>
      </c>
      <c r="K143" s="4" t="s">
        <v>50</v>
      </c>
      <c r="L143" s="4" t="s">
        <v>92</v>
      </c>
      <c r="M143" s="5"/>
      <c r="N143" s="5"/>
      <c r="O143" s="5" t="b">
        <v>1</v>
      </c>
      <c r="P143" s="4" t="str">
        <f>IF(A143="",IF(ISNUMBER(SEARCH("NOT NULL",UPPER(A$3))),"''","null"),SUBSTITUTE(VLOOKUP(A$2,convert!$A$1:$B$4,2,0),"@@@",A143))</f>
        <v>'0103A01'</v>
      </c>
      <c r="Q143" s="4" t="str">
        <f>IF(B143="",IF(ISNUMBER(SEARCH("NOT NULL",UPPER(B$3))),"''","null"),SUBSTITUTE(VLOOKUP(B$2,convert!$A$1:$B$4,2,0),"@@@",B143))</f>
        <v>'ナッシー'</v>
      </c>
      <c r="R143" s="4" t="str">
        <f>IF(C143="",IF(ISNUMBER(SEARCH("NOT NULL",UPPER(C$3))),"''","null"),SUBSTITUTE(VLOOKUP(C$2,convert!$A$1:$B$4,2,0),"@@@",C143))</f>
        <v>95</v>
      </c>
      <c r="S143" s="4" t="str">
        <f>IF(D143="",IF(ISNUMBER(SEARCH("NOT NULL",UPPER(D$3))),"''","null"),SUBSTITUTE(VLOOKUP(D$2,convert!$A$1:$B$4,2,0),"@@@",D143))</f>
        <v>105</v>
      </c>
      <c r="T143" s="4" t="str">
        <f>IF(E143="",IF(ISNUMBER(SEARCH("NOT NULL",UPPER(E$3))),"''","null"),SUBSTITUTE(VLOOKUP(E$2,convert!$A$1:$B$4,2,0),"@@@",E143))</f>
        <v>85</v>
      </c>
      <c r="U143" s="4" t="str">
        <f>IF(F143="",IF(ISNUMBER(SEARCH("NOT NULL",UPPER(F$3))),"''","null"),SUBSTITUTE(VLOOKUP(F$2,convert!$A$1:$B$4,2,0),"@@@",F143))</f>
        <v>125</v>
      </c>
      <c r="V143" s="4" t="str">
        <f>IF(G143="",IF(ISNUMBER(SEARCH("NOT NULL",UPPER(G$3))),"''","null"),SUBSTITUTE(VLOOKUP(G$2,convert!$A$1:$B$4,2,0),"@@@",G143))</f>
        <v>75</v>
      </c>
      <c r="W143" s="4" t="str">
        <f>IF(H143="",IF(ISNUMBER(SEARCH("NOT NULL",UPPER(H$3))),"''","null"),SUBSTITUTE(VLOOKUP(H$2,convert!$A$1:$B$4,2,0),"@@@",H143))</f>
        <v>45</v>
      </c>
      <c r="X143" s="4" t="str">
        <f>IF(I143="",IF(ISNUMBER(SEARCH("NOT NULL",UPPER(I$3))),"''","null"),SUBSTITUTE(VLOOKUP(I$2,convert!$A$1:$B$4,2,0),"@@@",I143))</f>
        <v>'アローラのすがた'</v>
      </c>
      <c r="Y143" s="4" t="str">
        <f>IF(J143="",IF(ISNUMBER(SEARCH("NOT NULL",UPPER(J$3))),"''","null"),SUBSTITUTE(VLOOKUP(J$2,convert!$A$1:$B$4,2,0),"@@@",J143))</f>
        <v>'grass'</v>
      </c>
      <c r="Z143" s="4" t="str">
        <f>IF(K143="",IF(ISNUMBER(SEARCH("NOT NULL",UPPER(K$3))),"''","null"),SUBSTITUTE(VLOOKUP(K$2,convert!$A$1:$B$4,2,0),"@@@",K143))</f>
        <v>'dragon'</v>
      </c>
      <c r="AA143" s="4" t="str">
        <f>IF(L143="",IF(ISNUMBER(SEARCH("NOT NULL",UPPER(L$3))),"''","null"),SUBSTITUTE(VLOOKUP(L$2,convert!$A$1:$B$4,2,0),"@@@",L143))</f>
        <v>'g7'</v>
      </c>
      <c r="AB143" s="4" t="str">
        <f>IF(M143="",IF(ISNUMBER(SEARCH("NOT NULL",UPPER(M$3))),"''","null"),SUBSTITUTE(VLOOKUP(M$2,convert!$A$1:$B$4,2,0),"@@@",M143))</f>
        <v>null</v>
      </c>
      <c r="AC143" s="4" t="str">
        <f>IF(N143="",IF(ISNUMBER(SEARCH("NOT NULL",UPPER(N$3))),"''","null"),SUBSTITUTE(VLOOKUP(N$2,convert!$A$1:$B$4,2,0),"@@@",N143))</f>
        <v>null</v>
      </c>
      <c r="AD143" s="4" t="str">
        <f>IF(O143="",IF(ISNUMBER(SEARCH("NOT NULL",UPPER(O$3))),"''","null"),SUBSTITUTE(VLOOKUP(O$2,convert!$A$1:$B$4,2,0),"@@@",O143))</f>
        <v>TRUE</v>
      </c>
      <c r="AE143" s="4" t="str">
        <f t="shared" si="2"/>
        <v>    ('0103A01', 'ナッシー', 95, 105, 85, 125, 75, 45, 'アローラのすがた', 'grass', 'dragon', 'g7', null, null, TRUE),</v>
      </c>
    </row>
    <row r="144" spans="1:31">
      <c r="A144" s="4" t="s">
        <v>309</v>
      </c>
      <c r="B144" s="4" t="s">
        <v>310</v>
      </c>
      <c r="C144" s="5">
        <v>50</v>
      </c>
      <c r="D144" s="5">
        <v>50</v>
      </c>
      <c r="E144" s="5">
        <v>95</v>
      </c>
      <c r="F144" s="5">
        <v>40</v>
      </c>
      <c r="G144" s="5">
        <v>50</v>
      </c>
      <c r="H144" s="5">
        <v>35</v>
      </c>
      <c r="I144" s="5"/>
      <c r="J144" s="4" t="s">
        <v>116</v>
      </c>
      <c r="K144" s="5"/>
      <c r="L144" s="4" t="s">
        <v>32</v>
      </c>
      <c r="M144" s="5"/>
      <c r="N144" s="5"/>
      <c r="O144" s="5" t="b">
        <v>1</v>
      </c>
      <c r="P144" s="4" t="str">
        <f>IF(A144="",IF(ISNUMBER(SEARCH("NOT NULL",UPPER(A$3))),"''","null"),SUBSTITUTE(VLOOKUP(A$2,convert!$A$1:$B$4,2,0),"@@@",A144))</f>
        <v>'0104N01'</v>
      </c>
      <c r="Q144" s="4" t="str">
        <f>IF(B144="",IF(ISNUMBER(SEARCH("NOT NULL",UPPER(B$3))),"''","null"),SUBSTITUTE(VLOOKUP(B$2,convert!$A$1:$B$4,2,0),"@@@",B144))</f>
        <v>'カラカラ'</v>
      </c>
      <c r="R144" s="4" t="str">
        <f>IF(C144="",IF(ISNUMBER(SEARCH("NOT NULL",UPPER(C$3))),"''","null"),SUBSTITUTE(VLOOKUP(C$2,convert!$A$1:$B$4,2,0),"@@@",C144))</f>
        <v>50</v>
      </c>
      <c r="S144" s="4" t="str">
        <f>IF(D144="",IF(ISNUMBER(SEARCH("NOT NULL",UPPER(D$3))),"''","null"),SUBSTITUTE(VLOOKUP(D$2,convert!$A$1:$B$4,2,0),"@@@",D144))</f>
        <v>50</v>
      </c>
      <c r="T144" s="4" t="str">
        <f>IF(E144="",IF(ISNUMBER(SEARCH("NOT NULL",UPPER(E$3))),"''","null"),SUBSTITUTE(VLOOKUP(E$2,convert!$A$1:$B$4,2,0),"@@@",E144))</f>
        <v>95</v>
      </c>
      <c r="U144" s="4" t="str">
        <f>IF(F144="",IF(ISNUMBER(SEARCH("NOT NULL",UPPER(F$3))),"''","null"),SUBSTITUTE(VLOOKUP(F$2,convert!$A$1:$B$4,2,0),"@@@",F144))</f>
        <v>40</v>
      </c>
      <c r="V144" s="4" t="str">
        <f>IF(G144="",IF(ISNUMBER(SEARCH("NOT NULL",UPPER(G$3))),"''","null"),SUBSTITUTE(VLOOKUP(G$2,convert!$A$1:$B$4,2,0),"@@@",G144))</f>
        <v>50</v>
      </c>
      <c r="W144" s="4" t="str">
        <f>IF(H144="",IF(ISNUMBER(SEARCH("NOT NULL",UPPER(H$3))),"''","null"),SUBSTITUTE(VLOOKUP(H$2,convert!$A$1:$B$4,2,0),"@@@",H144))</f>
        <v>35</v>
      </c>
      <c r="X144" s="4" t="str">
        <f>IF(I144="",IF(ISNUMBER(SEARCH("NOT NULL",UPPER(I$3))),"''","null"),SUBSTITUTE(VLOOKUP(I$2,convert!$A$1:$B$4,2,0),"@@@",I144))</f>
        <v>''</v>
      </c>
      <c r="Y144" s="4" t="str">
        <f>IF(J144="",IF(ISNUMBER(SEARCH("NOT NULL",UPPER(J$3))),"''","null"),SUBSTITUTE(VLOOKUP(J$2,convert!$A$1:$B$4,2,0),"@@@",J144))</f>
        <v>'ground'</v>
      </c>
      <c r="Z144" s="4" t="str">
        <f>IF(K144="",IF(ISNUMBER(SEARCH("NOT NULL",UPPER(K$3))),"''","null"),SUBSTITUTE(VLOOKUP(K$2,convert!$A$1:$B$4,2,0),"@@@",K144))</f>
        <v>null</v>
      </c>
      <c r="AA144" s="4" t="str">
        <f>IF(L144="",IF(ISNUMBER(SEARCH("NOT NULL",UPPER(L$3))),"''","null"),SUBSTITUTE(VLOOKUP(L$2,convert!$A$1:$B$4,2,0),"@@@",L144))</f>
        <v>'g1'</v>
      </c>
      <c r="AB144" s="4" t="str">
        <f>IF(M144="",IF(ISNUMBER(SEARCH("NOT NULL",UPPER(M$3))),"''","null"),SUBSTITUTE(VLOOKUP(M$2,convert!$A$1:$B$4,2,0),"@@@",M144))</f>
        <v>null</v>
      </c>
      <c r="AC144" s="4" t="str">
        <f>IF(N144="",IF(ISNUMBER(SEARCH("NOT NULL",UPPER(N$3))),"''","null"),SUBSTITUTE(VLOOKUP(N$2,convert!$A$1:$B$4,2,0),"@@@",N144))</f>
        <v>null</v>
      </c>
      <c r="AD144" s="4" t="str">
        <f>IF(O144="",IF(ISNUMBER(SEARCH("NOT NULL",UPPER(O$3))),"''","null"),SUBSTITUTE(VLOOKUP(O$2,convert!$A$1:$B$4,2,0),"@@@",O144))</f>
        <v>TRUE</v>
      </c>
      <c r="AE144" s="4" t="str">
        <f t="shared" si="2"/>
        <v>    ('0104N01', 'カラカラ', 50, 50, 95, 40, 50, 35, '', 'ground', null, 'g1', null, null, TRUE),</v>
      </c>
    </row>
    <row r="145" spans="1:31">
      <c r="A145" s="4" t="s">
        <v>311</v>
      </c>
      <c r="B145" s="4" t="s">
        <v>312</v>
      </c>
      <c r="C145" s="5">
        <v>60</v>
      </c>
      <c r="D145" s="5">
        <v>80</v>
      </c>
      <c r="E145" s="5">
        <v>110</v>
      </c>
      <c r="F145" s="5">
        <v>50</v>
      </c>
      <c r="G145" s="5">
        <v>80</v>
      </c>
      <c r="H145" s="5">
        <v>45</v>
      </c>
      <c r="I145" s="5"/>
      <c r="J145" s="4" t="s">
        <v>116</v>
      </c>
      <c r="K145" s="5"/>
      <c r="L145" s="4" t="s">
        <v>32</v>
      </c>
      <c r="M145" s="5"/>
      <c r="N145" s="5"/>
      <c r="O145" s="5" t="b">
        <v>1</v>
      </c>
      <c r="P145" s="4" t="str">
        <f>IF(A145="",IF(ISNUMBER(SEARCH("NOT NULL",UPPER(A$3))),"''","null"),SUBSTITUTE(VLOOKUP(A$2,convert!$A$1:$B$4,2,0),"@@@",A145))</f>
        <v>'0105N01'</v>
      </c>
      <c r="Q145" s="4" t="str">
        <f>IF(B145="",IF(ISNUMBER(SEARCH("NOT NULL",UPPER(B$3))),"''","null"),SUBSTITUTE(VLOOKUP(B$2,convert!$A$1:$B$4,2,0),"@@@",B145))</f>
        <v>'ガラガラ'</v>
      </c>
      <c r="R145" s="4" t="str">
        <f>IF(C145="",IF(ISNUMBER(SEARCH("NOT NULL",UPPER(C$3))),"''","null"),SUBSTITUTE(VLOOKUP(C$2,convert!$A$1:$B$4,2,0),"@@@",C145))</f>
        <v>60</v>
      </c>
      <c r="S145" s="4" t="str">
        <f>IF(D145="",IF(ISNUMBER(SEARCH("NOT NULL",UPPER(D$3))),"''","null"),SUBSTITUTE(VLOOKUP(D$2,convert!$A$1:$B$4,2,0),"@@@",D145))</f>
        <v>80</v>
      </c>
      <c r="T145" s="4" t="str">
        <f>IF(E145="",IF(ISNUMBER(SEARCH("NOT NULL",UPPER(E$3))),"''","null"),SUBSTITUTE(VLOOKUP(E$2,convert!$A$1:$B$4,2,0),"@@@",E145))</f>
        <v>110</v>
      </c>
      <c r="U145" s="4" t="str">
        <f>IF(F145="",IF(ISNUMBER(SEARCH("NOT NULL",UPPER(F$3))),"''","null"),SUBSTITUTE(VLOOKUP(F$2,convert!$A$1:$B$4,2,0),"@@@",F145))</f>
        <v>50</v>
      </c>
      <c r="V145" s="4" t="str">
        <f>IF(G145="",IF(ISNUMBER(SEARCH("NOT NULL",UPPER(G$3))),"''","null"),SUBSTITUTE(VLOOKUP(G$2,convert!$A$1:$B$4,2,0),"@@@",G145))</f>
        <v>80</v>
      </c>
      <c r="W145" s="4" t="str">
        <f>IF(H145="",IF(ISNUMBER(SEARCH("NOT NULL",UPPER(H$3))),"''","null"),SUBSTITUTE(VLOOKUP(H$2,convert!$A$1:$B$4,2,0),"@@@",H145))</f>
        <v>45</v>
      </c>
      <c r="X145" s="4" t="str">
        <f>IF(I145="",IF(ISNUMBER(SEARCH("NOT NULL",UPPER(I$3))),"''","null"),SUBSTITUTE(VLOOKUP(I$2,convert!$A$1:$B$4,2,0),"@@@",I145))</f>
        <v>''</v>
      </c>
      <c r="Y145" s="4" t="str">
        <f>IF(J145="",IF(ISNUMBER(SEARCH("NOT NULL",UPPER(J$3))),"''","null"),SUBSTITUTE(VLOOKUP(J$2,convert!$A$1:$B$4,2,0),"@@@",J145))</f>
        <v>'ground'</v>
      </c>
      <c r="Z145" s="4" t="str">
        <f>IF(K145="",IF(ISNUMBER(SEARCH("NOT NULL",UPPER(K$3))),"''","null"),SUBSTITUTE(VLOOKUP(K$2,convert!$A$1:$B$4,2,0),"@@@",K145))</f>
        <v>null</v>
      </c>
      <c r="AA145" s="4" t="str">
        <f>IF(L145="",IF(ISNUMBER(SEARCH("NOT NULL",UPPER(L$3))),"''","null"),SUBSTITUTE(VLOOKUP(L$2,convert!$A$1:$B$4,2,0),"@@@",L145))</f>
        <v>'g1'</v>
      </c>
      <c r="AB145" s="4" t="str">
        <f>IF(M145="",IF(ISNUMBER(SEARCH("NOT NULL",UPPER(M$3))),"''","null"),SUBSTITUTE(VLOOKUP(M$2,convert!$A$1:$B$4,2,0),"@@@",M145))</f>
        <v>null</v>
      </c>
      <c r="AC145" s="4" t="str">
        <f>IF(N145="",IF(ISNUMBER(SEARCH("NOT NULL",UPPER(N$3))),"''","null"),SUBSTITUTE(VLOOKUP(N$2,convert!$A$1:$B$4,2,0),"@@@",N145))</f>
        <v>null</v>
      </c>
      <c r="AD145" s="4" t="str">
        <f>IF(O145="",IF(ISNUMBER(SEARCH("NOT NULL",UPPER(O$3))),"''","null"),SUBSTITUTE(VLOOKUP(O$2,convert!$A$1:$B$4,2,0),"@@@",O145))</f>
        <v>TRUE</v>
      </c>
      <c r="AE145" s="4" t="str">
        <f t="shared" si="2"/>
        <v>    ('0105N01', 'ガラガラ', 60, 80, 110, 50, 80, 45, '', 'ground', null, 'g1', null, null, TRUE),</v>
      </c>
    </row>
    <row r="146" spans="1:31">
      <c r="A146" s="4" t="s">
        <v>313</v>
      </c>
      <c r="B146" s="4" t="s">
        <v>312</v>
      </c>
      <c r="C146" s="5">
        <v>60</v>
      </c>
      <c r="D146" s="5">
        <v>80</v>
      </c>
      <c r="E146" s="5">
        <v>110</v>
      </c>
      <c r="F146" s="5">
        <v>50</v>
      </c>
      <c r="G146" s="5">
        <v>80</v>
      </c>
      <c r="H146" s="5">
        <v>45</v>
      </c>
      <c r="I146" s="4" t="s">
        <v>90</v>
      </c>
      <c r="J146" s="4" t="s">
        <v>42</v>
      </c>
      <c r="K146" s="4" t="s">
        <v>281</v>
      </c>
      <c r="L146" s="4" t="s">
        <v>92</v>
      </c>
      <c r="M146" s="5"/>
      <c r="N146" s="5"/>
      <c r="O146" s="5" t="b">
        <v>1</v>
      </c>
      <c r="P146" s="4" t="str">
        <f>IF(A146="",IF(ISNUMBER(SEARCH("NOT NULL",UPPER(A$3))),"''","null"),SUBSTITUTE(VLOOKUP(A$2,convert!$A$1:$B$4,2,0),"@@@",A146))</f>
        <v>'0105A01'</v>
      </c>
      <c r="Q146" s="4" t="str">
        <f>IF(B146="",IF(ISNUMBER(SEARCH("NOT NULL",UPPER(B$3))),"''","null"),SUBSTITUTE(VLOOKUP(B$2,convert!$A$1:$B$4,2,0),"@@@",B146))</f>
        <v>'ガラガラ'</v>
      </c>
      <c r="R146" s="4" t="str">
        <f>IF(C146="",IF(ISNUMBER(SEARCH("NOT NULL",UPPER(C$3))),"''","null"),SUBSTITUTE(VLOOKUP(C$2,convert!$A$1:$B$4,2,0),"@@@",C146))</f>
        <v>60</v>
      </c>
      <c r="S146" s="4" t="str">
        <f>IF(D146="",IF(ISNUMBER(SEARCH("NOT NULL",UPPER(D$3))),"''","null"),SUBSTITUTE(VLOOKUP(D$2,convert!$A$1:$B$4,2,0),"@@@",D146))</f>
        <v>80</v>
      </c>
      <c r="T146" s="4" t="str">
        <f>IF(E146="",IF(ISNUMBER(SEARCH("NOT NULL",UPPER(E$3))),"''","null"),SUBSTITUTE(VLOOKUP(E$2,convert!$A$1:$B$4,2,0),"@@@",E146))</f>
        <v>110</v>
      </c>
      <c r="U146" s="4" t="str">
        <f>IF(F146="",IF(ISNUMBER(SEARCH("NOT NULL",UPPER(F$3))),"''","null"),SUBSTITUTE(VLOOKUP(F$2,convert!$A$1:$B$4,2,0),"@@@",F146))</f>
        <v>50</v>
      </c>
      <c r="V146" s="4" t="str">
        <f>IF(G146="",IF(ISNUMBER(SEARCH("NOT NULL",UPPER(G$3))),"''","null"),SUBSTITUTE(VLOOKUP(G$2,convert!$A$1:$B$4,2,0),"@@@",G146))</f>
        <v>80</v>
      </c>
      <c r="W146" s="4" t="str">
        <f>IF(H146="",IF(ISNUMBER(SEARCH("NOT NULL",UPPER(H$3))),"''","null"),SUBSTITUTE(VLOOKUP(H$2,convert!$A$1:$B$4,2,0),"@@@",H146))</f>
        <v>45</v>
      </c>
      <c r="X146" s="4" t="str">
        <f>IF(I146="",IF(ISNUMBER(SEARCH("NOT NULL",UPPER(I$3))),"''","null"),SUBSTITUTE(VLOOKUP(I$2,convert!$A$1:$B$4,2,0),"@@@",I146))</f>
        <v>'アローラのすがた'</v>
      </c>
      <c r="Y146" s="4" t="str">
        <f>IF(J146="",IF(ISNUMBER(SEARCH("NOT NULL",UPPER(J$3))),"''","null"),SUBSTITUTE(VLOOKUP(J$2,convert!$A$1:$B$4,2,0),"@@@",J146))</f>
        <v>'fire'</v>
      </c>
      <c r="Z146" s="4" t="str">
        <f>IF(K146="",IF(ISNUMBER(SEARCH("NOT NULL",UPPER(K$3))),"''","null"),SUBSTITUTE(VLOOKUP(K$2,convert!$A$1:$B$4,2,0),"@@@",K146))</f>
        <v>'ghost'</v>
      </c>
      <c r="AA146" s="4" t="str">
        <f>IF(L146="",IF(ISNUMBER(SEARCH("NOT NULL",UPPER(L$3))),"''","null"),SUBSTITUTE(VLOOKUP(L$2,convert!$A$1:$B$4,2,0),"@@@",L146))</f>
        <v>'g7'</v>
      </c>
      <c r="AB146" s="4" t="str">
        <f>IF(M146="",IF(ISNUMBER(SEARCH("NOT NULL",UPPER(M$3))),"''","null"),SUBSTITUTE(VLOOKUP(M$2,convert!$A$1:$B$4,2,0),"@@@",M146))</f>
        <v>null</v>
      </c>
      <c r="AC146" s="4" t="str">
        <f>IF(N146="",IF(ISNUMBER(SEARCH("NOT NULL",UPPER(N$3))),"''","null"),SUBSTITUTE(VLOOKUP(N$2,convert!$A$1:$B$4,2,0),"@@@",N146))</f>
        <v>null</v>
      </c>
      <c r="AD146" s="4" t="str">
        <f>IF(O146="",IF(ISNUMBER(SEARCH("NOT NULL",UPPER(O$3))),"''","null"),SUBSTITUTE(VLOOKUP(O$2,convert!$A$1:$B$4,2,0),"@@@",O146))</f>
        <v>TRUE</v>
      </c>
      <c r="AE146" s="4" t="str">
        <f t="shared" si="2"/>
        <v>    ('0105A01', 'ガラガラ', 60, 80, 110, 50, 80, 45, 'アローラのすがた', 'fire', 'ghost', 'g7', null, null, TRUE),</v>
      </c>
    </row>
    <row r="147" spans="1:31">
      <c r="A147" s="4" t="s">
        <v>314</v>
      </c>
      <c r="B147" s="4" t="s">
        <v>315</v>
      </c>
      <c r="C147" s="5">
        <v>50</v>
      </c>
      <c r="D147" s="5">
        <v>120</v>
      </c>
      <c r="E147" s="5">
        <v>53</v>
      </c>
      <c r="F147" s="5">
        <v>35</v>
      </c>
      <c r="G147" s="5">
        <v>110</v>
      </c>
      <c r="H147" s="5">
        <v>87</v>
      </c>
      <c r="I147" s="5"/>
      <c r="J147" s="4" t="s">
        <v>189</v>
      </c>
      <c r="K147" s="5"/>
      <c r="L147" s="4" t="s">
        <v>32</v>
      </c>
      <c r="M147" s="5"/>
      <c r="N147" s="5"/>
      <c r="O147" s="5" t="b">
        <v>1</v>
      </c>
      <c r="P147" s="4" t="str">
        <f>IF(A147="",IF(ISNUMBER(SEARCH("NOT NULL",UPPER(A$3))),"''","null"),SUBSTITUTE(VLOOKUP(A$2,convert!$A$1:$B$4,2,0),"@@@",A147))</f>
        <v>'0106N01'</v>
      </c>
      <c r="Q147" s="4" t="str">
        <f>IF(B147="",IF(ISNUMBER(SEARCH("NOT NULL",UPPER(B$3))),"''","null"),SUBSTITUTE(VLOOKUP(B$2,convert!$A$1:$B$4,2,0),"@@@",B147))</f>
        <v>'サワムラー'</v>
      </c>
      <c r="R147" s="4" t="str">
        <f>IF(C147="",IF(ISNUMBER(SEARCH("NOT NULL",UPPER(C$3))),"''","null"),SUBSTITUTE(VLOOKUP(C$2,convert!$A$1:$B$4,2,0),"@@@",C147))</f>
        <v>50</v>
      </c>
      <c r="S147" s="4" t="str">
        <f>IF(D147="",IF(ISNUMBER(SEARCH("NOT NULL",UPPER(D$3))),"''","null"),SUBSTITUTE(VLOOKUP(D$2,convert!$A$1:$B$4,2,0),"@@@",D147))</f>
        <v>120</v>
      </c>
      <c r="T147" s="4" t="str">
        <f>IF(E147="",IF(ISNUMBER(SEARCH("NOT NULL",UPPER(E$3))),"''","null"),SUBSTITUTE(VLOOKUP(E$2,convert!$A$1:$B$4,2,0),"@@@",E147))</f>
        <v>53</v>
      </c>
      <c r="U147" s="4" t="str">
        <f>IF(F147="",IF(ISNUMBER(SEARCH("NOT NULL",UPPER(F$3))),"''","null"),SUBSTITUTE(VLOOKUP(F$2,convert!$A$1:$B$4,2,0),"@@@",F147))</f>
        <v>35</v>
      </c>
      <c r="V147" s="4" t="str">
        <f>IF(G147="",IF(ISNUMBER(SEARCH("NOT NULL",UPPER(G$3))),"''","null"),SUBSTITUTE(VLOOKUP(G$2,convert!$A$1:$B$4,2,0),"@@@",G147))</f>
        <v>110</v>
      </c>
      <c r="W147" s="4" t="str">
        <f>IF(H147="",IF(ISNUMBER(SEARCH("NOT NULL",UPPER(H$3))),"''","null"),SUBSTITUTE(VLOOKUP(H$2,convert!$A$1:$B$4,2,0),"@@@",H147))</f>
        <v>87</v>
      </c>
      <c r="X147" s="4" t="str">
        <f>IF(I147="",IF(ISNUMBER(SEARCH("NOT NULL",UPPER(I$3))),"''","null"),SUBSTITUTE(VLOOKUP(I$2,convert!$A$1:$B$4,2,0),"@@@",I147))</f>
        <v>''</v>
      </c>
      <c r="Y147" s="4" t="str">
        <f>IF(J147="",IF(ISNUMBER(SEARCH("NOT NULL",UPPER(J$3))),"''","null"),SUBSTITUTE(VLOOKUP(J$2,convert!$A$1:$B$4,2,0),"@@@",J147))</f>
        <v>'fighting'</v>
      </c>
      <c r="Z147" s="4" t="str">
        <f>IF(K147="",IF(ISNUMBER(SEARCH("NOT NULL",UPPER(K$3))),"''","null"),SUBSTITUTE(VLOOKUP(K$2,convert!$A$1:$B$4,2,0),"@@@",K147))</f>
        <v>null</v>
      </c>
      <c r="AA147" s="4" t="str">
        <f>IF(L147="",IF(ISNUMBER(SEARCH("NOT NULL",UPPER(L$3))),"''","null"),SUBSTITUTE(VLOOKUP(L$2,convert!$A$1:$B$4,2,0),"@@@",L147))</f>
        <v>'g1'</v>
      </c>
      <c r="AB147" s="4" t="str">
        <f>IF(M147="",IF(ISNUMBER(SEARCH("NOT NULL",UPPER(M$3))),"''","null"),SUBSTITUTE(VLOOKUP(M$2,convert!$A$1:$B$4,2,0),"@@@",M147))</f>
        <v>null</v>
      </c>
      <c r="AC147" s="4" t="str">
        <f>IF(N147="",IF(ISNUMBER(SEARCH("NOT NULL",UPPER(N$3))),"''","null"),SUBSTITUTE(VLOOKUP(N$2,convert!$A$1:$B$4,2,0),"@@@",N147))</f>
        <v>null</v>
      </c>
      <c r="AD147" s="4" t="str">
        <f>IF(O147="",IF(ISNUMBER(SEARCH("NOT NULL",UPPER(O$3))),"''","null"),SUBSTITUTE(VLOOKUP(O$2,convert!$A$1:$B$4,2,0),"@@@",O147))</f>
        <v>TRUE</v>
      </c>
      <c r="AE147" s="4" t="str">
        <f t="shared" si="2"/>
        <v>    ('0106N01', 'サワムラー', 50, 120, 53, 35, 110, 87, '', 'fighting', null, 'g1', null, null, TRUE),</v>
      </c>
    </row>
    <row r="148" spans="1:31">
      <c r="A148" s="4" t="s">
        <v>316</v>
      </c>
      <c r="B148" s="4" t="s">
        <v>317</v>
      </c>
      <c r="C148" s="5">
        <v>50</v>
      </c>
      <c r="D148" s="5">
        <v>105</v>
      </c>
      <c r="E148" s="5">
        <v>79</v>
      </c>
      <c r="F148" s="5">
        <v>35</v>
      </c>
      <c r="G148" s="5">
        <v>110</v>
      </c>
      <c r="H148" s="5">
        <v>76</v>
      </c>
      <c r="I148" s="5"/>
      <c r="J148" s="4" t="s">
        <v>189</v>
      </c>
      <c r="K148" s="5"/>
      <c r="L148" s="4" t="s">
        <v>32</v>
      </c>
      <c r="M148" s="5"/>
      <c r="N148" s="5"/>
      <c r="O148" s="5" t="b">
        <v>1</v>
      </c>
      <c r="P148" s="4" t="str">
        <f>IF(A148="",IF(ISNUMBER(SEARCH("NOT NULL",UPPER(A$3))),"''","null"),SUBSTITUTE(VLOOKUP(A$2,convert!$A$1:$B$4,2,0),"@@@",A148))</f>
        <v>'0107N01'</v>
      </c>
      <c r="Q148" s="4" t="str">
        <f>IF(B148="",IF(ISNUMBER(SEARCH("NOT NULL",UPPER(B$3))),"''","null"),SUBSTITUTE(VLOOKUP(B$2,convert!$A$1:$B$4,2,0),"@@@",B148))</f>
        <v>'エビワラー'</v>
      </c>
      <c r="R148" s="4" t="str">
        <f>IF(C148="",IF(ISNUMBER(SEARCH("NOT NULL",UPPER(C$3))),"''","null"),SUBSTITUTE(VLOOKUP(C$2,convert!$A$1:$B$4,2,0),"@@@",C148))</f>
        <v>50</v>
      </c>
      <c r="S148" s="4" t="str">
        <f>IF(D148="",IF(ISNUMBER(SEARCH("NOT NULL",UPPER(D$3))),"''","null"),SUBSTITUTE(VLOOKUP(D$2,convert!$A$1:$B$4,2,0),"@@@",D148))</f>
        <v>105</v>
      </c>
      <c r="T148" s="4" t="str">
        <f>IF(E148="",IF(ISNUMBER(SEARCH("NOT NULL",UPPER(E$3))),"''","null"),SUBSTITUTE(VLOOKUP(E$2,convert!$A$1:$B$4,2,0),"@@@",E148))</f>
        <v>79</v>
      </c>
      <c r="U148" s="4" t="str">
        <f>IF(F148="",IF(ISNUMBER(SEARCH("NOT NULL",UPPER(F$3))),"''","null"),SUBSTITUTE(VLOOKUP(F$2,convert!$A$1:$B$4,2,0),"@@@",F148))</f>
        <v>35</v>
      </c>
      <c r="V148" s="4" t="str">
        <f>IF(G148="",IF(ISNUMBER(SEARCH("NOT NULL",UPPER(G$3))),"''","null"),SUBSTITUTE(VLOOKUP(G$2,convert!$A$1:$B$4,2,0),"@@@",G148))</f>
        <v>110</v>
      </c>
      <c r="W148" s="4" t="str">
        <f>IF(H148="",IF(ISNUMBER(SEARCH("NOT NULL",UPPER(H$3))),"''","null"),SUBSTITUTE(VLOOKUP(H$2,convert!$A$1:$B$4,2,0),"@@@",H148))</f>
        <v>76</v>
      </c>
      <c r="X148" s="4" t="str">
        <f>IF(I148="",IF(ISNUMBER(SEARCH("NOT NULL",UPPER(I$3))),"''","null"),SUBSTITUTE(VLOOKUP(I$2,convert!$A$1:$B$4,2,0),"@@@",I148))</f>
        <v>''</v>
      </c>
      <c r="Y148" s="4" t="str">
        <f>IF(J148="",IF(ISNUMBER(SEARCH("NOT NULL",UPPER(J$3))),"''","null"),SUBSTITUTE(VLOOKUP(J$2,convert!$A$1:$B$4,2,0),"@@@",J148))</f>
        <v>'fighting'</v>
      </c>
      <c r="Z148" s="4" t="str">
        <f>IF(K148="",IF(ISNUMBER(SEARCH("NOT NULL",UPPER(K$3))),"''","null"),SUBSTITUTE(VLOOKUP(K$2,convert!$A$1:$B$4,2,0),"@@@",K148))</f>
        <v>null</v>
      </c>
      <c r="AA148" s="4" t="str">
        <f>IF(L148="",IF(ISNUMBER(SEARCH("NOT NULL",UPPER(L$3))),"''","null"),SUBSTITUTE(VLOOKUP(L$2,convert!$A$1:$B$4,2,0),"@@@",L148))</f>
        <v>'g1'</v>
      </c>
      <c r="AB148" s="4" t="str">
        <f>IF(M148="",IF(ISNUMBER(SEARCH("NOT NULL",UPPER(M$3))),"''","null"),SUBSTITUTE(VLOOKUP(M$2,convert!$A$1:$B$4,2,0),"@@@",M148))</f>
        <v>null</v>
      </c>
      <c r="AC148" s="4" t="str">
        <f>IF(N148="",IF(ISNUMBER(SEARCH("NOT NULL",UPPER(N$3))),"''","null"),SUBSTITUTE(VLOOKUP(N$2,convert!$A$1:$B$4,2,0),"@@@",N148))</f>
        <v>null</v>
      </c>
      <c r="AD148" s="4" t="str">
        <f>IF(O148="",IF(ISNUMBER(SEARCH("NOT NULL",UPPER(O$3))),"''","null"),SUBSTITUTE(VLOOKUP(O$2,convert!$A$1:$B$4,2,0),"@@@",O148))</f>
        <v>TRUE</v>
      </c>
      <c r="AE148" s="4" t="str">
        <f t="shared" si="2"/>
        <v>    ('0107N01', 'エビワラー', 50, 105, 79, 35, 110, 76, '', 'fighting', null, 'g1', null, null, TRUE),</v>
      </c>
    </row>
    <row r="149" spans="1:31">
      <c r="A149" s="4" t="s">
        <v>318</v>
      </c>
      <c r="B149" s="4" t="s">
        <v>319</v>
      </c>
      <c r="C149" s="5">
        <v>90</v>
      </c>
      <c r="D149" s="5">
        <v>55</v>
      </c>
      <c r="E149" s="5">
        <v>75</v>
      </c>
      <c r="F149" s="5">
        <v>60</v>
      </c>
      <c r="G149" s="5">
        <v>75</v>
      </c>
      <c r="H149" s="5">
        <v>30</v>
      </c>
      <c r="I149" s="5"/>
      <c r="J149" s="4" t="s">
        <v>80</v>
      </c>
      <c r="K149" s="5"/>
      <c r="L149" s="4" t="s">
        <v>32</v>
      </c>
      <c r="M149" s="5"/>
      <c r="N149" s="5"/>
      <c r="O149" s="5" t="b">
        <v>1</v>
      </c>
      <c r="P149" s="4" t="str">
        <f>IF(A149="",IF(ISNUMBER(SEARCH("NOT NULL",UPPER(A$3))),"''","null"),SUBSTITUTE(VLOOKUP(A$2,convert!$A$1:$B$4,2,0),"@@@",A149))</f>
        <v>'0108N01'</v>
      </c>
      <c r="Q149" s="4" t="str">
        <f>IF(B149="",IF(ISNUMBER(SEARCH("NOT NULL",UPPER(B$3))),"''","null"),SUBSTITUTE(VLOOKUP(B$2,convert!$A$1:$B$4,2,0),"@@@",B149))</f>
        <v>'ベロリンガ'</v>
      </c>
      <c r="R149" s="4" t="str">
        <f>IF(C149="",IF(ISNUMBER(SEARCH("NOT NULL",UPPER(C$3))),"''","null"),SUBSTITUTE(VLOOKUP(C$2,convert!$A$1:$B$4,2,0),"@@@",C149))</f>
        <v>90</v>
      </c>
      <c r="S149" s="4" t="str">
        <f>IF(D149="",IF(ISNUMBER(SEARCH("NOT NULL",UPPER(D$3))),"''","null"),SUBSTITUTE(VLOOKUP(D$2,convert!$A$1:$B$4,2,0),"@@@",D149))</f>
        <v>55</v>
      </c>
      <c r="T149" s="4" t="str">
        <f>IF(E149="",IF(ISNUMBER(SEARCH("NOT NULL",UPPER(E$3))),"''","null"),SUBSTITUTE(VLOOKUP(E$2,convert!$A$1:$B$4,2,0),"@@@",E149))</f>
        <v>75</v>
      </c>
      <c r="U149" s="4" t="str">
        <f>IF(F149="",IF(ISNUMBER(SEARCH("NOT NULL",UPPER(F$3))),"''","null"),SUBSTITUTE(VLOOKUP(F$2,convert!$A$1:$B$4,2,0),"@@@",F149))</f>
        <v>60</v>
      </c>
      <c r="V149" s="4" t="str">
        <f>IF(G149="",IF(ISNUMBER(SEARCH("NOT NULL",UPPER(G$3))),"''","null"),SUBSTITUTE(VLOOKUP(G$2,convert!$A$1:$B$4,2,0),"@@@",G149))</f>
        <v>75</v>
      </c>
      <c r="W149" s="4" t="str">
        <f>IF(H149="",IF(ISNUMBER(SEARCH("NOT NULL",UPPER(H$3))),"''","null"),SUBSTITUTE(VLOOKUP(H$2,convert!$A$1:$B$4,2,0),"@@@",H149))</f>
        <v>30</v>
      </c>
      <c r="X149" s="4" t="str">
        <f>IF(I149="",IF(ISNUMBER(SEARCH("NOT NULL",UPPER(I$3))),"''","null"),SUBSTITUTE(VLOOKUP(I$2,convert!$A$1:$B$4,2,0),"@@@",I149))</f>
        <v>''</v>
      </c>
      <c r="Y149" s="4" t="str">
        <f>IF(J149="",IF(ISNUMBER(SEARCH("NOT NULL",UPPER(J$3))),"''","null"),SUBSTITUTE(VLOOKUP(J$2,convert!$A$1:$B$4,2,0),"@@@",J149))</f>
        <v>'normal'</v>
      </c>
      <c r="Z149" s="4" t="str">
        <f>IF(K149="",IF(ISNUMBER(SEARCH("NOT NULL",UPPER(K$3))),"''","null"),SUBSTITUTE(VLOOKUP(K$2,convert!$A$1:$B$4,2,0),"@@@",K149))</f>
        <v>null</v>
      </c>
      <c r="AA149" s="4" t="str">
        <f>IF(L149="",IF(ISNUMBER(SEARCH("NOT NULL",UPPER(L$3))),"''","null"),SUBSTITUTE(VLOOKUP(L$2,convert!$A$1:$B$4,2,0),"@@@",L149))</f>
        <v>'g1'</v>
      </c>
      <c r="AB149" s="4" t="str">
        <f>IF(M149="",IF(ISNUMBER(SEARCH("NOT NULL",UPPER(M$3))),"''","null"),SUBSTITUTE(VLOOKUP(M$2,convert!$A$1:$B$4,2,0),"@@@",M149))</f>
        <v>null</v>
      </c>
      <c r="AC149" s="4" t="str">
        <f>IF(N149="",IF(ISNUMBER(SEARCH("NOT NULL",UPPER(N$3))),"''","null"),SUBSTITUTE(VLOOKUP(N$2,convert!$A$1:$B$4,2,0),"@@@",N149))</f>
        <v>null</v>
      </c>
      <c r="AD149" s="4" t="str">
        <f>IF(O149="",IF(ISNUMBER(SEARCH("NOT NULL",UPPER(O$3))),"''","null"),SUBSTITUTE(VLOOKUP(O$2,convert!$A$1:$B$4,2,0),"@@@",O149))</f>
        <v>TRUE</v>
      </c>
      <c r="AE149" s="4" t="str">
        <f t="shared" si="2"/>
        <v>    ('0108N01', 'ベロリンガ', 90, 55, 75, 60, 75, 30, '', 'normal', null, 'g1', null, null, TRUE),</v>
      </c>
    </row>
    <row r="150" spans="1:31">
      <c r="A150" s="4" t="s">
        <v>320</v>
      </c>
      <c r="B150" s="4" t="s">
        <v>321</v>
      </c>
      <c r="C150" s="5">
        <v>40</v>
      </c>
      <c r="D150" s="5">
        <v>65</v>
      </c>
      <c r="E150" s="5">
        <v>95</v>
      </c>
      <c r="F150" s="5">
        <v>60</v>
      </c>
      <c r="G150" s="5">
        <v>45</v>
      </c>
      <c r="H150" s="5">
        <v>35</v>
      </c>
      <c r="I150" s="5"/>
      <c r="J150" s="4" t="s">
        <v>31</v>
      </c>
      <c r="K150" s="5"/>
      <c r="L150" s="4" t="s">
        <v>32</v>
      </c>
      <c r="M150" s="5"/>
      <c r="N150" s="5"/>
      <c r="O150" s="5" t="b">
        <v>1</v>
      </c>
      <c r="P150" s="4" t="str">
        <f>IF(A150="",IF(ISNUMBER(SEARCH("NOT NULL",UPPER(A$3))),"''","null"),SUBSTITUTE(VLOOKUP(A$2,convert!$A$1:$B$4,2,0),"@@@",A150))</f>
        <v>'0109N01'</v>
      </c>
      <c r="Q150" s="4" t="str">
        <f>IF(B150="",IF(ISNUMBER(SEARCH("NOT NULL",UPPER(B$3))),"''","null"),SUBSTITUTE(VLOOKUP(B$2,convert!$A$1:$B$4,2,0),"@@@",B150))</f>
        <v>'ドガース'</v>
      </c>
      <c r="R150" s="4" t="str">
        <f>IF(C150="",IF(ISNUMBER(SEARCH("NOT NULL",UPPER(C$3))),"''","null"),SUBSTITUTE(VLOOKUP(C$2,convert!$A$1:$B$4,2,0),"@@@",C150))</f>
        <v>40</v>
      </c>
      <c r="S150" s="4" t="str">
        <f>IF(D150="",IF(ISNUMBER(SEARCH("NOT NULL",UPPER(D$3))),"''","null"),SUBSTITUTE(VLOOKUP(D$2,convert!$A$1:$B$4,2,0),"@@@",D150))</f>
        <v>65</v>
      </c>
      <c r="T150" s="4" t="str">
        <f>IF(E150="",IF(ISNUMBER(SEARCH("NOT NULL",UPPER(E$3))),"''","null"),SUBSTITUTE(VLOOKUP(E$2,convert!$A$1:$B$4,2,0),"@@@",E150))</f>
        <v>95</v>
      </c>
      <c r="U150" s="4" t="str">
        <f>IF(F150="",IF(ISNUMBER(SEARCH("NOT NULL",UPPER(F$3))),"''","null"),SUBSTITUTE(VLOOKUP(F$2,convert!$A$1:$B$4,2,0),"@@@",F150))</f>
        <v>60</v>
      </c>
      <c r="V150" s="4" t="str">
        <f>IF(G150="",IF(ISNUMBER(SEARCH("NOT NULL",UPPER(G$3))),"''","null"),SUBSTITUTE(VLOOKUP(G$2,convert!$A$1:$B$4,2,0),"@@@",G150))</f>
        <v>45</v>
      </c>
      <c r="W150" s="4" t="str">
        <f>IF(H150="",IF(ISNUMBER(SEARCH("NOT NULL",UPPER(H$3))),"''","null"),SUBSTITUTE(VLOOKUP(H$2,convert!$A$1:$B$4,2,0),"@@@",H150))</f>
        <v>35</v>
      </c>
      <c r="X150" s="4" t="str">
        <f>IF(I150="",IF(ISNUMBER(SEARCH("NOT NULL",UPPER(I$3))),"''","null"),SUBSTITUTE(VLOOKUP(I$2,convert!$A$1:$B$4,2,0),"@@@",I150))</f>
        <v>''</v>
      </c>
      <c r="Y150" s="4" t="str">
        <f>IF(J150="",IF(ISNUMBER(SEARCH("NOT NULL",UPPER(J$3))),"''","null"),SUBSTITUTE(VLOOKUP(J$2,convert!$A$1:$B$4,2,0),"@@@",J150))</f>
        <v>'poison'</v>
      </c>
      <c r="Z150" s="4" t="str">
        <f>IF(K150="",IF(ISNUMBER(SEARCH("NOT NULL",UPPER(K$3))),"''","null"),SUBSTITUTE(VLOOKUP(K$2,convert!$A$1:$B$4,2,0),"@@@",K150))</f>
        <v>null</v>
      </c>
      <c r="AA150" s="4" t="str">
        <f>IF(L150="",IF(ISNUMBER(SEARCH("NOT NULL",UPPER(L$3))),"''","null"),SUBSTITUTE(VLOOKUP(L$2,convert!$A$1:$B$4,2,0),"@@@",L150))</f>
        <v>'g1'</v>
      </c>
      <c r="AB150" s="4" t="str">
        <f>IF(M150="",IF(ISNUMBER(SEARCH("NOT NULL",UPPER(M$3))),"''","null"),SUBSTITUTE(VLOOKUP(M$2,convert!$A$1:$B$4,2,0),"@@@",M150))</f>
        <v>null</v>
      </c>
      <c r="AC150" s="4" t="str">
        <f>IF(N150="",IF(ISNUMBER(SEARCH("NOT NULL",UPPER(N$3))),"''","null"),SUBSTITUTE(VLOOKUP(N$2,convert!$A$1:$B$4,2,0),"@@@",N150))</f>
        <v>null</v>
      </c>
      <c r="AD150" s="4" t="str">
        <f>IF(O150="",IF(ISNUMBER(SEARCH("NOT NULL",UPPER(O$3))),"''","null"),SUBSTITUTE(VLOOKUP(O$2,convert!$A$1:$B$4,2,0),"@@@",O150))</f>
        <v>TRUE</v>
      </c>
      <c r="AE150" s="4" t="str">
        <f t="shared" si="2"/>
        <v>    ('0109N01', 'ドガース', 40, 65, 95, 60, 45, 35, '', 'poison', null, 'g1', null, null, TRUE),</v>
      </c>
    </row>
    <row r="151" spans="1:31">
      <c r="A151" s="4" t="s">
        <v>322</v>
      </c>
      <c r="B151" s="4" t="s">
        <v>323</v>
      </c>
      <c r="C151" s="5">
        <v>65</v>
      </c>
      <c r="D151" s="5">
        <v>90</v>
      </c>
      <c r="E151" s="5">
        <v>120</v>
      </c>
      <c r="F151" s="5">
        <v>85</v>
      </c>
      <c r="G151" s="5">
        <v>70</v>
      </c>
      <c r="H151" s="5">
        <v>60</v>
      </c>
      <c r="I151" s="5"/>
      <c r="J151" s="4" t="s">
        <v>31</v>
      </c>
      <c r="K151" s="5"/>
      <c r="L151" s="4" t="s">
        <v>32</v>
      </c>
      <c r="M151" s="5"/>
      <c r="N151" s="5"/>
      <c r="O151" s="5" t="b">
        <v>1</v>
      </c>
      <c r="P151" s="4" t="str">
        <f>IF(A151="",IF(ISNUMBER(SEARCH("NOT NULL",UPPER(A$3))),"''","null"),SUBSTITUTE(VLOOKUP(A$2,convert!$A$1:$B$4,2,0),"@@@",A151))</f>
        <v>'0110N01'</v>
      </c>
      <c r="Q151" s="4" t="str">
        <f>IF(B151="",IF(ISNUMBER(SEARCH("NOT NULL",UPPER(B$3))),"''","null"),SUBSTITUTE(VLOOKUP(B$2,convert!$A$1:$B$4,2,0),"@@@",B151))</f>
        <v>'マタドガス'</v>
      </c>
      <c r="R151" s="4" t="str">
        <f>IF(C151="",IF(ISNUMBER(SEARCH("NOT NULL",UPPER(C$3))),"''","null"),SUBSTITUTE(VLOOKUP(C$2,convert!$A$1:$B$4,2,0),"@@@",C151))</f>
        <v>65</v>
      </c>
      <c r="S151" s="4" t="str">
        <f>IF(D151="",IF(ISNUMBER(SEARCH("NOT NULL",UPPER(D$3))),"''","null"),SUBSTITUTE(VLOOKUP(D$2,convert!$A$1:$B$4,2,0),"@@@",D151))</f>
        <v>90</v>
      </c>
      <c r="T151" s="4" t="str">
        <f>IF(E151="",IF(ISNUMBER(SEARCH("NOT NULL",UPPER(E$3))),"''","null"),SUBSTITUTE(VLOOKUP(E$2,convert!$A$1:$B$4,2,0),"@@@",E151))</f>
        <v>120</v>
      </c>
      <c r="U151" s="4" t="str">
        <f>IF(F151="",IF(ISNUMBER(SEARCH("NOT NULL",UPPER(F$3))),"''","null"),SUBSTITUTE(VLOOKUP(F$2,convert!$A$1:$B$4,2,0),"@@@",F151))</f>
        <v>85</v>
      </c>
      <c r="V151" s="4" t="str">
        <f>IF(G151="",IF(ISNUMBER(SEARCH("NOT NULL",UPPER(G$3))),"''","null"),SUBSTITUTE(VLOOKUP(G$2,convert!$A$1:$B$4,2,0),"@@@",G151))</f>
        <v>70</v>
      </c>
      <c r="W151" s="4" t="str">
        <f>IF(H151="",IF(ISNUMBER(SEARCH("NOT NULL",UPPER(H$3))),"''","null"),SUBSTITUTE(VLOOKUP(H$2,convert!$A$1:$B$4,2,0),"@@@",H151))</f>
        <v>60</v>
      </c>
      <c r="X151" s="4" t="str">
        <f>IF(I151="",IF(ISNUMBER(SEARCH("NOT NULL",UPPER(I$3))),"''","null"),SUBSTITUTE(VLOOKUP(I$2,convert!$A$1:$B$4,2,0),"@@@",I151))</f>
        <v>''</v>
      </c>
      <c r="Y151" s="4" t="str">
        <f>IF(J151="",IF(ISNUMBER(SEARCH("NOT NULL",UPPER(J$3))),"''","null"),SUBSTITUTE(VLOOKUP(J$2,convert!$A$1:$B$4,2,0),"@@@",J151))</f>
        <v>'poison'</v>
      </c>
      <c r="Z151" s="4" t="str">
        <f>IF(K151="",IF(ISNUMBER(SEARCH("NOT NULL",UPPER(K$3))),"''","null"),SUBSTITUTE(VLOOKUP(K$2,convert!$A$1:$B$4,2,0),"@@@",K151))</f>
        <v>null</v>
      </c>
      <c r="AA151" s="4" t="str">
        <f>IF(L151="",IF(ISNUMBER(SEARCH("NOT NULL",UPPER(L$3))),"''","null"),SUBSTITUTE(VLOOKUP(L$2,convert!$A$1:$B$4,2,0),"@@@",L151))</f>
        <v>'g1'</v>
      </c>
      <c r="AB151" s="4" t="str">
        <f>IF(M151="",IF(ISNUMBER(SEARCH("NOT NULL",UPPER(M$3))),"''","null"),SUBSTITUTE(VLOOKUP(M$2,convert!$A$1:$B$4,2,0),"@@@",M151))</f>
        <v>null</v>
      </c>
      <c r="AC151" s="4" t="str">
        <f>IF(N151="",IF(ISNUMBER(SEARCH("NOT NULL",UPPER(N$3))),"''","null"),SUBSTITUTE(VLOOKUP(N$2,convert!$A$1:$B$4,2,0),"@@@",N151))</f>
        <v>null</v>
      </c>
      <c r="AD151" s="4" t="str">
        <f>IF(O151="",IF(ISNUMBER(SEARCH("NOT NULL",UPPER(O$3))),"''","null"),SUBSTITUTE(VLOOKUP(O$2,convert!$A$1:$B$4,2,0),"@@@",O151))</f>
        <v>TRUE</v>
      </c>
      <c r="AE151" s="4" t="str">
        <f t="shared" si="2"/>
        <v>    ('0110N01', 'マタドガス', 65, 90, 120, 85, 70, 60, '', 'poison', null, 'g1', null, null, TRUE),</v>
      </c>
    </row>
    <row r="152" spans="1:31">
      <c r="A152" s="4" t="s">
        <v>324</v>
      </c>
      <c r="B152" s="4" t="s">
        <v>323</v>
      </c>
      <c r="C152" s="5">
        <v>65</v>
      </c>
      <c r="D152" s="5">
        <v>90</v>
      </c>
      <c r="E152" s="5">
        <v>120</v>
      </c>
      <c r="F152" s="5">
        <v>85</v>
      </c>
      <c r="G152" s="5">
        <v>70</v>
      </c>
      <c r="H152" s="5">
        <v>60</v>
      </c>
      <c r="I152" s="4" t="s">
        <v>178</v>
      </c>
      <c r="J152" s="4" t="s">
        <v>31</v>
      </c>
      <c r="K152" s="4" t="s">
        <v>137</v>
      </c>
      <c r="L152" s="4" t="s">
        <v>179</v>
      </c>
      <c r="M152" s="5"/>
      <c r="N152" s="5"/>
      <c r="O152" s="5" t="b">
        <v>1</v>
      </c>
      <c r="P152" s="4" t="str">
        <f>IF(A152="",IF(ISNUMBER(SEARCH("NOT NULL",UPPER(A$3))),"''","null"),SUBSTITUTE(VLOOKUP(A$2,convert!$A$1:$B$4,2,0),"@@@",A152))</f>
        <v>'0110G01'</v>
      </c>
      <c r="Q152" s="4" t="str">
        <f>IF(B152="",IF(ISNUMBER(SEARCH("NOT NULL",UPPER(B$3))),"''","null"),SUBSTITUTE(VLOOKUP(B$2,convert!$A$1:$B$4,2,0),"@@@",B152))</f>
        <v>'マタドガス'</v>
      </c>
      <c r="R152" s="4" t="str">
        <f>IF(C152="",IF(ISNUMBER(SEARCH("NOT NULL",UPPER(C$3))),"''","null"),SUBSTITUTE(VLOOKUP(C$2,convert!$A$1:$B$4,2,0),"@@@",C152))</f>
        <v>65</v>
      </c>
      <c r="S152" s="4" t="str">
        <f>IF(D152="",IF(ISNUMBER(SEARCH("NOT NULL",UPPER(D$3))),"''","null"),SUBSTITUTE(VLOOKUP(D$2,convert!$A$1:$B$4,2,0),"@@@",D152))</f>
        <v>90</v>
      </c>
      <c r="T152" s="4" t="str">
        <f>IF(E152="",IF(ISNUMBER(SEARCH("NOT NULL",UPPER(E$3))),"''","null"),SUBSTITUTE(VLOOKUP(E$2,convert!$A$1:$B$4,2,0),"@@@",E152))</f>
        <v>120</v>
      </c>
      <c r="U152" s="4" t="str">
        <f>IF(F152="",IF(ISNUMBER(SEARCH("NOT NULL",UPPER(F$3))),"''","null"),SUBSTITUTE(VLOOKUP(F$2,convert!$A$1:$B$4,2,0),"@@@",F152))</f>
        <v>85</v>
      </c>
      <c r="V152" s="4" t="str">
        <f>IF(G152="",IF(ISNUMBER(SEARCH("NOT NULL",UPPER(G$3))),"''","null"),SUBSTITUTE(VLOOKUP(G$2,convert!$A$1:$B$4,2,0),"@@@",G152))</f>
        <v>70</v>
      </c>
      <c r="W152" s="4" t="str">
        <f>IF(H152="",IF(ISNUMBER(SEARCH("NOT NULL",UPPER(H$3))),"''","null"),SUBSTITUTE(VLOOKUP(H$2,convert!$A$1:$B$4,2,0),"@@@",H152))</f>
        <v>60</v>
      </c>
      <c r="X152" s="4" t="str">
        <f>IF(I152="",IF(ISNUMBER(SEARCH("NOT NULL",UPPER(I$3))),"''","null"),SUBSTITUTE(VLOOKUP(I$2,convert!$A$1:$B$4,2,0),"@@@",I152))</f>
        <v>'ガラルのすがた'</v>
      </c>
      <c r="Y152" s="4" t="str">
        <f>IF(J152="",IF(ISNUMBER(SEARCH("NOT NULL",UPPER(J$3))),"''","null"),SUBSTITUTE(VLOOKUP(J$2,convert!$A$1:$B$4,2,0),"@@@",J152))</f>
        <v>'poison'</v>
      </c>
      <c r="Z152" s="4" t="str">
        <f>IF(K152="",IF(ISNUMBER(SEARCH("NOT NULL",UPPER(K$3))),"''","null"),SUBSTITUTE(VLOOKUP(K$2,convert!$A$1:$B$4,2,0),"@@@",K152))</f>
        <v>'fairy'</v>
      </c>
      <c r="AA152" s="4" t="str">
        <f>IF(L152="",IF(ISNUMBER(SEARCH("NOT NULL",UPPER(L$3))),"''","null"),SUBSTITUTE(VLOOKUP(L$2,convert!$A$1:$B$4,2,0),"@@@",L152))</f>
        <v>'g8'</v>
      </c>
      <c r="AB152" s="4" t="str">
        <f>IF(M152="",IF(ISNUMBER(SEARCH("NOT NULL",UPPER(M$3))),"''","null"),SUBSTITUTE(VLOOKUP(M$2,convert!$A$1:$B$4,2,0),"@@@",M152))</f>
        <v>null</v>
      </c>
      <c r="AC152" s="4" t="str">
        <f>IF(N152="",IF(ISNUMBER(SEARCH("NOT NULL",UPPER(N$3))),"''","null"),SUBSTITUTE(VLOOKUP(N$2,convert!$A$1:$B$4,2,0),"@@@",N152))</f>
        <v>null</v>
      </c>
      <c r="AD152" s="4" t="str">
        <f>IF(O152="",IF(ISNUMBER(SEARCH("NOT NULL",UPPER(O$3))),"''","null"),SUBSTITUTE(VLOOKUP(O$2,convert!$A$1:$B$4,2,0),"@@@",O152))</f>
        <v>TRUE</v>
      </c>
      <c r="AE152" s="4" t="str">
        <f t="shared" si="2"/>
        <v>    ('0110G01', 'マタドガス', 65, 90, 120, 85, 70, 60, 'ガラルのすがた', 'poison', 'fairy', 'g8', null, null, TRUE),</v>
      </c>
    </row>
    <row r="153" spans="1:31">
      <c r="A153" s="4" t="s">
        <v>325</v>
      </c>
      <c r="B153" s="4" t="s">
        <v>326</v>
      </c>
      <c r="C153" s="5">
        <v>80</v>
      </c>
      <c r="D153" s="5">
        <v>85</v>
      </c>
      <c r="E153" s="5">
        <v>95</v>
      </c>
      <c r="F153" s="5">
        <v>30</v>
      </c>
      <c r="G153" s="5">
        <v>30</v>
      </c>
      <c r="H153" s="5">
        <v>25</v>
      </c>
      <c r="I153" s="5"/>
      <c r="J153" s="4" t="s">
        <v>116</v>
      </c>
      <c r="K153" s="4" t="s">
        <v>196</v>
      </c>
      <c r="L153" s="4" t="s">
        <v>32</v>
      </c>
      <c r="M153" s="5"/>
      <c r="N153" s="5"/>
      <c r="O153" s="5" t="b">
        <v>1</v>
      </c>
      <c r="P153" s="4" t="str">
        <f>IF(A153="",IF(ISNUMBER(SEARCH("NOT NULL",UPPER(A$3))),"''","null"),SUBSTITUTE(VLOOKUP(A$2,convert!$A$1:$B$4,2,0),"@@@",A153))</f>
        <v>'0111N01'</v>
      </c>
      <c r="Q153" s="4" t="str">
        <f>IF(B153="",IF(ISNUMBER(SEARCH("NOT NULL",UPPER(B$3))),"''","null"),SUBSTITUTE(VLOOKUP(B$2,convert!$A$1:$B$4,2,0),"@@@",B153))</f>
        <v>'サイホーン'</v>
      </c>
      <c r="R153" s="4" t="str">
        <f>IF(C153="",IF(ISNUMBER(SEARCH("NOT NULL",UPPER(C$3))),"''","null"),SUBSTITUTE(VLOOKUP(C$2,convert!$A$1:$B$4,2,0),"@@@",C153))</f>
        <v>80</v>
      </c>
      <c r="S153" s="4" t="str">
        <f>IF(D153="",IF(ISNUMBER(SEARCH("NOT NULL",UPPER(D$3))),"''","null"),SUBSTITUTE(VLOOKUP(D$2,convert!$A$1:$B$4,2,0),"@@@",D153))</f>
        <v>85</v>
      </c>
      <c r="T153" s="4" t="str">
        <f>IF(E153="",IF(ISNUMBER(SEARCH("NOT NULL",UPPER(E$3))),"''","null"),SUBSTITUTE(VLOOKUP(E$2,convert!$A$1:$B$4,2,0),"@@@",E153))</f>
        <v>95</v>
      </c>
      <c r="U153" s="4" t="str">
        <f>IF(F153="",IF(ISNUMBER(SEARCH("NOT NULL",UPPER(F$3))),"''","null"),SUBSTITUTE(VLOOKUP(F$2,convert!$A$1:$B$4,2,0),"@@@",F153))</f>
        <v>30</v>
      </c>
      <c r="V153" s="4" t="str">
        <f>IF(G153="",IF(ISNUMBER(SEARCH("NOT NULL",UPPER(G$3))),"''","null"),SUBSTITUTE(VLOOKUP(G$2,convert!$A$1:$B$4,2,0),"@@@",G153))</f>
        <v>30</v>
      </c>
      <c r="W153" s="4" t="str">
        <f>IF(H153="",IF(ISNUMBER(SEARCH("NOT NULL",UPPER(H$3))),"''","null"),SUBSTITUTE(VLOOKUP(H$2,convert!$A$1:$B$4,2,0),"@@@",H153))</f>
        <v>25</v>
      </c>
      <c r="X153" s="4" t="str">
        <f>IF(I153="",IF(ISNUMBER(SEARCH("NOT NULL",UPPER(I$3))),"''","null"),SUBSTITUTE(VLOOKUP(I$2,convert!$A$1:$B$4,2,0),"@@@",I153))</f>
        <v>''</v>
      </c>
      <c r="Y153" s="4" t="str">
        <f>IF(J153="",IF(ISNUMBER(SEARCH("NOT NULL",UPPER(J$3))),"''","null"),SUBSTITUTE(VLOOKUP(J$2,convert!$A$1:$B$4,2,0),"@@@",J153))</f>
        <v>'ground'</v>
      </c>
      <c r="Z153" s="4" t="str">
        <f>IF(K153="",IF(ISNUMBER(SEARCH("NOT NULL",UPPER(K$3))),"''","null"),SUBSTITUTE(VLOOKUP(K$2,convert!$A$1:$B$4,2,0),"@@@",K153))</f>
        <v>'rock'</v>
      </c>
      <c r="AA153" s="4" t="str">
        <f>IF(L153="",IF(ISNUMBER(SEARCH("NOT NULL",UPPER(L$3))),"''","null"),SUBSTITUTE(VLOOKUP(L$2,convert!$A$1:$B$4,2,0),"@@@",L153))</f>
        <v>'g1'</v>
      </c>
      <c r="AB153" s="4" t="str">
        <f>IF(M153="",IF(ISNUMBER(SEARCH("NOT NULL",UPPER(M$3))),"''","null"),SUBSTITUTE(VLOOKUP(M$2,convert!$A$1:$B$4,2,0),"@@@",M153))</f>
        <v>null</v>
      </c>
      <c r="AC153" s="4" t="str">
        <f>IF(N153="",IF(ISNUMBER(SEARCH("NOT NULL",UPPER(N$3))),"''","null"),SUBSTITUTE(VLOOKUP(N$2,convert!$A$1:$B$4,2,0),"@@@",N153))</f>
        <v>null</v>
      </c>
      <c r="AD153" s="4" t="str">
        <f>IF(O153="",IF(ISNUMBER(SEARCH("NOT NULL",UPPER(O$3))),"''","null"),SUBSTITUTE(VLOOKUP(O$2,convert!$A$1:$B$4,2,0),"@@@",O153))</f>
        <v>TRUE</v>
      </c>
      <c r="AE153" s="4" t="str">
        <f t="shared" si="2"/>
        <v>    ('0111N01', 'サイホーン', 80, 85, 95, 30, 30, 25, '', 'ground', 'rock', 'g1', null, null, TRUE),</v>
      </c>
    </row>
    <row r="154" spans="1:31">
      <c r="A154" s="4" t="s">
        <v>327</v>
      </c>
      <c r="B154" s="4" t="s">
        <v>328</v>
      </c>
      <c r="C154" s="5">
        <v>105</v>
      </c>
      <c r="D154" s="5">
        <v>130</v>
      </c>
      <c r="E154" s="5">
        <v>120</v>
      </c>
      <c r="F154" s="5">
        <v>45</v>
      </c>
      <c r="G154" s="5">
        <v>45</v>
      </c>
      <c r="H154" s="5">
        <v>40</v>
      </c>
      <c r="I154" s="5"/>
      <c r="J154" s="4" t="s">
        <v>116</v>
      </c>
      <c r="K154" s="4" t="s">
        <v>196</v>
      </c>
      <c r="L154" s="4" t="s">
        <v>32</v>
      </c>
      <c r="M154" s="5"/>
      <c r="N154" s="5"/>
      <c r="O154" s="5" t="b">
        <v>1</v>
      </c>
      <c r="P154" s="4" t="str">
        <f>IF(A154="",IF(ISNUMBER(SEARCH("NOT NULL",UPPER(A$3))),"''","null"),SUBSTITUTE(VLOOKUP(A$2,convert!$A$1:$B$4,2,0),"@@@",A154))</f>
        <v>'0112N01'</v>
      </c>
      <c r="Q154" s="4" t="str">
        <f>IF(B154="",IF(ISNUMBER(SEARCH("NOT NULL",UPPER(B$3))),"''","null"),SUBSTITUTE(VLOOKUP(B$2,convert!$A$1:$B$4,2,0),"@@@",B154))</f>
        <v>'サイドン'</v>
      </c>
      <c r="R154" s="4" t="str">
        <f>IF(C154="",IF(ISNUMBER(SEARCH("NOT NULL",UPPER(C$3))),"''","null"),SUBSTITUTE(VLOOKUP(C$2,convert!$A$1:$B$4,2,0),"@@@",C154))</f>
        <v>105</v>
      </c>
      <c r="S154" s="4" t="str">
        <f>IF(D154="",IF(ISNUMBER(SEARCH("NOT NULL",UPPER(D$3))),"''","null"),SUBSTITUTE(VLOOKUP(D$2,convert!$A$1:$B$4,2,0),"@@@",D154))</f>
        <v>130</v>
      </c>
      <c r="T154" s="4" t="str">
        <f>IF(E154="",IF(ISNUMBER(SEARCH("NOT NULL",UPPER(E$3))),"''","null"),SUBSTITUTE(VLOOKUP(E$2,convert!$A$1:$B$4,2,0),"@@@",E154))</f>
        <v>120</v>
      </c>
      <c r="U154" s="4" t="str">
        <f>IF(F154="",IF(ISNUMBER(SEARCH("NOT NULL",UPPER(F$3))),"''","null"),SUBSTITUTE(VLOOKUP(F$2,convert!$A$1:$B$4,2,0),"@@@",F154))</f>
        <v>45</v>
      </c>
      <c r="V154" s="4" t="str">
        <f>IF(G154="",IF(ISNUMBER(SEARCH("NOT NULL",UPPER(G$3))),"''","null"),SUBSTITUTE(VLOOKUP(G$2,convert!$A$1:$B$4,2,0),"@@@",G154))</f>
        <v>45</v>
      </c>
      <c r="W154" s="4" t="str">
        <f>IF(H154="",IF(ISNUMBER(SEARCH("NOT NULL",UPPER(H$3))),"''","null"),SUBSTITUTE(VLOOKUP(H$2,convert!$A$1:$B$4,2,0),"@@@",H154))</f>
        <v>40</v>
      </c>
      <c r="X154" s="4" t="str">
        <f>IF(I154="",IF(ISNUMBER(SEARCH("NOT NULL",UPPER(I$3))),"''","null"),SUBSTITUTE(VLOOKUP(I$2,convert!$A$1:$B$4,2,0),"@@@",I154))</f>
        <v>''</v>
      </c>
      <c r="Y154" s="4" t="str">
        <f>IF(J154="",IF(ISNUMBER(SEARCH("NOT NULL",UPPER(J$3))),"''","null"),SUBSTITUTE(VLOOKUP(J$2,convert!$A$1:$B$4,2,0),"@@@",J154))</f>
        <v>'ground'</v>
      </c>
      <c r="Z154" s="4" t="str">
        <f>IF(K154="",IF(ISNUMBER(SEARCH("NOT NULL",UPPER(K$3))),"''","null"),SUBSTITUTE(VLOOKUP(K$2,convert!$A$1:$B$4,2,0),"@@@",K154))</f>
        <v>'rock'</v>
      </c>
      <c r="AA154" s="4" t="str">
        <f>IF(L154="",IF(ISNUMBER(SEARCH("NOT NULL",UPPER(L$3))),"''","null"),SUBSTITUTE(VLOOKUP(L$2,convert!$A$1:$B$4,2,0),"@@@",L154))</f>
        <v>'g1'</v>
      </c>
      <c r="AB154" s="4" t="str">
        <f>IF(M154="",IF(ISNUMBER(SEARCH("NOT NULL",UPPER(M$3))),"''","null"),SUBSTITUTE(VLOOKUP(M$2,convert!$A$1:$B$4,2,0),"@@@",M154))</f>
        <v>null</v>
      </c>
      <c r="AC154" s="4" t="str">
        <f>IF(N154="",IF(ISNUMBER(SEARCH("NOT NULL",UPPER(N$3))),"''","null"),SUBSTITUTE(VLOOKUP(N$2,convert!$A$1:$B$4,2,0),"@@@",N154))</f>
        <v>null</v>
      </c>
      <c r="AD154" s="4" t="str">
        <f>IF(O154="",IF(ISNUMBER(SEARCH("NOT NULL",UPPER(O$3))),"''","null"),SUBSTITUTE(VLOOKUP(O$2,convert!$A$1:$B$4,2,0),"@@@",O154))</f>
        <v>TRUE</v>
      </c>
      <c r="AE154" s="4" t="str">
        <f t="shared" si="2"/>
        <v>    ('0112N01', 'サイドン', 105, 130, 120, 45, 45, 40, '', 'ground', 'rock', 'g1', null, null, TRUE),</v>
      </c>
    </row>
    <row r="155" spans="1:31">
      <c r="A155" s="4" t="s">
        <v>329</v>
      </c>
      <c r="B155" s="4" t="s">
        <v>330</v>
      </c>
      <c r="C155" s="5">
        <v>250</v>
      </c>
      <c r="D155" s="5">
        <v>5</v>
      </c>
      <c r="E155" s="5">
        <v>5</v>
      </c>
      <c r="F155" s="5">
        <v>35</v>
      </c>
      <c r="G155" s="5">
        <v>105</v>
      </c>
      <c r="H155" s="5">
        <v>50</v>
      </c>
      <c r="I155" s="5"/>
      <c r="J155" s="4" t="s">
        <v>80</v>
      </c>
      <c r="K155" s="5"/>
      <c r="L155" s="4" t="s">
        <v>32</v>
      </c>
      <c r="M155" s="5"/>
      <c r="N155" s="5"/>
      <c r="O155" s="5" t="b">
        <v>1</v>
      </c>
      <c r="P155" s="4" t="str">
        <f>IF(A155="",IF(ISNUMBER(SEARCH("NOT NULL",UPPER(A$3))),"''","null"),SUBSTITUTE(VLOOKUP(A$2,convert!$A$1:$B$4,2,0),"@@@",A155))</f>
        <v>'0113N01'</v>
      </c>
      <c r="Q155" s="4" t="str">
        <f>IF(B155="",IF(ISNUMBER(SEARCH("NOT NULL",UPPER(B$3))),"''","null"),SUBSTITUTE(VLOOKUP(B$2,convert!$A$1:$B$4,2,0),"@@@",B155))</f>
        <v>'ラッキー'</v>
      </c>
      <c r="R155" s="4" t="str">
        <f>IF(C155="",IF(ISNUMBER(SEARCH("NOT NULL",UPPER(C$3))),"''","null"),SUBSTITUTE(VLOOKUP(C$2,convert!$A$1:$B$4,2,0),"@@@",C155))</f>
        <v>250</v>
      </c>
      <c r="S155" s="4" t="str">
        <f>IF(D155="",IF(ISNUMBER(SEARCH("NOT NULL",UPPER(D$3))),"''","null"),SUBSTITUTE(VLOOKUP(D$2,convert!$A$1:$B$4,2,0),"@@@",D155))</f>
        <v>5</v>
      </c>
      <c r="T155" s="4" t="str">
        <f>IF(E155="",IF(ISNUMBER(SEARCH("NOT NULL",UPPER(E$3))),"''","null"),SUBSTITUTE(VLOOKUP(E$2,convert!$A$1:$B$4,2,0),"@@@",E155))</f>
        <v>5</v>
      </c>
      <c r="U155" s="4" t="str">
        <f>IF(F155="",IF(ISNUMBER(SEARCH("NOT NULL",UPPER(F$3))),"''","null"),SUBSTITUTE(VLOOKUP(F$2,convert!$A$1:$B$4,2,0),"@@@",F155))</f>
        <v>35</v>
      </c>
      <c r="V155" s="4" t="str">
        <f>IF(G155="",IF(ISNUMBER(SEARCH("NOT NULL",UPPER(G$3))),"''","null"),SUBSTITUTE(VLOOKUP(G$2,convert!$A$1:$B$4,2,0),"@@@",G155))</f>
        <v>105</v>
      </c>
      <c r="W155" s="4" t="str">
        <f>IF(H155="",IF(ISNUMBER(SEARCH("NOT NULL",UPPER(H$3))),"''","null"),SUBSTITUTE(VLOOKUP(H$2,convert!$A$1:$B$4,2,0),"@@@",H155))</f>
        <v>50</v>
      </c>
      <c r="X155" s="4" t="str">
        <f>IF(I155="",IF(ISNUMBER(SEARCH("NOT NULL",UPPER(I$3))),"''","null"),SUBSTITUTE(VLOOKUP(I$2,convert!$A$1:$B$4,2,0),"@@@",I155))</f>
        <v>''</v>
      </c>
      <c r="Y155" s="4" t="str">
        <f>IF(J155="",IF(ISNUMBER(SEARCH("NOT NULL",UPPER(J$3))),"''","null"),SUBSTITUTE(VLOOKUP(J$2,convert!$A$1:$B$4,2,0),"@@@",J155))</f>
        <v>'normal'</v>
      </c>
      <c r="Z155" s="4" t="str">
        <f>IF(K155="",IF(ISNUMBER(SEARCH("NOT NULL",UPPER(K$3))),"''","null"),SUBSTITUTE(VLOOKUP(K$2,convert!$A$1:$B$4,2,0),"@@@",K155))</f>
        <v>null</v>
      </c>
      <c r="AA155" s="4" t="str">
        <f>IF(L155="",IF(ISNUMBER(SEARCH("NOT NULL",UPPER(L$3))),"''","null"),SUBSTITUTE(VLOOKUP(L$2,convert!$A$1:$B$4,2,0),"@@@",L155))</f>
        <v>'g1'</v>
      </c>
      <c r="AB155" s="4" t="str">
        <f>IF(M155="",IF(ISNUMBER(SEARCH("NOT NULL",UPPER(M$3))),"''","null"),SUBSTITUTE(VLOOKUP(M$2,convert!$A$1:$B$4,2,0),"@@@",M155))</f>
        <v>null</v>
      </c>
      <c r="AC155" s="4" t="str">
        <f>IF(N155="",IF(ISNUMBER(SEARCH("NOT NULL",UPPER(N$3))),"''","null"),SUBSTITUTE(VLOOKUP(N$2,convert!$A$1:$B$4,2,0),"@@@",N155))</f>
        <v>null</v>
      </c>
      <c r="AD155" s="4" t="str">
        <f>IF(O155="",IF(ISNUMBER(SEARCH("NOT NULL",UPPER(O$3))),"''","null"),SUBSTITUTE(VLOOKUP(O$2,convert!$A$1:$B$4,2,0),"@@@",O155))</f>
        <v>TRUE</v>
      </c>
      <c r="AE155" s="4" t="str">
        <f t="shared" si="2"/>
        <v>    ('0113N01', 'ラッキー', 250, 5, 5, 35, 105, 50, '', 'normal', null, 'g1', null, null, TRUE),</v>
      </c>
    </row>
    <row r="156" spans="1:31">
      <c r="A156" s="4" t="s">
        <v>331</v>
      </c>
      <c r="B156" s="4" t="s">
        <v>332</v>
      </c>
      <c r="C156" s="5">
        <v>65</v>
      </c>
      <c r="D156" s="5">
        <v>55</v>
      </c>
      <c r="E156" s="5">
        <v>115</v>
      </c>
      <c r="F156" s="5">
        <v>100</v>
      </c>
      <c r="G156" s="5">
        <v>40</v>
      </c>
      <c r="H156" s="5">
        <v>60</v>
      </c>
      <c r="I156" s="5"/>
      <c r="J156" s="4" t="s">
        <v>30</v>
      </c>
      <c r="K156" s="5"/>
      <c r="L156" s="4" t="s">
        <v>32</v>
      </c>
      <c r="M156" s="5"/>
      <c r="N156" s="5"/>
      <c r="O156" s="5" t="b">
        <v>1</v>
      </c>
      <c r="P156" s="4" t="str">
        <f>IF(A156="",IF(ISNUMBER(SEARCH("NOT NULL",UPPER(A$3))),"''","null"),SUBSTITUTE(VLOOKUP(A$2,convert!$A$1:$B$4,2,0),"@@@",A156))</f>
        <v>'0114N01'</v>
      </c>
      <c r="Q156" s="4" t="str">
        <f>IF(B156="",IF(ISNUMBER(SEARCH("NOT NULL",UPPER(B$3))),"''","null"),SUBSTITUTE(VLOOKUP(B$2,convert!$A$1:$B$4,2,0),"@@@",B156))</f>
        <v>'モンジャラ'</v>
      </c>
      <c r="R156" s="4" t="str">
        <f>IF(C156="",IF(ISNUMBER(SEARCH("NOT NULL",UPPER(C$3))),"''","null"),SUBSTITUTE(VLOOKUP(C$2,convert!$A$1:$B$4,2,0),"@@@",C156))</f>
        <v>65</v>
      </c>
      <c r="S156" s="4" t="str">
        <f>IF(D156="",IF(ISNUMBER(SEARCH("NOT NULL",UPPER(D$3))),"''","null"),SUBSTITUTE(VLOOKUP(D$2,convert!$A$1:$B$4,2,0),"@@@",D156))</f>
        <v>55</v>
      </c>
      <c r="T156" s="4" t="str">
        <f>IF(E156="",IF(ISNUMBER(SEARCH("NOT NULL",UPPER(E$3))),"''","null"),SUBSTITUTE(VLOOKUP(E$2,convert!$A$1:$B$4,2,0),"@@@",E156))</f>
        <v>115</v>
      </c>
      <c r="U156" s="4" t="str">
        <f>IF(F156="",IF(ISNUMBER(SEARCH("NOT NULL",UPPER(F$3))),"''","null"),SUBSTITUTE(VLOOKUP(F$2,convert!$A$1:$B$4,2,0),"@@@",F156))</f>
        <v>100</v>
      </c>
      <c r="V156" s="4" t="str">
        <f>IF(G156="",IF(ISNUMBER(SEARCH("NOT NULL",UPPER(G$3))),"''","null"),SUBSTITUTE(VLOOKUP(G$2,convert!$A$1:$B$4,2,0),"@@@",G156))</f>
        <v>40</v>
      </c>
      <c r="W156" s="4" t="str">
        <f>IF(H156="",IF(ISNUMBER(SEARCH("NOT NULL",UPPER(H$3))),"''","null"),SUBSTITUTE(VLOOKUP(H$2,convert!$A$1:$B$4,2,0),"@@@",H156))</f>
        <v>60</v>
      </c>
      <c r="X156" s="4" t="str">
        <f>IF(I156="",IF(ISNUMBER(SEARCH("NOT NULL",UPPER(I$3))),"''","null"),SUBSTITUTE(VLOOKUP(I$2,convert!$A$1:$B$4,2,0),"@@@",I156))</f>
        <v>''</v>
      </c>
      <c r="Y156" s="4" t="str">
        <f>IF(J156="",IF(ISNUMBER(SEARCH("NOT NULL",UPPER(J$3))),"''","null"),SUBSTITUTE(VLOOKUP(J$2,convert!$A$1:$B$4,2,0),"@@@",J156))</f>
        <v>'grass'</v>
      </c>
      <c r="Z156" s="4" t="str">
        <f>IF(K156="",IF(ISNUMBER(SEARCH("NOT NULL",UPPER(K$3))),"''","null"),SUBSTITUTE(VLOOKUP(K$2,convert!$A$1:$B$4,2,0),"@@@",K156))</f>
        <v>null</v>
      </c>
      <c r="AA156" s="4" t="str">
        <f>IF(L156="",IF(ISNUMBER(SEARCH("NOT NULL",UPPER(L$3))),"''","null"),SUBSTITUTE(VLOOKUP(L$2,convert!$A$1:$B$4,2,0),"@@@",L156))</f>
        <v>'g1'</v>
      </c>
      <c r="AB156" s="4" t="str">
        <f>IF(M156="",IF(ISNUMBER(SEARCH("NOT NULL",UPPER(M$3))),"''","null"),SUBSTITUTE(VLOOKUP(M$2,convert!$A$1:$B$4,2,0),"@@@",M156))</f>
        <v>null</v>
      </c>
      <c r="AC156" s="4" t="str">
        <f>IF(N156="",IF(ISNUMBER(SEARCH("NOT NULL",UPPER(N$3))),"''","null"),SUBSTITUTE(VLOOKUP(N$2,convert!$A$1:$B$4,2,0),"@@@",N156))</f>
        <v>null</v>
      </c>
      <c r="AD156" s="4" t="str">
        <f>IF(O156="",IF(ISNUMBER(SEARCH("NOT NULL",UPPER(O$3))),"''","null"),SUBSTITUTE(VLOOKUP(O$2,convert!$A$1:$B$4,2,0),"@@@",O156))</f>
        <v>TRUE</v>
      </c>
      <c r="AE156" s="4" t="str">
        <f t="shared" si="2"/>
        <v>    ('0114N01', 'モンジャラ', 65, 55, 115, 100, 40, 60, '', 'grass', null, 'g1', null, null, TRUE),</v>
      </c>
    </row>
    <row r="157" spans="1:31">
      <c r="A157" s="4" t="s">
        <v>333</v>
      </c>
      <c r="B157" s="4" t="s">
        <v>334</v>
      </c>
      <c r="C157" s="5">
        <v>105</v>
      </c>
      <c r="D157" s="5">
        <v>95</v>
      </c>
      <c r="E157" s="5">
        <v>80</v>
      </c>
      <c r="F157" s="5">
        <v>40</v>
      </c>
      <c r="G157" s="5">
        <v>80</v>
      </c>
      <c r="H157" s="5">
        <v>90</v>
      </c>
      <c r="I157" s="5"/>
      <c r="J157" s="4" t="s">
        <v>80</v>
      </c>
      <c r="K157" s="5"/>
      <c r="L157" s="4" t="s">
        <v>32</v>
      </c>
      <c r="M157" s="5"/>
      <c r="N157" s="5"/>
      <c r="O157" s="5" t="b">
        <v>1</v>
      </c>
      <c r="P157" s="4" t="str">
        <f>IF(A157="",IF(ISNUMBER(SEARCH("NOT NULL",UPPER(A$3))),"''","null"),SUBSTITUTE(VLOOKUP(A$2,convert!$A$1:$B$4,2,0),"@@@",A157))</f>
        <v>'0115N01'</v>
      </c>
      <c r="Q157" s="4" t="str">
        <f>IF(B157="",IF(ISNUMBER(SEARCH("NOT NULL",UPPER(B$3))),"''","null"),SUBSTITUTE(VLOOKUP(B$2,convert!$A$1:$B$4,2,0),"@@@",B157))</f>
        <v>'ガルーラ'</v>
      </c>
      <c r="R157" s="4" t="str">
        <f>IF(C157="",IF(ISNUMBER(SEARCH("NOT NULL",UPPER(C$3))),"''","null"),SUBSTITUTE(VLOOKUP(C$2,convert!$A$1:$B$4,2,0),"@@@",C157))</f>
        <v>105</v>
      </c>
      <c r="S157" s="4" t="str">
        <f>IF(D157="",IF(ISNUMBER(SEARCH("NOT NULL",UPPER(D$3))),"''","null"),SUBSTITUTE(VLOOKUP(D$2,convert!$A$1:$B$4,2,0),"@@@",D157))</f>
        <v>95</v>
      </c>
      <c r="T157" s="4" t="str">
        <f>IF(E157="",IF(ISNUMBER(SEARCH("NOT NULL",UPPER(E$3))),"''","null"),SUBSTITUTE(VLOOKUP(E$2,convert!$A$1:$B$4,2,0),"@@@",E157))</f>
        <v>80</v>
      </c>
      <c r="U157" s="4" t="str">
        <f>IF(F157="",IF(ISNUMBER(SEARCH("NOT NULL",UPPER(F$3))),"''","null"),SUBSTITUTE(VLOOKUP(F$2,convert!$A$1:$B$4,2,0),"@@@",F157))</f>
        <v>40</v>
      </c>
      <c r="V157" s="4" t="str">
        <f>IF(G157="",IF(ISNUMBER(SEARCH("NOT NULL",UPPER(G$3))),"''","null"),SUBSTITUTE(VLOOKUP(G$2,convert!$A$1:$B$4,2,0),"@@@",G157))</f>
        <v>80</v>
      </c>
      <c r="W157" s="4" t="str">
        <f>IF(H157="",IF(ISNUMBER(SEARCH("NOT NULL",UPPER(H$3))),"''","null"),SUBSTITUTE(VLOOKUP(H$2,convert!$A$1:$B$4,2,0),"@@@",H157))</f>
        <v>90</v>
      </c>
      <c r="X157" s="4" t="str">
        <f>IF(I157="",IF(ISNUMBER(SEARCH("NOT NULL",UPPER(I$3))),"''","null"),SUBSTITUTE(VLOOKUP(I$2,convert!$A$1:$B$4,2,0),"@@@",I157))</f>
        <v>''</v>
      </c>
      <c r="Y157" s="4" t="str">
        <f>IF(J157="",IF(ISNUMBER(SEARCH("NOT NULL",UPPER(J$3))),"''","null"),SUBSTITUTE(VLOOKUP(J$2,convert!$A$1:$B$4,2,0),"@@@",J157))</f>
        <v>'normal'</v>
      </c>
      <c r="Z157" s="4" t="str">
        <f>IF(K157="",IF(ISNUMBER(SEARCH("NOT NULL",UPPER(K$3))),"''","null"),SUBSTITUTE(VLOOKUP(K$2,convert!$A$1:$B$4,2,0),"@@@",K157))</f>
        <v>null</v>
      </c>
      <c r="AA157" s="4" t="str">
        <f>IF(L157="",IF(ISNUMBER(SEARCH("NOT NULL",UPPER(L$3))),"''","null"),SUBSTITUTE(VLOOKUP(L$2,convert!$A$1:$B$4,2,0),"@@@",L157))</f>
        <v>'g1'</v>
      </c>
      <c r="AB157" s="4" t="str">
        <f>IF(M157="",IF(ISNUMBER(SEARCH("NOT NULL",UPPER(M$3))),"''","null"),SUBSTITUTE(VLOOKUP(M$2,convert!$A$1:$B$4,2,0),"@@@",M157))</f>
        <v>null</v>
      </c>
      <c r="AC157" s="4" t="str">
        <f>IF(N157="",IF(ISNUMBER(SEARCH("NOT NULL",UPPER(N$3))),"''","null"),SUBSTITUTE(VLOOKUP(N$2,convert!$A$1:$B$4,2,0),"@@@",N157))</f>
        <v>null</v>
      </c>
      <c r="AD157" s="4" t="str">
        <f>IF(O157="",IF(ISNUMBER(SEARCH("NOT NULL",UPPER(O$3))),"''","null"),SUBSTITUTE(VLOOKUP(O$2,convert!$A$1:$B$4,2,0),"@@@",O157))</f>
        <v>TRUE</v>
      </c>
      <c r="AE157" s="4" t="str">
        <f t="shared" si="2"/>
        <v>    ('0115N01', 'ガルーラ', 105, 95, 80, 40, 80, 90, '', 'normal', null, 'g1', null, null, TRUE),</v>
      </c>
    </row>
    <row r="158" spans="1:31">
      <c r="A158" s="4" t="s">
        <v>335</v>
      </c>
      <c r="B158" s="4" t="s">
        <v>336</v>
      </c>
      <c r="C158" s="5">
        <v>105</v>
      </c>
      <c r="D158" s="5">
        <v>125</v>
      </c>
      <c r="E158" s="5">
        <v>100</v>
      </c>
      <c r="F158" s="5">
        <v>60</v>
      </c>
      <c r="G158" s="5">
        <v>100</v>
      </c>
      <c r="H158" s="5">
        <v>100</v>
      </c>
      <c r="I158" s="5"/>
      <c r="J158" s="4" t="s">
        <v>80</v>
      </c>
      <c r="K158" s="5"/>
      <c r="L158" s="4" t="s">
        <v>39</v>
      </c>
      <c r="M158" s="5"/>
      <c r="N158" s="5"/>
      <c r="O158" s="5" t="b">
        <v>1</v>
      </c>
      <c r="P158" s="4" t="str">
        <f>IF(A158="",IF(ISNUMBER(SEARCH("NOT NULL",UPPER(A$3))),"''","null"),SUBSTITUTE(VLOOKUP(A$2,convert!$A$1:$B$4,2,0),"@@@",A158))</f>
        <v>'0115M01'</v>
      </c>
      <c r="Q158" s="4" t="str">
        <f>IF(B158="",IF(ISNUMBER(SEARCH("NOT NULL",UPPER(B$3))),"''","null"),SUBSTITUTE(VLOOKUP(B$2,convert!$A$1:$B$4,2,0),"@@@",B158))</f>
        <v>'メガガルーラ'</v>
      </c>
      <c r="R158" s="4" t="str">
        <f>IF(C158="",IF(ISNUMBER(SEARCH("NOT NULL",UPPER(C$3))),"''","null"),SUBSTITUTE(VLOOKUP(C$2,convert!$A$1:$B$4,2,0),"@@@",C158))</f>
        <v>105</v>
      </c>
      <c r="S158" s="4" t="str">
        <f>IF(D158="",IF(ISNUMBER(SEARCH("NOT NULL",UPPER(D$3))),"''","null"),SUBSTITUTE(VLOOKUP(D$2,convert!$A$1:$B$4,2,0),"@@@",D158))</f>
        <v>125</v>
      </c>
      <c r="T158" s="4" t="str">
        <f>IF(E158="",IF(ISNUMBER(SEARCH("NOT NULL",UPPER(E$3))),"''","null"),SUBSTITUTE(VLOOKUP(E$2,convert!$A$1:$B$4,2,0),"@@@",E158))</f>
        <v>100</v>
      </c>
      <c r="U158" s="4" t="str">
        <f>IF(F158="",IF(ISNUMBER(SEARCH("NOT NULL",UPPER(F$3))),"''","null"),SUBSTITUTE(VLOOKUP(F$2,convert!$A$1:$B$4,2,0),"@@@",F158))</f>
        <v>60</v>
      </c>
      <c r="V158" s="4" t="str">
        <f>IF(G158="",IF(ISNUMBER(SEARCH("NOT NULL",UPPER(G$3))),"''","null"),SUBSTITUTE(VLOOKUP(G$2,convert!$A$1:$B$4,2,0),"@@@",G158))</f>
        <v>100</v>
      </c>
      <c r="W158" s="4" t="str">
        <f>IF(H158="",IF(ISNUMBER(SEARCH("NOT NULL",UPPER(H$3))),"''","null"),SUBSTITUTE(VLOOKUP(H$2,convert!$A$1:$B$4,2,0),"@@@",H158))</f>
        <v>100</v>
      </c>
      <c r="X158" s="4" t="str">
        <f>IF(I158="",IF(ISNUMBER(SEARCH("NOT NULL",UPPER(I$3))),"''","null"),SUBSTITUTE(VLOOKUP(I$2,convert!$A$1:$B$4,2,0),"@@@",I158))</f>
        <v>''</v>
      </c>
      <c r="Y158" s="4" t="str">
        <f>IF(J158="",IF(ISNUMBER(SEARCH("NOT NULL",UPPER(J$3))),"''","null"),SUBSTITUTE(VLOOKUP(J$2,convert!$A$1:$B$4,2,0),"@@@",J158))</f>
        <v>'normal'</v>
      </c>
      <c r="Z158" s="4" t="str">
        <f>IF(K158="",IF(ISNUMBER(SEARCH("NOT NULL",UPPER(K$3))),"''","null"),SUBSTITUTE(VLOOKUP(K$2,convert!$A$1:$B$4,2,0),"@@@",K158))</f>
        <v>null</v>
      </c>
      <c r="AA158" s="4" t="str">
        <f>IF(L158="",IF(ISNUMBER(SEARCH("NOT NULL",UPPER(L$3))),"''","null"),SUBSTITUTE(VLOOKUP(L$2,convert!$A$1:$B$4,2,0),"@@@",L158))</f>
        <v>'g6'</v>
      </c>
      <c r="AB158" s="4" t="str">
        <f>IF(M158="",IF(ISNUMBER(SEARCH("NOT NULL",UPPER(M$3))),"''","null"),SUBSTITUTE(VLOOKUP(M$2,convert!$A$1:$B$4,2,0),"@@@",M158))</f>
        <v>null</v>
      </c>
      <c r="AC158" s="4" t="str">
        <f>IF(N158="",IF(ISNUMBER(SEARCH("NOT NULL",UPPER(N$3))),"''","null"),SUBSTITUTE(VLOOKUP(N$2,convert!$A$1:$B$4,2,0),"@@@",N158))</f>
        <v>null</v>
      </c>
      <c r="AD158" s="4" t="str">
        <f>IF(O158="",IF(ISNUMBER(SEARCH("NOT NULL",UPPER(O$3))),"''","null"),SUBSTITUTE(VLOOKUP(O$2,convert!$A$1:$B$4,2,0),"@@@",O158))</f>
        <v>TRUE</v>
      </c>
      <c r="AE158" s="4" t="str">
        <f t="shared" si="2"/>
        <v>    ('0115M01', 'メガガルーラ', 105, 125, 100, 60, 100, 100, '', 'normal', null, 'g6', null, null, TRUE),</v>
      </c>
    </row>
    <row r="159" spans="1:31">
      <c r="A159" s="4" t="s">
        <v>337</v>
      </c>
      <c r="B159" s="4" t="s">
        <v>338</v>
      </c>
      <c r="C159" s="5">
        <v>30</v>
      </c>
      <c r="D159" s="5">
        <v>40</v>
      </c>
      <c r="E159" s="5">
        <v>70</v>
      </c>
      <c r="F159" s="5">
        <v>70</v>
      </c>
      <c r="G159" s="5">
        <v>25</v>
      </c>
      <c r="H159" s="5">
        <v>60</v>
      </c>
      <c r="I159" s="5"/>
      <c r="J159" s="4" t="s">
        <v>55</v>
      </c>
      <c r="K159" s="5"/>
      <c r="L159" s="4" t="s">
        <v>32</v>
      </c>
      <c r="M159" s="5"/>
      <c r="N159" s="5"/>
      <c r="O159" s="5" t="b">
        <v>1</v>
      </c>
      <c r="P159" s="4" t="str">
        <f>IF(A159="",IF(ISNUMBER(SEARCH("NOT NULL",UPPER(A$3))),"''","null"),SUBSTITUTE(VLOOKUP(A$2,convert!$A$1:$B$4,2,0),"@@@",A159))</f>
        <v>'0116N01'</v>
      </c>
      <c r="Q159" s="4" t="str">
        <f>IF(B159="",IF(ISNUMBER(SEARCH("NOT NULL",UPPER(B$3))),"''","null"),SUBSTITUTE(VLOOKUP(B$2,convert!$A$1:$B$4,2,0),"@@@",B159))</f>
        <v>'タッツー'</v>
      </c>
      <c r="R159" s="4" t="str">
        <f>IF(C159="",IF(ISNUMBER(SEARCH("NOT NULL",UPPER(C$3))),"''","null"),SUBSTITUTE(VLOOKUP(C$2,convert!$A$1:$B$4,2,0),"@@@",C159))</f>
        <v>30</v>
      </c>
      <c r="S159" s="4" t="str">
        <f>IF(D159="",IF(ISNUMBER(SEARCH("NOT NULL",UPPER(D$3))),"''","null"),SUBSTITUTE(VLOOKUP(D$2,convert!$A$1:$B$4,2,0),"@@@",D159))</f>
        <v>40</v>
      </c>
      <c r="T159" s="4" t="str">
        <f>IF(E159="",IF(ISNUMBER(SEARCH("NOT NULL",UPPER(E$3))),"''","null"),SUBSTITUTE(VLOOKUP(E$2,convert!$A$1:$B$4,2,0),"@@@",E159))</f>
        <v>70</v>
      </c>
      <c r="U159" s="4" t="str">
        <f>IF(F159="",IF(ISNUMBER(SEARCH("NOT NULL",UPPER(F$3))),"''","null"),SUBSTITUTE(VLOOKUP(F$2,convert!$A$1:$B$4,2,0),"@@@",F159))</f>
        <v>70</v>
      </c>
      <c r="V159" s="4" t="str">
        <f>IF(G159="",IF(ISNUMBER(SEARCH("NOT NULL",UPPER(G$3))),"''","null"),SUBSTITUTE(VLOOKUP(G$2,convert!$A$1:$B$4,2,0),"@@@",G159))</f>
        <v>25</v>
      </c>
      <c r="W159" s="4" t="str">
        <f>IF(H159="",IF(ISNUMBER(SEARCH("NOT NULL",UPPER(H$3))),"''","null"),SUBSTITUTE(VLOOKUP(H$2,convert!$A$1:$B$4,2,0),"@@@",H159))</f>
        <v>60</v>
      </c>
      <c r="X159" s="4" t="str">
        <f>IF(I159="",IF(ISNUMBER(SEARCH("NOT NULL",UPPER(I$3))),"''","null"),SUBSTITUTE(VLOOKUP(I$2,convert!$A$1:$B$4,2,0),"@@@",I159))</f>
        <v>''</v>
      </c>
      <c r="Y159" s="4" t="str">
        <f>IF(J159="",IF(ISNUMBER(SEARCH("NOT NULL",UPPER(J$3))),"''","null"),SUBSTITUTE(VLOOKUP(J$2,convert!$A$1:$B$4,2,0),"@@@",J159))</f>
        <v>'water'</v>
      </c>
      <c r="Z159" s="4" t="str">
        <f>IF(K159="",IF(ISNUMBER(SEARCH("NOT NULL",UPPER(K$3))),"''","null"),SUBSTITUTE(VLOOKUP(K$2,convert!$A$1:$B$4,2,0),"@@@",K159))</f>
        <v>null</v>
      </c>
      <c r="AA159" s="4" t="str">
        <f>IF(L159="",IF(ISNUMBER(SEARCH("NOT NULL",UPPER(L$3))),"''","null"),SUBSTITUTE(VLOOKUP(L$2,convert!$A$1:$B$4,2,0),"@@@",L159))</f>
        <v>'g1'</v>
      </c>
      <c r="AB159" s="4" t="str">
        <f>IF(M159="",IF(ISNUMBER(SEARCH("NOT NULL",UPPER(M$3))),"''","null"),SUBSTITUTE(VLOOKUP(M$2,convert!$A$1:$B$4,2,0),"@@@",M159))</f>
        <v>null</v>
      </c>
      <c r="AC159" s="4" t="str">
        <f>IF(N159="",IF(ISNUMBER(SEARCH("NOT NULL",UPPER(N$3))),"''","null"),SUBSTITUTE(VLOOKUP(N$2,convert!$A$1:$B$4,2,0),"@@@",N159))</f>
        <v>null</v>
      </c>
      <c r="AD159" s="4" t="str">
        <f>IF(O159="",IF(ISNUMBER(SEARCH("NOT NULL",UPPER(O$3))),"''","null"),SUBSTITUTE(VLOOKUP(O$2,convert!$A$1:$B$4,2,0),"@@@",O159))</f>
        <v>TRUE</v>
      </c>
      <c r="AE159" s="4" t="str">
        <f t="shared" si="2"/>
        <v>    ('0116N01', 'タッツー', 30, 40, 70, 70, 25, 60, '', 'water', null, 'g1', null, null, TRUE),</v>
      </c>
    </row>
    <row r="160" spans="1:31">
      <c r="A160" s="4" t="s">
        <v>339</v>
      </c>
      <c r="B160" s="4" t="s">
        <v>340</v>
      </c>
      <c r="C160" s="5">
        <v>55</v>
      </c>
      <c r="D160" s="5">
        <v>65</v>
      </c>
      <c r="E160" s="5">
        <v>95</v>
      </c>
      <c r="F160" s="5">
        <v>95</v>
      </c>
      <c r="G160" s="5">
        <v>45</v>
      </c>
      <c r="H160" s="5">
        <v>85</v>
      </c>
      <c r="I160" s="5"/>
      <c r="J160" s="4" t="s">
        <v>55</v>
      </c>
      <c r="K160" s="5"/>
      <c r="L160" s="4" t="s">
        <v>32</v>
      </c>
      <c r="M160" s="5"/>
      <c r="N160" s="5"/>
      <c r="O160" s="5" t="b">
        <v>1</v>
      </c>
      <c r="P160" s="4" t="str">
        <f>IF(A160="",IF(ISNUMBER(SEARCH("NOT NULL",UPPER(A$3))),"''","null"),SUBSTITUTE(VLOOKUP(A$2,convert!$A$1:$B$4,2,0),"@@@",A160))</f>
        <v>'0117N01'</v>
      </c>
      <c r="Q160" s="4" t="str">
        <f>IF(B160="",IF(ISNUMBER(SEARCH("NOT NULL",UPPER(B$3))),"''","null"),SUBSTITUTE(VLOOKUP(B$2,convert!$A$1:$B$4,2,0),"@@@",B160))</f>
        <v>'シードラ'</v>
      </c>
      <c r="R160" s="4" t="str">
        <f>IF(C160="",IF(ISNUMBER(SEARCH("NOT NULL",UPPER(C$3))),"''","null"),SUBSTITUTE(VLOOKUP(C$2,convert!$A$1:$B$4,2,0),"@@@",C160))</f>
        <v>55</v>
      </c>
      <c r="S160" s="4" t="str">
        <f>IF(D160="",IF(ISNUMBER(SEARCH("NOT NULL",UPPER(D$3))),"''","null"),SUBSTITUTE(VLOOKUP(D$2,convert!$A$1:$B$4,2,0),"@@@",D160))</f>
        <v>65</v>
      </c>
      <c r="T160" s="4" t="str">
        <f>IF(E160="",IF(ISNUMBER(SEARCH("NOT NULL",UPPER(E$3))),"''","null"),SUBSTITUTE(VLOOKUP(E$2,convert!$A$1:$B$4,2,0),"@@@",E160))</f>
        <v>95</v>
      </c>
      <c r="U160" s="4" t="str">
        <f>IF(F160="",IF(ISNUMBER(SEARCH("NOT NULL",UPPER(F$3))),"''","null"),SUBSTITUTE(VLOOKUP(F$2,convert!$A$1:$B$4,2,0),"@@@",F160))</f>
        <v>95</v>
      </c>
      <c r="V160" s="4" t="str">
        <f>IF(G160="",IF(ISNUMBER(SEARCH("NOT NULL",UPPER(G$3))),"''","null"),SUBSTITUTE(VLOOKUP(G$2,convert!$A$1:$B$4,2,0),"@@@",G160))</f>
        <v>45</v>
      </c>
      <c r="W160" s="4" t="str">
        <f>IF(H160="",IF(ISNUMBER(SEARCH("NOT NULL",UPPER(H$3))),"''","null"),SUBSTITUTE(VLOOKUP(H$2,convert!$A$1:$B$4,2,0),"@@@",H160))</f>
        <v>85</v>
      </c>
      <c r="X160" s="4" t="str">
        <f>IF(I160="",IF(ISNUMBER(SEARCH("NOT NULL",UPPER(I$3))),"''","null"),SUBSTITUTE(VLOOKUP(I$2,convert!$A$1:$B$4,2,0),"@@@",I160))</f>
        <v>''</v>
      </c>
      <c r="Y160" s="4" t="str">
        <f>IF(J160="",IF(ISNUMBER(SEARCH("NOT NULL",UPPER(J$3))),"''","null"),SUBSTITUTE(VLOOKUP(J$2,convert!$A$1:$B$4,2,0),"@@@",J160))</f>
        <v>'water'</v>
      </c>
      <c r="Z160" s="4" t="str">
        <f>IF(K160="",IF(ISNUMBER(SEARCH("NOT NULL",UPPER(K$3))),"''","null"),SUBSTITUTE(VLOOKUP(K$2,convert!$A$1:$B$4,2,0),"@@@",K160))</f>
        <v>null</v>
      </c>
      <c r="AA160" s="4" t="str">
        <f>IF(L160="",IF(ISNUMBER(SEARCH("NOT NULL",UPPER(L$3))),"''","null"),SUBSTITUTE(VLOOKUP(L$2,convert!$A$1:$B$4,2,0),"@@@",L160))</f>
        <v>'g1'</v>
      </c>
      <c r="AB160" s="4" t="str">
        <f>IF(M160="",IF(ISNUMBER(SEARCH("NOT NULL",UPPER(M$3))),"''","null"),SUBSTITUTE(VLOOKUP(M$2,convert!$A$1:$B$4,2,0),"@@@",M160))</f>
        <v>null</v>
      </c>
      <c r="AC160" s="4" t="str">
        <f>IF(N160="",IF(ISNUMBER(SEARCH("NOT NULL",UPPER(N$3))),"''","null"),SUBSTITUTE(VLOOKUP(N$2,convert!$A$1:$B$4,2,0),"@@@",N160))</f>
        <v>null</v>
      </c>
      <c r="AD160" s="4" t="str">
        <f>IF(O160="",IF(ISNUMBER(SEARCH("NOT NULL",UPPER(O$3))),"''","null"),SUBSTITUTE(VLOOKUP(O$2,convert!$A$1:$B$4,2,0),"@@@",O160))</f>
        <v>TRUE</v>
      </c>
      <c r="AE160" s="4" t="str">
        <f t="shared" si="2"/>
        <v>    ('0117N01', 'シードラ', 55, 65, 95, 95, 45, 85, '', 'water', null, 'g1', null, null, TRUE),</v>
      </c>
    </row>
    <row r="161" spans="1:31">
      <c r="A161" s="4" t="s">
        <v>341</v>
      </c>
      <c r="B161" s="4" t="s">
        <v>342</v>
      </c>
      <c r="C161" s="5">
        <v>45</v>
      </c>
      <c r="D161" s="5">
        <v>67</v>
      </c>
      <c r="E161" s="5">
        <v>60</v>
      </c>
      <c r="F161" s="5">
        <v>35</v>
      </c>
      <c r="G161" s="5">
        <v>50</v>
      </c>
      <c r="H161" s="5">
        <v>63</v>
      </c>
      <c r="I161" s="5"/>
      <c r="J161" s="4" t="s">
        <v>55</v>
      </c>
      <c r="K161" s="5"/>
      <c r="L161" s="4" t="s">
        <v>32</v>
      </c>
      <c r="M161" s="5"/>
      <c r="N161" s="5"/>
      <c r="O161" s="5" t="b">
        <v>1</v>
      </c>
      <c r="P161" s="4" t="str">
        <f>IF(A161="",IF(ISNUMBER(SEARCH("NOT NULL",UPPER(A$3))),"''","null"),SUBSTITUTE(VLOOKUP(A$2,convert!$A$1:$B$4,2,0),"@@@",A161))</f>
        <v>'0118N01'</v>
      </c>
      <c r="Q161" s="4" t="str">
        <f>IF(B161="",IF(ISNUMBER(SEARCH("NOT NULL",UPPER(B$3))),"''","null"),SUBSTITUTE(VLOOKUP(B$2,convert!$A$1:$B$4,2,0),"@@@",B161))</f>
        <v>'トサキント'</v>
      </c>
      <c r="R161" s="4" t="str">
        <f>IF(C161="",IF(ISNUMBER(SEARCH("NOT NULL",UPPER(C$3))),"''","null"),SUBSTITUTE(VLOOKUP(C$2,convert!$A$1:$B$4,2,0),"@@@",C161))</f>
        <v>45</v>
      </c>
      <c r="S161" s="4" t="str">
        <f>IF(D161="",IF(ISNUMBER(SEARCH("NOT NULL",UPPER(D$3))),"''","null"),SUBSTITUTE(VLOOKUP(D$2,convert!$A$1:$B$4,2,0),"@@@",D161))</f>
        <v>67</v>
      </c>
      <c r="T161" s="4" t="str">
        <f>IF(E161="",IF(ISNUMBER(SEARCH("NOT NULL",UPPER(E$3))),"''","null"),SUBSTITUTE(VLOOKUP(E$2,convert!$A$1:$B$4,2,0),"@@@",E161))</f>
        <v>60</v>
      </c>
      <c r="U161" s="4" t="str">
        <f>IF(F161="",IF(ISNUMBER(SEARCH("NOT NULL",UPPER(F$3))),"''","null"),SUBSTITUTE(VLOOKUP(F$2,convert!$A$1:$B$4,2,0),"@@@",F161))</f>
        <v>35</v>
      </c>
      <c r="V161" s="4" t="str">
        <f>IF(G161="",IF(ISNUMBER(SEARCH("NOT NULL",UPPER(G$3))),"''","null"),SUBSTITUTE(VLOOKUP(G$2,convert!$A$1:$B$4,2,0),"@@@",G161))</f>
        <v>50</v>
      </c>
      <c r="W161" s="4" t="str">
        <f>IF(H161="",IF(ISNUMBER(SEARCH("NOT NULL",UPPER(H$3))),"''","null"),SUBSTITUTE(VLOOKUP(H$2,convert!$A$1:$B$4,2,0),"@@@",H161))</f>
        <v>63</v>
      </c>
      <c r="X161" s="4" t="str">
        <f>IF(I161="",IF(ISNUMBER(SEARCH("NOT NULL",UPPER(I$3))),"''","null"),SUBSTITUTE(VLOOKUP(I$2,convert!$A$1:$B$4,2,0),"@@@",I161))</f>
        <v>''</v>
      </c>
      <c r="Y161" s="4" t="str">
        <f>IF(J161="",IF(ISNUMBER(SEARCH("NOT NULL",UPPER(J$3))),"''","null"),SUBSTITUTE(VLOOKUP(J$2,convert!$A$1:$B$4,2,0),"@@@",J161))</f>
        <v>'water'</v>
      </c>
      <c r="Z161" s="4" t="str">
        <f>IF(K161="",IF(ISNUMBER(SEARCH("NOT NULL",UPPER(K$3))),"''","null"),SUBSTITUTE(VLOOKUP(K$2,convert!$A$1:$B$4,2,0),"@@@",K161))</f>
        <v>null</v>
      </c>
      <c r="AA161" s="4" t="str">
        <f>IF(L161="",IF(ISNUMBER(SEARCH("NOT NULL",UPPER(L$3))),"''","null"),SUBSTITUTE(VLOOKUP(L$2,convert!$A$1:$B$4,2,0),"@@@",L161))</f>
        <v>'g1'</v>
      </c>
      <c r="AB161" s="4" t="str">
        <f>IF(M161="",IF(ISNUMBER(SEARCH("NOT NULL",UPPER(M$3))),"''","null"),SUBSTITUTE(VLOOKUP(M$2,convert!$A$1:$B$4,2,0),"@@@",M161))</f>
        <v>null</v>
      </c>
      <c r="AC161" s="4" t="str">
        <f>IF(N161="",IF(ISNUMBER(SEARCH("NOT NULL",UPPER(N$3))),"''","null"),SUBSTITUTE(VLOOKUP(N$2,convert!$A$1:$B$4,2,0),"@@@",N161))</f>
        <v>null</v>
      </c>
      <c r="AD161" s="4" t="str">
        <f>IF(O161="",IF(ISNUMBER(SEARCH("NOT NULL",UPPER(O$3))),"''","null"),SUBSTITUTE(VLOOKUP(O$2,convert!$A$1:$B$4,2,0),"@@@",O161))</f>
        <v>TRUE</v>
      </c>
      <c r="AE161" s="4" t="str">
        <f t="shared" si="2"/>
        <v>    ('0118N01', 'トサキント', 45, 67, 60, 35, 50, 63, '', 'water', null, 'g1', null, null, TRUE),</v>
      </c>
    </row>
    <row r="162" spans="1:31">
      <c r="A162" s="4" t="s">
        <v>343</v>
      </c>
      <c r="B162" s="4" t="s">
        <v>344</v>
      </c>
      <c r="C162" s="5">
        <v>80</v>
      </c>
      <c r="D162" s="5">
        <v>92</v>
      </c>
      <c r="E162" s="5">
        <v>65</v>
      </c>
      <c r="F162" s="5">
        <v>65</v>
      </c>
      <c r="G162" s="5">
        <v>80</v>
      </c>
      <c r="H162" s="5">
        <v>68</v>
      </c>
      <c r="I162" s="5"/>
      <c r="J162" s="4" t="s">
        <v>55</v>
      </c>
      <c r="K162" s="5"/>
      <c r="L162" s="4" t="s">
        <v>32</v>
      </c>
      <c r="M162" s="5"/>
      <c r="N162" s="5"/>
      <c r="O162" s="5" t="b">
        <v>1</v>
      </c>
      <c r="P162" s="4" t="str">
        <f>IF(A162="",IF(ISNUMBER(SEARCH("NOT NULL",UPPER(A$3))),"''","null"),SUBSTITUTE(VLOOKUP(A$2,convert!$A$1:$B$4,2,0),"@@@",A162))</f>
        <v>'0119N01'</v>
      </c>
      <c r="Q162" s="4" t="str">
        <f>IF(B162="",IF(ISNUMBER(SEARCH("NOT NULL",UPPER(B$3))),"''","null"),SUBSTITUTE(VLOOKUP(B$2,convert!$A$1:$B$4,2,0),"@@@",B162))</f>
        <v>'アズマオウ'</v>
      </c>
      <c r="R162" s="4" t="str">
        <f>IF(C162="",IF(ISNUMBER(SEARCH("NOT NULL",UPPER(C$3))),"''","null"),SUBSTITUTE(VLOOKUP(C$2,convert!$A$1:$B$4,2,0),"@@@",C162))</f>
        <v>80</v>
      </c>
      <c r="S162" s="4" t="str">
        <f>IF(D162="",IF(ISNUMBER(SEARCH("NOT NULL",UPPER(D$3))),"''","null"),SUBSTITUTE(VLOOKUP(D$2,convert!$A$1:$B$4,2,0),"@@@",D162))</f>
        <v>92</v>
      </c>
      <c r="T162" s="4" t="str">
        <f>IF(E162="",IF(ISNUMBER(SEARCH("NOT NULL",UPPER(E$3))),"''","null"),SUBSTITUTE(VLOOKUP(E$2,convert!$A$1:$B$4,2,0),"@@@",E162))</f>
        <v>65</v>
      </c>
      <c r="U162" s="4" t="str">
        <f>IF(F162="",IF(ISNUMBER(SEARCH("NOT NULL",UPPER(F$3))),"''","null"),SUBSTITUTE(VLOOKUP(F$2,convert!$A$1:$B$4,2,0),"@@@",F162))</f>
        <v>65</v>
      </c>
      <c r="V162" s="4" t="str">
        <f>IF(G162="",IF(ISNUMBER(SEARCH("NOT NULL",UPPER(G$3))),"''","null"),SUBSTITUTE(VLOOKUP(G$2,convert!$A$1:$B$4,2,0),"@@@",G162))</f>
        <v>80</v>
      </c>
      <c r="W162" s="4" t="str">
        <f>IF(H162="",IF(ISNUMBER(SEARCH("NOT NULL",UPPER(H$3))),"''","null"),SUBSTITUTE(VLOOKUP(H$2,convert!$A$1:$B$4,2,0),"@@@",H162))</f>
        <v>68</v>
      </c>
      <c r="X162" s="4" t="str">
        <f>IF(I162="",IF(ISNUMBER(SEARCH("NOT NULL",UPPER(I$3))),"''","null"),SUBSTITUTE(VLOOKUP(I$2,convert!$A$1:$B$4,2,0),"@@@",I162))</f>
        <v>''</v>
      </c>
      <c r="Y162" s="4" t="str">
        <f>IF(J162="",IF(ISNUMBER(SEARCH("NOT NULL",UPPER(J$3))),"''","null"),SUBSTITUTE(VLOOKUP(J$2,convert!$A$1:$B$4,2,0),"@@@",J162))</f>
        <v>'water'</v>
      </c>
      <c r="Z162" s="4" t="str">
        <f>IF(K162="",IF(ISNUMBER(SEARCH("NOT NULL",UPPER(K$3))),"''","null"),SUBSTITUTE(VLOOKUP(K$2,convert!$A$1:$B$4,2,0),"@@@",K162))</f>
        <v>null</v>
      </c>
      <c r="AA162" s="4" t="str">
        <f>IF(L162="",IF(ISNUMBER(SEARCH("NOT NULL",UPPER(L$3))),"''","null"),SUBSTITUTE(VLOOKUP(L$2,convert!$A$1:$B$4,2,0),"@@@",L162))</f>
        <v>'g1'</v>
      </c>
      <c r="AB162" s="4" t="str">
        <f>IF(M162="",IF(ISNUMBER(SEARCH("NOT NULL",UPPER(M$3))),"''","null"),SUBSTITUTE(VLOOKUP(M$2,convert!$A$1:$B$4,2,0),"@@@",M162))</f>
        <v>null</v>
      </c>
      <c r="AC162" s="4" t="str">
        <f>IF(N162="",IF(ISNUMBER(SEARCH("NOT NULL",UPPER(N$3))),"''","null"),SUBSTITUTE(VLOOKUP(N$2,convert!$A$1:$B$4,2,0),"@@@",N162))</f>
        <v>null</v>
      </c>
      <c r="AD162" s="4" t="str">
        <f>IF(O162="",IF(ISNUMBER(SEARCH("NOT NULL",UPPER(O$3))),"''","null"),SUBSTITUTE(VLOOKUP(O$2,convert!$A$1:$B$4,2,0),"@@@",O162))</f>
        <v>TRUE</v>
      </c>
      <c r="AE162" s="4" t="str">
        <f t="shared" si="2"/>
        <v>    ('0119N01', 'アズマオウ', 80, 92, 65, 65, 80, 68, '', 'water', null, 'g1', null, null, TRUE),</v>
      </c>
    </row>
    <row r="163" spans="1:31">
      <c r="A163" s="4" t="s">
        <v>345</v>
      </c>
      <c r="B163" s="4" t="s">
        <v>346</v>
      </c>
      <c r="C163" s="5">
        <v>30</v>
      </c>
      <c r="D163" s="5">
        <v>45</v>
      </c>
      <c r="E163" s="5">
        <v>55</v>
      </c>
      <c r="F163" s="5">
        <v>70</v>
      </c>
      <c r="G163" s="5">
        <v>55</v>
      </c>
      <c r="H163" s="5">
        <v>85</v>
      </c>
      <c r="I163" s="5"/>
      <c r="J163" s="4" t="s">
        <v>55</v>
      </c>
      <c r="K163" s="5"/>
      <c r="L163" s="4" t="s">
        <v>32</v>
      </c>
      <c r="M163" s="5"/>
      <c r="N163" s="5"/>
      <c r="O163" s="5" t="b">
        <v>1</v>
      </c>
      <c r="P163" s="4" t="str">
        <f>IF(A163="",IF(ISNUMBER(SEARCH("NOT NULL",UPPER(A$3))),"''","null"),SUBSTITUTE(VLOOKUP(A$2,convert!$A$1:$B$4,2,0),"@@@",A163))</f>
        <v>'0120N01'</v>
      </c>
      <c r="Q163" s="4" t="str">
        <f>IF(B163="",IF(ISNUMBER(SEARCH("NOT NULL",UPPER(B$3))),"''","null"),SUBSTITUTE(VLOOKUP(B$2,convert!$A$1:$B$4,2,0),"@@@",B163))</f>
        <v>'ヒトデマン'</v>
      </c>
      <c r="R163" s="4" t="str">
        <f>IF(C163="",IF(ISNUMBER(SEARCH("NOT NULL",UPPER(C$3))),"''","null"),SUBSTITUTE(VLOOKUP(C$2,convert!$A$1:$B$4,2,0),"@@@",C163))</f>
        <v>30</v>
      </c>
      <c r="S163" s="4" t="str">
        <f>IF(D163="",IF(ISNUMBER(SEARCH("NOT NULL",UPPER(D$3))),"''","null"),SUBSTITUTE(VLOOKUP(D$2,convert!$A$1:$B$4,2,0),"@@@",D163))</f>
        <v>45</v>
      </c>
      <c r="T163" s="4" t="str">
        <f>IF(E163="",IF(ISNUMBER(SEARCH("NOT NULL",UPPER(E$3))),"''","null"),SUBSTITUTE(VLOOKUP(E$2,convert!$A$1:$B$4,2,0),"@@@",E163))</f>
        <v>55</v>
      </c>
      <c r="U163" s="4" t="str">
        <f>IF(F163="",IF(ISNUMBER(SEARCH("NOT NULL",UPPER(F$3))),"''","null"),SUBSTITUTE(VLOOKUP(F$2,convert!$A$1:$B$4,2,0),"@@@",F163))</f>
        <v>70</v>
      </c>
      <c r="V163" s="4" t="str">
        <f>IF(G163="",IF(ISNUMBER(SEARCH("NOT NULL",UPPER(G$3))),"''","null"),SUBSTITUTE(VLOOKUP(G$2,convert!$A$1:$B$4,2,0),"@@@",G163))</f>
        <v>55</v>
      </c>
      <c r="W163" s="4" t="str">
        <f>IF(H163="",IF(ISNUMBER(SEARCH("NOT NULL",UPPER(H$3))),"''","null"),SUBSTITUTE(VLOOKUP(H$2,convert!$A$1:$B$4,2,0),"@@@",H163))</f>
        <v>85</v>
      </c>
      <c r="X163" s="4" t="str">
        <f>IF(I163="",IF(ISNUMBER(SEARCH("NOT NULL",UPPER(I$3))),"''","null"),SUBSTITUTE(VLOOKUP(I$2,convert!$A$1:$B$4,2,0),"@@@",I163))</f>
        <v>''</v>
      </c>
      <c r="Y163" s="4" t="str">
        <f>IF(J163="",IF(ISNUMBER(SEARCH("NOT NULL",UPPER(J$3))),"''","null"),SUBSTITUTE(VLOOKUP(J$2,convert!$A$1:$B$4,2,0),"@@@",J163))</f>
        <v>'water'</v>
      </c>
      <c r="Z163" s="4" t="str">
        <f>IF(K163="",IF(ISNUMBER(SEARCH("NOT NULL",UPPER(K$3))),"''","null"),SUBSTITUTE(VLOOKUP(K$2,convert!$A$1:$B$4,2,0),"@@@",K163))</f>
        <v>null</v>
      </c>
      <c r="AA163" s="4" t="str">
        <f>IF(L163="",IF(ISNUMBER(SEARCH("NOT NULL",UPPER(L$3))),"''","null"),SUBSTITUTE(VLOOKUP(L$2,convert!$A$1:$B$4,2,0),"@@@",L163))</f>
        <v>'g1'</v>
      </c>
      <c r="AB163" s="4" t="str">
        <f>IF(M163="",IF(ISNUMBER(SEARCH("NOT NULL",UPPER(M$3))),"''","null"),SUBSTITUTE(VLOOKUP(M$2,convert!$A$1:$B$4,2,0),"@@@",M163))</f>
        <v>null</v>
      </c>
      <c r="AC163" s="4" t="str">
        <f>IF(N163="",IF(ISNUMBER(SEARCH("NOT NULL",UPPER(N$3))),"''","null"),SUBSTITUTE(VLOOKUP(N$2,convert!$A$1:$B$4,2,0),"@@@",N163))</f>
        <v>null</v>
      </c>
      <c r="AD163" s="4" t="str">
        <f>IF(O163="",IF(ISNUMBER(SEARCH("NOT NULL",UPPER(O$3))),"''","null"),SUBSTITUTE(VLOOKUP(O$2,convert!$A$1:$B$4,2,0),"@@@",O163))</f>
        <v>TRUE</v>
      </c>
      <c r="AE163" s="4" t="str">
        <f t="shared" si="2"/>
        <v>    ('0120N01', 'ヒトデマン', 30, 45, 55, 70, 55, 85, '', 'water', null, 'g1', null, null, TRUE),</v>
      </c>
    </row>
    <row r="164" spans="1:31">
      <c r="A164" s="4" t="s">
        <v>347</v>
      </c>
      <c r="B164" s="4" t="s">
        <v>348</v>
      </c>
      <c r="C164" s="5">
        <v>60</v>
      </c>
      <c r="D164" s="5">
        <v>75</v>
      </c>
      <c r="E164" s="5">
        <v>85</v>
      </c>
      <c r="F164" s="5">
        <v>100</v>
      </c>
      <c r="G164" s="5">
        <v>85</v>
      </c>
      <c r="H164" s="5">
        <v>115</v>
      </c>
      <c r="I164" s="5"/>
      <c r="J164" s="4" t="s">
        <v>55</v>
      </c>
      <c r="K164" s="4" t="s">
        <v>113</v>
      </c>
      <c r="L164" s="4" t="s">
        <v>32</v>
      </c>
      <c r="M164" s="5"/>
      <c r="N164" s="5"/>
      <c r="O164" s="5" t="b">
        <v>1</v>
      </c>
      <c r="P164" s="4" t="str">
        <f>IF(A164="",IF(ISNUMBER(SEARCH("NOT NULL",UPPER(A$3))),"''","null"),SUBSTITUTE(VLOOKUP(A$2,convert!$A$1:$B$4,2,0),"@@@",A164))</f>
        <v>'0121N01'</v>
      </c>
      <c r="Q164" s="4" t="str">
        <f>IF(B164="",IF(ISNUMBER(SEARCH("NOT NULL",UPPER(B$3))),"''","null"),SUBSTITUTE(VLOOKUP(B$2,convert!$A$1:$B$4,2,0),"@@@",B164))</f>
        <v>'スターミー'</v>
      </c>
      <c r="R164" s="4" t="str">
        <f>IF(C164="",IF(ISNUMBER(SEARCH("NOT NULL",UPPER(C$3))),"''","null"),SUBSTITUTE(VLOOKUP(C$2,convert!$A$1:$B$4,2,0),"@@@",C164))</f>
        <v>60</v>
      </c>
      <c r="S164" s="4" t="str">
        <f>IF(D164="",IF(ISNUMBER(SEARCH("NOT NULL",UPPER(D$3))),"''","null"),SUBSTITUTE(VLOOKUP(D$2,convert!$A$1:$B$4,2,0),"@@@",D164))</f>
        <v>75</v>
      </c>
      <c r="T164" s="4" t="str">
        <f>IF(E164="",IF(ISNUMBER(SEARCH("NOT NULL",UPPER(E$3))),"''","null"),SUBSTITUTE(VLOOKUP(E$2,convert!$A$1:$B$4,2,0),"@@@",E164))</f>
        <v>85</v>
      </c>
      <c r="U164" s="4" t="str">
        <f>IF(F164="",IF(ISNUMBER(SEARCH("NOT NULL",UPPER(F$3))),"''","null"),SUBSTITUTE(VLOOKUP(F$2,convert!$A$1:$B$4,2,0),"@@@",F164))</f>
        <v>100</v>
      </c>
      <c r="V164" s="4" t="str">
        <f>IF(G164="",IF(ISNUMBER(SEARCH("NOT NULL",UPPER(G$3))),"''","null"),SUBSTITUTE(VLOOKUP(G$2,convert!$A$1:$B$4,2,0),"@@@",G164))</f>
        <v>85</v>
      </c>
      <c r="W164" s="4" t="str">
        <f>IF(H164="",IF(ISNUMBER(SEARCH("NOT NULL",UPPER(H$3))),"''","null"),SUBSTITUTE(VLOOKUP(H$2,convert!$A$1:$B$4,2,0),"@@@",H164))</f>
        <v>115</v>
      </c>
      <c r="X164" s="4" t="str">
        <f>IF(I164="",IF(ISNUMBER(SEARCH("NOT NULL",UPPER(I$3))),"''","null"),SUBSTITUTE(VLOOKUP(I$2,convert!$A$1:$B$4,2,0),"@@@",I164))</f>
        <v>''</v>
      </c>
      <c r="Y164" s="4" t="str">
        <f>IF(J164="",IF(ISNUMBER(SEARCH("NOT NULL",UPPER(J$3))),"''","null"),SUBSTITUTE(VLOOKUP(J$2,convert!$A$1:$B$4,2,0),"@@@",J164))</f>
        <v>'water'</v>
      </c>
      <c r="Z164" s="4" t="str">
        <f>IF(K164="",IF(ISNUMBER(SEARCH("NOT NULL",UPPER(K$3))),"''","null"),SUBSTITUTE(VLOOKUP(K$2,convert!$A$1:$B$4,2,0),"@@@",K164))</f>
        <v>'psychic'</v>
      </c>
      <c r="AA164" s="4" t="str">
        <f>IF(L164="",IF(ISNUMBER(SEARCH("NOT NULL",UPPER(L$3))),"''","null"),SUBSTITUTE(VLOOKUP(L$2,convert!$A$1:$B$4,2,0),"@@@",L164))</f>
        <v>'g1'</v>
      </c>
      <c r="AB164" s="4" t="str">
        <f>IF(M164="",IF(ISNUMBER(SEARCH("NOT NULL",UPPER(M$3))),"''","null"),SUBSTITUTE(VLOOKUP(M$2,convert!$A$1:$B$4,2,0),"@@@",M164))</f>
        <v>null</v>
      </c>
      <c r="AC164" s="4" t="str">
        <f>IF(N164="",IF(ISNUMBER(SEARCH("NOT NULL",UPPER(N$3))),"''","null"),SUBSTITUTE(VLOOKUP(N$2,convert!$A$1:$B$4,2,0),"@@@",N164))</f>
        <v>null</v>
      </c>
      <c r="AD164" s="4" t="str">
        <f>IF(O164="",IF(ISNUMBER(SEARCH("NOT NULL",UPPER(O$3))),"''","null"),SUBSTITUTE(VLOOKUP(O$2,convert!$A$1:$B$4,2,0),"@@@",O164))</f>
        <v>TRUE</v>
      </c>
      <c r="AE164" s="4" t="str">
        <f t="shared" si="2"/>
        <v>    ('0121N01', 'スターミー', 60, 75, 85, 100, 85, 115, '', 'water', 'psychic', 'g1', null, null, TRUE),</v>
      </c>
    </row>
    <row r="165" spans="1:31">
      <c r="A165" s="4" t="s">
        <v>349</v>
      </c>
      <c r="B165" s="4" t="s">
        <v>350</v>
      </c>
      <c r="C165" s="5">
        <v>40</v>
      </c>
      <c r="D165" s="5">
        <v>45</v>
      </c>
      <c r="E165" s="5">
        <v>65</v>
      </c>
      <c r="F165" s="5">
        <v>100</v>
      </c>
      <c r="G165" s="5">
        <v>120</v>
      </c>
      <c r="H165" s="5">
        <v>90</v>
      </c>
      <c r="I165" s="5"/>
      <c r="J165" s="4" t="s">
        <v>113</v>
      </c>
      <c r="K165" s="4" t="s">
        <v>137</v>
      </c>
      <c r="L165" s="4" t="s">
        <v>32</v>
      </c>
      <c r="M165" s="5"/>
      <c r="N165" s="5"/>
      <c r="O165" s="5" t="b">
        <v>1</v>
      </c>
      <c r="P165" s="4" t="str">
        <f>IF(A165="",IF(ISNUMBER(SEARCH("NOT NULL",UPPER(A$3))),"''","null"),SUBSTITUTE(VLOOKUP(A$2,convert!$A$1:$B$4,2,0),"@@@",A165))</f>
        <v>'0122N01'</v>
      </c>
      <c r="Q165" s="4" t="str">
        <f>IF(B165="",IF(ISNUMBER(SEARCH("NOT NULL",UPPER(B$3))),"''","null"),SUBSTITUTE(VLOOKUP(B$2,convert!$A$1:$B$4,2,0),"@@@",B165))</f>
        <v>'バリヤード'</v>
      </c>
      <c r="R165" s="4" t="str">
        <f>IF(C165="",IF(ISNUMBER(SEARCH("NOT NULL",UPPER(C$3))),"''","null"),SUBSTITUTE(VLOOKUP(C$2,convert!$A$1:$B$4,2,0),"@@@",C165))</f>
        <v>40</v>
      </c>
      <c r="S165" s="4" t="str">
        <f>IF(D165="",IF(ISNUMBER(SEARCH("NOT NULL",UPPER(D$3))),"''","null"),SUBSTITUTE(VLOOKUP(D$2,convert!$A$1:$B$4,2,0),"@@@",D165))</f>
        <v>45</v>
      </c>
      <c r="T165" s="4" t="str">
        <f>IF(E165="",IF(ISNUMBER(SEARCH("NOT NULL",UPPER(E$3))),"''","null"),SUBSTITUTE(VLOOKUP(E$2,convert!$A$1:$B$4,2,0),"@@@",E165))</f>
        <v>65</v>
      </c>
      <c r="U165" s="4" t="str">
        <f>IF(F165="",IF(ISNUMBER(SEARCH("NOT NULL",UPPER(F$3))),"''","null"),SUBSTITUTE(VLOOKUP(F$2,convert!$A$1:$B$4,2,0),"@@@",F165))</f>
        <v>100</v>
      </c>
      <c r="V165" s="4" t="str">
        <f>IF(G165="",IF(ISNUMBER(SEARCH("NOT NULL",UPPER(G$3))),"''","null"),SUBSTITUTE(VLOOKUP(G$2,convert!$A$1:$B$4,2,0),"@@@",G165))</f>
        <v>120</v>
      </c>
      <c r="W165" s="4" t="str">
        <f>IF(H165="",IF(ISNUMBER(SEARCH("NOT NULL",UPPER(H$3))),"''","null"),SUBSTITUTE(VLOOKUP(H$2,convert!$A$1:$B$4,2,0),"@@@",H165))</f>
        <v>90</v>
      </c>
      <c r="X165" s="4" t="str">
        <f>IF(I165="",IF(ISNUMBER(SEARCH("NOT NULL",UPPER(I$3))),"''","null"),SUBSTITUTE(VLOOKUP(I$2,convert!$A$1:$B$4,2,0),"@@@",I165))</f>
        <v>''</v>
      </c>
      <c r="Y165" s="4" t="str">
        <f>IF(J165="",IF(ISNUMBER(SEARCH("NOT NULL",UPPER(J$3))),"''","null"),SUBSTITUTE(VLOOKUP(J$2,convert!$A$1:$B$4,2,0),"@@@",J165))</f>
        <v>'psychic'</v>
      </c>
      <c r="Z165" s="4" t="str">
        <f>IF(K165="",IF(ISNUMBER(SEARCH("NOT NULL",UPPER(K$3))),"''","null"),SUBSTITUTE(VLOOKUP(K$2,convert!$A$1:$B$4,2,0),"@@@",K165))</f>
        <v>'fairy'</v>
      </c>
      <c r="AA165" s="4" t="str">
        <f>IF(L165="",IF(ISNUMBER(SEARCH("NOT NULL",UPPER(L$3))),"''","null"),SUBSTITUTE(VLOOKUP(L$2,convert!$A$1:$B$4,2,0),"@@@",L165))</f>
        <v>'g1'</v>
      </c>
      <c r="AB165" s="4" t="str">
        <f>IF(M165="",IF(ISNUMBER(SEARCH("NOT NULL",UPPER(M$3))),"''","null"),SUBSTITUTE(VLOOKUP(M$2,convert!$A$1:$B$4,2,0),"@@@",M165))</f>
        <v>null</v>
      </c>
      <c r="AC165" s="4" t="str">
        <f>IF(N165="",IF(ISNUMBER(SEARCH("NOT NULL",UPPER(N$3))),"''","null"),SUBSTITUTE(VLOOKUP(N$2,convert!$A$1:$B$4,2,0),"@@@",N165))</f>
        <v>null</v>
      </c>
      <c r="AD165" s="4" t="str">
        <f>IF(O165="",IF(ISNUMBER(SEARCH("NOT NULL",UPPER(O$3))),"''","null"),SUBSTITUTE(VLOOKUP(O$2,convert!$A$1:$B$4,2,0),"@@@",O165))</f>
        <v>TRUE</v>
      </c>
      <c r="AE165" s="4" t="str">
        <f t="shared" si="2"/>
        <v>    ('0122N01', 'バリヤード', 40, 45, 65, 100, 120, 90, '', 'psychic', 'fairy', 'g1', null, null, TRUE),</v>
      </c>
    </row>
    <row r="166" spans="1:31">
      <c r="A166" s="4" t="s">
        <v>351</v>
      </c>
      <c r="B166" s="4" t="s">
        <v>350</v>
      </c>
      <c r="C166" s="5">
        <v>50</v>
      </c>
      <c r="D166" s="5">
        <v>65</v>
      </c>
      <c r="E166" s="5">
        <v>65</v>
      </c>
      <c r="F166" s="5">
        <v>90</v>
      </c>
      <c r="G166" s="5">
        <v>90</v>
      </c>
      <c r="H166" s="5">
        <v>100</v>
      </c>
      <c r="I166" s="4" t="s">
        <v>178</v>
      </c>
      <c r="J166" s="4" t="s">
        <v>118</v>
      </c>
      <c r="K166" s="4" t="s">
        <v>113</v>
      </c>
      <c r="L166" s="4" t="s">
        <v>179</v>
      </c>
      <c r="M166" s="5"/>
      <c r="N166" s="5"/>
      <c r="O166" s="5" t="b">
        <v>1</v>
      </c>
      <c r="P166" s="4" t="str">
        <f>IF(A166="",IF(ISNUMBER(SEARCH("NOT NULL",UPPER(A$3))),"''","null"),SUBSTITUTE(VLOOKUP(A$2,convert!$A$1:$B$4,2,0),"@@@",A166))</f>
        <v>'0122G01'</v>
      </c>
      <c r="Q166" s="4" t="str">
        <f>IF(B166="",IF(ISNUMBER(SEARCH("NOT NULL",UPPER(B$3))),"''","null"),SUBSTITUTE(VLOOKUP(B$2,convert!$A$1:$B$4,2,0),"@@@",B166))</f>
        <v>'バリヤード'</v>
      </c>
      <c r="R166" s="4" t="str">
        <f>IF(C166="",IF(ISNUMBER(SEARCH("NOT NULL",UPPER(C$3))),"''","null"),SUBSTITUTE(VLOOKUP(C$2,convert!$A$1:$B$4,2,0),"@@@",C166))</f>
        <v>50</v>
      </c>
      <c r="S166" s="4" t="str">
        <f>IF(D166="",IF(ISNUMBER(SEARCH("NOT NULL",UPPER(D$3))),"''","null"),SUBSTITUTE(VLOOKUP(D$2,convert!$A$1:$B$4,2,0),"@@@",D166))</f>
        <v>65</v>
      </c>
      <c r="T166" s="4" t="str">
        <f>IF(E166="",IF(ISNUMBER(SEARCH("NOT NULL",UPPER(E$3))),"''","null"),SUBSTITUTE(VLOOKUP(E$2,convert!$A$1:$B$4,2,0),"@@@",E166))</f>
        <v>65</v>
      </c>
      <c r="U166" s="4" t="str">
        <f>IF(F166="",IF(ISNUMBER(SEARCH("NOT NULL",UPPER(F$3))),"''","null"),SUBSTITUTE(VLOOKUP(F$2,convert!$A$1:$B$4,2,0),"@@@",F166))</f>
        <v>90</v>
      </c>
      <c r="V166" s="4" t="str">
        <f>IF(G166="",IF(ISNUMBER(SEARCH("NOT NULL",UPPER(G$3))),"''","null"),SUBSTITUTE(VLOOKUP(G$2,convert!$A$1:$B$4,2,0),"@@@",G166))</f>
        <v>90</v>
      </c>
      <c r="W166" s="4" t="str">
        <f>IF(H166="",IF(ISNUMBER(SEARCH("NOT NULL",UPPER(H$3))),"''","null"),SUBSTITUTE(VLOOKUP(H$2,convert!$A$1:$B$4,2,0),"@@@",H166))</f>
        <v>100</v>
      </c>
      <c r="X166" s="4" t="str">
        <f>IF(I166="",IF(ISNUMBER(SEARCH("NOT NULL",UPPER(I$3))),"''","null"),SUBSTITUTE(VLOOKUP(I$2,convert!$A$1:$B$4,2,0),"@@@",I166))</f>
        <v>'ガラルのすがた'</v>
      </c>
      <c r="Y166" s="4" t="str">
        <f>IF(J166="",IF(ISNUMBER(SEARCH("NOT NULL",UPPER(J$3))),"''","null"),SUBSTITUTE(VLOOKUP(J$2,convert!$A$1:$B$4,2,0),"@@@",J166))</f>
        <v>'ice'</v>
      </c>
      <c r="Z166" s="4" t="str">
        <f>IF(K166="",IF(ISNUMBER(SEARCH("NOT NULL",UPPER(K$3))),"''","null"),SUBSTITUTE(VLOOKUP(K$2,convert!$A$1:$B$4,2,0),"@@@",K166))</f>
        <v>'psychic'</v>
      </c>
      <c r="AA166" s="4" t="str">
        <f>IF(L166="",IF(ISNUMBER(SEARCH("NOT NULL",UPPER(L$3))),"''","null"),SUBSTITUTE(VLOOKUP(L$2,convert!$A$1:$B$4,2,0),"@@@",L166))</f>
        <v>'g8'</v>
      </c>
      <c r="AB166" s="4" t="str">
        <f>IF(M166="",IF(ISNUMBER(SEARCH("NOT NULL",UPPER(M$3))),"''","null"),SUBSTITUTE(VLOOKUP(M$2,convert!$A$1:$B$4,2,0),"@@@",M166))</f>
        <v>null</v>
      </c>
      <c r="AC166" s="4" t="str">
        <f>IF(N166="",IF(ISNUMBER(SEARCH("NOT NULL",UPPER(N$3))),"''","null"),SUBSTITUTE(VLOOKUP(N$2,convert!$A$1:$B$4,2,0),"@@@",N166))</f>
        <v>null</v>
      </c>
      <c r="AD166" s="4" t="str">
        <f>IF(O166="",IF(ISNUMBER(SEARCH("NOT NULL",UPPER(O$3))),"''","null"),SUBSTITUTE(VLOOKUP(O$2,convert!$A$1:$B$4,2,0),"@@@",O166))</f>
        <v>TRUE</v>
      </c>
      <c r="AE166" s="4" t="str">
        <f t="shared" si="2"/>
        <v>    ('0122G01', 'バリヤード', 50, 65, 65, 90, 90, 100, 'ガラルのすがた', 'ice', 'psychic', 'g8', null, null, TRUE),</v>
      </c>
    </row>
    <row r="167" spans="1:31">
      <c r="A167" s="4" t="s">
        <v>352</v>
      </c>
      <c r="B167" s="4" t="s">
        <v>353</v>
      </c>
      <c r="C167" s="5">
        <v>70</v>
      </c>
      <c r="D167" s="5">
        <v>110</v>
      </c>
      <c r="E167" s="5">
        <v>80</v>
      </c>
      <c r="F167" s="5">
        <v>55</v>
      </c>
      <c r="G167" s="5">
        <v>80</v>
      </c>
      <c r="H167" s="5">
        <v>105</v>
      </c>
      <c r="I167" s="5"/>
      <c r="J167" s="4" t="s">
        <v>64</v>
      </c>
      <c r="K167" s="4" t="s">
        <v>47</v>
      </c>
      <c r="L167" s="4" t="s">
        <v>32</v>
      </c>
      <c r="M167" s="5"/>
      <c r="N167" s="5"/>
      <c r="O167" s="5" t="b">
        <v>1</v>
      </c>
      <c r="P167" s="4" t="str">
        <f>IF(A167="",IF(ISNUMBER(SEARCH("NOT NULL",UPPER(A$3))),"''","null"),SUBSTITUTE(VLOOKUP(A$2,convert!$A$1:$B$4,2,0),"@@@",A167))</f>
        <v>'0123N01'</v>
      </c>
      <c r="Q167" s="4" t="str">
        <f>IF(B167="",IF(ISNUMBER(SEARCH("NOT NULL",UPPER(B$3))),"''","null"),SUBSTITUTE(VLOOKUP(B$2,convert!$A$1:$B$4,2,0),"@@@",B167))</f>
        <v>'ストライク'</v>
      </c>
      <c r="R167" s="4" t="str">
        <f>IF(C167="",IF(ISNUMBER(SEARCH("NOT NULL",UPPER(C$3))),"''","null"),SUBSTITUTE(VLOOKUP(C$2,convert!$A$1:$B$4,2,0),"@@@",C167))</f>
        <v>70</v>
      </c>
      <c r="S167" s="4" t="str">
        <f>IF(D167="",IF(ISNUMBER(SEARCH("NOT NULL",UPPER(D$3))),"''","null"),SUBSTITUTE(VLOOKUP(D$2,convert!$A$1:$B$4,2,0),"@@@",D167))</f>
        <v>110</v>
      </c>
      <c r="T167" s="4" t="str">
        <f>IF(E167="",IF(ISNUMBER(SEARCH("NOT NULL",UPPER(E$3))),"''","null"),SUBSTITUTE(VLOOKUP(E$2,convert!$A$1:$B$4,2,0),"@@@",E167))</f>
        <v>80</v>
      </c>
      <c r="U167" s="4" t="str">
        <f>IF(F167="",IF(ISNUMBER(SEARCH("NOT NULL",UPPER(F$3))),"''","null"),SUBSTITUTE(VLOOKUP(F$2,convert!$A$1:$B$4,2,0),"@@@",F167))</f>
        <v>55</v>
      </c>
      <c r="V167" s="4" t="str">
        <f>IF(G167="",IF(ISNUMBER(SEARCH("NOT NULL",UPPER(G$3))),"''","null"),SUBSTITUTE(VLOOKUP(G$2,convert!$A$1:$B$4,2,0),"@@@",G167))</f>
        <v>80</v>
      </c>
      <c r="W167" s="4" t="str">
        <f>IF(H167="",IF(ISNUMBER(SEARCH("NOT NULL",UPPER(H$3))),"''","null"),SUBSTITUTE(VLOOKUP(H$2,convert!$A$1:$B$4,2,0),"@@@",H167))</f>
        <v>105</v>
      </c>
      <c r="X167" s="4" t="str">
        <f>IF(I167="",IF(ISNUMBER(SEARCH("NOT NULL",UPPER(I$3))),"''","null"),SUBSTITUTE(VLOOKUP(I$2,convert!$A$1:$B$4,2,0),"@@@",I167))</f>
        <v>''</v>
      </c>
      <c r="Y167" s="4" t="str">
        <f>IF(J167="",IF(ISNUMBER(SEARCH("NOT NULL",UPPER(J$3))),"''","null"),SUBSTITUTE(VLOOKUP(J$2,convert!$A$1:$B$4,2,0),"@@@",J167))</f>
        <v>'bug'</v>
      </c>
      <c r="Z167" s="4" t="str">
        <f>IF(K167="",IF(ISNUMBER(SEARCH("NOT NULL",UPPER(K$3))),"''","null"),SUBSTITUTE(VLOOKUP(K$2,convert!$A$1:$B$4,2,0),"@@@",K167))</f>
        <v>'flying'</v>
      </c>
      <c r="AA167" s="4" t="str">
        <f>IF(L167="",IF(ISNUMBER(SEARCH("NOT NULL",UPPER(L$3))),"''","null"),SUBSTITUTE(VLOOKUP(L$2,convert!$A$1:$B$4,2,0),"@@@",L167))</f>
        <v>'g1'</v>
      </c>
      <c r="AB167" s="4" t="str">
        <f>IF(M167="",IF(ISNUMBER(SEARCH("NOT NULL",UPPER(M$3))),"''","null"),SUBSTITUTE(VLOOKUP(M$2,convert!$A$1:$B$4,2,0),"@@@",M167))</f>
        <v>null</v>
      </c>
      <c r="AC167" s="4" t="str">
        <f>IF(N167="",IF(ISNUMBER(SEARCH("NOT NULL",UPPER(N$3))),"''","null"),SUBSTITUTE(VLOOKUP(N$2,convert!$A$1:$B$4,2,0),"@@@",N167))</f>
        <v>null</v>
      </c>
      <c r="AD167" s="4" t="str">
        <f>IF(O167="",IF(ISNUMBER(SEARCH("NOT NULL",UPPER(O$3))),"''","null"),SUBSTITUTE(VLOOKUP(O$2,convert!$A$1:$B$4,2,0),"@@@",O167))</f>
        <v>TRUE</v>
      </c>
      <c r="AE167" s="4" t="str">
        <f t="shared" si="2"/>
        <v>    ('0123N01', 'ストライク', 70, 110, 80, 55, 80, 105, '', 'bug', 'flying', 'g1', null, null, TRUE),</v>
      </c>
    </row>
    <row r="168" spans="1:31">
      <c r="A168" s="4" t="s">
        <v>354</v>
      </c>
      <c r="B168" s="4" t="s">
        <v>355</v>
      </c>
      <c r="C168" s="5">
        <v>65</v>
      </c>
      <c r="D168" s="5">
        <v>50</v>
      </c>
      <c r="E168" s="5">
        <v>35</v>
      </c>
      <c r="F168" s="5">
        <v>115</v>
      </c>
      <c r="G168" s="5">
        <v>95</v>
      </c>
      <c r="H168" s="5">
        <v>95</v>
      </c>
      <c r="I168" s="5"/>
      <c r="J168" s="4" t="s">
        <v>118</v>
      </c>
      <c r="K168" s="4" t="s">
        <v>113</v>
      </c>
      <c r="L168" s="4" t="s">
        <v>32</v>
      </c>
      <c r="M168" s="5"/>
      <c r="N168" s="5"/>
      <c r="O168" s="5" t="b">
        <v>1</v>
      </c>
      <c r="P168" s="4" t="str">
        <f>IF(A168="",IF(ISNUMBER(SEARCH("NOT NULL",UPPER(A$3))),"''","null"),SUBSTITUTE(VLOOKUP(A$2,convert!$A$1:$B$4,2,0),"@@@",A168))</f>
        <v>'0124N01'</v>
      </c>
      <c r="Q168" s="4" t="str">
        <f>IF(B168="",IF(ISNUMBER(SEARCH("NOT NULL",UPPER(B$3))),"''","null"),SUBSTITUTE(VLOOKUP(B$2,convert!$A$1:$B$4,2,0),"@@@",B168))</f>
        <v>'ルージュラ'</v>
      </c>
      <c r="R168" s="4" t="str">
        <f>IF(C168="",IF(ISNUMBER(SEARCH("NOT NULL",UPPER(C$3))),"''","null"),SUBSTITUTE(VLOOKUP(C$2,convert!$A$1:$B$4,2,0),"@@@",C168))</f>
        <v>65</v>
      </c>
      <c r="S168" s="4" t="str">
        <f>IF(D168="",IF(ISNUMBER(SEARCH("NOT NULL",UPPER(D$3))),"''","null"),SUBSTITUTE(VLOOKUP(D$2,convert!$A$1:$B$4,2,0),"@@@",D168))</f>
        <v>50</v>
      </c>
      <c r="T168" s="4" t="str">
        <f>IF(E168="",IF(ISNUMBER(SEARCH("NOT NULL",UPPER(E$3))),"''","null"),SUBSTITUTE(VLOOKUP(E$2,convert!$A$1:$B$4,2,0),"@@@",E168))</f>
        <v>35</v>
      </c>
      <c r="U168" s="4" t="str">
        <f>IF(F168="",IF(ISNUMBER(SEARCH("NOT NULL",UPPER(F$3))),"''","null"),SUBSTITUTE(VLOOKUP(F$2,convert!$A$1:$B$4,2,0),"@@@",F168))</f>
        <v>115</v>
      </c>
      <c r="V168" s="4" t="str">
        <f>IF(G168="",IF(ISNUMBER(SEARCH("NOT NULL",UPPER(G$3))),"''","null"),SUBSTITUTE(VLOOKUP(G$2,convert!$A$1:$B$4,2,0),"@@@",G168))</f>
        <v>95</v>
      </c>
      <c r="W168" s="4" t="str">
        <f>IF(H168="",IF(ISNUMBER(SEARCH("NOT NULL",UPPER(H$3))),"''","null"),SUBSTITUTE(VLOOKUP(H$2,convert!$A$1:$B$4,2,0),"@@@",H168))</f>
        <v>95</v>
      </c>
      <c r="X168" s="4" t="str">
        <f>IF(I168="",IF(ISNUMBER(SEARCH("NOT NULL",UPPER(I$3))),"''","null"),SUBSTITUTE(VLOOKUP(I$2,convert!$A$1:$B$4,2,0),"@@@",I168))</f>
        <v>''</v>
      </c>
      <c r="Y168" s="4" t="str">
        <f>IF(J168="",IF(ISNUMBER(SEARCH("NOT NULL",UPPER(J$3))),"''","null"),SUBSTITUTE(VLOOKUP(J$2,convert!$A$1:$B$4,2,0),"@@@",J168))</f>
        <v>'ice'</v>
      </c>
      <c r="Z168" s="4" t="str">
        <f>IF(K168="",IF(ISNUMBER(SEARCH("NOT NULL",UPPER(K$3))),"''","null"),SUBSTITUTE(VLOOKUP(K$2,convert!$A$1:$B$4,2,0),"@@@",K168))</f>
        <v>'psychic'</v>
      </c>
      <c r="AA168" s="4" t="str">
        <f>IF(L168="",IF(ISNUMBER(SEARCH("NOT NULL",UPPER(L$3))),"''","null"),SUBSTITUTE(VLOOKUP(L$2,convert!$A$1:$B$4,2,0),"@@@",L168))</f>
        <v>'g1'</v>
      </c>
      <c r="AB168" s="4" t="str">
        <f>IF(M168="",IF(ISNUMBER(SEARCH("NOT NULL",UPPER(M$3))),"''","null"),SUBSTITUTE(VLOOKUP(M$2,convert!$A$1:$B$4,2,0),"@@@",M168))</f>
        <v>null</v>
      </c>
      <c r="AC168" s="4" t="str">
        <f>IF(N168="",IF(ISNUMBER(SEARCH("NOT NULL",UPPER(N$3))),"''","null"),SUBSTITUTE(VLOOKUP(N$2,convert!$A$1:$B$4,2,0),"@@@",N168))</f>
        <v>null</v>
      </c>
      <c r="AD168" s="4" t="str">
        <f>IF(O168="",IF(ISNUMBER(SEARCH("NOT NULL",UPPER(O$3))),"''","null"),SUBSTITUTE(VLOOKUP(O$2,convert!$A$1:$B$4,2,0),"@@@",O168))</f>
        <v>TRUE</v>
      </c>
      <c r="AE168" s="4" t="str">
        <f t="shared" si="2"/>
        <v>    ('0124N01', 'ルージュラ', 65, 50, 35, 115, 95, 95, '', 'ice', 'psychic', 'g1', null, null, TRUE),</v>
      </c>
    </row>
    <row r="169" spans="1:31">
      <c r="A169" s="4" t="s">
        <v>356</v>
      </c>
      <c r="B169" s="4" t="s">
        <v>357</v>
      </c>
      <c r="C169" s="5">
        <v>65</v>
      </c>
      <c r="D169" s="5">
        <v>83</v>
      </c>
      <c r="E169" s="5">
        <v>57</v>
      </c>
      <c r="F169" s="5">
        <v>95</v>
      </c>
      <c r="G169" s="5">
        <v>85</v>
      </c>
      <c r="H169" s="5">
        <v>105</v>
      </c>
      <c r="I169" s="5"/>
      <c r="J169" s="4" t="s">
        <v>106</v>
      </c>
      <c r="K169" s="5"/>
      <c r="L169" s="4" t="s">
        <v>32</v>
      </c>
      <c r="M169" s="5"/>
      <c r="N169" s="5"/>
      <c r="O169" s="5" t="b">
        <v>1</v>
      </c>
      <c r="P169" s="4" t="str">
        <f>IF(A169="",IF(ISNUMBER(SEARCH("NOT NULL",UPPER(A$3))),"''","null"),SUBSTITUTE(VLOOKUP(A$2,convert!$A$1:$B$4,2,0),"@@@",A169))</f>
        <v>'0125N01'</v>
      </c>
      <c r="Q169" s="4" t="str">
        <f>IF(B169="",IF(ISNUMBER(SEARCH("NOT NULL",UPPER(B$3))),"''","null"),SUBSTITUTE(VLOOKUP(B$2,convert!$A$1:$B$4,2,0),"@@@",B169))</f>
        <v>'エレブー'</v>
      </c>
      <c r="R169" s="4" t="str">
        <f>IF(C169="",IF(ISNUMBER(SEARCH("NOT NULL",UPPER(C$3))),"''","null"),SUBSTITUTE(VLOOKUP(C$2,convert!$A$1:$B$4,2,0),"@@@",C169))</f>
        <v>65</v>
      </c>
      <c r="S169" s="4" t="str">
        <f>IF(D169="",IF(ISNUMBER(SEARCH("NOT NULL",UPPER(D$3))),"''","null"),SUBSTITUTE(VLOOKUP(D$2,convert!$A$1:$B$4,2,0),"@@@",D169))</f>
        <v>83</v>
      </c>
      <c r="T169" s="4" t="str">
        <f>IF(E169="",IF(ISNUMBER(SEARCH("NOT NULL",UPPER(E$3))),"''","null"),SUBSTITUTE(VLOOKUP(E$2,convert!$A$1:$B$4,2,0),"@@@",E169))</f>
        <v>57</v>
      </c>
      <c r="U169" s="4" t="str">
        <f>IF(F169="",IF(ISNUMBER(SEARCH("NOT NULL",UPPER(F$3))),"''","null"),SUBSTITUTE(VLOOKUP(F$2,convert!$A$1:$B$4,2,0),"@@@",F169))</f>
        <v>95</v>
      </c>
      <c r="V169" s="4" t="str">
        <f>IF(G169="",IF(ISNUMBER(SEARCH("NOT NULL",UPPER(G$3))),"''","null"),SUBSTITUTE(VLOOKUP(G$2,convert!$A$1:$B$4,2,0),"@@@",G169))</f>
        <v>85</v>
      </c>
      <c r="W169" s="4" t="str">
        <f>IF(H169="",IF(ISNUMBER(SEARCH("NOT NULL",UPPER(H$3))),"''","null"),SUBSTITUTE(VLOOKUP(H$2,convert!$A$1:$B$4,2,0),"@@@",H169))</f>
        <v>105</v>
      </c>
      <c r="X169" s="4" t="str">
        <f>IF(I169="",IF(ISNUMBER(SEARCH("NOT NULL",UPPER(I$3))),"''","null"),SUBSTITUTE(VLOOKUP(I$2,convert!$A$1:$B$4,2,0),"@@@",I169))</f>
        <v>''</v>
      </c>
      <c r="Y169" s="4" t="str">
        <f>IF(J169="",IF(ISNUMBER(SEARCH("NOT NULL",UPPER(J$3))),"''","null"),SUBSTITUTE(VLOOKUP(J$2,convert!$A$1:$B$4,2,0),"@@@",J169))</f>
        <v>'electric'</v>
      </c>
      <c r="Z169" s="4" t="str">
        <f>IF(K169="",IF(ISNUMBER(SEARCH("NOT NULL",UPPER(K$3))),"''","null"),SUBSTITUTE(VLOOKUP(K$2,convert!$A$1:$B$4,2,0),"@@@",K169))</f>
        <v>null</v>
      </c>
      <c r="AA169" s="4" t="str">
        <f>IF(L169="",IF(ISNUMBER(SEARCH("NOT NULL",UPPER(L$3))),"''","null"),SUBSTITUTE(VLOOKUP(L$2,convert!$A$1:$B$4,2,0),"@@@",L169))</f>
        <v>'g1'</v>
      </c>
      <c r="AB169" s="4" t="str">
        <f>IF(M169="",IF(ISNUMBER(SEARCH("NOT NULL",UPPER(M$3))),"''","null"),SUBSTITUTE(VLOOKUP(M$2,convert!$A$1:$B$4,2,0),"@@@",M169))</f>
        <v>null</v>
      </c>
      <c r="AC169" s="4" t="str">
        <f>IF(N169="",IF(ISNUMBER(SEARCH("NOT NULL",UPPER(N$3))),"''","null"),SUBSTITUTE(VLOOKUP(N$2,convert!$A$1:$B$4,2,0),"@@@",N169))</f>
        <v>null</v>
      </c>
      <c r="AD169" s="4" t="str">
        <f>IF(O169="",IF(ISNUMBER(SEARCH("NOT NULL",UPPER(O$3))),"''","null"),SUBSTITUTE(VLOOKUP(O$2,convert!$A$1:$B$4,2,0),"@@@",O169))</f>
        <v>TRUE</v>
      </c>
      <c r="AE169" s="4" t="str">
        <f t="shared" si="2"/>
        <v>    ('0125N01', 'エレブー', 65, 83, 57, 95, 85, 105, '', 'electric', null, 'g1', null, null, TRUE),</v>
      </c>
    </row>
    <row r="170" spans="1:31">
      <c r="A170" s="4" t="s">
        <v>358</v>
      </c>
      <c r="B170" s="4" t="s">
        <v>359</v>
      </c>
      <c r="C170" s="5">
        <v>65</v>
      </c>
      <c r="D170" s="5">
        <v>95</v>
      </c>
      <c r="E170" s="5">
        <v>57</v>
      </c>
      <c r="F170" s="5">
        <v>100</v>
      </c>
      <c r="G170" s="5">
        <v>85</v>
      </c>
      <c r="H170" s="5">
        <v>93</v>
      </c>
      <c r="I170" s="5"/>
      <c r="J170" s="4" t="s">
        <v>42</v>
      </c>
      <c r="K170" s="5"/>
      <c r="L170" s="4" t="s">
        <v>32</v>
      </c>
      <c r="M170" s="5"/>
      <c r="N170" s="5"/>
      <c r="O170" s="5" t="b">
        <v>1</v>
      </c>
      <c r="P170" s="4" t="str">
        <f>IF(A170="",IF(ISNUMBER(SEARCH("NOT NULL",UPPER(A$3))),"''","null"),SUBSTITUTE(VLOOKUP(A$2,convert!$A$1:$B$4,2,0),"@@@",A170))</f>
        <v>'0126N01'</v>
      </c>
      <c r="Q170" s="4" t="str">
        <f>IF(B170="",IF(ISNUMBER(SEARCH("NOT NULL",UPPER(B$3))),"''","null"),SUBSTITUTE(VLOOKUP(B$2,convert!$A$1:$B$4,2,0),"@@@",B170))</f>
        <v>'ブーバー'</v>
      </c>
      <c r="R170" s="4" t="str">
        <f>IF(C170="",IF(ISNUMBER(SEARCH("NOT NULL",UPPER(C$3))),"''","null"),SUBSTITUTE(VLOOKUP(C$2,convert!$A$1:$B$4,2,0),"@@@",C170))</f>
        <v>65</v>
      </c>
      <c r="S170" s="4" t="str">
        <f>IF(D170="",IF(ISNUMBER(SEARCH("NOT NULL",UPPER(D$3))),"''","null"),SUBSTITUTE(VLOOKUP(D$2,convert!$A$1:$B$4,2,0),"@@@",D170))</f>
        <v>95</v>
      </c>
      <c r="T170" s="4" t="str">
        <f>IF(E170="",IF(ISNUMBER(SEARCH("NOT NULL",UPPER(E$3))),"''","null"),SUBSTITUTE(VLOOKUP(E$2,convert!$A$1:$B$4,2,0),"@@@",E170))</f>
        <v>57</v>
      </c>
      <c r="U170" s="4" t="str">
        <f>IF(F170="",IF(ISNUMBER(SEARCH("NOT NULL",UPPER(F$3))),"''","null"),SUBSTITUTE(VLOOKUP(F$2,convert!$A$1:$B$4,2,0),"@@@",F170))</f>
        <v>100</v>
      </c>
      <c r="V170" s="4" t="str">
        <f>IF(G170="",IF(ISNUMBER(SEARCH("NOT NULL",UPPER(G$3))),"''","null"),SUBSTITUTE(VLOOKUP(G$2,convert!$A$1:$B$4,2,0),"@@@",G170))</f>
        <v>85</v>
      </c>
      <c r="W170" s="4" t="str">
        <f>IF(H170="",IF(ISNUMBER(SEARCH("NOT NULL",UPPER(H$3))),"''","null"),SUBSTITUTE(VLOOKUP(H$2,convert!$A$1:$B$4,2,0),"@@@",H170))</f>
        <v>93</v>
      </c>
      <c r="X170" s="4" t="str">
        <f>IF(I170="",IF(ISNUMBER(SEARCH("NOT NULL",UPPER(I$3))),"''","null"),SUBSTITUTE(VLOOKUP(I$2,convert!$A$1:$B$4,2,0),"@@@",I170))</f>
        <v>''</v>
      </c>
      <c r="Y170" s="4" t="str">
        <f>IF(J170="",IF(ISNUMBER(SEARCH("NOT NULL",UPPER(J$3))),"''","null"),SUBSTITUTE(VLOOKUP(J$2,convert!$A$1:$B$4,2,0),"@@@",J170))</f>
        <v>'fire'</v>
      </c>
      <c r="Z170" s="4" t="str">
        <f>IF(K170="",IF(ISNUMBER(SEARCH("NOT NULL",UPPER(K$3))),"''","null"),SUBSTITUTE(VLOOKUP(K$2,convert!$A$1:$B$4,2,0),"@@@",K170))</f>
        <v>null</v>
      </c>
      <c r="AA170" s="4" t="str">
        <f>IF(L170="",IF(ISNUMBER(SEARCH("NOT NULL",UPPER(L$3))),"''","null"),SUBSTITUTE(VLOOKUP(L$2,convert!$A$1:$B$4,2,0),"@@@",L170))</f>
        <v>'g1'</v>
      </c>
      <c r="AB170" s="4" t="str">
        <f>IF(M170="",IF(ISNUMBER(SEARCH("NOT NULL",UPPER(M$3))),"''","null"),SUBSTITUTE(VLOOKUP(M$2,convert!$A$1:$B$4,2,0),"@@@",M170))</f>
        <v>null</v>
      </c>
      <c r="AC170" s="4" t="str">
        <f>IF(N170="",IF(ISNUMBER(SEARCH("NOT NULL",UPPER(N$3))),"''","null"),SUBSTITUTE(VLOOKUP(N$2,convert!$A$1:$B$4,2,0),"@@@",N170))</f>
        <v>null</v>
      </c>
      <c r="AD170" s="4" t="str">
        <f>IF(O170="",IF(ISNUMBER(SEARCH("NOT NULL",UPPER(O$3))),"''","null"),SUBSTITUTE(VLOOKUP(O$2,convert!$A$1:$B$4,2,0),"@@@",O170))</f>
        <v>TRUE</v>
      </c>
      <c r="AE170" s="4" t="str">
        <f t="shared" si="2"/>
        <v>    ('0126N01', 'ブーバー', 65, 95, 57, 100, 85, 93, '', 'fire', null, 'g1', null, null, TRUE),</v>
      </c>
    </row>
    <row r="171" spans="1:31">
      <c r="A171" s="4" t="s">
        <v>360</v>
      </c>
      <c r="B171" s="4" t="s">
        <v>361</v>
      </c>
      <c r="C171" s="5">
        <v>65</v>
      </c>
      <c r="D171" s="5">
        <v>125</v>
      </c>
      <c r="E171" s="5">
        <v>100</v>
      </c>
      <c r="F171" s="5">
        <v>55</v>
      </c>
      <c r="G171" s="5">
        <v>70</v>
      </c>
      <c r="H171" s="5">
        <v>85</v>
      </c>
      <c r="I171" s="5"/>
      <c r="J171" s="4" t="s">
        <v>64</v>
      </c>
      <c r="K171" s="5"/>
      <c r="L171" s="4" t="s">
        <v>32</v>
      </c>
      <c r="M171" s="5"/>
      <c r="N171" s="5"/>
      <c r="O171" s="5" t="b">
        <v>1</v>
      </c>
      <c r="P171" s="4" t="str">
        <f>IF(A171="",IF(ISNUMBER(SEARCH("NOT NULL",UPPER(A$3))),"''","null"),SUBSTITUTE(VLOOKUP(A$2,convert!$A$1:$B$4,2,0),"@@@",A171))</f>
        <v>'0127N01'</v>
      </c>
      <c r="Q171" s="4" t="str">
        <f>IF(B171="",IF(ISNUMBER(SEARCH("NOT NULL",UPPER(B$3))),"''","null"),SUBSTITUTE(VLOOKUP(B$2,convert!$A$1:$B$4,2,0),"@@@",B171))</f>
        <v>'カイロス'</v>
      </c>
      <c r="R171" s="4" t="str">
        <f>IF(C171="",IF(ISNUMBER(SEARCH("NOT NULL",UPPER(C$3))),"''","null"),SUBSTITUTE(VLOOKUP(C$2,convert!$A$1:$B$4,2,0),"@@@",C171))</f>
        <v>65</v>
      </c>
      <c r="S171" s="4" t="str">
        <f>IF(D171="",IF(ISNUMBER(SEARCH("NOT NULL",UPPER(D$3))),"''","null"),SUBSTITUTE(VLOOKUP(D$2,convert!$A$1:$B$4,2,0),"@@@",D171))</f>
        <v>125</v>
      </c>
      <c r="T171" s="4" t="str">
        <f>IF(E171="",IF(ISNUMBER(SEARCH("NOT NULL",UPPER(E$3))),"''","null"),SUBSTITUTE(VLOOKUP(E$2,convert!$A$1:$B$4,2,0),"@@@",E171))</f>
        <v>100</v>
      </c>
      <c r="U171" s="4" t="str">
        <f>IF(F171="",IF(ISNUMBER(SEARCH("NOT NULL",UPPER(F$3))),"''","null"),SUBSTITUTE(VLOOKUP(F$2,convert!$A$1:$B$4,2,0),"@@@",F171))</f>
        <v>55</v>
      </c>
      <c r="V171" s="4" t="str">
        <f>IF(G171="",IF(ISNUMBER(SEARCH("NOT NULL",UPPER(G$3))),"''","null"),SUBSTITUTE(VLOOKUP(G$2,convert!$A$1:$B$4,2,0),"@@@",G171))</f>
        <v>70</v>
      </c>
      <c r="W171" s="4" t="str">
        <f>IF(H171="",IF(ISNUMBER(SEARCH("NOT NULL",UPPER(H$3))),"''","null"),SUBSTITUTE(VLOOKUP(H$2,convert!$A$1:$B$4,2,0),"@@@",H171))</f>
        <v>85</v>
      </c>
      <c r="X171" s="4" t="str">
        <f>IF(I171="",IF(ISNUMBER(SEARCH("NOT NULL",UPPER(I$3))),"''","null"),SUBSTITUTE(VLOOKUP(I$2,convert!$A$1:$B$4,2,0),"@@@",I171))</f>
        <v>''</v>
      </c>
      <c r="Y171" s="4" t="str">
        <f>IF(J171="",IF(ISNUMBER(SEARCH("NOT NULL",UPPER(J$3))),"''","null"),SUBSTITUTE(VLOOKUP(J$2,convert!$A$1:$B$4,2,0),"@@@",J171))</f>
        <v>'bug'</v>
      </c>
      <c r="Z171" s="4" t="str">
        <f>IF(K171="",IF(ISNUMBER(SEARCH("NOT NULL",UPPER(K$3))),"''","null"),SUBSTITUTE(VLOOKUP(K$2,convert!$A$1:$B$4,2,0),"@@@",K171))</f>
        <v>null</v>
      </c>
      <c r="AA171" s="4" t="str">
        <f>IF(L171="",IF(ISNUMBER(SEARCH("NOT NULL",UPPER(L$3))),"''","null"),SUBSTITUTE(VLOOKUP(L$2,convert!$A$1:$B$4,2,0),"@@@",L171))</f>
        <v>'g1'</v>
      </c>
      <c r="AB171" s="4" t="str">
        <f>IF(M171="",IF(ISNUMBER(SEARCH("NOT NULL",UPPER(M$3))),"''","null"),SUBSTITUTE(VLOOKUP(M$2,convert!$A$1:$B$4,2,0),"@@@",M171))</f>
        <v>null</v>
      </c>
      <c r="AC171" s="4" t="str">
        <f>IF(N171="",IF(ISNUMBER(SEARCH("NOT NULL",UPPER(N$3))),"''","null"),SUBSTITUTE(VLOOKUP(N$2,convert!$A$1:$B$4,2,0),"@@@",N171))</f>
        <v>null</v>
      </c>
      <c r="AD171" s="4" t="str">
        <f>IF(O171="",IF(ISNUMBER(SEARCH("NOT NULL",UPPER(O$3))),"''","null"),SUBSTITUTE(VLOOKUP(O$2,convert!$A$1:$B$4,2,0),"@@@",O171))</f>
        <v>TRUE</v>
      </c>
      <c r="AE171" s="4" t="str">
        <f t="shared" si="2"/>
        <v>    ('0127N01', 'カイロス', 65, 125, 100, 55, 70, 85, '', 'bug', null, 'g1', null, null, TRUE),</v>
      </c>
    </row>
    <row r="172" spans="1:31">
      <c r="A172" s="4" t="s">
        <v>362</v>
      </c>
      <c r="B172" s="4" t="s">
        <v>363</v>
      </c>
      <c r="C172" s="5">
        <v>65</v>
      </c>
      <c r="D172" s="5">
        <v>155</v>
      </c>
      <c r="E172" s="5">
        <v>120</v>
      </c>
      <c r="F172" s="5">
        <v>65</v>
      </c>
      <c r="G172" s="5">
        <v>90</v>
      </c>
      <c r="H172" s="5">
        <v>105</v>
      </c>
      <c r="I172" s="5"/>
      <c r="J172" s="4" t="s">
        <v>64</v>
      </c>
      <c r="K172" s="4" t="s">
        <v>47</v>
      </c>
      <c r="L172" s="4" t="s">
        <v>39</v>
      </c>
      <c r="M172" s="5"/>
      <c r="N172" s="5"/>
      <c r="O172" s="5" t="b">
        <v>1</v>
      </c>
      <c r="P172" s="4" t="str">
        <f>IF(A172="",IF(ISNUMBER(SEARCH("NOT NULL",UPPER(A$3))),"''","null"),SUBSTITUTE(VLOOKUP(A$2,convert!$A$1:$B$4,2,0),"@@@",A172))</f>
        <v>'0127M01'</v>
      </c>
      <c r="Q172" s="4" t="str">
        <f>IF(B172="",IF(ISNUMBER(SEARCH("NOT NULL",UPPER(B$3))),"''","null"),SUBSTITUTE(VLOOKUP(B$2,convert!$A$1:$B$4,2,0),"@@@",B172))</f>
        <v>'メガカイロス'</v>
      </c>
      <c r="R172" s="4" t="str">
        <f>IF(C172="",IF(ISNUMBER(SEARCH("NOT NULL",UPPER(C$3))),"''","null"),SUBSTITUTE(VLOOKUP(C$2,convert!$A$1:$B$4,2,0),"@@@",C172))</f>
        <v>65</v>
      </c>
      <c r="S172" s="4" t="str">
        <f>IF(D172="",IF(ISNUMBER(SEARCH("NOT NULL",UPPER(D$3))),"''","null"),SUBSTITUTE(VLOOKUP(D$2,convert!$A$1:$B$4,2,0),"@@@",D172))</f>
        <v>155</v>
      </c>
      <c r="T172" s="4" t="str">
        <f>IF(E172="",IF(ISNUMBER(SEARCH("NOT NULL",UPPER(E$3))),"''","null"),SUBSTITUTE(VLOOKUP(E$2,convert!$A$1:$B$4,2,0),"@@@",E172))</f>
        <v>120</v>
      </c>
      <c r="U172" s="4" t="str">
        <f>IF(F172="",IF(ISNUMBER(SEARCH("NOT NULL",UPPER(F$3))),"''","null"),SUBSTITUTE(VLOOKUP(F$2,convert!$A$1:$B$4,2,0),"@@@",F172))</f>
        <v>65</v>
      </c>
      <c r="V172" s="4" t="str">
        <f>IF(G172="",IF(ISNUMBER(SEARCH("NOT NULL",UPPER(G$3))),"''","null"),SUBSTITUTE(VLOOKUP(G$2,convert!$A$1:$B$4,2,0),"@@@",G172))</f>
        <v>90</v>
      </c>
      <c r="W172" s="4" t="str">
        <f>IF(H172="",IF(ISNUMBER(SEARCH("NOT NULL",UPPER(H$3))),"''","null"),SUBSTITUTE(VLOOKUP(H$2,convert!$A$1:$B$4,2,0),"@@@",H172))</f>
        <v>105</v>
      </c>
      <c r="X172" s="4" t="str">
        <f>IF(I172="",IF(ISNUMBER(SEARCH("NOT NULL",UPPER(I$3))),"''","null"),SUBSTITUTE(VLOOKUP(I$2,convert!$A$1:$B$4,2,0),"@@@",I172))</f>
        <v>''</v>
      </c>
      <c r="Y172" s="4" t="str">
        <f>IF(J172="",IF(ISNUMBER(SEARCH("NOT NULL",UPPER(J$3))),"''","null"),SUBSTITUTE(VLOOKUP(J$2,convert!$A$1:$B$4,2,0),"@@@",J172))</f>
        <v>'bug'</v>
      </c>
      <c r="Z172" s="4" t="str">
        <f>IF(K172="",IF(ISNUMBER(SEARCH("NOT NULL",UPPER(K$3))),"''","null"),SUBSTITUTE(VLOOKUP(K$2,convert!$A$1:$B$4,2,0),"@@@",K172))</f>
        <v>'flying'</v>
      </c>
      <c r="AA172" s="4" t="str">
        <f>IF(L172="",IF(ISNUMBER(SEARCH("NOT NULL",UPPER(L$3))),"''","null"),SUBSTITUTE(VLOOKUP(L$2,convert!$A$1:$B$4,2,0),"@@@",L172))</f>
        <v>'g6'</v>
      </c>
      <c r="AB172" s="4" t="str">
        <f>IF(M172="",IF(ISNUMBER(SEARCH("NOT NULL",UPPER(M$3))),"''","null"),SUBSTITUTE(VLOOKUP(M$2,convert!$A$1:$B$4,2,0),"@@@",M172))</f>
        <v>null</v>
      </c>
      <c r="AC172" s="4" t="str">
        <f>IF(N172="",IF(ISNUMBER(SEARCH("NOT NULL",UPPER(N$3))),"''","null"),SUBSTITUTE(VLOOKUP(N$2,convert!$A$1:$B$4,2,0),"@@@",N172))</f>
        <v>null</v>
      </c>
      <c r="AD172" s="4" t="str">
        <f>IF(O172="",IF(ISNUMBER(SEARCH("NOT NULL",UPPER(O$3))),"''","null"),SUBSTITUTE(VLOOKUP(O$2,convert!$A$1:$B$4,2,0),"@@@",O172))</f>
        <v>TRUE</v>
      </c>
      <c r="AE172" s="4" t="str">
        <f t="shared" si="2"/>
        <v>    ('0127M01', 'メガカイロス', 65, 155, 120, 65, 90, 105, '', 'bug', 'flying', 'g6', null, null, TRUE),</v>
      </c>
    </row>
    <row r="173" spans="1:31">
      <c r="A173" s="4" t="s">
        <v>364</v>
      </c>
      <c r="B173" s="4" t="s">
        <v>365</v>
      </c>
      <c r="C173" s="5">
        <v>75</v>
      </c>
      <c r="D173" s="5">
        <v>100</v>
      </c>
      <c r="E173" s="5">
        <v>95</v>
      </c>
      <c r="F173" s="5">
        <v>40</v>
      </c>
      <c r="G173" s="5">
        <v>70</v>
      </c>
      <c r="H173" s="5">
        <v>110</v>
      </c>
      <c r="I173" s="5"/>
      <c r="J173" s="4" t="s">
        <v>80</v>
      </c>
      <c r="K173" s="5"/>
      <c r="L173" s="4" t="s">
        <v>32</v>
      </c>
      <c r="M173" s="5"/>
      <c r="N173" s="5"/>
      <c r="O173" s="5" t="b">
        <v>1</v>
      </c>
      <c r="P173" s="4" t="str">
        <f>IF(A173="",IF(ISNUMBER(SEARCH("NOT NULL",UPPER(A$3))),"''","null"),SUBSTITUTE(VLOOKUP(A$2,convert!$A$1:$B$4,2,0),"@@@",A173))</f>
        <v>'0128N01'</v>
      </c>
      <c r="Q173" s="4" t="str">
        <f>IF(B173="",IF(ISNUMBER(SEARCH("NOT NULL",UPPER(B$3))),"''","null"),SUBSTITUTE(VLOOKUP(B$2,convert!$A$1:$B$4,2,0),"@@@",B173))</f>
        <v>'ケンタロス'</v>
      </c>
      <c r="R173" s="4" t="str">
        <f>IF(C173="",IF(ISNUMBER(SEARCH("NOT NULL",UPPER(C$3))),"''","null"),SUBSTITUTE(VLOOKUP(C$2,convert!$A$1:$B$4,2,0),"@@@",C173))</f>
        <v>75</v>
      </c>
      <c r="S173" s="4" t="str">
        <f>IF(D173="",IF(ISNUMBER(SEARCH("NOT NULL",UPPER(D$3))),"''","null"),SUBSTITUTE(VLOOKUP(D$2,convert!$A$1:$B$4,2,0),"@@@",D173))</f>
        <v>100</v>
      </c>
      <c r="T173" s="4" t="str">
        <f>IF(E173="",IF(ISNUMBER(SEARCH("NOT NULL",UPPER(E$3))),"''","null"),SUBSTITUTE(VLOOKUP(E$2,convert!$A$1:$B$4,2,0),"@@@",E173))</f>
        <v>95</v>
      </c>
      <c r="U173" s="4" t="str">
        <f>IF(F173="",IF(ISNUMBER(SEARCH("NOT NULL",UPPER(F$3))),"''","null"),SUBSTITUTE(VLOOKUP(F$2,convert!$A$1:$B$4,2,0),"@@@",F173))</f>
        <v>40</v>
      </c>
      <c r="V173" s="4" t="str">
        <f>IF(G173="",IF(ISNUMBER(SEARCH("NOT NULL",UPPER(G$3))),"''","null"),SUBSTITUTE(VLOOKUP(G$2,convert!$A$1:$B$4,2,0),"@@@",G173))</f>
        <v>70</v>
      </c>
      <c r="W173" s="4" t="str">
        <f>IF(H173="",IF(ISNUMBER(SEARCH("NOT NULL",UPPER(H$3))),"''","null"),SUBSTITUTE(VLOOKUP(H$2,convert!$A$1:$B$4,2,0),"@@@",H173))</f>
        <v>110</v>
      </c>
      <c r="X173" s="4" t="str">
        <f>IF(I173="",IF(ISNUMBER(SEARCH("NOT NULL",UPPER(I$3))),"''","null"),SUBSTITUTE(VLOOKUP(I$2,convert!$A$1:$B$4,2,0),"@@@",I173))</f>
        <v>''</v>
      </c>
      <c r="Y173" s="4" t="str">
        <f>IF(J173="",IF(ISNUMBER(SEARCH("NOT NULL",UPPER(J$3))),"''","null"),SUBSTITUTE(VLOOKUP(J$2,convert!$A$1:$B$4,2,0),"@@@",J173))</f>
        <v>'normal'</v>
      </c>
      <c r="Z173" s="4" t="str">
        <f>IF(K173="",IF(ISNUMBER(SEARCH("NOT NULL",UPPER(K$3))),"''","null"),SUBSTITUTE(VLOOKUP(K$2,convert!$A$1:$B$4,2,0),"@@@",K173))</f>
        <v>null</v>
      </c>
      <c r="AA173" s="4" t="str">
        <f>IF(L173="",IF(ISNUMBER(SEARCH("NOT NULL",UPPER(L$3))),"''","null"),SUBSTITUTE(VLOOKUP(L$2,convert!$A$1:$B$4,2,0),"@@@",L173))</f>
        <v>'g1'</v>
      </c>
      <c r="AB173" s="4" t="str">
        <f>IF(M173="",IF(ISNUMBER(SEARCH("NOT NULL",UPPER(M$3))),"''","null"),SUBSTITUTE(VLOOKUP(M$2,convert!$A$1:$B$4,2,0),"@@@",M173))</f>
        <v>null</v>
      </c>
      <c r="AC173" s="4" t="str">
        <f>IF(N173="",IF(ISNUMBER(SEARCH("NOT NULL",UPPER(N$3))),"''","null"),SUBSTITUTE(VLOOKUP(N$2,convert!$A$1:$B$4,2,0),"@@@",N173))</f>
        <v>null</v>
      </c>
      <c r="AD173" s="4" t="str">
        <f>IF(O173="",IF(ISNUMBER(SEARCH("NOT NULL",UPPER(O$3))),"''","null"),SUBSTITUTE(VLOOKUP(O$2,convert!$A$1:$B$4,2,0),"@@@",O173))</f>
        <v>TRUE</v>
      </c>
      <c r="AE173" s="4" t="str">
        <f t="shared" si="2"/>
        <v>    ('0128N01', 'ケンタロス', 75, 100, 95, 40, 70, 110, '', 'normal', null, 'g1', null, null, TRUE),</v>
      </c>
    </row>
    <row r="174" spans="1:31">
      <c r="A174" s="4" t="s">
        <v>366</v>
      </c>
      <c r="B174" s="4" t="s">
        <v>365</v>
      </c>
      <c r="C174" s="5">
        <v>75</v>
      </c>
      <c r="D174" s="5">
        <v>110</v>
      </c>
      <c r="E174" s="5">
        <v>105</v>
      </c>
      <c r="F174" s="5">
        <v>30</v>
      </c>
      <c r="G174" s="5">
        <v>70</v>
      </c>
      <c r="H174" s="5">
        <v>100</v>
      </c>
      <c r="I174" s="4" t="s">
        <v>367</v>
      </c>
      <c r="J174" s="4" t="s">
        <v>189</v>
      </c>
      <c r="K174" s="5"/>
      <c r="L174" s="4" t="s">
        <v>368</v>
      </c>
      <c r="M174" s="5"/>
      <c r="N174" s="5"/>
      <c r="O174" s="5" t="b">
        <v>0</v>
      </c>
      <c r="P174" s="4" t="str">
        <f>IF(A174="",IF(ISNUMBER(SEARCH("NOT NULL",UPPER(A$3))),"''","null"),SUBSTITUTE(VLOOKUP(A$2,convert!$A$1:$B$4,2,0),"@@@",A174))</f>
        <v>'0128P01'</v>
      </c>
      <c r="Q174" s="4" t="str">
        <f>IF(B174="",IF(ISNUMBER(SEARCH("NOT NULL",UPPER(B$3))),"''","null"),SUBSTITUTE(VLOOKUP(B$2,convert!$A$1:$B$4,2,0),"@@@",B174))</f>
        <v>'ケンタロス'</v>
      </c>
      <c r="R174" s="4" t="str">
        <f>IF(C174="",IF(ISNUMBER(SEARCH("NOT NULL",UPPER(C$3))),"''","null"),SUBSTITUTE(VLOOKUP(C$2,convert!$A$1:$B$4,2,0),"@@@",C174))</f>
        <v>75</v>
      </c>
      <c r="S174" s="4" t="str">
        <f>IF(D174="",IF(ISNUMBER(SEARCH("NOT NULL",UPPER(D$3))),"''","null"),SUBSTITUTE(VLOOKUP(D$2,convert!$A$1:$B$4,2,0),"@@@",D174))</f>
        <v>110</v>
      </c>
      <c r="T174" s="4" t="str">
        <f>IF(E174="",IF(ISNUMBER(SEARCH("NOT NULL",UPPER(E$3))),"''","null"),SUBSTITUTE(VLOOKUP(E$2,convert!$A$1:$B$4,2,0),"@@@",E174))</f>
        <v>105</v>
      </c>
      <c r="U174" s="4" t="str">
        <f>IF(F174="",IF(ISNUMBER(SEARCH("NOT NULL",UPPER(F$3))),"''","null"),SUBSTITUTE(VLOOKUP(F$2,convert!$A$1:$B$4,2,0),"@@@",F174))</f>
        <v>30</v>
      </c>
      <c r="V174" s="4" t="str">
        <f>IF(G174="",IF(ISNUMBER(SEARCH("NOT NULL",UPPER(G$3))),"''","null"),SUBSTITUTE(VLOOKUP(G$2,convert!$A$1:$B$4,2,0),"@@@",G174))</f>
        <v>70</v>
      </c>
      <c r="W174" s="4" t="str">
        <f>IF(H174="",IF(ISNUMBER(SEARCH("NOT NULL",UPPER(H$3))),"''","null"),SUBSTITUTE(VLOOKUP(H$2,convert!$A$1:$B$4,2,0),"@@@",H174))</f>
        <v>100</v>
      </c>
      <c r="X174" s="4" t="str">
        <f>IF(I174="",IF(ISNUMBER(SEARCH("NOT NULL",UPPER(I$3))),"''","null"),SUBSTITUTE(VLOOKUP(I$2,convert!$A$1:$B$4,2,0),"@@@",I174))</f>
        <v>'パルデアのすがた(コンバットしゅ）'</v>
      </c>
      <c r="Y174" s="4" t="str">
        <f>IF(J174="",IF(ISNUMBER(SEARCH("NOT NULL",UPPER(J$3))),"''","null"),SUBSTITUTE(VLOOKUP(J$2,convert!$A$1:$B$4,2,0),"@@@",J174))</f>
        <v>'fighting'</v>
      </c>
      <c r="Z174" s="4" t="str">
        <f>IF(K174="",IF(ISNUMBER(SEARCH("NOT NULL",UPPER(K$3))),"''","null"),SUBSTITUTE(VLOOKUP(K$2,convert!$A$1:$B$4,2,0),"@@@",K174))</f>
        <v>null</v>
      </c>
      <c r="AA174" s="4" t="str">
        <f>IF(L174="",IF(ISNUMBER(SEARCH("NOT NULL",UPPER(L$3))),"''","null"),SUBSTITUTE(VLOOKUP(L$2,convert!$A$1:$B$4,2,0),"@@@",L174))</f>
        <v>'g9'</v>
      </c>
      <c r="AB174" s="4" t="str">
        <f>IF(M174="",IF(ISNUMBER(SEARCH("NOT NULL",UPPER(M$3))),"''","null"),SUBSTITUTE(VLOOKUP(M$2,convert!$A$1:$B$4,2,0),"@@@",M174))</f>
        <v>null</v>
      </c>
      <c r="AC174" s="4" t="str">
        <f>IF(N174="",IF(ISNUMBER(SEARCH("NOT NULL",UPPER(N$3))),"''","null"),SUBSTITUTE(VLOOKUP(N$2,convert!$A$1:$B$4,2,0),"@@@",N174))</f>
        <v>null</v>
      </c>
      <c r="AD174" s="4" t="str">
        <f>IF(O174="",IF(ISNUMBER(SEARCH("NOT NULL",UPPER(O$3))),"''","null"),SUBSTITUTE(VLOOKUP(O$2,convert!$A$1:$B$4,2,0),"@@@",O174))</f>
        <v>FALSE</v>
      </c>
      <c r="AE174" s="4" t="str">
        <f t="shared" si="2"/>
        <v>    ('0128P01', 'ケンタロス', 75, 110, 105, 30, 70, 100, 'パルデアのすがた(コンバットしゅ）', 'fighting', null, 'g9', null, null, FALSE),</v>
      </c>
    </row>
    <row r="175" spans="1:31">
      <c r="A175" s="4" t="s">
        <v>369</v>
      </c>
      <c r="B175" s="4" t="s">
        <v>365</v>
      </c>
      <c r="C175" s="5">
        <v>75</v>
      </c>
      <c r="D175" s="5">
        <v>110</v>
      </c>
      <c r="E175" s="5">
        <v>105</v>
      </c>
      <c r="F175" s="5">
        <v>30</v>
      </c>
      <c r="G175" s="5">
        <v>70</v>
      </c>
      <c r="H175" s="5">
        <v>100</v>
      </c>
      <c r="I175" s="4" t="s">
        <v>370</v>
      </c>
      <c r="J175" s="4" t="s">
        <v>189</v>
      </c>
      <c r="K175" s="4" t="s">
        <v>42</v>
      </c>
      <c r="L175" s="4" t="s">
        <v>368</v>
      </c>
      <c r="M175" s="5"/>
      <c r="N175" s="5"/>
      <c r="O175" s="5" t="b">
        <v>0</v>
      </c>
      <c r="P175" s="4" t="str">
        <f>IF(A175="",IF(ISNUMBER(SEARCH("NOT NULL",UPPER(A$3))),"''","null"),SUBSTITUTE(VLOOKUP(A$2,convert!$A$1:$B$4,2,0),"@@@",A175))</f>
        <v>'0128P02'</v>
      </c>
      <c r="Q175" s="4" t="str">
        <f>IF(B175="",IF(ISNUMBER(SEARCH("NOT NULL",UPPER(B$3))),"''","null"),SUBSTITUTE(VLOOKUP(B$2,convert!$A$1:$B$4,2,0),"@@@",B175))</f>
        <v>'ケンタロス'</v>
      </c>
      <c r="R175" s="4" t="str">
        <f>IF(C175="",IF(ISNUMBER(SEARCH("NOT NULL",UPPER(C$3))),"''","null"),SUBSTITUTE(VLOOKUP(C$2,convert!$A$1:$B$4,2,0),"@@@",C175))</f>
        <v>75</v>
      </c>
      <c r="S175" s="4" t="str">
        <f>IF(D175="",IF(ISNUMBER(SEARCH("NOT NULL",UPPER(D$3))),"''","null"),SUBSTITUTE(VLOOKUP(D$2,convert!$A$1:$B$4,2,0),"@@@",D175))</f>
        <v>110</v>
      </c>
      <c r="T175" s="4" t="str">
        <f>IF(E175="",IF(ISNUMBER(SEARCH("NOT NULL",UPPER(E$3))),"''","null"),SUBSTITUTE(VLOOKUP(E$2,convert!$A$1:$B$4,2,0),"@@@",E175))</f>
        <v>105</v>
      </c>
      <c r="U175" s="4" t="str">
        <f>IF(F175="",IF(ISNUMBER(SEARCH("NOT NULL",UPPER(F$3))),"''","null"),SUBSTITUTE(VLOOKUP(F$2,convert!$A$1:$B$4,2,0),"@@@",F175))</f>
        <v>30</v>
      </c>
      <c r="V175" s="4" t="str">
        <f>IF(G175="",IF(ISNUMBER(SEARCH("NOT NULL",UPPER(G$3))),"''","null"),SUBSTITUTE(VLOOKUP(G$2,convert!$A$1:$B$4,2,0),"@@@",G175))</f>
        <v>70</v>
      </c>
      <c r="W175" s="4" t="str">
        <f>IF(H175="",IF(ISNUMBER(SEARCH("NOT NULL",UPPER(H$3))),"''","null"),SUBSTITUTE(VLOOKUP(H$2,convert!$A$1:$B$4,2,0),"@@@",H175))</f>
        <v>100</v>
      </c>
      <c r="X175" s="4" t="str">
        <f>IF(I175="",IF(ISNUMBER(SEARCH("NOT NULL",UPPER(I$3))),"''","null"),SUBSTITUTE(VLOOKUP(I$2,convert!$A$1:$B$4,2,0),"@@@",I175))</f>
        <v>'パルデアのすがた(ブレイズしゅ)'</v>
      </c>
      <c r="Y175" s="4" t="str">
        <f>IF(J175="",IF(ISNUMBER(SEARCH("NOT NULL",UPPER(J$3))),"''","null"),SUBSTITUTE(VLOOKUP(J$2,convert!$A$1:$B$4,2,0),"@@@",J175))</f>
        <v>'fighting'</v>
      </c>
      <c r="Z175" s="4" t="str">
        <f>IF(K175="",IF(ISNUMBER(SEARCH("NOT NULL",UPPER(K$3))),"''","null"),SUBSTITUTE(VLOOKUP(K$2,convert!$A$1:$B$4,2,0),"@@@",K175))</f>
        <v>'fire'</v>
      </c>
      <c r="AA175" s="4" t="str">
        <f>IF(L175="",IF(ISNUMBER(SEARCH("NOT NULL",UPPER(L$3))),"''","null"),SUBSTITUTE(VLOOKUP(L$2,convert!$A$1:$B$4,2,0),"@@@",L175))</f>
        <v>'g9'</v>
      </c>
      <c r="AB175" s="4" t="str">
        <f>IF(M175="",IF(ISNUMBER(SEARCH("NOT NULL",UPPER(M$3))),"''","null"),SUBSTITUTE(VLOOKUP(M$2,convert!$A$1:$B$4,2,0),"@@@",M175))</f>
        <v>null</v>
      </c>
      <c r="AC175" s="4" t="str">
        <f>IF(N175="",IF(ISNUMBER(SEARCH("NOT NULL",UPPER(N$3))),"''","null"),SUBSTITUTE(VLOOKUP(N$2,convert!$A$1:$B$4,2,0),"@@@",N175))</f>
        <v>null</v>
      </c>
      <c r="AD175" s="4" t="str">
        <f>IF(O175="",IF(ISNUMBER(SEARCH("NOT NULL",UPPER(O$3))),"''","null"),SUBSTITUTE(VLOOKUP(O$2,convert!$A$1:$B$4,2,0),"@@@",O175))</f>
        <v>FALSE</v>
      </c>
      <c r="AE175" s="4" t="str">
        <f t="shared" si="2"/>
        <v>    ('0128P02', 'ケンタロス', 75, 110, 105, 30, 70, 100, 'パルデアのすがた(ブレイズしゅ)', 'fighting', 'fire', 'g9', null, null, FALSE),</v>
      </c>
    </row>
    <row r="176" spans="1:31">
      <c r="A176" s="4" t="s">
        <v>371</v>
      </c>
      <c r="B176" s="4" t="s">
        <v>365</v>
      </c>
      <c r="C176" s="5">
        <v>75</v>
      </c>
      <c r="D176" s="5">
        <v>110</v>
      </c>
      <c r="E176" s="5">
        <v>105</v>
      </c>
      <c r="F176" s="5">
        <v>30</v>
      </c>
      <c r="G176" s="5">
        <v>70</v>
      </c>
      <c r="H176" s="5">
        <v>100</v>
      </c>
      <c r="I176" s="4" t="s">
        <v>372</v>
      </c>
      <c r="J176" s="4" t="s">
        <v>189</v>
      </c>
      <c r="K176" s="4" t="s">
        <v>55</v>
      </c>
      <c r="L176" s="4" t="s">
        <v>368</v>
      </c>
      <c r="M176" s="5"/>
      <c r="N176" s="5"/>
      <c r="O176" s="5" t="b">
        <v>0</v>
      </c>
      <c r="P176" s="4" t="str">
        <f>IF(A176="",IF(ISNUMBER(SEARCH("NOT NULL",UPPER(A$3))),"''","null"),SUBSTITUTE(VLOOKUP(A$2,convert!$A$1:$B$4,2,0),"@@@",A176))</f>
        <v>'0128P03'</v>
      </c>
      <c r="Q176" s="4" t="str">
        <f>IF(B176="",IF(ISNUMBER(SEARCH("NOT NULL",UPPER(B$3))),"''","null"),SUBSTITUTE(VLOOKUP(B$2,convert!$A$1:$B$4,2,0),"@@@",B176))</f>
        <v>'ケンタロス'</v>
      </c>
      <c r="R176" s="4" t="str">
        <f>IF(C176="",IF(ISNUMBER(SEARCH("NOT NULL",UPPER(C$3))),"''","null"),SUBSTITUTE(VLOOKUP(C$2,convert!$A$1:$B$4,2,0),"@@@",C176))</f>
        <v>75</v>
      </c>
      <c r="S176" s="4" t="str">
        <f>IF(D176="",IF(ISNUMBER(SEARCH("NOT NULL",UPPER(D$3))),"''","null"),SUBSTITUTE(VLOOKUP(D$2,convert!$A$1:$B$4,2,0),"@@@",D176))</f>
        <v>110</v>
      </c>
      <c r="T176" s="4" t="str">
        <f>IF(E176="",IF(ISNUMBER(SEARCH("NOT NULL",UPPER(E$3))),"''","null"),SUBSTITUTE(VLOOKUP(E$2,convert!$A$1:$B$4,2,0),"@@@",E176))</f>
        <v>105</v>
      </c>
      <c r="U176" s="4" t="str">
        <f>IF(F176="",IF(ISNUMBER(SEARCH("NOT NULL",UPPER(F$3))),"''","null"),SUBSTITUTE(VLOOKUP(F$2,convert!$A$1:$B$4,2,0),"@@@",F176))</f>
        <v>30</v>
      </c>
      <c r="V176" s="4" t="str">
        <f>IF(G176="",IF(ISNUMBER(SEARCH("NOT NULL",UPPER(G$3))),"''","null"),SUBSTITUTE(VLOOKUP(G$2,convert!$A$1:$B$4,2,0),"@@@",G176))</f>
        <v>70</v>
      </c>
      <c r="W176" s="4" t="str">
        <f>IF(H176="",IF(ISNUMBER(SEARCH("NOT NULL",UPPER(H$3))),"''","null"),SUBSTITUTE(VLOOKUP(H$2,convert!$A$1:$B$4,2,0),"@@@",H176))</f>
        <v>100</v>
      </c>
      <c r="X176" s="4" t="str">
        <f>IF(I176="",IF(ISNUMBER(SEARCH("NOT NULL",UPPER(I$3))),"''","null"),SUBSTITUTE(VLOOKUP(I$2,convert!$A$1:$B$4,2,0),"@@@",I176))</f>
        <v>'パルデアのすがた(ウォーターしゅ)'</v>
      </c>
      <c r="Y176" s="4" t="str">
        <f>IF(J176="",IF(ISNUMBER(SEARCH("NOT NULL",UPPER(J$3))),"''","null"),SUBSTITUTE(VLOOKUP(J$2,convert!$A$1:$B$4,2,0),"@@@",J176))</f>
        <v>'fighting'</v>
      </c>
      <c r="Z176" s="4" t="str">
        <f>IF(K176="",IF(ISNUMBER(SEARCH("NOT NULL",UPPER(K$3))),"''","null"),SUBSTITUTE(VLOOKUP(K$2,convert!$A$1:$B$4,2,0),"@@@",K176))</f>
        <v>'water'</v>
      </c>
      <c r="AA176" s="4" t="str">
        <f>IF(L176="",IF(ISNUMBER(SEARCH("NOT NULL",UPPER(L$3))),"''","null"),SUBSTITUTE(VLOOKUP(L$2,convert!$A$1:$B$4,2,0),"@@@",L176))</f>
        <v>'g9'</v>
      </c>
      <c r="AB176" s="4" t="str">
        <f>IF(M176="",IF(ISNUMBER(SEARCH("NOT NULL",UPPER(M$3))),"''","null"),SUBSTITUTE(VLOOKUP(M$2,convert!$A$1:$B$4,2,0),"@@@",M176))</f>
        <v>null</v>
      </c>
      <c r="AC176" s="4" t="str">
        <f>IF(N176="",IF(ISNUMBER(SEARCH("NOT NULL",UPPER(N$3))),"''","null"),SUBSTITUTE(VLOOKUP(N$2,convert!$A$1:$B$4,2,0),"@@@",N176))</f>
        <v>null</v>
      </c>
      <c r="AD176" s="4" t="str">
        <f>IF(O176="",IF(ISNUMBER(SEARCH("NOT NULL",UPPER(O$3))),"''","null"),SUBSTITUTE(VLOOKUP(O$2,convert!$A$1:$B$4,2,0),"@@@",O176))</f>
        <v>FALSE</v>
      </c>
      <c r="AE176" s="4" t="str">
        <f t="shared" si="2"/>
        <v>    ('0128P03', 'ケンタロス', 75, 110, 105, 30, 70, 100, 'パルデアのすがた(ウォーターしゅ)', 'fighting', 'water', 'g9', null, null, FALSE),</v>
      </c>
    </row>
    <row r="177" spans="1:31">
      <c r="A177" s="4" t="s">
        <v>373</v>
      </c>
      <c r="B177" s="4" t="s">
        <v>374</v>
      </c>
      <c r="C177" s="5">
        <v>20</v>
      </c>
      <c r="D177" s="5">
        <v>10</v>
      </c>
      <c r="E177" s="5">
        <v>55</v>
      </c>
      <c r="F177" s="5">
        <v>15</v>
      </c>
      <c r="G177" s="5">
        <v>20</v>
      </c>
      <c r="H177" s="5">
        <v>80</v>
      </c>
      <c r="I177" s="5"/>
      <c r="J177" s="4" t="s">
        <v>55</v>
      </c>
      <c r="K177" s="5"/>
      <c r="L177" s="4" t="s">
        <v>32</v>
      </c>
      <c r="M177" s="5"/>
      <c r="N177" s="5"/>
      <c r="O177" s="5" t="b">
        <v>1</v>
      </c>
      <c r="P177" s="4" t="str">
        <f>IF(A177="",IF(ISNUMBER(SEARCH("NOT NULL",UPPER(A$3))),"''","null"),SUBSTITUTE(VLOOKUP(A$2,convert!$A$1:$B$4,2,0),"@@@",A177))</f>
        <v>'0129N01'</v>
      </c>
      <c r="Q177" s="4" t="str">
        <f>IF(B177="",IF(ISNUMBER(SEARCH("NOT NULL",UPPER(B$3))),"''","null"),SUBSTITUTE(VLOOKUP(B$2,convert!$A$1:$B$4,2,0),"@@@",B177))</f>
        <v>'コイキング'</v>
      </c>
      <c r="R177" s="4" t="str">
        <f>IF(C177="",IF(ISNUMBER(SEARCH("NOT NULL",UPPER(C$3))),"''","null"),SUBSTITUTE(VLOOKUP(C$2,convert!$A$1:$B$4,2,0),"@@@",C177))</f>
        <v>20</v>
      </c>
      <c r="S177" s="4" t="str">
        <f>IF(D177="",IF(ISNUMBER(SEARCH("NOT NULL",UPPER(D$3))),"''","null"),SUBSTITUTE(VLOOKUP(D$2,convert!$A$1:$B$4,2,0),"@@@",D177))</f>
        <v>10</v>
      </c>
      <c r="T177" s="4" t="str">
        <f>IF(E177="",IF(ISNUMBER(SEARCH("NOT NULL",UPPER(E$3))),"''","null"),SUBSTITUTE(VLOOKUP(E$2,convert!$A$1:$B$4,2,0),"@@@",E177))</f>
        <v>55</v>
      </c>
      <c r="U177" s="4" t="str">
        <f>IF(F177="",IF(ISNUMBER(SEARCH("NOT NULL",UPPER(F$3))),"''","null"),SUBSTITUTE(VLOOKUP(F$2,convert!$A$1:$B$4,2,0),"@@@",F177))</f>
        <v>15</v>
      </c>
      <c r="V177" s="4" t="str">
        <f>IF(G177="",IF(ISNUMBER(SEARCH("NOT NULL",UPPER(G$3))),"''","null"),SUBSTITUTE(VLOOKUP(G$2,convert!$A$1:$B$4,2,0),"@@@",G177))</f>
        <v>20</v>
      </c>
      <c r="W177" s="4" t="str">
        <f>IF(H177="",IF(ISNUMBER(SEARCH("NOT NULL",UPPER(H$3))),"''","null"),SUBSTITUTE(VLOOKUP(H$2,convert!$A$1:$B$4,2,0),"@@@",H177))</f>
        <v>80</v>
      </c>
      <c r="X177" s="4" t="str">
        <f>IF(I177="",IF(ISNUMBER(SEARCH("NOT NULL",UPPER(I$3))),"''","null"),SUBSTITUTE(VLOOKUP(I$2,convert!$A$1:$B$4,2,0),"@@@",I177))</f>
        <v>''</v>
      </c>
      <c r="Y177" s="4" t="str">
        <f>IF(J177="",IF(ISNUMBER(SEARCH("NOT NULL",UPPER(J$3))),"''","null"),SUBSTITUTE(VLOOKUP(J$2,convert!$A$1:$B$4,2,0),"@@@",J177))</f>
        <v>'water'</v>
      </c>
      <c r="Z177" s="4" t="str">
        <f>IF(K177="",IF(ISNUMBER(SEARCH("NOT NULL",UPPER(K$3))),"''","null"),SUBSTITUTE(VLOOKUP(K$2,convert!$A$1:$B$4,2,0),"@@@",K177))</f>
        <v>null</v>
      </c>
      <c r="AA177" s="4" t="str">
        <f>IF(L177="",IF(ISNUMBER(SEARCH("NOT NULL",UPPER(L$3))),"''","null"),SUBSTITUTE(VLOOKUP(L$2,convert!$A$1:$B$4,2,0),"@@@",L177))</f>
        <v>'g1'</v>
      </c>
      <c r="AB177" s="4" t="str">
        <f>IF(M177="",IF(ISNUMBER(SEARCH("NOT NULL",UPPER(M$3))),"''","null"),SUBSTITUTE(VLOOKUP(M$2,convert!$A$1:$B$4,2,0),"@@@",M177))</f>
        <v>null</v>
      </c>
      <c r="AC177" s="4" t="str">
        <f>IF(N177="",IF(ISNUMBER(SEARCH("NOT NULL",UPPER(N$3))),"''","null"),SUBSTITUTE(VLOOKUP(N$2,convert!$A$1:$B$4,2,0),"@@@",N177))</f>
        <v>null</v>
      </c>
      <c r="AD177" s="4" t="str">
        <f>IF(O177="",IF(ISNUMBER(SEARCH("NOT NULL",UPPER(O$3))),"''","null"),SUBSTITUTE(VLOOKUP(O$2,convert!$A$1:$B$4,2,0),"@@@",O177))</f>
        <v>TRUE</v>
      </c>
      <c r="AE177" s="4" t="str">
        <f t="shared" si="2"/>
        <v>    ('0129N01', 'コイキング', 20, 10, 55, 15, 20, 80, '', 'water', null, 'g1', null, null, TRUE),</v>
      </c>
    </row>
    <row r="178" spans="1:31">
      <c r="A178" s="4" t="s">
        <v>375</v>
      </c>
      <c r="B178" s="4" t="s">
        <v>376</v>
      </c>
      <c r="C178" s="5">
        <v>95</v>
      </c>
      <c r="D178" s="5">
        <v>125</v>
      </c>
      <c r="E178" s="5">
        <v>79</v>
      </c>
      <c r="F178" s="5">
        <v>60</v>
      </c>
      <c r="G178" s="5">
        <v>100</v>
      </c>
      <c r="H178" s="5">
        <v>81</v>
      </c>
      <c r="I178" s="5"/>
      <c r="J178" s="4" t="s">
        <v>55</v>
      </c>
      <c r="K178" s="4" t="s">
        <v>47</v>
      </c>
      <c r="L178" s="4" t="s">
        <v>32</v>
      </c>
      <c r="M178" s="5"/>
      <c r="N178" s="5"/>
      <c r="O178" s="5" t="b">
        <v>1</v>
      </c>
      <c r="P178" s="4" t="str">
        <f>IF(A178="",IF(ISNUMBER(SEARCH("NOT NULL",UPPER(A$3))),"''","null"),SUBSTITUTE(VLOOKUP(A$2,convert!$A$1:$B$4,2,0),"@@@",A178))</f>
        <v>'0130N01'</v>
      </c>
      <c r="Q178" s="4" t="str">
        <f>IF(B178="",IF(ISNUMBER(SEARCH("NOT NULL",UPPER(B$3))),"''","null"),SUBSTITUTE(VLOOKUP(B$2,convert!$A$1:$B$4,2,0),"@@@",B178))</f>
        <v>'ギャラドス'</v>
      </c>
      <c r="R178" s="4" t="str">
        <f>IF(C178="",IF(ISNUMBER(SEARCH("NOT NULL",UPPER(C$3))),"''","null"),SUBSTITUTE(VLOOKUP(C$2,convert!$A$1:$B$4,2,0),"@@@",C178))</f>
        <v>95</v>
      </c>
      <c r="S178" s="4" t="str">
        <f>IF(D178="",IF(ISNUMBER(SEARCH("NOT NULL",UPPER(D$3))),"''","null"),SUBSTITUTE(VLOOKUP(D$2,convert!$A$1:$B$4,2,0),"@@@",D178))</f>
        <v>125</v>
      </c>
      <c r="T178" s="4" t="str">
        <f>IF(E178="",IF(ISNUMBER(SEARCH("NOT NULL",UPPER(E$3))),"''","null"),SUBSTITUTE(VLOOKUP(E$2,convert!$A$1:$B$4,2,0),"@@@",E178))</f>
        <v>79</v>
      </c>
      <c r="U178" s="4" t="str">
        <f>IF(F178="",IF(ISNUMBER(SEARCH("NOT NULL",UPPER(F$3))),"''","null"),SUBSTITUTE(VLOOKUP(F$2,convert!$A$1:$B$4,2,0),"@@@",F178))</f>
        <v>60</v>
      </c>
      <c r="V178" s="4" t="str">
        <f>IF(G178="",IF(ISNUMBER(SEARCH("NOT NULL",UPPER(G$3))),"''","null"),SUBSTITUTE(VLOOKUP(G$2,convert!$A$1:$B$4,2,0),"@@@",G178))</f>
        <v>100</v>
      </c>
      <c r="W178" s="4" t="str">
        <f>IF(H178="",IF(ISNUMBER(SEARCH("NOT NULL",UPPER(H$3))),"''","null"),SUBSTITUTE(VLOOKUP(H$2,convert!$A$1:$B$4,2,0),"@@@",H178))</f>
        <v>81</v>
      </c>
      <c r="X178" s="4" t="str">
        <f>IF(I178="",IF(ISNUMBER(SEARCH("NOT NULL",UPPER(I$3))),"''","null"),SUBSTITUTE(VLOOKUP(I$2,convert!$A$1:$B$4,2,0),"@@@",I178))</f>
        <v>''</v>
      </c>
      <c r="Y178" s="4" t="str">
        <f>IF(J178="",IF(ISNUMBER(SEARCH("NOT NULL",UPPER(J$3))),"''","null"),SUBSTITUTE(VLOOKUP(J$2,convert!$A$1:$B$4,2,0),"@@@",J178))</f>
        <v>'water'</v>
      </c>
      <c r="Z178" s="4" t="str">
        <f>IF(K178="",IF(ISNUMBER(SEARCH("NOT NULL",UPPER(K$3))),"''","null"),SUBSTITUTE(VLOOKUP(K$2,convert!$A$1:$B$4,2,0),"@@@",K178))</f>
        <v>'flying'</v>
      </c>
      <c r="AA178" s="4" t="str">
        <f>IF(L178="",IF(ISNUMBER(SEARCH("NOT NULL",UPPER(L$3))),"''","null"),SUBSTITUTE(VLOOKUP(L$2,convert!$A$1:$B$4,2,0),"@@@",L178))</f>
        <v>'g1'</v>
      </c>
      <c r="AB178" s="4" t="str">
        <f>IF(M178="",IF(ISNUMBER(SEARCH("NOT NULL",UPPER(M$3))),"''","null"),SUBSTITUTE(VLOOKUP(M$2,convert!$A$1:$B$4,2,0),"@@@",M178))</f>
        <v>null</v>
      </c>
      <c r="AC178" s="4" t="str">
        <f>IF(N178="",IF(ISNUMBER(SEARCH("NOT NULL",UPPER(N$3))),"''","null"),SUBSTITUTE(VLOOKUP(N$2,convert!$A$1:$B$4,2,0),"@@@",N178))</f>
        <v>null</v>
      </c>
      <c r="AD178" s="4" t="str">
        <f>IF(O178="",IF(ISNUMBER(SEARCH("NOT NULL",UPPER(O$3))),"''","null"),SUBSTITUTE(VLOOKUP(O$2,convert!$A$1:$B$4,2,0),"@@@",O178))</f>
        <v>TRUE</v>
      </c>
      <c r="AE178" s="4" t="str">
        <f t="shared" si="2"/>
        <v>    ('0130N01', 'ギャラドス', 95, 125, 79, 60, 100, 81, '', 'water', 'flying', 'g1', null, null, TRUE),</v>
      </c>
    </row>
    <row r="179" spans="1:31">
      <c r="A179" s="4" t="s">
        <v>377</v>
      </c>
      <c r="B179" s="4" t="s">
        <v>378</v>
      </c>
      <c r="C179" s="5">
        <v>95</v>
      </c>
      <c r="D179" s="5">
        <v>155</v>
      </c>
      <c r="E179" s="5">
        <v>109</v>
      </c>
      <c r="F179" s="5">
        <v>70</v>
      </c>
      <c r="G179" s="5">
        <v>130</v>
      </c>
      <c r="H179" s="5">
        <v>81</v>
      </c>
      <c r="I179" s="5"/>
      <c r="J179" s="4" t="s">
        <v>55</v>
      </c>
      <c r="K179" s="4" t="s">
        <v>91</v>
      </c>
      <c r="L179" s="4" t="s">
        <v>39</v>
      </c>
      <c r="M179" s="5"/>
      <c r="N179" s="5"/>
      <c r="O179" s="5" t="b">
        <v>1</v>
      </c>
      <c r="P179" s="4" t="str">
        <f>IF(A179="",IF(ISNUMBER(SEARCH("NOT NULL",UPPER(A$3))),"''","null"),SUBSTITUTE(VLOOKUP(A$2,convert!$A$1:$B$4,2,0),"@@@",A179))</f>
        <v>'0130M01'</v>
      </c>
      <c r="Q179" s="4" t="str">
        <f>IF(B179="",IF(ISNUMBER(SEARCH("NOT NULL",UPPER(B$3))),"''","null"),SUBSTITUTE(VLOOKUP(B$2,convert!$A$1:$B$4,2,0),"@@@",B179))</f>
        <v>'メガギャラドス'</v>
      </c>
      <c r="R179" s="4" t="str">
        <f>IF(C179="",IF(ISNUMBER(SEARCH("NOT NULL",UPPER(C$3))),"''","null"),SUBSTITUTE(VLOOKUP(C$2,convert!$A$1:$B$4,2,0),"@@@",C179))</f>
        <v>95</v>
      </c>
      <c r="S179" s="4" t="str">
        <f>IF(D179="",IF(ISNUMBER(SEARCH("NOT NULL",UPPER(D$3))),"''","null"),SUBSTITUTE(VLOOKUP(D$2,convert!$A$1:$B$4,2,0),"@@@",D179))</f>
        <v>155</v>
      </c>
      <c r="T179" s="4" t="str">
        <f>IF(E179="",IF(ISNUMBER(SEARCH("NOT NULL",UPPER(E$3))),"''","null"),SUBSTITUTE(VLOOKUP(E$2,convert!$A$1:$B$4,2,0),"@@@",E179))</f>
        <v>109</v>
      </c>
      <c r="U179" s="4" t="str">
        <f>IF(F179="",IF(ISNUMBER(SEARCH("NOT NULL",UPPER(F$3))),"''","null"),SUBSTITUTE(VLOOKUP(F$2,convert!$A$1:$B$4,2,0),"@@@",F179))</f>
        <v>70</v>
      </c>
      <c r="V179" s="4" t="str">
        <f>IF(G179="",IF(ISNUMBER(SEARCH("NOT NULL",UPPER(G$3))),"''","null"),SUBSTITUTE(VLOOKUP(G$2,convert!$A$1:$B$4,2,0),"@@@",G179))</f>
        <v>130</v>
      </c>
      <c r="W179" s="4" t="str">
        <f>IF(H179="",IF(ISNUMBER(SEARCH("NOT NULL",UPPER(H$3))),"''","null"),SUBSTITUTE(VLOOKUP(H$2,convert!$A$1:$B$4,2,0),"@@@",H179))</f>
        <v>81</v>
      </c>
      <c r="X179" s="4" t="str">
        <f>IF(I179="",IF(ISNUMBER(SEARCH("NOT NULL",UPPER(I$3))),"''","null"),SUBSTITUTE(VLOOKUP(I$2,convert!$A$1:$B$4,2,0),"@@@",I179))</f>
        <v>''</v>
      </c>
      <c r="Y179" s="4" t="str">
        <f>IF(J179="",IF(ISNUMBER(SEARCH("NOT NULL",UPPER(J$3))),"''","null"),SUBSTITUTE(VLOOKUP(J$2,convert!$A$1:$B$4,2,0),"@@@",J179))</f>
        <v>'water'</v>
      </c>
      <c r="Z179" s="4" t="str">
        <f>IF(K179="",IF(ISNUMBER(SEARCH("NOT NULL",UPPER(K$3))),"''","null"),SUBSTITUTE(VLOOKUP(K$2,convert!$A$1:$B$4,2,0),"@@@",K179))</f>
        <v>'dark'</v>
      </c>
      <c r="AA179" s="4" t="str">
        <f>IF(L179="",IF(ISNUMBER(SEARCH("NOT NULL",UPPER(L$3))),"''","null"),SUBSTITUTE(VLOOKUP(L$2,convert!$A$1:$B$4,2,0),"@@@",L179))</f>
        <v>'g6'</v>
      </c>
      <c r="AB179" s="4" t="str">
        <f>IF(M179="",IF(ISNUMBER(SEARCH("NOT NULL",UPPER(M$3))),"''","null"),SUBSTITUTE(VLOOKUP(M$2,convert!$A$1:$B$4,2,0),"@@@",M179))</f>
        <v>null</v>
      </c>
      <c r="AC179" s="4" t="str">
        <f>IF(N179="",IF(ISNUMBER(SEARCH("NOT NULL",UPPER(N$3))),"''","null"),SUBSTITUTE(VLOOKUP(N$2,convert!$A$1:$B$4,2,0),"@@@",N179))</f>
        <v>null</v>
      </c>
      <c r="AD179" s="4" t="str">
        <f>IF(O179="",IF(ISNUMBER(SEARCH("NOT NULL",UPPER(O$3))),"''","null"),SUBSTITUTE(VLOOKUP(O$2,convert!$A$1:$B$4,2,0),"@@@",O179))</f>
        <v>TRUE</v>
      </c>
      <c r="AE179" s="4" t="str">
        <f t="shared" si="2"/>
        <v>    ('0130M01', 'メガギャラドス', 95, 155, 109, 70, 130, 81, '', 'water', 'dark', 'g6', null, null, TRUE),</v>
      </c>
    </row>
    <row r="180" spans="1:31">
      <c r="A180" s="4" t="s">
        <v>379</v>
      </c>
      <c r="B180" s="4" t="s">
        <v>380</v>
      </c>
      <c r="C180" s="5">
        <v>130</v>
      </c>
      <c r="D180" s="5">
        <v>85</v>
      </c>
      <c r="E180" s="5">
        <v>80</v>
      </c>
      <c r="F180" s="5">
        <v>85</v>
      </c>
      <c r="G180" s="5">
        <v>95</v>
      </c>
      <c r="H180" s="5">
        <v>60</v>
      </c>
      <c r="I180" s="5"/>
      <c r="J180" s="4" t="s">
        <v>55</v>
      </c>
      <c r="K180" s="4" t="s">
        <v>118</v>
      </c>
      <c r="L180" s="4" t="s">
        <v>32</v>
      </c>
      <c r="M180" s="5"/>
      <c r="N180" s="5"/>
      <c r="O180" s="5" t="b">
        <v>1</v>
      </c>
      <c r="P180" s="4" t="str">
        <f>IF(A180="",IF(ISNUMBER(SEARCH("NOT NULL",UPPER(A$3))),"''","null"),SUBSTITUTE(VLOOKUP(A$2,convert!$A$1:$B$4,2,0),"@@@",A180))</f>
        <v>'0131N01'</v>
      </c>
      <c r="Q180" s="4" t="str">
        <f>IF(B180="",IF(ISNUMBER(SEARCH("NOT NULL",UPPER(B$3))),"''","null"),SUBSTITUTE(VLOOKUP(B$2,convert!$A$1:$B$4,2,0),"@@@",B180))</f>
        <v>'ラプラス'</v>
      </c>
      <c r="R180" s="4" t="str">
        <f>IF(C180="",IF(ISNUMBER(SEARCH("NOT NULL",UPPER(C$3))),"''","null"),SUBSTITUTE(VLOOKUP(C$2,convert!$A$1:$B$4,2,0),"@@@",C180))</f>
        <v>130</v>
      </c>
      <c r="S180" s="4" t="str">
        <f>IF(D180="",IF(ISNUMBER(SEARCH("NOT NULL",UPPER(D$3))),"''","null"),SUBSTITUTE(VLOOKUP(D$2,convert!$A$1:$B$4,2,0),"@@@",D180))</f>
        <v>85</v>
      </c>
      <c r="T180" s="4" t="str">
        <f>IF(E180="",IF(ISNUMBER(SEARCH("NOT NULL",UPPER(E$3))),"''","null"),SUBSTITUTE(VLOOKUP(E$2,convert!$A$1:$B$4,2,0),"@@@",E180))</f>
        <v>80</v>
      </c>
      <c r="U180" s="4" t="str">
        <f>IF(F180="",IF(ISNUMBER(SEARCH("NOT NULL",UPPER(F$3))),"''","null"),SUBSTITUTE(VLOOKUP(F$2,convert!$A$1:$B$4,2,0),"@@@",F180))</f>
        <v>85</v>
      </c>
      <c r="V180" s="4" t="str">
        <f>IF(G180="",IF(ISNUMBER(SEARCH("NOT NULL",UPPER(G$3))),"''","null"),SUBSTITUTE(VLOOKUP(G$2,convert!$A$1:$B$4,2,0),"@@@",G180))</f>
        <v>95</v>
      </c>
      <c r="W180" s="4" t="str">
        <f>IF(H180="",IF(ISNUMBER(SEARCH("NOT NULL",UPPER(H$3))),"''","null"),SUBSTITUTE(VLOOKUP(H$2,convert!$A$1:$B$4,2,0),"@@@",H180))</f>
        <v>60</v>
      </c>
      <c r="X180" s="4" t="str">
        <f>IF(I180="",IF(ISNUMBER(SEARCH("NOT NULL",UPPER(I$3))),"''","null"),SUBSTITUTE(VLOOKUP(I$2,convert!$A$1:$B$4,2,0),"@@@",I180))</f>
        <v>''</v>
      </c>
      <c r="Y180" s="4" t="str">
        <f>IF(J180="",IF(ISNUMBER(SEARCH("NOT NULL",UPPER(J$3))),"''","null"),SUBSTITUTE(VLOOKUP(J$2,convert!$A$1:$B$4,2,0),"@@@",J180))</f>
        <v>'water'</v>
      </c>
      <c r="Z180" s="4" t="str">
        <f>IF(K180="",IF(ISNUMBER(SEARCH("NOT NULL",UPPER(K$3))),"''","null"),SUBSTITUTE(VLOOKUP(K$2,convert!$A$1:$B$4,2,0),"@@@",K180))</f>
        <v>'ice'</v>
      </c>
      <c r="AA180" s="4" t="str">
        <f>IF(L180="",IF(ISNUMBER(SEARCH("NOT NULL",UPPER(L$3))),"''","null"),SUBSTITUTE(VLOOKUP(L$2,convert!$A$1:$B$4,2,0),"@@@",L180))</f>
        <v>'g1'</v>
      </c>
      <c r="AB180" s="4" t="str">
        <f>IF(M180="",IF(ISNUMBER(SEARCH("NOT NULL",UPPER(M$3))),"''","null"),SUBSTITUTE(VLOOKUP(M$2,convert!$A$1:$B$4,2,0),"@@@",M180))</f>
        <v>null</v>
      </c>
      <c r="AC180" s="4" t="str">
        <f>IF(N180="",IF(ISNUMBER(SEARCH("NOT NULL",UPPER(N$3))),"''","null"),SUBSTITUTE(VLOOKUP(N$2,convert!$A$1:$B$4,2,0),"@@@",N180))</f>
        <v>null</v>
      </c>
      <c r="AD180" s="4" t="str">
        <f>IF(O180="",IF(ISNUMBER(SEARCH("NOT NULL",UPPER(O$3))),"''","null"),SUBSTITUTE(VLOOKUP(O$2,convert!$A$1:$B$4,2,0),"@@@",O180))</f>
        <v>TRUE</v>
      </c>
      <c r="AE180" s="4" t="str">
        <f t="shared" si="2"/>
        <v>    ('0131N01', 'ラプラス', 130, 85, 80, 85, 95, 60, '', 'water', 'ice', 'g1', null, null, TRUE),</v>
      </c>
    </row>
    <row r="181" spans="1:31">
      <c r="A181" s="4" t="s">
        <v>381</v>
      </c>
      <c r="B181" s="4" t="s">
        <v>382</v>
      </c>
      <c r="C181" s="5">
        <v>48</v>
      </c>
      <c r="D181" s="5">
        <v>48</v>
      </c>
      <c r="E181" s="5">
        <v>48</v>
      </c>
      <c r="F181" s="5">
        <v>48</v>
      </c>
      <c r="G181" s="5">
        <v>48</v>
      </c>
      <c r="H181" s="5">
        <v>48</v>
      </c>
      <c r="I181" s="5"/>
      <c r="J181" s="4" t="s">
        <v>80</v>
      </c>
      <c r="K181" s="5"/>
      <c r="L181" s="4" t="s">
        <v>32</v>
      </c>
      <c r="M181" s="5"/>
      <c r="N181" s="5"/>
      <c r="O181" s="5" t="b">
        <v>1</v>
      </c>
      <c r="P181" s="4" t="str">
        <f>IF(A181="",IF(ISNUMBER(SEARCH("NOT NULL",UPPER(A$3))),"''","null"),SUBSTITUTE(VLOOKUP(A$2,convert!$A$1:$B$4,2,0),"@@@",A181))</f>
        <v>'0132N01'</v>
      </c>
      <c r="Q181" s="4" t="str">
        <f>IF(B181="",IF(ISNUMBER(SEARCH("NOT NULL",UPPER(B$3))),"''","null"),SUBSTITUTE(VLOOKUP(B$2,convert!$A$1:$B$4,2,0),"@@@",B181))</f>
        <v>'メタモン'</v>
      </c>
      <c r="R181" s="4" t="str">
        <f>IF(C181="",IF(ISNUMBER(SEARCH("NOT NULL",UPPER(C$3))),"''","null"),SUBSTITUTE(VLOOKUP(C$2,convert!$A$1:$B$4,2,0),"@@@",C181))</f>
        <v>48</v>
      </c>
      <c r="S181" s="4" t="str">
        <f>IF(D181="",IF(ISNUMBER(SEARCH("NOT NULL",UPPER(D$3))),"''","null"),SUBSTITUTE(VLOOKUP(D$2,convert!$A$1:$B$4,2,0),"@@@",D181))</f>
        <v>48</v>
      </c>
      <c r="T181" s="4" t="str">
        <f>IF(E181="",IF(ISNUMBER(SEARCH("NOT NULL",UPPER(E$3))),"''","null"),SUBSTITUTE(VLOOKUP(E$2,convert!$A$1:$B$4,2,0),"@@@",E181))</f>
        <v>48</v>
      </c>
      <c r="U181" s="4" t="str">
        <f>IF(F181="",IF(ISNUMBER(SEARCH("NOT NULL",UPPER(F$3))),"''","null"),SUBSTITUTE(VLOOKUP(F$2,convert!$A$1:$B$4,2,0),"@@@",F181))</f>
        <v>48</v>
      </c>
      <c r="V181" s="4" t="str">
        <f>IF(G181="",IF(ISNUMBER(SEARCH("NOT NULL",UPPER(G$3))),"''","null"),SUBSTITUTE(VLOOKUP(G$2,convert!$A$1:$B$4,2,0),"@@@",G181))</f>
        <v>48</v>
      </c>
      <c r="W181" s="4" t="str">
        <f>IF(H181="",IF(ISNUMBER(SEARCH("NOT NULL",UPPER(H$3))),"''","null"),SUBSTITUTE(VLOOKUP(H$2,convert!$A$1:$B$4,2,0),"@@@",H181))</f>
        <v>48</v>
      </c>
      <c r="X181" s="4" t="str">
        <f>IF(I181="",IF(ISNUMBER(SEARCH("NOT NULL",UPPER(I$3))),"''","null"),SUBSTITUTE(VLOOKUP(I$2,convert!$A$1:$B$4,2,0),"@@@",I181))</f>
        <v>''</v>
      </c>
      <c r="Y181" s="4" t="str">
        <f>IF(J181="",IF(ISNUMBER(SEARCH("NOT NULL",UPPER(J$3))),"''","null"),SUBSTITUTE(VLOOKUP(J$2,convert!$A$1:$B$4,2,0),"@@@",J181))</f>
        <v>'normal'</v>
      </c>
      <c r="Z181" s="4" t="str">
        <f>IF(K181="",IF(ISNUMBER(SEARCH("NOT NULL",UPPER(K$3))),"''","null"),SUBSTITUTE(VLOOKUP(K$2,convert!$A$1:$B$4,2,0),"@@@",K181))</f>
        <v>null</v>
      </c>
      <c r="AA181" s="4" t="str">
        <f>IF(L181="",IF(ISNUMBER(SEARCH("NOT NULL",UPPER(L$3))),"''","null"),SUBSTITUTE(VLOOKUP(L$2,convert!$A$1:$B$4,2,0),"@@@",L181))</f>
        <v>'g1'</v>
      </c>
      <c r="AB181" s="4" t="str">
        <f>IF(M181="",IF(ISNUMBER(SEARCH("NOT NULL",UPPER(M$3))),"''","null"),SUBSTITUTE(VLOOKUP(M$2,convert!$A$1:$B$4,2,0),"@@@",M181))</f>
        <v>null</v>
      </c>
      <c r="AC181" s="4" t="str">
        <f>IF(N181="",IF(ISNUMBER(SEARCH("NOT NULL",UPPER(N$3))),"''","null"),SUBSTITUTE(VLOOKUP(N$2,convert!$A$1:$B$4,2,0),"@@@",N181))</f>
        <v>null</v>
      </c>
      <c r="AD181" s="4" t="str">
        <f>IF(O181="",IF(ISNUMBER(SEARCH("NOT NULL",UPPER(O$3))),"''","null"),SUBSTITUTE(VLOOKUP(O$2,convert!$A$1:$B$4,2,0),"@@@",O181))</f>
        <v>TRUE</v>
      </c>
      <c r="AE181" s="4" t="str">
        <f t="shared" si="2"/>
        <v>    ('0132N01', 'メタモン', 48, 48, 48, 48, 48, 48, '', 'normal', null, 'g1', null, null, TRUE),</v>
      </c>
    </row>
    <row r="182" spans="1:31">
      <c r="A182" s="4" t="s">
        <v>383</v>
      </c>
      <c r="B182" s="4" t="s">
        <v>384</v>
      </c>
      <c r="C182" s="5">
        <v>55</v>
      </c>
      <c r="D182" s="5">
        <v>55</v>
      </c>
      <c r="E182" s="5">
        <v>50</v>
      </c>
      <c r="F182" s="5">
        <v>45</v>
      </c>
      <c r="G182" s="5">
        <v>65</v>
      </c>
      <c r="H182" s="5">
        <v>55</v>
      </c>
      <c r="I182" s="5"/>
      <c r="J182" s="4" t="s">
        <v>80</v>
      </c>
      <c r="K182" s="5"/>
      <c r="L182" s="4" t="s">
        <v>32</v>
      </c>
      <c r="M182" s="5"/>
      <c r="N182" s="5"/>
      <c r="O182" s="5" t="b">
        <v>1</v>
      </c>
      <c r="P182" s="4" t="str">
        <f>IF(A182="",IF(ISNUMBER(SEARCH("NOT NULL",UPPER(A$3))),"''","null"),SUBSTITUTE(VLOOKUP(A$2,convert!$A$1:$B$4,2,0),"@@@",A182))</f>
        <v>'0133N01'</v>
      </c>
      <c r="Q182" s="4" t="str">
        <f>IF(B182="",IF(ISNUMBER(SEARCH("NOT NULL",UPPER(B$3))),"''","null"),SUBSTITUTE(VLOOKUP(B$2,convert!$A$1:$B$4,2,0),"@@@",B182))</f>
        <v>'イーブイ'</v>
      </c>
      <c r="R182" s="4" t="str">
        <f>IF(C182="",IF(ISNUMBER(SEARCH("NOT NULL",UPPER(C$3))),"''","null"),SUBSTITUTE(VLOOKUP(C$2,convert!$A$1:$B$4,2,0),"@@@",C182))</f>
        <v>55</v>
      </c>
      <c r="S182" s="4" t="str">
        <f>IF(D182="",IF(ISNUMBER(SEARCH("NOT NULL",UPPER(D$3))),"''","null"),SUBSTITUTE(VLOOKUP(D$2,convert!$A$1:$B$4,2,0),"@@@",D182))</f>
        <v>55</v>
      </c>
      <c r="T182" s="4" t="str">
        <f>IF(E182="",IF(ISNUMBER(SEARCH("NOT NULL",UPPER(E$3))),"''","null"),SUBSTITUTE(VLOOKUP(E$2,convert!$A$1:$B$4,2,0),"@@@",E182))</f>
        <v>50</v>
      </c>
      <c r="U182" s="4" t="str">
        <f>IF(F182="",IF(ISNUMBER(SEARCH("NOT NULL",UPPER(F$3))),"''","null"),SUBSTITUTE(VLOOKUP(F$2,convert!$A$1:$B$4,2,0),"@@@",F182))</f>
        <v>45</v>
      </c>
      <c r="V182" s="4" t="str">
        <f>IF(G182="",IF(ISNUMBER(SEARCH("NOT NULL",UPPER(G$3))),"''","null"),SUBSTITUTE(VLOOKUP(G$2,convert!$A$1:$B$4,2,0),"@@@",G182))</f>
        <v>65</v>
      </c>
      <c r="W182" s="4" t="str">
        <f>IF(H182="",IF(ISNUMBER(SEARCH("NOT NULL",UPPER(H$3))),"''","null"),SUBSTITUTE(VLOOKUP(H$2,convert!$A$1:$B$4,2,0),"@@@",H182))</f>
        <v>55</v>
      </c>
      <c r="X182" s="4" t="str">
        <f>IF(I182="",IF(ISNUMBER(SEARCH("NOT NULL",UPPER(I$3))),"''","null"),SUBSTITUTE(VLOOKUP(I$2,convert!$A$1:$B$4,2,0),"@@@",I182))</f>
        <v>''</v>
      </c>
      <c r="Y182" s="4" t="str">
        <f>IF(J182="",IF(ISNUMBER(SEARCH("NOT NULL",UPPER(J$3))),"''","null"),SUBSTITUTE(VLOOKUP(J$2,convert!$A$1:$B$4,2,0),"@@@",J182))</f>
        <v>'normal'</v>
      </c>
      <c r="Z182" s="4" t="str">
        <f>IF(K182="",IF(ISNUMBER(SEARCH("NOT NULL",UPPER(K$3))),"''","null"),SUBSTITUTE(VLOOKUP(K$2,convert!$A$1:$B$4,2,0),"@@@",K182))</f>
        <v>null</v>
      </c>
      <c r="AA182" s="4" t="str">
        <f>IF(L182="",IF(ISNUMBER(SEARCH("NOT NULL",UPPER(L$3))),"''","null"),SUBSTITUTE(VLOOKUP(L$2,convert!$A$1:$B$4,2,0),"@@@",L182))</f>
        <v>'g1'</v>
      </c>
      <c r="AB182" s="4" t="str">
        <f>IF(M182="",IF(ISNUMBER(SEARCH("NOT NULL",UPPER(M$3))),"''","null"),SUBSTITUTE(VLOOKUP(M$2,convert!$A$1:$B$4,2,0),"@@@",M182))</f>
        <v>null</v>
      </c>
      <c r="AC182" s="4" t="str">
        <f>IF(N182="",IF(ISNUMBER(SEARCH("NOT NULL",UPPER(N$3))),"''","null"),SUBSTITUTE(VLOOKUP(N$2,convert!$A$1:$B$4,2,0),"@@@",N182))</f>
        <v>null</v>
      </c>
      <c r="AD182" s="4" t="str">
        <f>IF(O182="",IF(ISNUMBER(SEARCH("NOT NULL",UPPER(O$3))),"''","null"),SUBSTITUTE(VLOOKUP(O$2,convert!$A$1:$B$4,2,0),"@@@",O182))</f>
        <v>TRUE</v>
      </c>
      <c r="AE182" s="4" t="str">
        <f t="shared" si="2"/>
        <v>    ('0133N01', 'イーブイ', 55, 55, 50, 45, 65, 55, '', 'normal', null, 'g1', null, null, TRUE),</v>
      </c>
    </row>
    <row r="183" spans="1:31">
      <c r="A183" s="4" t="s">
        <v>385</v>
      </c>
      <c r="B183" s="4" t="s">
        <v>384</v>
      </c>
      <c r="C183" s="5">
        <v>65</v>
      </c>
      <c r="D183" s="5">
        <v>75</v>
      </c>
      <c r="E183" s="5">
        <v>70</v>
      </c>
      <c r="F183" s="5">
        <v>65</v>
      </c>
      <c r="G183" s="5">
        <v>85</v>
      </c>
      <c r="H183" s="5">
        <v>75</v>
      </c>
      <c r="I183" s="4" t="s">
        <v>108</v>
      </c>
      <c r="J183" s="4" t="s">
        <v>80</v>
      </c>
      <c r="K183" s="5"/>
      <c r="L183" s="4" t="s">
        <v>109</v>
      </c>
      <c r="M183" s="5"/>
      <c r="N183" s="5"/>
      <c r="O183" s="5" t="b">
        <v>0</v>
      </c>
      <c r="P183" s="4" t="str">
        <f>IF(A183="",IF(ISNUMBER(SEARCH("NOT NULL",UPPER(A$3))),"''","null"),SUBSTITUTE(VLOOKUP(A$2,convert!$A$1:$B$4,2,0),"@@@",A183))</f>
        <v>'0133N02'</v>
      </c>
      <c r="Q183" s="4" t="str">
        <f>IF(B183="",IF(ISNUMBER(SEARCH("NOT NULL",UPPER(B$3))),"''","null"),SUBSTITUTE(VLOOKUP(B$2,convert!$A$1:$B$4,2,0),"@@@",B183))</f>
        <v>'イーブイ'</v>
      </c>
      <c r="R183" s="4" t="str">
        <f>IF(C183="",IF(ISNUMBER(SEARCH("NOT NULL",UPPER(C$3))),"''","null"),SUBSTITUTE(VLOOKUP(C$2,convert!$A$1:$B$4,2,0),"@@@",C183))</f>
        <v>65</v>
      </c>
      <c r="S183" s="4" t="str">
        <f>IF(D183="",IF(ISNUMBER(SEARCH("NOT NULL",UPPER(D$3))),"''","null"),SUBSTITUTE(VLOOKUP(D$2,convert!$A$1:$B$4,2,0),"@@@",D183))</f>
        <v>75</v>
      </c>
      <c r="T183" s="4" t="str">
        <f>IF(E183="",IF(ISNUMBER(SEARCH("NOT NULL",UPPER(E$3))),"''","null"),SUBSTITUTE(VLOOKUP(E$2,convert!$A$1:$B$4,2,0),"@@@",E183))</f>
        <v>70</v>
      </c>
      <c r="U183" s="4" t="str">
        <f>IF(F183="",IF(ISNUMBER(SEARCH("NOT NULL",UPPER(F$3))),"''","null"),SUBSTITUTE(VLOOKUP(F$2,convert!$A$1:$B$4,2,0),"@@@",F183))</f>
        <v>65</v>
      </c>
      <c r="V183" s="4" t="str">
        <f>IF(G183="",IF(ISNUMBER(SEARCH("NOT NULL",UPPER(G$3))),"''","null"),SUBSTITUTE(VLOOKUP(G$2,convert!$A$1:$B$4,2,0),"@@@",G183))</f>
        <v>85</v>
      </c>
      <c r="W183" s="4" t="str">
        <f>IF(H183="",IF(ISNUMBER(SEARCH("NOT NULL",UPPER(H$3))),"''","null"),SUBSTITUTE(VLOOKUP(H$2,convert!$A$1:$B$4,2,0),"@@@",H183))</f>
        <v>75</v>
      </c>
      <c r="X183" s="4" t="str">
        <f>IF(I183="",IF(ISNUMBER(SEARCH("NOT NULL",UPPER(I$3))),"''","null"),SUBSTITUTE(VLOOKUP(I$2,convert!$A$1:$B$4,2,0),"@@@",I183))</f>
        <v>'相棒'</v>
      </c>
      <c r="Y183" s="4" t="str">
        <f>IF(J183="",IF(ISNUMBER(SEARCH("NOT NULL",UPPER(J$3))),"''","null"),SUBSTITUTE(VLOOKUP(J$2,convert!$A$1:$B$4,2,0),"@@@",J183))</f>
        <v>'normal'</v>
      </c>
      <c r="Z183" s="4" t="str">
        <f>IF(K183="",IF(ISNUMBER(SEARCH("NOT NULL",UPPER(K$3))),"''","null"),SUBSTITUTE(VLOOKUP(K$2,convert!$A$1:$B$4,2,0),"@@@",K183))</f>
        <v>null</v>
      </c>
      <c r="AA183" s="4" t="str">
        <f>IF(L183="",IF(ISNUMBER(SEARCH("NOT NULL",UPPER(L$3))),"''","null"),SUBSTITUTE(VLOOKUP(L$2,convert!$A$1:$B$4,2,0),"@@@",L183))</f>
        <v>'g7pv'</v>
      </c>
      <c r="AB183" s="4" t="str">
        <f>IF(M183="",IF(ISNUMBER(SEARCH("NOT NULL",UPPER(M$3))),"''","null"),SUBSTITUTE(VLOOKUP(M$2,convert!$A$1:$B$4,2,0),"@@@",M183))</f>
        <v>null</v>
      </c>
      <c r="AC183" s="4" t="str">
        <f>IF(N183="",IF(ISNUMBER(SEARCH("NOT NULL",UPPER(N$3))),"''","null"),SUBSTITUTE(VLOOKUP(N$2,convert!$A$1:$B$4,2,0),"@@@",N183))</f>
        <v>null</v>
      </c>
      <c r="AD183" s="4" t="str">
        <f>IF(O183="",IF(ISNUMBER(SEARCH("NOT NULL",UPPER(O$3))),"''","null"),SUBSTITUTE(VLOOKUP(O$2,convert!$A$1:$B$4,2,0),"@@@",O183))</f>
        <v>FALSE</v>
      </c>
      <c r="AE183" s="4" t="str">
        <f t="shared" si="2"/>
        <v>    ('0133N02', 'イーブイ', 65, 75, 70, 65, 85, 75, '相棒', 'normal', null, 'g7pv', null, null, FALSE),</v>
      </c>
    </row>
    <row r="184" spans="1:31">
      <c r="A184" s="4" t="s">
        <v>386</v>
      </c>
      <c r="B184" s="4" t="s">
        <v>387</v>
      </c>
      <c r="C184" s="5">
        <v>130</v>
      </c>
      <c r="D184" s="5">
        <v>65</v>
      </c>
      <c r="E184" s="5">
        <v>60</v>
      </c>
      <c r="F184" s="5">
        <v>110</v>
      </c>
      <c r="G184" s="5">
        <v>95</v>
      </c>
      <c r="H184" s="5">
        <v>65</v>
      </c>
      <c r="I184" s="5"/>
      <c r="J184" s="4" t="s">
        <v>55</v>
      </c>
      <c r="K184" s="5"/>
      <c r="L184" s="4" t="s">
        <v>32</v>
      </c>
      <c r="M184" s="5"/>
      <c r="N184" s="5"/>
      <c r="O184" s="5" t="b">
        <v>1</v>
      </c>
      <c r="P184" s="4" t="str">
        <f>IF(A184="",IF(ISNUMBER(SEARCH("NOT NULL",UPPER(A$3))),"''","null"),SUBSTITUTE(VLOOKUP(A$2,convert!$A$1:$B$4,2,0),"@@@",A184))</f>
        <v>'0134N01'</v>
      </c>
      <c r="Q184" s="4" t="str">
        <f>IF(B184="",IF(ISNUMBER(SEARCH("NOT NULL",UPPER(B$3))),"''","null"),SUBSTITUTE(VLOOKUP(B$2,convert!$A$1:$B$4,2,0),"@@@",B184))</f>
        <v>'シャワーズ'</v>
      </c>
      <c r="R184" s="4" t="str">
        <f>IF(C184="",IF(ISNUMBER(SEARCH("NOT NULL",UPPER(C$3))),"''","null"),SUBSTITUTE(VLOOKUP(C$2,convert!$A$1:$B$4,2,0),"@@@",C184))</f>
        <v>130</v>
      </c>
      <c r="S184" s="4" t="str">
        <f>IF(D184="",IF(ISNUMBER(SEARCH("NOT NULL",UPPER(D$3))),"''","null"),SUBSTITUTE(VLOOKUP(D$2,convert!$A$1:$B$4,2,0),"@@@",D184))</f>
        <v>65</v>
      </c>
      <c r="T184" s="4" t="str">
        <f>IF(E184="",IF(ISNUMBER(SEARCH("NOT NULL",UPPER(E$3))),"''","null"),SUBSTITUTE(VLOOKUP(E$2,convert!$A$1:$B$4,2,0),"@@@",E184))</f>
        <v>60</v>
      </c>
      <c r="U184" s="4" t="str">
        <f>IF(F184="",IF(ISNUMBER(SEARCH("NOT NULL",UPPER(F$3))),"''","null"),SUBSTITUTE(VLOOKUP(F$2,convert!$A$1:$B$4,2,0),"@@@",F184))</f>
        <v>110</v>
      </c>
      <c r="V184" s="4" t="str">
        <f>IF(G184="",IF(ISNUMBER(SEARCH("NOT NULL",UPPER(G$3))),"''","null"),SUBSTITUTE(VLOOKUP(G$2,convert!$A$1:$B$4,2,0),"@@@",G184))</f>
        <v>95</v>
      </c>
      <c r="W184" s="4" t="str">
        <f>IF(H184="",IF(ISNUMBER(SEARCH("NOT NULL",UPPER(H$3))),"''","null"),SUBSTITUTE(VLOOKUP(H$2,convert!$A$1:$B$4,2,0),"@@@",H184))</f>
        <v>65</v>
      </c>
      <c r="X184" s="4" t="str">
        <f>IF(I184="",IF(ISNUMBER(SEARCH("NOT NULL",UPPER(I$3))),"''","null"),SUBSTITUTE(VLOOKUP(I$2,convert!$A$1:$B$4,2,0),"@@@",I184))</f>
        <v>''</v>
      </c>
      <c r="Y184" s="4" t="str">
        <f>IF(J184="",IF(ISNUMBER(SEARCH("NOT NULL",UPPER(J$3))),"''","null"),SUBSTITUTE(VLOOKUP(J$2,convert!$A$1:$B$4,2,0),"@@@",J184))</f>
        <v>'water'</v>
      </c>
      <c r="Z184" s="4" t="str">
        <f>IF(K184="",IF(ISNUMBER(SEARCH("NOT NULL",UPPER(K$3))),"''","null"),SUBSTITUTE(VLOOKUP(K$2,convert!$A$1:$B$4,2,0),"@@@",K184))</f>
        <v>null</v>
      </c>
      <c r="AA184" s="4" t="str">
        <f>IF(L184="",IF(ISNUMBER(SEARCH("NOT NULL",UPPER(L$3))),"''","null"),SUBSTITUTE(VLOOKUP(L$2,convert!$A$1:$B$4,2,0),"@@@",L184))</f>
        <v>'g1'</v>
      </c>
      <c r="AB184" s="4" t="str">
        <f>IF(M184="",IF(ISNUMBER(SEARCH("NOT NULL",UPPER(M$3))),"''","null"),SUBSTITUTE(VLOOKUP(M$2,convert!$A$1:$B$4,2,0),"@@@",M184))</f>
        <v>null</v>
      </c>
      <c r="AC184" s="4" t="str">
        <f>IF(N184="",IF(ISNUMBER(SEARCH("NOT NULL",UPPER(N$3))),"''","null"),SUBSTITUTE(VLOOKUP(N$2,convert!$A$1:$B$4,2,0),"@@@",N184))</f>
        <v>null</v>
      </c>
      <c r="AD184" s="4" t="str">
        <f>IF(O184="",IF(ISNUMBER(SEARCH("NOT NULL",UPPER(O$3))),"''","null"),SUBSTITUTE(VLOOKUP(O$2,convert!$A$1:$B$4,2,0),"@@@",O184))</f>
        <v>TRUE</v>
      </c>
      <c r="AE184" s="4" t="str">
        <f t="shared" si="2"/>
        <v>    ('0134N01', 'シャワーズ', 130, 65, 60, 110, 95, 65, '', 'water', null, 'g1', null, null, TRUE),</v>
      </c>
    </row>
    <row r="185" spans="1:31">
      <c r="A185" s="4" t="s">
        <v>388</v>
      </c>
      <c r="B185" s="4" t="s">
        <v>389</v>
      </c>
      <c r="C185" s="5">
        <v>65</v>
      </c>
      <c r="D185" s="5">
        <v>65</v>
      </c>
      <c r="E185" s="5">
        <v>60</v>
      </c>
      <c r="F185" s="5">
        <v>110</v>
      </c>
      <c r="G185" s="5">
        <v>95</v>
      </c>
      <c r="H185" s="5">
        <v>130</v>
      </c>
      <c r="I185" s="5"/>
      <c r="J185" s="4" t="s">
        <v>106</v>
      </c>
      <c r="K185" s="5"/>
      <c r="L185" s="4" t="s">
        <v>32</v>
      </c>
      <c r="M185" s="5"/>
      <c r="N185" s="5"/>
      <c r="O185" s="5" t="b">
        <v>1</v>
      </c>
      <c r="P185" s="4" t="str">
        <f>IF(A185="",IF(ISNUMBER(SEARCH("NOT NULL",UPPER(A$3))),"''","null"),SUBSTITUTE(VLOOKUP(A$2,convert!$A$1:$B$4,2,0),"@@@",A185))</f>
        <v>'0135N01'</v>
      </c>
      <c r="Q185" s="4" t="str">
        <f>IF(B185="",IF(ISNUMBER(SEARCH("NOT NULL",UPPER(B$3))),"''","null"),SUBSTITUTE(VLOOKUP(B$2,convert!$A$1:$B$4,2,0),"@@@",B185))</f>
        <v>'サンダース'</v>
      </c>
      <c r="R185" s="4" t="str">
        <f>IF(C185="",IF(ISNUMBER(SEARCH("NOT NULL",UPPER(C$3))),"''","null"),SUBSTITUTE(VLOOKUP(C$2,convert!$A$1:$B$4,2,0),"@@@",C185))</f>
        <v>65</v>
      </c>
      <c r="S185" s="4" t="str">
        <f>IF(D185="",IF(ISNUMBER(SEARCH("NOT NULL",UPPER(D$3))),"''","null"),SUBSTITUTE(VLOOKUP(D$2,convert!$A$1:$B$4,2,0),"@@@",D185))</f>
        <v>65</v>
      </c>
      <c r="T185" s="4" t="str">
        <f>IF(E185="",IF(ISNUMBER(SEARCH("NOT NULL",UPPER(E$3))),"''","null"),SUBSTITUTE(VLOOKUP(E$2,convert!$A$1:$B$4,2,0),"@@@",E185))</f>
        <v>60</v>
      </c>
      <c r="U185" s="4" t="str">
        <f>IF(F185="",IF(ISNUMBER(SEARCH("NOT NULL",UPPER(F$3))),"''","null"),SUBSTITUTE(VLOOKUP(F$2,convert!$A$1:$B$4,2,0),"@@@",F185))</f>
        <v>110</v>
      </c>
      <c r="V185" s="4" t="str">
        <f>IF(G185="",IF(ISNUMBER(SEARCH("NOT NULL",UPPER(G$3))),"''","null"),SUBSTITUTE(VLOOKUP(G$2,convert!$A$1:$B$4,2,0),"@@@",G185))</f>
        <v>95</v>
      </c>
      <c r="W185" s="4" t="str">
        <f>IF(H185="",IF(ISNUMBER(SEARCH("NOT NULL",UPPER(H$3))),"''","null"),SUBSTITUTE(VLOOKUP(H$2,convert!$A$1:$B$4,2,0),"@@@",H185))</f>
        <v>130</v>
      </c>
      <c r="X185" s="4" t="str">
        <f>IF(I185="",IF(ISNUMBER(SEARCH("NOT NULL",UPPER(I$3))),"''","null"),SUBSTITUTE(VLOOKUP(I$2,convert!$A$1:$B$4,2,0),"@@@",I185))</f>
        <v>''</v>
      </c>
      <c r="Y185" s="4" t="str">
        <f>IF(J185="",IF(ISNUMBER(SEARCH("NOT NULL",UPPER(J$3))),"''","null"),SUBSTITUTE(VLOOKUP(J$2,convert!$A$1:$B$4,2,0),"@@@",J185))</f>
        <v>'electric'</v>
      </c>
      <c r="Z185" s="4" t="str">
        <f>IF(K185="",IF(ISNUMBER(SEARCH("NOT NULL",UPPER(K$3))),"''","null"),SUBSTITUTE(VLOOKUP(K$2,convert!$A$1:$B$4,2,0),"@@@",K185))</f>
        <v>null</v>
      </c>
      <c r="AA185" s="4" t="str">
        <f>IF(L185="",IF(ISNUMBER(SEARCH("NOT NULL",UPPER(L$3))),"''","null"),SUBSTITUTE(VLOOKUP(L$2,convert!$A$1:$B$4,2,0),"@@@",L185))</f>
        <v>'g1'</v>
      </c>
      <c r="AB185" s="4" t="str">
        <f>IF(M185="",IF(ISNUMBER(SEARCH("NOT NULL",UPPER(M$3))),"''","null"),SUBSTITUTE(VLOOKUP(M$2,convert!$A$1:$B$4,2,0),"@@@",M185))</f>
        <v>null</v>
      </c>
      <c r="AC185" s="4" t="str">
        <f>IF(N185="",IF(ISNUMBER(SEARCH("NOT NULL",UPPER(N$3))),"''","null"),SUBSTITUTE(VLOOKUP(N$2,convert!$A$1:$B$4,2,0),"@@@",N185))</f>
        <v>null</v>
      </c>
      <c r="AD185" s="4" t="str">
        <f>IF(O185="",IF(ISNUMBER(SEARCH("NOT NULL",UPPER(O$3))),"''","null"),SUBSTITUTE(VLOOKUP(O$2,convert!$A$1:$B$4,2,0),"@@@",O185))</f>
        <v>TRUE</v>
      </c>
      <c r="AE185" s="4" t="str">
        <f t="shared" si="2"/>
        <v>    ('0135N01', 'サンダース', 65, 65, 60, 110, 95, 130, '', 'electric', null, 'g1', null, null, TRUE),</v>
      </c>
    </row>
    <row r="186" spans="1:31">
      <c r="A186" s="4" t="s">
        <v>390</v>
      </c>
      <c r="B186" s="4" t="s">
        <v>391</v>
      </c>
      <c r="C186" s="5">
        <v>65</v>
      </c>
      <c r="D186" s="5">
        <v>130</v>
      </c>
      <c r="E186" s="5">
        <v>60</v>
      </c>
      <c r="F186" s="5">
        <v>95</v>
      </c>
      <c r="G186" s="5">
        <v>110</v>
      </c>
      <c r="H186" s="5">
        <v>65</v>
      </c>
      <c r="I186" s="5"/>
      <c r="J186" s="4" t="s">
        <v>42</v>
      </c>
      <c r="K186" s="5"/>
      <c r="L186" s="4" t="s">
        <v>32</v>
      </c>
      <c r="M186" s="5"/>
      <c r="N186" s="5"/>
      <c r="O186" s="5" t="b">
        <v>1</v>
      </c>
      <c r="P186" s="4" t="str">
        <f>IF(A186="",IF(ISNUMBER(SEARCH("NOT NULL",UPPER(A$3))),"''","null"),SUBSTITUTE(VLOOKUP(A$2,convert!$A$1:$B$4,2,0),"@@@",A186))</f>
        <v>'0136N01'</v>
      </c>
      <c r="Q186" s="4" t="str">
        <f>IF(B186="",IF(ISNUMBER(SEARCH("NOT NULL",UPPER(B$3))),"''","null"),SUBSTITUTE(VLOOKUP(B$2,convert!$A$1:$B$4,2,0),"@@@",B186))</f>
        <v>'ブースター'</v>
      </c>
      <c r="R186" s="4" t="str">
        <f>IF(C186="",IF(ISNUMBER(SEARCH("NOT NULL",UPPER(C$3))),"''","null"),SUBSTITUTE(VLOOKUP(C$2,convert!$A$1:$B$4,2,0),"@@@",C186))</f>
        <v>65</v>
      </c>
      <c r="S186" s="4" t="str">
        <f>IF(D186="",IF(ISNUMBER(SEARCH("NOT NULL",UPPER(D$3))),"''","null"),SUBSTITUTE(VLOOKUP(D$2,convert!$A$1:$B$4,2,0),"@@@",D186))</f>
        <v>130</v>
      </c>
      <c r="T186" s="4" t="str">
        <f>IF(E186="",IF(ISNUMBER(SEARCH("NOT NULL",UPPER(E$3))),"''","null"),SUBSTITUTE(VLOOKUP(E$2,convert!$A$1:$B$4,2,0),"@@@",E186))</f>
        <v>60</v>
      </c>
      <c r="U186" s="4" t="str">
        <f>IF(F186="",IF(ISNUMBER(SEARCH("NOT NULL",UPPER(F$3))),"''","null"),SUBSTITUTE(VLOOKUP(F$2,convert!$A$1:$B$4,2,0),"@@@",F186))</f>
        <v>95</v>
      </c>
      <c r="V186" s="4" t="str">
        <f>IF(G186="",IF(ISNUMBER(SEARCH("NOT NULL",UPPER(G$3))),"''","null"),SUBSTITUTE(VLOOKUP(G$2,convert!$A$1:$B$4,2,0),"@@@",G186))</f>
        <v>110</v>
      </c>
      <c r="W186" s="4" t="str">
        <f>IF(H186="",IF(ISNUMBER(SEARCH("NOT NULL",UPPER(H$3))),"''","null"),SUBSTITUTE(VLOOKUP(H$2,convert!$A$1:$B$4,2,0),"@@@",H186))</f>
        <v>65</v>
      </c>
      <c r="X186" s="4" t="str">
        <f>IF(I186="",IF(ISNUMBER(SEARCH("NOT NULL",UPPER(I$3))),"''","null"),SUBSTITUTE(VLOOKUP(I$2,convert!$A$1:$B$4,2,0),"@@@",I186))</f>
        <v>''</v>
      </c>
      <c r="Y186" s="4" t="str">
        <f>IF(J186="",IF(ISNUMBER(SEARCH("NOT NULL",UPPER(J$3))),"''","null"),SUBSTITUTE(VLOOKUP(J$2,convert!$A$1:$B$4,2,0),"@@@",J186))</f>
        <v>'fire'</v>
      </c>
      <c r="Z186" s="4" t="str">
        <f>IF(K186="",IF(ISNUMBER(SEARCH("NOT NULL",UPPER(K$3))),"''","null"),SUBSTITUTE(VLOOKUP(K$2,convert!$A$1:$B$4,2,0),"@@@",K186))</f>
        <v>null</v>
      </c>
      <c r="AA186" s="4" t="str">
        <f>IF(L186="",IF(ISNUMBER(SEARCH("NOT NULL",UPPER(L$3))),"''","null"),SUBSTITUTE(VLOOKUP(L$2,convert!$A$1:$B$4,2,0),"@@@",L186))</f>
        <v>'g1'</v>
      </c>
      <c r="AB186" s="4" t="str">
        <f>IF(M186="",IF(ISNUMBER(SEARCH("NOT NULL",UPPER(M$3))),"''","null"),SUBSTITUTE(VLOOKUP(M$2,convert!$A$1:$B$4,2,0),"@@@",M186))</f>
        <v>null</v>
      </c>
      <c r="AC186" s="4" t="str">
        <f>IF(N186="",IF(ISNUMBER(SEARCH("NOT NULL",UPPER(N$3))),"''","null"),SUBSTITUTE(VLOOKUP(N$2,convert!$A$1:$B$4,2,0),"@@@",N186))</f>
        <v>null</v>
      </c>
      <c r="AD186" s="4" t="str">
        <f>IF(O186="",IF(ISNUMBER(SEARCH("NOT NULL",UPPER(O$3))),"''","null"),SUBSTITUTE(VLOOKUP(O$2,convert!$A$1:$B$4,2,0),"@@@",O186))</f>
        <v>TRUE</v>
      </c>
      <c r="AE186" s="4" t="str">
        <f t="shared" si="2"/>
        <v>    ('0136N01', 'ブースター', 65, 130, 60, 95, 110, 65, '', 'fire', null, 'g1', null, null, TRUE),</v>
      </c>
    </row>
    <row r="187" spans="1:31">
      <c r="A187" s="4" t="s">
        <v>392</v>
      </c>
      <c r="B187" s="4" t="s">
        <v>393</v>
      </c>
      <c r="C187" s="5">
        <v>65</v>
      </c>
      <c r="D187" s="5">
        <v>60</v>
      </c>
      <c r="E187" s="5">
        <v>70</v>
      </c>
      <c r="F187" s="5">
        <v>85</v>
      </c>
      <c r="G187" s="5">
        <v>75</v>
      </c>
      <c r="H187" s="5">
        <v>40</v>
      </c>
      <c r="I187" s="5"/>
      <c r="J187" s="4" t="s">
        <v>80</v>
      </c>
      <c r="K187" s="5"/>
      <c r="L187" s="4" t="s">
        <v>32</v>
      </c>
      <c r="M187" s="5"/>
      <c r="N187" s="5"/>
      <c r="O187" s="5" t="b">
        <v>1</v>
      </c>
      <c r="P187" s="4" t="str">
        <f>IF(A187="",IF(ISNUMBER(SEARCH("NOT NULL",UPPER(A$3))),"''","null"),SUBSTITUTE(VLOOKUP(A$2,convert!$A$1:$B$4,2,0),"@@@",A187))</f>
        <v>'0137N01'</v>
      </c>
      <c r="Q187" s="4" t="str">
        <f>IF(B187="",IF(ISNUMBER(SEARCH("NOT NULL",UPPER(B$3))),"''","null"),SUBSTITUTE(VLOOKUP(B$2,convert!$A$1:$B$4,2,0),"@@@",B187))</f>
        <v>'ポリゴン'</v>
      </c>
      <c r="R187" s="4" t="str">
        <f>IF(C187="",IF(ISNUMBER(SEARCH("NOT NULL",UPPER(C$3))),"''","null"),SUBSTITUTE(VLOOKUP(C$2,convert!$A$1:$B$4,2,0),"@@@",C187))</f>
        <v>65</v>
      </c>
      <c r="S187" s="4" t="str">
        <f>IF(D187="",IF(ISNUMBER(SEARCH("NOT NULL",UPPER(D$3))),"''","null"),SUBSTITUTE(VLOOKUP(D$2,convert!$A$1:$B$4,2,0),"@@@",D187))</f>
        <v>60</v>
      </c>
      <c r="T187" s="4" t="str">
        <f>IF(E187="",IF(ISNUMBER(SEARCH("NOT NULL",UPPER(E$3))),"''","null"),SUBSTITUTE(VLOOKUP(E$2,convert!$A$1:$B$4,2,0),"@@@",E187))</f>
        <v>70</v>
      </c>
      <c r="U187" s="4" t="str">
        <f>IF(F187="",IF(ISNUMBER(SEARCH("NOT NULL",UPPER(F$3))),"''","null"),SUBSTITUTE(VLOOKUP(F$2,convert!$A$1:$B$4,2,0),"@@@",F187))</f>
        <v>85</v>
      </c>
      <c r="V187" s="4" t="str">
        <f>IF(G187="",IF(ISNUMBER(SEARCH("NOT NULL",UPPER(G$3))),"''","null"),SUBSTITUTE(VLOOKUP(G$2,convert!$A$1:$B$4,2,0),"@@@",G187))</f>
        <v>75</v>
      </c>
      <c r="W187" s="4" t="str">
        <f>IF(H187="",IF(ISNUMBER(SEARCH("NOT NULL",UPPER(H$3))),"''","null"),SUBSTITUTE(VLOOKUP(H$2,convert!$A$1:$B$4,2,0),"@@@",H187))</f>
        <v>40</v>
      </c>
      <c r="X187" s="4" t="str">
        <f>IF(I187="",IF(ISNUMBER(SEARCH("NOT NULL",UPPER(I$3))),"''","null"),SUBSTITUTE(VLOOKUP(I$2,convert!$A$1:$B$4,2,0),"@@@",I187))</f>
        <v>''</v>
      </c>
      <c r="Y187" s="4" t="str">
        <f>IF(J187="",IF(ISNUMBER(SEARCH("NOT NULL",UPPER(J$3))),"''","null"),SUBSTITUTE(VLOOKUP(J$2,convert!$A$1:$B$4,2,0),"@@@",J187))</f>
        <v>'normal'</v>
      </c>
      <c r="Z187" s="4" t="str">
        <f>IF(K187="",IF(ISNUMBER(SEARCH("NOT NULL",UPPER(K$3))),"''","null"),SUBSTITUTE(VLOOKUP(K$2,convert!$A$1:$B$4,2,0),"@@@",K187))</f>
        <v>null</v>
      </c>
      <c r="AA187" s="4" t="str">
        <f>IF(L187="",IF(ISNUMBER(SEARCH("NOT NULL",UPPER(L$3))),"''","null"),SUBSTITUTE(VLOOKUP(L$2,convert!$A$1:$B$4,2,0),"@@@",L187))</f>
        <v>'g1'</v>
      </c>
      <c r="AB187" s="4" t="str">
        <f>IF(M187="",IF(ISNUMBER(SEARCH("NOT NULL",UPPER(M$3))),"''","null"),SUBSTITUTE(VLOOKUP(M$2,convert!$A$1:$B$4,2,0),"@@@",M187))</f>
        <v>null</v>
      </c>
      <c r="AC187" s="4" t="str">
        <f>IF(N187="",IF(ISNUMBER(SEARCH("NOT NULL",UPPER(N$3))),"''","null"),SUBSTITUTE(VLOOKUP(N$2,convert!$A$1:$B$4,2,0),"@@@",N187))</f>
        <v>null</v>
      </c>
      <c r="AD187" s="4" t="str">
        <f>IF(O187="",IF(ISNUMBER(SEARCH("NOT NULL",UPPER(O$3))),"''","null"),SUBSTITUTE(VLOOKUP(O$2,convert!$A$1:$B$4,2,0),"@@@",O187))</f>
        <v>TRUE</v>
      </c>
      <c r="AE187" s="4" t="str">
        <f t="shared" si="2"/>
        <v>    ('0137N01', 'ポリゴン', 65, 60, 70, 85, 75, 40, '', 'normal', null, 'g1', null, null, TRUE),</v>
      </c>
    </row>
    <row r="188" spans="1:31">
      <c r="A188" s="4" t="s">
        <v>394</v>
      </c>
      <c r="B188" s="4" t="s">
        <v>395</v>
      </c>
      <c r="C188" s="5">
        <v>35</v>
      </c>
      <c r="D188" s="5">
        <v>40</v>
      </c>
      <c r="E188" s="5">
        <v>100</v>
      </c>
      <c r="F188" s="5">
        <v>90</v>
      </c>
      <c r="G188" s="5">
        <v>55</v>
      </c>
      <c r="H188" s="5">
        <v>35</v>
      </c>
      <c r="I188" s="5"/>
      <c r="J188" s="4" t="s">
        <v>196</v>
      </c>
      <c r="K188" s="4" t="s">
        <v>55</v>
      </c>
      <c r="L188" s="4" t="s">
        <v>32</v>
      </c>
      <c r="M188" s="5"/>
      <c r="N188" s="5"/>
      <c r="O188" s="5" t="b">
        <v>1</v>
      </c>
      <c r="P188" s="4" t="str">
        <f>IF(A188="",IF(ISNUMBER(SEARCH("NOT NULL",UPPER(A$3))),"''","null"),SUBSTITUTE(VLOOKUP(A$2,convert!$A$1:$B$4,2,0),"@@@",A188))</f>
        <v>'0138N01'</v>
      </c>
      <c r="Q188" s="4" t="str">
        <f>IF(B188="",IF(ISNUMBER(SEARCH("NOT NULL",UPPER(B$3))),"''","null"),SUBSTITUTE(VLOOKUP(B$2,convert!$A$1:$B$4,2,0),"@@@",B188))</f>
        <v>'オムナイト'</v>
      </c>
      <c r="R188" s="4" t="str">
        <f>IF(C188="",IF(ISNUMBER(SEARCH("NOT NULL",UPPER(C$3))),"''","null"),SUBSTITUTE(VLOOKUP(C$2,convert!$A$1:$B$4,2,0),"@@@",C188))</f>
        <v>35</v>
      </c>
      <c r="S188" s="4" t="str">
        <f>IF(D188="",IF(ISNUMBER(SEARCH("NOT NULL",UPPER(D$3))),"''","null"),SUBSTITUTE(VLOOKUP(D$2,convert!$A$1:$B$4,2,0),"@@@",D188))</f>
        <v>40</v>
      </c>
      <c r="T188" s="4" t="str">
        <f>IF(E188="",IF(ISNUMBER(SEARCH("NOT NULL",UPPER(E$3))),"''","null"),SUBSTITUTE(VLOOKUP(E$2,convert!$A$1:$B$4,2,0),"@@@",E188))</f>
        <v>100</v>
      </c>
      <c r="U188" s="4" t="str">
        <f>IF(F188="",IF(ISNUMBER(SEARCH("NOT NULL",UPPER(F$3))),"''","null"),SUBSTITUTE(VLOOKUP(F$2,convert!$A$1:$B$4,2,0),"@@@",F188))</f>
        <v>90</v>
      </c>
      <c r="V188" s="4" t="str">
        <f>IF(G188="",IF(ISNUMBER(SEARCH("NOT NULL",UPPER(G$3))),"''","null"),SUBSTITUTE(VLOOKUP(G$2,convert!$A$1:$B$4,2,0),"@@@",G188))</f>
        <v>55</v>
      </c>
      <c r="W188" s="4" t="str">
        <f>IF(H188="",IF(ISNUMBER(SEARCH("NOT NULL",UPPER(H$3))),"''","null"),SUBSTITUTE(VLOOKUP(H$2,convert!$A$1:$B$4,2,0),"@@@",H188))</f>
        <v>35</v>
      </c>
      <c r="X188" s="4" t="str">
        <f>IF(I188="",IF(ISNUMBER(SEARCH("NOT NULL",UPPER(I$3))),"''","null"),SUBSTITUTE(VLOOKUP(I$2,convert!$A$1:$B$4,2,0),"@@@",I188))</f>
        <v>''</v>
      </c>
      <c r="Y188" s="4" t="str">
        <f>IF(J188="",IF(ISNUMBER(SEARCH("NOT NULL",UPPER(J$3))),"''","null"),SUBSTITUTE(VLOOKUP(J$2,convert!$A$1:$B$4,2,0),"@@@",J188))</f>
        <v>'rock'</v>
      </c>
      <c r="Z188" s="4" t="str">
        <f>IF(K188="",IF(ISNUMBER(SEARCH("NOT NULL",UPPER(K$3))),"''","null"),SUBSTITUTE(VLOOKUP(K$2,convert!$A$1:$B$4,2,0),"@@@",K188))</f>
        <v>'water'</v>
      </c>
      <c r="AA188" s="4" t="str">
        <f>IF(L188="",IF(ISNUMBER(SEARCH("NOT NULL",UPPER(L$3))),"''","null"),SUBSTITUTE(VLOOKUP(L$2,convert!$A$1:$B$4,2,0),"@@@",L188))</f>
        <v>'g1'</v>
      </c>
      <c r="AB188" s="4" t="str">
        <f>IF(M188="",IF(ISNUMBER(SEARCH("NOT NULL",UPPER(M$3))),"''","null"),SUBSTITUTE(VLOOKUP(M$2,convert!$A$1:$B$4,2,0),"@@@",M188))</f>
        <v>null</v>
      </c>
      <c r="AC188" s="4" t="str">
        <f>IF(N188="",IF(ISNUMBER(SEARCH("NOT NULL",UPPER(N$3))),"''","null"),SUBSTITUTE(VLOOKUP(N$2,convert!$A$1:$B$4,2,0),"@@@",N188))</f>
        <v>null</v>
      </c>
      <c r="AD188" s="4" t="str">
        <f>IF(O188="",IF(ISNUMBER(SEARCH("NOT NULL",UPPER(O$3))),"''","null"),SUBSTITUTE(VLOOKUP(O$2,convert!$A$1:$B$4,2,0),"@@@",O188))</f>
        <v>TRUE</v>
      </c>
      <c r="AE188" s="4" t="str">
        <f t="shared" si="2"/>
        <v>    ('0138N01', 'オムナイト', 35, 40, 100, 90, 55, 35, '', 'rock', 'water', 'g1', null, null, TRUE),</v>
      </c>
    </row>
    <row r="189" spans="1:31">
      <c r="A189" s="4" t="s">
        <v>396</v>
      </c>
      <c r="B189" s="4" t="s">
        <v>397</v>
      </c>
      <c r="C189" s="5">
        <v>70</v>
      </c>
      <c r="D189" s="5">
        <v>60</v>
      </c>
      <c r="E189" s="5">
        <v>125</v>
      </c>
      <c r="F189" s="5">
        <v>115</v>
      </c>
      <c r="G189" s="5">
        <v>70</v>
      </c>
      <c r="H189" s="5">
        <v>55</v>
      </c>
      <c r="I189" s="5"/>
      <c r="J189" s="4" t="s">
        <v>196</v>
      </c>
      <c r="K189" s="4" t="s">
        <v>55</v>
      </c>
      <c r="L189" s="4" t="s">
        <v>32</v>
      </c>
      <c r="M189" s="5"/>
      <c r="N189" s="5"/>
      <c r="O189" s="5" t="b">
        <v>1</v>
      </c>
      <c r="P189" s="4" t="str">
        <f>IF(A189="",IF(ISNUMBER(SEARCH("NOT NULL",UPPER(A$3))),"''","null"),SUBSTITUTE(VLOOKUP(A$2,convert!$A$1:$B$4,2,0),"@@@",A189))</f>
        <v>'0139N01'</v>
      </c>
      <c r="Q189" s="4" t="str">
        <f>IF(B189="",IF(ISNUMBER(SEARCH("NOT NULL",UPPER(B$3))),"''","null"),SUBSTITUTE(VLOOKUP(B$2,convert!$A$1:$B$4,2,0),"@@@",B189))</f>
        <v>'オムスター'</v>
      </c>
      <c r="R189" s="4" t="str">
        <f>IF(C189="",IF(ISNUMBER(SEARCH("NOT NULL",UPPER(C$3))),"''","null"),SUBSTITUTE(VLOOKUP(C$2,convert!$A$1:$B$4,2,0),"@@@",C189))</f>
        <v>70</v>
      </c>
      <c r="S189" s="4" t="str">
        <f>IF(D189="",IF(ISNUMBER(SEARCH("NOT NULL",UPPER(D$3))),"''","null"),SUBSTITUTE(VLOOKUP(D$2,convert!$A$1:$B$4,2,0),"@@@",D189))</f>
        <v>60</v>
      </c>
      <c r="T189" s="4" t="str">
        <f>IF(E189="",IF(ISNUMBER(SEARCH("NOT NULL",UPPER(E$3))),"''","null"),SUBSTITUTE(VLOOKUP(E$2,convert!$A$1:$B$4,2,0),"@@@",E189))</f>
        <v>125</v>
      </c>
      <c r="U189" s="4" t="str">
        <f>IF(F189="",IF(ISNUMBER(SEARCH("NOT NULL",UPPER(F$3))),"''","null"),SUBSTITUTE(VLOOKUP(F$2,convert!$A$1:$B$4,2,0),"@@@",F189))</f>
        <v>115</v>
      </c>
      <c r="V189" s="4" t="str">
        <f>IF(G189="",IF(ISNUMBER(SEARCH("NOT NULL",UPPER(G$3))),"''","null"),SUBSTITUTE(VLOOKUP(G$2,convert!$A$1:$B$4,2,0),"@@@",G189))</f>
        <v>70</v>
      </c>
      <c r="W189" s="4" t="str">
        <f>IF(H189="",IF(ISNUMBER(SEARCH("NOT NULL",UPPER(H$3))),"''","null"),SUBSTITUTE(VLOOKUP(H$2,convert!$A$1:$B$4,2,0),"@@@",H189))</f>
        <v>55</v>
      </c>
      <c r="X189" s="4" t="str">
        <f>IF(I189="",IF(ISNUMBER(SEARCH("NOT NULL",UPPER(I$3))),"''","null"),SUBSTITUTE(VLOOKUP(I$2,convert!$A$1:$B$4,2,0),"@@@",I189))</f>
        <v>''</v>
      </c>
      <c r="Y189" s="4" t="str">
        <f>IF(J189="",IF(ISNUMBER(SEARCH("NOT NULL",UPPER(J$3))),"''","null"),SUBSTITUTE(VLOOKUP(J$2,convert!$A$1:$B$4,2,0),"@@@",J189))</f>
        <v>'rock'</v>
      </c>
      <c r="Z189" s="4" t="str">
        <f>IF(K189="",IF(ISNUMBER(SEARCH("NOT NULL",UPPER(K$3))),"''","null"),SUBSTITUTE(VLOOKUP(K$2,convert!$A$1:$B$4,2,0),"@@@",K189))</f>
        <v>'water'</v>
      </c>
      <c r="AA189" s="4" t="str">
        <f>IF(L189="",IF(ISNUMBER(SEARCH("NOT NULL",UPPER(L$3))),"''","null"),SUBSTITUTE(VLOOKUP(L$2,convert!$A$1:$B$4,2,0),"@@@",L189))</f>
        <v>'g1'</v>
      </c>
      <c r="AB189" s="4" t="str">
        <f>IF(M189="",IF(ISNUMBER(SEARCH("NOT NULL",UPPER(M$3))),"''","null"),SUBSTITUTE(VLOOKUP(M$2,convert!$A$1:$B$4,2,0),"@@@",M189))</f>
        <v>null</v>
      </c>
      <c r="AC189" s="4" t="str">
        <f>IF(N189="",IF(ISNUMBER(SEARCH("NOT NULL",UPPER(N$3))),"''","null"),SUBSTITUTE(VLOOKUP(N$2,convert!$A$1:$B$4,2,0),"@@@",N189))</f>
        <v>null</v>
      </c>
      <c r="AD189" s="4" t="str">
        <f>IF(O189="",IF(ISNUMBER(SEARCH("NOT NULL",UPPER(O$3))),"''","null"),SUBSTITUTE(VLOOKUP(O$2,convert!$A$1:$B$4,2,0),"@@@",O189))</f>
        <v>TRUE</v>
      </c>
      <c r="AE189" s="4" t="str">
        <f t="shared" si="2"/>
        <v>    ('0139N01', 'オムスター', 70, 60, 125, 115, 70, 55, '', 'rock', 'water', 'g1', null, null, TRUE),</v>
      </c>
    </row>
    <row r="190" spans="1:31">
      <c r="A190" s="4" t="s">
        <v>398</v>
      </c>
      <c r="B190" s="4" t="s">
        <v>399</v>
      </c>
      <c r="C190" s="5">
        <v>30</v>
      </c>
      <c r="D190" s="5">
        <v>80</v>
      </c>
      <c r="E190" s="5">
        <v>90</v>
      </c>
      <c r="F190" s="5">
        <v>55</v>
      </c>
      <c r="G190" s="5">
        <v>45</v>
      </c>
      <c r="H190" s="5">
        <v>55</v>
      </c>
      <c r="I190" s="5"/>
      <c r="J190" s="4" t="s">
        <v>196</v>
      </c>
      <c r="K190" s="4" t="s">
        <v>55</v>
      </c>
      <c r="L190" s="4" t="s">
        <v>32</v>
      </c>
      <c r="M190" s="5"/>
      <c r="N190" s="5"/>
      <c r="O190" s="5" t="b">
        <v>1</v>
      </c>
      <c r="P190" s="4" t="str">
        <f>IF(A190="",IF(ISNUMBER(SEARCH("NOT NULL",UPPER(A$3))),"''","null"),SUBSTITUTE(VLOOKUP(A$2,convert!$A$1:$B$4,2,0),"@@@",A190))</f>
        <v>'0140N01'</v>
      </c>
      <c r="Q190" s="4" t="str">
        <f>IF(B190="",IF(ISNUMBER(SEARCH("NOT NULL",UPPER(B$3))),"''","null"),SUBSTITUTE(VLOOKUP(B$2,convert!$A$1:$B$4,2,0),"@@@",B190))</f>
        <v>'カブト'</v>
      </c>
      <c r="R190" s="4" t="str">
        <f>IF(C190="",IF(ISNUMBER(SEARCH("NOT NULL",UPPER(C$3))),"''","null"),SUBSTITUTE(VLOOKUP(C$2,convert!$A$1:$B$4,2,0),"@@@",C190))</f>
        <v>30</v>
      </c>
      <c r="S190" s="4" t="str">
        <f>IF(D190="",IF(ISNUMBER(SEARCH("NOT NULL",UPPER(D$3))),"''","null"),SUBSTITUTE(VLOOKUP(D$2,convert!$A$1:$B$4,2,0),"@@@",D190))</f>
        <v>80</v>
      </c>
      <c r="T190" s="4" t="str">
        <f>IF(E190="",IF(ISNUMBER(SEARCH("NOT NULL",UPPER(E$3))),"''","null"),SUBSTITUTE(VLOOKUP(E$2,convert!$A$1:$B$4,2,0),"@@@",E190))</f>
        <v>90</v>
      </c>
      <c r="U190" s="4" t="str">
        <f>IF(F190="",IF(ISNUMBER(SEARCH("NOT NULL",UPPER(F$3))),"''","null"),SUBSTITUTE(VLOOKUP(F$2,convert!$A$1:$B$4,2,0),"@@@",F190))</f>
        <v>55</v>
      </c>
      <c r="V190" s="4" t="str">
        <f>IF(G190="",IF(ISNUMBER(SEARCH("NOT NULL",UPPER(G$3))),"''","null"),SUBSTITUTE(VLOOKUP(G$2,convert!$A$1:$B$4,2,0),"@@@",G190))</f>
        <v>45</v>
      </c>
      <c r="W190" s="4" t="str">
        <f>IF(H190="",IF(ISNUMBER(SEARCH("NOT NULL",UPPER(H$3))),"''","null"),SUBSTITUTE(VLOOKUP(H$2,convert!$A$1:$B$4,2,0),"@@@",H190))</f>
        <v>55</v>
      </c>
      <c r="X190" s="4" t="str">
        <f>IF(I190="",IF(ISNUMBER(SEARCH("NOT NULL",UPPER(I$3))),"''","null"),SUBSTITUTE(VLOOKUP(I$2,convert!$A$1:$B$4,2,0),"@@@",I190))</f>
        <v>''</v>
      </c>
      <c r="Y190" s="4" t="str">
        <f>IF(J190="",IF(ISNUMBER(SEARCH("NOT NULL",UPPER(J$3))),"''","null"),SUBSTITUTE(VLOOKUP(J$2,convert!$A$1:$B$4,2,0),"@@@",J190))</f>
        <v>'rock'</v>
      </c>
      <c r="Z190" s="4" t="str">
        <f>IF(K190="",IF(ISNUMBER(SEARCH("NOT NULL",UPPER(K$3))),"''","null"),SUBSTITUTE(VLOOKUP(K$2,convert!$A$1:$B$4,2,0),"@@@",K190))</f>
        <v>'water'</v>
      </c>
      <c r="AA190" s="4" t="str">
        <f>IF(L190="",IF(ISNUMBER(SEARCH("NOT NULL",UPPER(L$3))),"''","null"),SUBSTITUTE(VLOOKUP(L$2,convert!$A$1:$B$4,2,0),"@@@",L190))</f>
        <v>'g1'</v>
      </c>
      <c r="AB190" s="4" t="str">
        <f>IF(M190="",IF(ISNUMBER(SEARCH("NOT NULL",UPPER(M$3))),"''","null"),SUBSTITUTE(VLOOKUP(M$2,convert!$A$1:$B$4,2,0),"@@@",M190))</f>
        <v>null</v>
      </c>
      <c r="AC190" s="4" t="str">
        <f>IF(N190="",IF(ISNUMBER(SEARCH("NOT NULL",UPPER(N$3))),"''","null"),SUBSTITUTE(VLOOKUP(N$2,convert!$A$1:$B$4,2,0),"@@@",N190))</f>
        <v>null</v>
      </c>
      <c r="AD190" s="4" t="str">
        <f>IF(O190="",IF(ISNUMBER(SEARCH("NOT NULL",UPPER(O$3))),"''","null"),SUBSTITUTE(VLOOKUP(O$2,convert!$A$1:$B$4,2,0),"@@@",O190))</f>
        <v>TRUE</v>
      </c>
      <c r="AE190" s="4" t="str">
        <f t="shared" si="2"/>
        <v>    ('0140N01', 'カブト', 30, 80, 90, 55, 45, 55, '', 'rock', 'water', 'g1', null, null, TRUE),</v>
      </c>
    </row>
    <row r="191" spans="1:31">
      <c r="A191" s="4" t="s">
        <v>400</v>
      </c>
      <c r="B191" s="4" t="s">
        <v>401</v>
      </c>
      <c r="C191" s="5">
        <v>60</v>
      </c>
      <c r="D191" s="5">
        <v>115</v>
      </c>
      <c r="E191" s="5">
        <v>105</v>
      </c>
      <c r="F191" s="5">
        <v>65</v>
      </c>
      <c r="G191" s="5">
        <v>70</v>
      </c>
      <c r="H191" s="5">
        <v>80</v>
      </c>
      <c r="I191" s="5"/>
      <c r="J191" s="4" t="s">
        <v>196</v>
      </c>
      <c r="K191" s="4" t="s">
        <v>55</v>
      </c>
      <c r="L191" s="4" t="s">
        <v>32</v>
      </c>
      <c r="M191" s="5"/>
      <c r="N191" s="5"/>
      <c r="O191" s="5" t="b">
        <v>1</v>
      </c>
      <c r="P191" s="4" t="str">
        <f>IF(A191="",IF(ISNUMBER(SEARCH("NOT NULL",UPPER(A$3))),"''","null"),SUBSTITUTE(VLOOKUP(A$2,convert!$A$1:$B$4,2,0),"@@@",A191))</f>
        <v>'0141N01'</v>
      </c>
      <c r="Q191" s="4" t="str">
        <f>IF(B191="",IF(ISNUMBER(SEARCH("NOT NULL",UPPER(B$3))),"''","null"),SUBSTITUTE(VLOOKUP(B$2,convert!$A$1:$B$4,2,0),"@@@",B191))</f>
        <v>'カブトプス'</v>
      </c>
      <c r="R191" s="4" t="str">
        <f>IF(C191="",IF(ISNUMBER(SEARCH("NOT NULL",UPPER(C$3))),"''","null"),SUBSTITUTE(VLOOKUP(C$2,convert!$A$1:$B$4,2,0),"@@@",C191))</f>
        <v>60</v>
      </c>
      <c r="S191" s="4" t="str">
        <f>IF(D191="",IF(ISNUMBER(SEARCH("NOT NULL",UPPER(D$3))),"''","null"),SUBSTITUTE(VLOOKUP(D$2,convert!$A$1:$B$4,2,0),"@@@",D191))</f>
        <v>115</v>
      </c>
      <c r="T191" s="4" t="str">
        <f>IF(E191="",IF(ISNUMBER(SEARCH("NOT NULL",UPPER(E$3))),"''","null"),SUBSTITUTE(VLOOKUP(E$2,convert!$A$1:$B$4,2,0),"@@@",E191))</f>
        <v>105</v>
      </c>
      <c r="U191" s="4" t="str">
        <f>IF(F191="",IF(ISNUMBER(SEARCH("NOT NULL",UPPER(F$3))),"''","null"),SUBSTITUTE(VLOOKUP(F$2,convert!$A$1:$B$4,2,0),"@@@",F191))</f>
        <v>65</v>
      </c>
      <c r="V191" s="4" t="str">
        <f>IF(G191="",IF(ISNUMBER(SEARCH("NOT NULL",UPPER(G$3))),"''","null"),SUBSTITUTE(VLOOKUP(G$2,convert!$A$1:$B$4,2,0),"@@@",G191))</f>
        <v>70</v>
      </c>
      <c r="W191" s="4" t="str">
        <f>IF(H191="",IF(ISNUMBER(SEARCH("NOT NULL",UPPER(H$3))),"''","null"),SUBSTITUTE(VLOOKUP(H$2,convert!$A$1:$B$4,2,0),"@@@",H191))</f>
        <v>80</v>
      </c>
      <c r="X191" s="4" t="str">
        <f>IF(I191="",IF(ISNUMBER(SEARCH("NOT NULL",UPPER(I$3))),"''","null"),SUBSTITUTE(VLOOKUP(I$2,convert!$A$1:$B$4,2,0),"@@@",I191))</f>
        <v>''</v>
      </c>
      <c r="Y191" s="4" t="str">
        <f>IF(J191="",IF(ISNUMBER(SEARCH("NOT NULL",UPPER(J$3))),"''","null"),SUBSTITUTE(VLOOKUP(J$2,convert!$A$1:$B$4,2,0),"@@@",J191))</f>
        <v>'rock'</v>
      </c>
      <c r="Z191" s="4" t="str">
        <f>IF(K191="",IF(ISNUMBER(SEARCH("NOT NULL",UPPER(K$3))),"''","null"),SUBSTITUTE(VLOOKUP(K$2,convert!$A$1:$B$4,2,0),"@@@",K191))</f>
        <v>'water'</v>
      </c>
      <c r="AA191" s="4" t="str">
        <f>IF(L191="",IF(ISNUMBER(SEARCH("NOT NULL",UPPER(L$3))),"''","null"),SUBSTITUTE(VLOOKUP(L$2,convert!$A$1:$B$4,2,0),"@@@",L191))</f>
        <v>'g1'</v>
      </c>
      <c r="AB191" s="4" t="str">
        <f>IF(M191="",IF(ISNUMBER(SEARCH("NOT NULL",UPPER(M$3))),"''","null"),SUBSTITUTE(VLOOKUP(M$2,convert!$A$1:$B$4,2,0),"@@@",M191))</f>
        <v>null</v>
      </c>
      <c r="AC191" s="4" t="str">
        <f>IF(N191="",IF(ISNUMBER(SEARCH("NOT NULL",UPPER(N$3))),"''","null"),SUBSTITUTE(VLOOKUP(N$2,convert!$A$1:$B$4,2,0),"@@@",N191))</f>
        <v>null</v>
      </c>
      <c r="AD191" s="4" t="str">
        <f>IF(O191="",IF(ISNUMBER(SEARCH("NOT NULL",UPPER(O$3))),"''","null"),SUBSTITUTE(VLOOKUP(O$2,convert!$A$1:$B$4,2,0),"@@@",O191))</f>
        <v>TRUE</v>
      </c>
      <c r="AE191" s="4" t="str">
        <f t="shared" si="2"/>
        <v>    ('0141N01', 'カブトプス', 60, 115, 105, 65, 70, 80, '', 'rock', 'water', 'g1', null, null, TRUE),</v>
      </c>
    </row>
    <row r="192" spans="1:31">
      <c r="A192" s="4" t="s">
        <v>402</v>
      </c>
      <c r="B192" s="4" t="s">
        <v>403</v>
      </c>
      <c r="C192" s="5">
        <v>80</v>
      </c>
      <c r="D192" s="5">
        <v>105</v>
      </c>
      <c r="E192" s="5">
        <v>65</v>
      </c>
      <c r="F192" s="5">
        <v>60</v>
      </c>
      <c r="G192" s="5">
        <v>75</v>
      </c>
      <c r="H192" s="5">
        <v>130</v>
      </c>
      <c r="I192" s="5"/>
      <c r="J192" s="4" t="s">
        <v>196</v>
      </c>
      <c r="K192" s="4" t="s">
        <v>47</v>
      </c>
      <c r="L192" s="4" t="s">
        <v>32</v>
      </c>
      <c r="M192" s="5"/>
      <c r="N192" s="5"/>
      <c r="O192" s="5" t="b">
        <v>1</v>
      </c>
      <c r="P192" s="4" t="str">
        <f>IF(A192="",IF(ISNUMBER(SEARCH("NOT NULL",UPPER(A$3))),"''","null"),SUBSTITUTE(VLOOKUP(A$2,convert!$A$1:$B$4,2,0),"@@@",A192))</f>
        <v>'0142N01'</v>
      </c>
      <c r="Q192" s="4" t="str">
        <f>IF(B192="",IF(ISNUMBER(SEARCH("NOT NULL",UPPER(B$3))),"''","null"),SUBSTITUTE(VLOOKUP(B$2,convert!$A$1:$B$4,2,0),"@@@",B192))</f>
        <v>'プテラ'</v>
      </c>
      <c r="R192" s="4" t="str">
        <f>IF(C192="",IF(ISNUMBER(SEARCH("NOT NULL",UPPER(C$3))),"''","null"),SUBSTITUTE(VLOOKUP(C$2,convert!$A$1:$B$4,2,0),"@@@",C192))</f>
        <v>80</v>
      </c>
      <c r="S192" s="4" t="str">
        <f>IF(D192="",IF(ISNUMBER(SEARCH("NOT NULL",UPPER(D$3))),"''","null"),SUBSTITUTE(VLOOKUP(D$2,convert!$A$1:$B$4,2,0),"@@@",D192))</f>
        <v>105</v>
      </c>
      <c r="T192" s="4" t="str">
        <f>IF(E192="",IF(ISNUMBER(SEARCH("NOT NULL",UPPER(E$3))),"''","null"),SUBSTITUTE(VLOOKUP(E$2,convert!$A$1:$B$4,2,0),"@@@",E192))</f>
        <v>65</v>
      </c>
      <c r="U192" s="4" t="str">
        <f>IF(F192="",IF(ISNUMBER(SEARCH("NOT NULL",UPPER(F$3))),"''","null"),SUBSTITUTE(VLOOKUP(F$2,convert!$A$1:$B$4,2,0),"@@@",F192))</f>
        <v>60</v>
      </c>
      <c r="V192" s="4" t="str">
        <f>IF(G192="",IF(ISNUMBER(SEARCH("NOT NULL",UPPER(G$3))),"''","null"),SUBSTITUTE(VLOOKUP(G$2,convert!$A$1:$B$4,2,0),"@@@",G192))</f>
        <v>75</v>
      </c>
      <c r="W192" s="4" t="str">
        <f>IF(H192="",IF(ISNUMBER(SEARCH("NOT NULL",UPPER(H$3))),"''","null"),SUBSTITUTE(VLOOKUP(H$2,convert!$A$1:$B$4,2,0),"@@@",H192))</f>
        <v>130</v>
      </c>
      <c r="X192" s="4" t="str">
        <f>IF(I192="",IF(ISNUMBER(SEARCH("NOT NULL",UPPER(I$3))),"''","null"),SUBSTITUTE(VLOOKUP(I$2,convert!$A$1:$B$4,2,0),"@@@",I192))</f>
        <v>''</v>
      </c>
      <c r="Y192" s="4" t="str">
        <f>IF(J192="",IF(ISNUMBER(SEARCH("NOT NULL",UPPER(J$3))),"''","null"),SUBSTITUTE(VLOOKUP(J$2,convert!$A$1:$B$4,2,0),"@@@",J192))</f>
        <v>'rock'</v>
      </c>
      <c r="Z192" s="4" t="str">
        <f>IF(K192="",IF(ISNUMBER(SEARCH("NOT NULL",UPPER(K$3))),"''","null"),SUBSTITUTE(VLOOKUP(K$2,convert!$A$1:$B$4,2,0),"@@@",K192))</f>
        <v>'flying'</v>
      </c>
      <c r="AA192" s="4" t="str">
        <f>IF(L192="",IF(ISNUMBER(SEARCH("NOT NULL",UPPER(L$3))),"''","null"),SUBSTITUTE(VLOOKUP(L$2,convert!$A$1:$B$4,2,0),"@@@",L192))</f>
        <v>'g1'</v>
      </c>
      <c r="AB192" s="4" t="str">
        <f>IF(M192="",IF(ISNUMBER(SEARCH("NOT NULL",UPPER(M$3))),"''","null"),SUBSTITUTE(VLOOKUP(M$2,convert!$A$1:$B$4,2,0),"@@@",M192))</f>
        <v>null</v>
      </c>
      <c r="AC192" s="4" t="str">
        <f>IF(N192="",IF(ISNUMBER(SEARCH("NOT NULL",UPPER(N$3))),"''","null"),SUBSTITUTE(VLOOKUP(N$2,convert!$A$1:$B$4,2,0),"@@@",N192))</f>
        <v>null</v>
      </c>
      <c r="AD192" s="4" t="str">
        <f>IF(O192="",IF(ISNUMBER(SEARCH("NOT NULL",UPPER(O$3))),"''","null"),SUBSTITUTE(VLOOKUP(O$2,convert!$A$1:$B$4,2,0),"@@@",O192))</f>
        <v>TRUE</v>
      </c>
      <c r="AE192" s="4" t="str">
        <f t="shared" si="2"/>
        <v>    ('0142N01', 'プテラ', 80, 105, 65, 60, 75, 130, '', 'rock', 'flying', 'g1', null, null, TRUE),</v>
      </c>
    </row>
    <row r="193" spans="1:31">
      <c r="A193" s="4" t="s">
        <v>404</v>
      </c>
      <c r="B193" s="4" t="s">
        <v>405</v>
      </c>
      <c r="C193" s="5">
        <v>80</v>
      </c>
      <c r="D193" s="5">
        <v>135</v>
      </c>
      <c r="E193" s="5">
        <v>85</v>
      </c>
      <c r="F193" s="5">
        <v>70</v>
      </c>
      <c r="G193" s="5">
        <v>95</v>
      </c>
      <c r="H193" s="5">
        <v>150</v>
      </c>
      <c r="I193" s="5"/>
      <c r="J193" s="4" t="s">
        <v>196</v>
      </c>
      <c r="K193" s="4" t="s">
        <v>47</v>
      </c>
      <c r="L193" s="4" t="s">
        <v>39</v>
      </c>
      <c r="M193" s="5"/>
      <c r="N193" s="5"/>
      <c r="O193" s="5" t="b">
        <v>1</v>
      </c>
      <c r="P193" s="4" t="str">
        <f>IF(A193="",IF(ISNUMBER(SEARCH("NOT NULL",UPPER(A$3))),"''","null"),SUBSTITUTE(VLOOKUP(A$2,convert!$A$1:$B$4,2,0),"@@@",A193))</f>
        <v>'0142M01'</v>
      </c>
      <c r="Q193" s="4" t="str">
        <f>IF(B193="",IF(ISNUMBER(SEARCH("NOT NULL",UPPER(B$3))),"''","null"),SUBSTITUTE(VLOOKUP(B$2,convert!$A$1:$B$4,2,0),"@@@",B193))</f>
        <v>'メガプテラ'</v>
      </c>
      <c r="R193" s="4" t="str">
        <f>IF(C193="",IF(ISNUMBER(SEARCH("NOT NULL",UPPER(C$3))),"''","null"),SUBSTITUTE(VLOOKUP(C$2,convert!$A$1:$B$4,2,0),"@@@",C193))</f>
        <v>80</v>
      </c>
      <c r="S193" s="4" t="str">
        <f>IF(D193="",IF(ISNUMBER(SEARCH("NOT NULL",UPPER(D$3))),"''","null"),SUBSTITUTE(VLOOKUP(D$2,convert!$A$1:$B$4,2,0),"@@@",D193))</f>
        <v>135</v>
      </c>
      <c r="T193" s="4" t="str">
        <f>IF(E193="",IF(ISNUMBER(SEARCH("NOT NULL",UPPER(E$3))),"''","null"),SUBSTITUTE(VLOOKUP(E$2,convert!$A$1:$B$4,2,0),"@@@",E193))</f>
        <v>85</v>
      </c>
      <c r="U193" s="4" t="str">
        <f>IF(F193="",IF(ISNUMBER(SEARCH("NOT NULL",UPPER(F$3))),"''","null"),SUBSTITUTE(VLOOKUP(F$2,convert!$A$1:$B$4,2,0),"@@@",F193))</f>
        <v>70</v>
      </c>
      <c r="V193" s="4" t="str">
        <f>IF(G193="",IF(ISNUMBER(SEARCH("NOT NULL",UPPER(G$3))),"''","null"),SUBSTITUTE(VLOOKUP(G$2,convert!$A$1:$B$4,2,0),"@@@",G193))</f>
        <v>95</v>
      </c>
      <c r="W193" s="4" t="str">
        <f>IF(H193="",IF(ISNUMBER(SEARCH("NOT NULL",UPPER(H$3))),"''","null"),SUBSTITUTE(VLOOKUP(H$2,convert!$A$1:$B$4,2,0),"@@@",H193))</f>
        <v>150</v>
      </c>
      <c r="X193" s="4" t="str">
        <f>IF(I193="",IF(ISNUMBER(SEARCH("NOT NULL",UPPER(I$3))),"''","null"),SUBSTITUTE(VLOOKUP(I$2,convert!$A$1:$B$4,2,0),"@@@",I193))</f>
        <v>''</v>
      </c>
      <c r="Y193" s="4" t="str">
        <f>IF(J193="",IF(ISNUMBER(SEARCH("NOT NULL",UPPER(J$3))),"''","null"),SUBSTITUTE(VLOOKUP(J$2,convert!$A$1:$B$4,2,0),"@@@",J193))</f>
        <v>'rock'</v>
      </c>
      <c r="Z193" s="4" t="str">
        <f>IF(K193="",IF(ISNUMBER(SEARCH("NOT NULL",UPPER(K$3))),"''","null"),SUBSTITUTE(VLOOKUP(K$2,convert!$A$1:$B$4,2,0),"@@@",K193))</f>
        <v>'flying'</v>
      </c>
      <c r="AA193" s="4" t="str">
        <f>IF(L193="",IF(ISNUMBER(SEARCH("NOT NULL",UPPER(L$3))),"''","null"),SUBSTITUTE(VLOOKUP(L$2,convert!$A$1:$B$4,2,0),"@@@",L193))</f>
        <v>'g6'</v>
      </c>
      <c r="AB193" s="4" t="str">
        <f>IF(M193="",IF(ISNUMBER(SEARCH("NOT NULL",UPPER(M$3))),"''","null"),SUBSTITUTE(VLOOKUP(M$2,convert!$A$1:$B$4,2,0),"@@@",M193))</f>
        <v>null</v>
      </c>
      <c r="AC193" s="4" t="str">
        <f>IF(N193="",IF(ISNUMBER(SEARCH("NOT NULL",UPPER(N$3))),"''","null"),SUBSTITUTE(VLOOKUP(N$2,convert!$A$1:$B$4,2,0),"@@@",N193))</f>
        <v>null</v>
      </c>
      <c r="AD193" s="4" t="str">
        <f>IF(O193="",IF(ISNUMBER(SEARCH("NOT NULL",UPPER(O$3))),"''","null"),SUBSTITUTE(VLOOKUP(O$2,convert!$A$1:$B$4,2,0),"@@@",O193))</f>
        <v>TRUE</v>
      </c>
      <c r="AE193" s="4" t="str">
        <f t="shared" si="2"/>
        <v>    ('0142M01', 'メガプテラ', 80, 135, 85, 70, 95, 150, '', 'rock', 'flying', 'g6', null, null, TRUE),</v>
      </c>
    </row>
    <row r="194" spans="1:31">
      <c r="A194" s="4" t="s">
        <v>406</v>
      </c>
      <c r="B194" s="4" t="s">
        <v>407</v>
      </c>
      <c r="C194" s="5">
        <v>160</v>
      </c>
      <c r="D194" s="5">
        <v>110</v>
      </c>
      <c r="E194" s="5">
        <v>65</v>
      </c>
      <c r="F194" s="5">
        <v>65</v>
      </c>
      <c r="G194" s="5">
        <v>110</v>
      </c>
      <c r="H194" s="5">
        <v>30</v>
      </c>
      <c r="I194" s="5"/>
      <c r="J194" s="4" t="s">
        <v>80</v>
      </c>
      <c r="K194" s="5"/>
      <c r="L194" s="4" t="s">
        <v>32</v>
      </c>
      <c r="M194" s="5"/>
      <c r="N194" s="5"/>
      <c r="O194" s="5" t="b">
        <v>1</v>
      </c>
      <c r="P194" s="4" t="str">
        <f>IF(A194="",IF(ISNUMBER(SEARCH("NOT NULL",UPPER(A$3))),"''","null"),SUBSTITUTE(VLOOKUP(A$2,convert!$A$1:$B$4,2,0),"@@@",A194))</f>
        <v>'0143N01'</v>
      </c>
      <c r="Q194" s="4" t="str">
        <f>IF(B194="",IF(ISNUMBER(SEARCH("NOT NULL",UPPER(B$3))),"''","null"),SUBSTITUTE(VLOOKUP(B$2,convert!$A$1:$B$4,2,0),"@@@",B194))</f>
        <v>'カビゴン'</v>
      </c>
      <c r="R194" s="4" t="str">
        <f>IF(C194="",IF(ISNUMBER(SEARCH("NOT NULL",UPPER(C$3))),"''","null"),SUBSTITUTE(VLOOKUP(C$2,convert!$A$1:$B$4,2,0),"@@@",C194))</f>
        <v>160</v>
      </c>
      <c r="S194" s="4" t="str">
        <f>IF(D194="",IF(ISNUMBER(SEARCH("NOT NULL",UPPER(D$3))),"''","null"),SUBSTITUTE(VLOOKUP(D$2,convert!$A$1:$B$4,2,0),"@@@",D194))</f>
        <v>110</v>
      </c>
      <c r="T194" s="4" t="str">
        <f>IF(E194="",IF(ISNUMBER(SEARCH("NOT NULL",UPPER(E$3))),"''","null"),SUBSTITUTE(VLOOKUP(E$2,convert!$A$1:$B$4,2,0),"@@@",E194))</f>
        <v>65</v>
      </c>
      <c r="U194" s="4" t="str">
        <f>IF(F194="",IF(ISNUMBER(SEARCH("NOT NULL",UPPER(F$3))),"''","null"),SUBSTITUTE(VLOOKUP(F$2,convert!$A$1:$B$4,2,0),"@@@",F194))</f>
        <v>65</v>
      </c>
      <c r="V194" s="4" t="str">
        <f>IF(G194="",IF(ISNUMBER(SEARCH("NOT NULL",UPPER(G$3))),"''","null"),SUBSTITUTE(VLOOKUP(G$2,convert!$A$1:$B$4,2,0),"@@@",G194))</f>
        <v>110</v>
      </c>
      <c r="W194" s="4" t="str">
        <f>IF(H194="",IF(ISNUMBER(SEARCH("NOT NULL",UPPER(H$3))),"''","null"),SUBSTITUTE(VLOOKUP(H$2,convert!$A$1:$B$4,2,0),"@@@",H194))</f>
        <v>30</v>
      </c>
      <c r="X194" s="4" t="str">
        <f>IF(I194="",IF(ISNUMBER(SEARCH("NOT NULL",UPPER(I$3))),"''","null"),SUBSTITUTE(VLOOKUP(I$2,convert!$A$1:$B$4,2,0),"@@@",I194))</f>
        <v>''</v>
      </c>
      <c r="Y194" s="4" t="str">
        <f>IF(J194="",IF(ISNUMBER(SEARCH("NOT NULL",UPPER(J$3))),"''","null"),SUBSTITUTE(VLOOKUP(J$2,convert!$A$1:$B$4,2,0),"@@@",J194))</f>
        <v>'normal'</v>
      </c>
      <c r="Z194" s="4" t="str">
        <f>IF(K194="",IF(ISNUMBER(SEARCH("NOT NULL",UPPER(K$3))),"''","null"),SUBSTITUTE(VLOOKUP(K$2,convert!$A$1:$B$4,2,0),"@@@",K194))</f>
        <v>null</v>
      </c>
      <c r="AA194" s="4" t="str">
        <f>IF(L194="",IF(ISNUMBER(SEARCH("NOT NULL",UPPER(L$3))),"''","null"),SUBSTITUTE(VLOOKUP(L$2,convert!$A$1:$B$4,2,0),"@@@",L194))</f>
        <v>'g1'</v>
      </c>
      <c r="AB194" s="4" t="str">
        <f>IF(M194="",IF(ISNUMBER(SEARCH("NOT NULL",UPPER(M$3))),"''","null"),SUBSTITUTE(VLOOKUP(M$2,convert!$A$1:$B$4,2,0),"@@@",M194))</f>
        <v>null</v>
      </c>
      <c r="AC194" s="4" t="str">
        <f>IF(N194="",IF(ISNUMBER(SEARCH("NOT NULL",UPPER(N$3))),"''","null"),SUBSTITUTE(VLOOKUP(N$2,convert!$A$1:$B$4,2,0),"@@@",N194))</f>
        <v>null</v>
      </c>
      <c r="AD194" s="4" t="str">
        <f>IF(O194="",IF(ISNUMBER(SEARCH("NOT NULL",UPPER(O$3))),"''","null"),SUBSTITUTE(VLOOKUP(O$2,convert!$A$1:$B$4,2,0),"@@@",O194))</f>
        <v>TRUE</v>
      </c>
      <c r="AE194" s="4" t="str">
        <f t="shared" si="2"/>
        <v>    ('0143N01', 'カビゴン', 160, 110, 65, 65, 110, 30, '', 'normal', null, 'g1', null, null, TRUE),</v>
      </c>
    </row>
    <row r="195" spans="1:31">
      <c r="A195" s="4" t="s">
        <v>408</v>
      </c>
      <c r="B195" s="4" t="s">
        <v>409</v>
      </c>
      <c r="C195" s="5">
        <v>90</v>
      </c>
      <c r="D195" s="5">
        <v>85</v>
      </c>
      <c r="E195" s="5">
        <v>100</v>
      </c>
      <c r="F195" s="5">
        <v>95</v>
      </c>
      <c r="G195" s="5">
        <v>125</v>
      </c>
      <c r="H195" s="5">
        <v>85</v>
      </c>
      <c r="I195" s="5"/>
      <c r="J195" s="4" t="s">
        <v>118</v>
      </c>
      <c r="K195" s="4" t="s">
        <v>47</v>
      </c>
      <c r="L195" s="4" t="s">
        <v>32</v>
      </c>
      <c r="M195" s="5"/>
      <c r="N195" s="5"/>
      <c r="O195" s="5" t="b">
        <v>1</v>
      </c>
      <c r="P195" s="4" t="str">
        <f>IF(A195="",IF(ISNUMBER(SEARCH("NOT NULL",UPPER(A$3))),"''","null"),SUBSTITUTE(VLOOKUP(A$2,convert!$A$1:$B$4,2,0),"@@@",A195))</f>
        <v>'0144N01'</v>
      </c>
      <c r="Q195" s="4" t="str">
        <f>IF(B195="",IF(ISNUMBER(SEARCH("NOT NULL",UPPER(B$3))),"''","null"),SUBSTITUTE(VLOOKUP(B$2,convert!$A$1:$B$4,2,0),"@@@",B195))</f>
        <v>'フリーザー'</v>
      </c>
      <c r="R195" s="4" t="str">
        <f>IF(C195="",IF(ISNUMBER(SEARCH("NOT NULL",UPPER(C$3))),"''","null"),SUBSTITUTE(VLOOKUP(C$2,convert!$A$1:$B$4,2,0),"@@@",C195))</f>
        <v>90</v>
      </c>
      <c r="S195" s="4" t="str">
        <f>IF(D195="",IF(ISNUMBER(SEARCH("NOT NULL",UPPER(D$3))),"''","null"),SUBSTITUTE(VLOOKUP(D$2,convert!$A$1:$B$4,2,0),"@@@",D195))</f>
        <v>85</v>
      </c>
      <c r="T195" s="4" t="str">
        <f>IF(E195="",IF(ISNUMBER(SEARCH("NOT NULL",UPPER(E$3))),"''","null"),SUBSTITUTE(VLOOKUP(E$2,convert!$A$1:$B$4,2,0),"@@@",E195))</f>
        <v>100</v>
      </c>
      <c r="U195" s="4" t="str">
        <f>IF(F195="",IF(ISNUMBER(SEARCH("NOT NULL",UPPER(F$3))),"''","null"),SUBSTITUTE(VLOOKUP(F$2,convert!$A$1:$B$4,2,0),"@@@",F195))</f>
        <v>95</v>
      </c>
      <c r="V195" s="4" t="str">
        <f>IF(G195="",IF(ISNUMBER(SEARCH("NOT NULL",UPPER(G$3))),"''","null"),SUBSTITUTE(VLOOKUP(G$2,convert!$A$1:$B$4,2,0),"@@@",G195))</f>
        <v>125</v>
      </c>
      <c r="W195" s="4" t="str">
        <f>IF(H195="",IF(ISNUMBER(SEARCH("NOT NULL",UPPER(H$3))),"''","null"),SUBSTITUTE(VLOOKUP(H$2,convert!$A$1:$B$4,2,0),"@@@",H195))</f>
        <v>85</v>
      </c>
      <c r="X195" s="4" t="str">
        <f>IF(I195="",IF(ISNUMBER(SEARCH("NOT NULL",UPPER(I$3))),"''","null"),SUBSTITUTE(VLOOKUP(I$2,convert!$A$1:$B$4,2,0),"@@@",I195))</f>
        <v>''</v>
      </c>
      <c r="Y195" s="4" t="str">
        <f>IF(J195="",IF(ISNUMBER(SEARCH("NOT NULL",UPPER(J$3))),"''","null"),SUBSTITUTE(VLOOKUP(J$2,convert!$A$1:$B$4,2,0),"@@@",J195))</f>
        <v>'ice'</v>
      </c>
      <c r="Z195" s="4" t="str">
        <f>IF(K195="",IF(ISNUMBER(SEARCH("NOT NULL",UPPER(K$3))),"''","null"),SUBSTITUTE(VLOOKUP(K$2,convert!$A$1:$B$4,2,0),"@@@",K195))</f>
        <v>'flying'</v>
      </c>
      <c r="AA195" s="4" t="str">
        <f>IF(L195="",IF(ISNUMBER(SEARCH("NOT NULL",UPPER(L$3))),"''","null"),SUBSTITUTE(VLOOKUP(L$2,convert!$A$1:$B$4,2,0),"@@@",L195))</f>
        <v>'g1'</v>
      </c>
      <c r="AB195" s="4" t="str">
        <f>IF(M195="",IF(ISNUMBER(SEARCH("NOT NULL",UPPER(M$3))),"''","null"),SUBSTITUTE(VLOOKUP(M$2,convert!$A$1:$B$4,2,0),"@@@",M195))</f>
        <v>null</v>
      </c>
      <c r="AC195" s="4" t="str">
        <f>IF(N195="",IF(ISNUMBER(SEARCH("NOT NULL",UPPER(N$3))),"''","null"),SUBSTITUTE(VLOOKUP(N$2,convert!$A$1:$B$4,2,0),"@@@",N195))</f>
        <v>null</v>
      </c>
      <c r="AD195" s="4" t="str">
        <f>IF(O195="",IF(ISNUMBER(SEARCH("NOT NULL",UPPER(O$3))),"''","null"),SUBSTITUTE(VLOOKUP(O$2,convert!$A$1:$B$4,2,0),"@@@",O195))</f>
        <v>TRUE</v>
      </c>
      <c r="AE195" s="4" t="str">
        <f t="shared" si="2"/>
        <v>    ('0144N01', 'フリーザー', 90, 85, 100, 95, 125, 85, '', 'ice', 'flying', 'g1', null, null, TRUE),</v>
      </c>
    </row>
    <row r="196" spans="1:31">
      <c r="A196" s="4" t="s">
        <v>410</v>
      </c>
      <c r="B196" s="4" t="s">
        <v>409</v>
      </c>
      <c r="C196" s="5">
        <v>90</v>
      </c>
      <c r="D196" s="5">
        <v>85</v>
      </c>
      <c r="E196" s="5">
        <v>85</v>
      </c>
      <c r="F196" s="5">
        <v>125</v>
      </c>
      <c r="G196" s="5">
        <v>100</v>
      </c>
      <c r="H196" s="5">
        <v>95</v>
      </c>
      <c r="I196" s="4" t="s">
        <v>178</v>
      </c>
      <c r="J196" s="4" t="s">
        <v>113</v>
      </c>
      <c r="K196" s="4" t="s">
        <v>47</v>
      </c>
      <c r="L196" s="4" t="s">
        <v>179</v>
      </c>
      <c r="M196" s="5"/>
      <c r="N196" s="5"/>
      <c r="O196" s="5" t="b">
        <v>1</v>
      </c>
      <c r="P196" s="4" t="str">
        <f>IF(A196="",IF(ISNUMBER(SEARCH("NOT NULL",UPPER(A$3))),"''","null"),SUBSTITUTE(VLOOKUP(A$2,convert!$A$1:$B$4,2,0),"@@@",A196))</f>
        <v>'0144G01'</v>
      </c>
      <c r="Q196" s="4" t="str">
        <f>IF(B196="",IF(ISNUMBER(SEARCH("NOT NULL",UPPER(B$3))),"''","null"),SUBSTITUTE(VLOOKUP(B$2,convert!$A$1:$B$4,2,0),"@@@",B196))</f>
        <v>'フリーザー'</v>
      </c>
      <c r="R196" s="4" t="str">
        <f>IF(C196="",IF(ISNUMBER(SEARCH("NOT NULL",UPPER(C$3))),"''","null"),SUBSTITUTE(VLOOKUP(C$2,convert!$A$1:$B$4,2,0),"@@@",C196))</f>
        <v>90</v>
      </c>
      <c r="S196" s="4" t="str">
        <f>IF(D196="",IF(ISNUMBER(SEARCH("NOT NULL",UPPER(D$3))),"''","null"),SUBSTITUTE(VLOOKUP(D$2,convert!$A$1:$B$4,2,0),"@@@",D196))</f>
        <v>85</v>
      </c>
      <c r="T196" s="4" t="str">
        <f>IF(E196="",IF(ISNUMBER(SEARCH("NOT NULL",UPPER(E$3))),"''","null"),SUBSTITUTE(VLOOKUP(E$2,convert!$A$1:$B$4,2,0),"@@@",E196))</f>
        <v>85</v>
      </c>
      <c r="U196" s="4" t="str">
        <f>IF(F196="",IF(ISNUMBER(SEARCH("NOT NULL",UPPER(F$3))),"''","null"),SUBSTITUTE(VLOOKUP(F$2,convert!$A$1:$B$4,2,0),"@@@",F196))</f>
        <v>125</v>
      </c>
      <c r="V196" s="4" t="str">
        <f>IF(G196="",IF(ISNUMBER(SEARCH("NOT NULL",UPPER(G$3))),"''","null"),SUBSTITUTE(VLOOKUP(G$2,convert!$A$1:$B$4,2,0),"@@@",G196))</f>
        <v>100</v>
      </c>
      <c r="W196" s="4" t="str">
        <f>IF(H196="",IF(ISNUMBER(SEARCH("NOT NULL",UPPER(H$3))),"''","null"),SUBSTITUTE(VLOOKUP(H$2,convert!$A$1:$B$4,2,0),"@@@",H196))</f>
        <v>95</v>
      </c>
      <c r="X196" s="4" t="str">
        <f>IF(I196="",IF(ISNUMBER(SEARCH("NOT NULL",UPPER(I$3))),"''","null"),SUBSTITUTE(VLOOKUP(I$2,convert!$A$1:$B$4,2,0),"@@@",I196))</f>
        <v>'ガラルのすがた'</v>
      </c>
      <c r="Y196" s="4" t="str">
        <f>IF(J196="",IF(ISNUMBER(SEARCH("NOT NULL",UPPER(J$3))),"''","null"),SUBSTITUTE(VLOOKUP(J$2,convert!$A$1:$B$4,2,0),"@@@",J196))</f>
        <v>'psychic'</v>
      </c>
      <c r="Z196" s="4" t="str">
        <f>IF(K196="",IF(ISNUMBER(SEARCH("NOT NULL",UPPER(K$3))),"''","null"),SUBSTITUTE(VLOOKUP(K$2,convert!$A$1:$B$4,2,0),"@@@",K196))</f>
        <v>'flying'</v>
      </c>
      <c r="AA196" s="4" t="str">
        <f>IF(L196="",IF(ISNUMBER(SEARCH("NOT NULL",UPPER(L$3))),"''","null"),SUBSTITUTE(VLOOKUP(L$2,convert!$A$1:$B$4,2,0),"@@@",L196))</f>
        <v>'g8'</v>
      </c>
      <c r="AB196" s="4" t="str">
        <f>IF(M196="",IF(ISNUMBER(SEARCH("NOT NULL",UPPER(M$3))),"''","null"),SUBSTITUTE(VLOOKUP(M$2,convert!$A$1:$B$4,2,0),"@@@",M196))</f>
        <v>null</v>
      </c>
      <c r="AC196" s="4" t="str">
        <f>IF(N196="",IF(ISNUMBER(SEARCH("NOT NULL",UPPER(N$3))),"''","null"),SUBSTITUTE(VLOOKUP(N$2,convert!$A$1:$B$4,2,0),"@@@",N196))</f>
        <v>null</v>
      </c>
      <c r="AD196" s="4" t="str">
        <f>IF(O196="",IF(ISNUMBER(SEARCH("NOT NULL",UPPER(O$3))),"''","null"),SUBSTITUTE(VLOOKUP(O$2,convert!$A$1:$B$4,2,0),"@@@",O196))</f>
        <v>TRUE</v>
      </c>
      <c r="AE196" s="4" t="str">
        <f t="shared" si="2"/>
        <v>    ('0144G01', 'フリーザー', 90, 85, 85, 125, 100, 95, 'ガラルのすがた', 'psychic', 'flying', 'g8', null, null, TRUE),</v>
      </c>
    </row>
    <row r="197" spans="1:31">
      <c r="A197" s="4" t="s">
        <v>411</v>
      </c>
      <c r="B197" s="4" t="s">
        <v>412</v>
      </c>
      <c r="C197" s="5">
        <v>90</v>
      </c>
      <c r="D197" s="5">
        <v>90</v>
      </c>
      <c r="E197" s="5">
        <v>85</v>
      </c>
      <c r="F197" s="5">
        <v>125</v>
      </c>
      <c r="G197" s="5">
        <v>90</v>
      </c>
      <c r="H197" s="5">
        <v>100</v>
      </c>
      <c r="I197" s="5"/>
      <c r="J197" s="4" t="s">
        <v>106</v>
      </c>
      <c r="K197" s="4" t="s">
        <v>47</v>
      </c>
      <c r="L197" s="4" t="s">
        <v>32</v>
      </c>
      <c r="M197" s="5"/>
      <c r="N197" s="5"/>
      <c r="O197" s="5" t="b">
        <v>1</v>
      </c>
      <c r="P197" s="4" t="str">
        <f>IF(A197="",IF(ISNUMBER(SEARCH("NOT NULL",UPPER(A$3))),"''","null"),SUBSTITUTE(VLOOKUP(A$2,convert!$A$1:$B$4,2,0),"@@@",A197))</f>
        <v>'0145N01'</v>
      </c>
      <c r="Q197" s="4" t="str">
        <f>IF(B197="",IF(ISNUMBER(SEARCH("NOT NULL",UPPER(B$3))),"''","null"),SUBSTITUTE(VLOOKUP(B$2,convert!$A$1:$B$4,2,0),"@@@",B197))</f>
        <v>'サンダー'</v>
      </c>
      <c r="R197" s="4" t="str">
        <f>IF(C197="",IF(ISNUMBER(SEARCH("NOT NULL",UPPER(C$3))),"''","null"),SUBSTITUTE(VLOOKUP(C$2,convert!$A$1:$B$4,2,0),"@@@",C197))</f>
        <v>90</v>
      </c>
      <c r="S197" s="4" t="str">
        <f>IF(D197="",IF(ISNUMBER(SEARCH("NOT NULL",UPPER(D$3))),"''","null"),SUBSTITUTE(VLOOKUP(D$2,convert!$A$1:$B$4,2,0),"@@@",D197))</f>
        <v>90</v>
      </c>
      <c r="T197" s="4" t="str">
        <f>IF(E197="",IF(ISNUMBER(SEARCH("NOT NULL",UPPER(E$3))),"''","null"),SUBSTITUTE(VLOOKUP(E$2,convert!$A$1:$B$4,2,0),"@@@",E197))</f>
        <v>85</v>
      </c>
      <c r="U197" s="4" t="str">
        <f>IF(F197="",IF(ISNUMBER(SEARCH("NOT NULL",UPPER(F$3))),"''","null"),SUBSTITUTE(VLOOKUP(F$2,convert!$A$1:$B$4,2,0),"@@@",F197))</f>
        <v>125</v>
      </c>
      <c r="V197" s="4" t="str">
        <f>IF(G197="",IF(ISNUMBER(SEARCH("NOT NULL",UPPER(G$3))),"''","null"),SUBSTITUTE(VLOOKUP(G$2,convert!$A$1:$B$4,2,0),"@@@",G197))</f>
        <v>90</v>
      </c>
      <c r="W197" s="4" t="str">
        <f>IF(H197="",IF(ISNUMBER(SEARCH("NOT NULL",UPPER(H$3))),"''","null"),SUBSTITUTE(VLOOKUP(H$2,convert!$A$1:$B$4,2,0),"@@@",H197))</f>
        <v>100</v>
      </c>
      <c r="X197" s="4" t="str">
        <f>IF(I197="",IF(ISNUMBER(SEARCH("NOT NULL",UPPER(I$3))),"''","null"),SUBSTITUTE(VLOOKUP(I$2,convert!$A$1:$B$4,2,0),"@@@",I197))</f>
        <v>''</v>
      </c>
      <c r="Y197" s="4" t="str">
        <f>IF(J197="",IF(ISNUMBER(SEARCH("NOT NULL",UPPER(J$3))),"''","null"),SUBSTITUTE(VLOOKUP(J$2,convert!$A$1:$B$4,2,0),"@@@",J197))</f>
        <v>'electric'</v>
      </c>
      <c r="Z197" s="4" t="str">
        <f>IF(K197="",IF(ISNUMBER(SEARCH("NOT NULL",UPPER(K$3))),"''","null"),SUBSTITUTE(VLOOKUP(K$2,convert!$A$1:$B$4,2,0),"@@@",K197))</f>
        <v>'flying'</v>
      </c>
      <c r="AA197" s="4" t="str">
        <f>IF(L197="",IF(ISNUMBER(SEARCH("NOT NULL",UPPER(L$3))),"''","null"),SUBSTITUTE(VLOOKUP(L$2,convert!$A$1:$B$4,2,0),"@@@",L197))</f>
        <v>'g1'</v>
      </c>
      <c r="AB197" s="4" t="str">
        <f>IF(M197="",IF(ISNUMBER(SEARCH("NOT NULL",UPPER(M$3))),"''","null"),SUBSTITUTE(VLOOKUP(M$2,convert!$A$1:$B$4,2,0),"@@@",M197))</f>
        <v>null</v>
      </c>
      <c r="AC197" s="4" t="str">
        <f>IF(N197="",IF(ISNUMBER(SEARCH("NOT NULL",UPPER(N$3))),"''","null"),SUBSTITUTE(VLOOKUP(N$2,convert!$A$1:$B$4,2,0),"@@@",N197))</f>
        <v>null</v>
      </c>
      <c r="AD197" s="4" t="str">
        <f>IF(O197="",IF(ISNUMBER(SEARCH("NOT NULL",UPPER(O$3))),"''","null"),SUBSTITUTE(VLOOKUP(O$2,convert!$A$1:$B$4,2,0),"@@@",O197))</f>
        <v>TRUE</v>
      </c>
      <c r="AE197" s="4" t="str">
        <f t="shared" ref="AE197:AE260" si="3">"    ("&amp;_xlfn.TEXTJOIN(", ",FALSE,P197:AD197)&amp;"),"</f>
        <v>    ('0145N01', 'サンダー', 90, 90, 85, 125, 90, 100, '', 'electric', 'flying', 'g1', null, null, TRUE),</v>
      </c>
    </row>
    <row r="198" spans="1:31">
      <c r="A198" s="4" t="s">
        <v>413</v>
      </c>
      <c r="B198" s="4" t="s">
        <v>412</v>
      </c>
      <c r="C198" s="5">
        <v>90</v>
      </c>
      <c r="D198" s="5">
        <v>125</v>
      </c>
      <c r="E198" s="5">
        <v>90</v>
      </c>
      <c r="F198" s="5">
        <v>85</v>
      </c>
      <c r="G198" s="5">
        <v>90</v>
      </c>
      <c r="H198" s="5">
        <v>100</v>
      </c>
      <c r="I198" s="4" t="s">
        <v>178</v>
      </c>
      <c r="J198" s="4" t="s">
        <v>189</v>
      </c>
      <c r="K198" s="4" t="s">
        <v>47</v>
      </c>
      <c r="L198" s="4" t="s">
        <v>179</v>
      </c>
      <c r="M198" s="5"/>
      <c r="N198" s="5"/>
      <c r="O198" s="5" t="b">
        <v>1</v>
      </c>
      <c r="P198" s="4" t="str">
        <f>IF(A198="",IF(ISNUMBER(SEARCH("NOT NULL",UPPER(A$3))),"''","null"),SUBSTITUTE(VLOOKUP(A$2,convert!$A$1:$B$4,2,0),"@@@",A198))</f>
        <v>'0145G01'</v>
      </c>
      <c r="Q198" s="4" t="str">
        <f>IF(B198="",IF(ISNUMBER(SEARCH("NOT NULL",UPPER(B$3))),"''","null"),SUBSTITUTE(VLOOKUP(B$2,convert!$A$1:$B$4,2,0),"@@@",B198))</f>
        <v>'サンダー'</v>
      </c>
      <c r="R198" s="4" t="str">
        <f>IF(C198="",IF(ISNUMBER(SEARCH("NOT NULL",UPPER(C$3))),"''","null"),SUBSTITUTE(VLOOKUP(C$2,convert!$A$1:$B$4,2,0),"@@@",C198))</f>
        <v>90</v>
      </c>
      <c r="S198" s="4" t="str">
        <f>IF(D198="",IF(ISNUMBER(SEARCH("NOT NULL",UPPER(D$3))),"''","null"),SUBSTITUTE(VLOOKUP(D$2,convert!$A$1:$B$4,2,0),"@@@",D198))</f>
        <v>125</v>
      </c>
      <c r="T198" s="4" t="str">
        <f>IF(E198="",IF(ISNUMBER(SEARCH("NOT NULL",UPPER(E$3))),"''","null"),SUBSTITUTE(VLOOKUP(E$2,convert!$A$1:$B$4,2,0),"@@@",E198))</f>
        <v>90</v>
      </c>
      <c r="U198" s="4" t="str">
        <f>IF(F198="",IF(ISNUMBER(SEARCH("NOT NULL",UPPER(F$3))),"''","null"),SUBSTITUTE(VLOOKUP(F$2,convert!$A$1:$B$4,2,0),"@@@",F198))</f>
        <v>85</v>
      </c>
      <c r="V198" s="4" t="str">
        <f>IF(G198="",IF(ISNUMBER(SEARCH("NOT NULL",UPPER(G$3))),"''","null"),SUBSTITUTE(VLOOKUP(G$2,convert!$A$1:$B$4,2,0),"@@@",G198))</f>
        <v>90</v>
      </c>
      <c r="W198" s="4" t="str">
        <f>IF(H198="",IF(ISNUMBER(SEARCH("NOT NULL",UPPER(H$3))),"''","null"),SUBSTITUTE(VLOOKUP(H$2,convert!$A$1:$B$4,2,0),"@@@",H198))</f>
        <v>100</v>
      </c>
      <c r="X198" s="4" t="str">
        <f>IF(I198="",IF(ISNUMBER(SEARCH("NOT NULL",UPPER(I$3))),"''","null"),SUBSTITUTE(VLOOKUP(I$2,convert!$A$1:$B$4,2,0),"@@@",I198))</f>
        <v>'ガラルのすがた'</v>
      </c>
      <c r="Y198" s="4" t="str">
        <f>IF(J198="",IF(ISNUMBER(SEARCH("NOT NULL",UPPER(J$3))),"''","null"),SUBSTITUTE(VLOOKUP(J$2,convert!$A$1:$B$4,2,0),"@@@",J198))</f>
        <v>'fighting'</v>
      </c>
      <c r="Z198" s="4" t="str">
        <f>IF(K198="",IF(ISNUMBER(SEARCH("NOT NULL",UPPER(K$3))),"''","null"),SUBSTITUTE(VLOOKUP(K$2,convert!$A$1:$B$4,2,0),"@@@",K198))</f>
        <v>'flying'</v>
      </c>
      <c r="AA198" s="4" t="str">
        <f>IF(L198="",IF(ISNUMBER(SEARCH("NOT NULL",UPPER(L$3))),"''","null"),SUBSTITUTE(VLOOKUP(L$2,convert!$A$1:$B$4,2,0),"@@@",L198))</f>
        <v>'g8'</v>
      </c>
      <c r="AB198" s="4" t="str">
        <f>IF(M198="",IF(ISNUMBER(SEARCH("NOT NULL",UPPER(M$3))),"''","null"),SUBSTITUTE(VLOOKUP(M$2,convert!$A$1:$B$4,2,0),"@@@",M198))</f>
        <v>null</v>
      </c>
      <c r="AC198" s="4" t="str">
        <f>IF(N198="",IF(ISNUMBER(SEARCH("NOT NULL",UPPER(N$3))),"''","null"),SUBSTITUTE(VLOOKUP(N$2,convert!$A$1:$B$4,2,0),"@@@",N198))</f>
        <v>null</v>
      </c>
      <c r="AD198" s="4" t="str">
        <f>IF(O198="",IF(ISNUMBER(SEARCH("NOT NULL",UPPER(O$3))),"''","null"),SUBSTITUTE(VLOOKUP(O$2,convert!$A$1:$B$4,2,0),"@@@",O198))</f>
        <v>TRUE</v>
      </c>
      <c r="AE198" s="4" t="str">
        <f t="shared" si="3"/>
        <v>    ('0145G01', 'サンダー', 90, 125, 90, 85, 90, 100, 'ガラルのすがた', 'fighting', 'flying', 'g8', null, null, TRUE),</v>
      </c>
    </row>
    <row r="199" spans="1:31">
      <c r="A199" s="4" t="s">
        <v>414</v>
      </c>
      <c r="B199" s="4" t="s">
        <v>415</v>
      </c>
      <c r="C199" s="5">
        <v>90</v>
      </c>
      <c r="D199" s="5">
        <v>100</v>
      </c>
      <c r="E199" s="5">
        <v>90</v>
      </c>
      <c r="F199" s="5">
        <v>125</v>
      </c>
      <c r="G199" s="5">
        <v>85</v>
      </c>
      <c r="H199" s="5">
        <v>90</v>
      </c>
      <c r="I199" s="5"/>
      <c r="J199" s="4" t="s">
        <v>42</v>
      </c>
      <c r="K199" s="4" t="s">
        <v>47</v>
      </c>
      <c r="L199" s="4" t="s">
        <v>32</v>
      </c>
      <c r="M199" s="5"/>
      <c r="N199" s="5"/>
      <c r="O199" s="5" t="b">
        <v>1</v>
      </c>
      <c r="P199" s="4" t="str">
        <f>IF(A199="",IF(ISNUMBER(SEARCH("NOT NULL",UPPER(A$3))),"''","null"),SUBSTITUTE(VLOOKUP(A$2,convert!$A$1:$B$4,2,0),"@@@",A199))</f>
        <v>'0146N01'</v>
      </c>
      <c r="Q199" s="4" t="str">
        <f>IF(B199="",IF(ISNUMBER(SEARCH("NOT NULL",UPPER(B$3))),"''","null"),SUBSTITUTE(VLOOKUP(B$2,convert!$A$1:$B$4,2,0),"@@@",B199))</f>
        <v>'ファイヤー'</v>
      </c>
      <c r="R199" s="4" t="str">
        <f>IF(C199="",IF(ISNUMBER(SEARCH("NOT NULL",UPPER(C$3))),"''","null"),SUBSTITUTE(VLOOKUP(C$2,convert!$A$1:$B$4,2,0),"@@@",C199))</f>
        <v>90</v>
      </c>
      <c r="S199" s="4" t="str">
        <f>IF(D199="",IF(ISNUMBER(SEARCH("NOT NULL",UPPER(D$3))),"''","null"),SUBSTITUTE(VLOOKUP(D$2,convert!$A$1:$B$4,2,0),"@@@",D199))</f>
        <v>100</v>
      </c>
      <c r="T199" s="4" t="str">
        <f>IF(E199="",IF(ISNUMBER(SEARCH("NOT NULL",UPPER(E$3))),"''","null"),SUBSTITUTE(VLOOKUP(E$2,convert!$A$1:$B$4,2,0),"@@@",E199))</f>
        <v>90</v>
      </c>
      <c r="U199" s="4" t="str">
        <f>IF(F199="",IF(ISNUMBER(SEARCH("NOT NULL",UPPER(F$3))),"''","null"),SUBSTITUTE(VLOOKUP(F$2,convert!$A$1:$B$4,2,0),"@@@",F199))</f>
        <v>125</v>
      </c>
      <c r="V199" s="4" t="str">
        <f>IF(G199="",IF(ISNUMBER(SEARCH("NOT NULL",UPPER(G$3))),"''","null"),SUBSTITUTE(VLOOKUP(G$2,convert!$A$1:$B$4,2,0),"@@@",G199))</f>
        <v>85</v>
      </c>
      <c r="W199" s="4" t="str">
        <f>IF(H199="",IF(ISNUMBER(SEARCH("NOT NULL",UPPER(H$3))),"''","null"),SUBSTITUTE(VLOOKUP(H$2,convert!$A$1:$B$4,2,0),"@@@",H199))</f>
        <v>90</v>
      </c>
      <c r="X199" s="4" t="str">
        <f>IF(I199="",IF(ISNUMBER(SEARCH("NOT NULL",UPPER(I$3))),"''","null"),SUBSTITUTE(VLOOKUP(I$2,convert!$A$1:$B$4,2,0),"@@@",I199))</f>
        <v>''</v>
      </c>
      <c r="Y199" s="4" t="str">
        <f>IF(J199="",IF(ISNUMBER(SEARCH("NOT NULL",UPPER(J$3))),"''","null"),SUBSTITUTE(VLOOKUP(J$2,convert!$A$1:$B$4,2,0),"@@@",J199))</f>
        <v>'fire'</v>
      </c>
      <c r="Z199" s="4" t="str">
        <f>IF(K199="",IF(ISNUMBER(SEARCH("NOT NULL",UPPER(K$3))),"''","null"),SUBSTITUTE(VLOOKUP(K$2,convert!$A$1:$B$4,2,0),"@@@",K199))</f>
        <v>'flying'</v>
      </c>
      <c r="AA199" s="4" t="str">
        <f>IF(L199="",IF(ISNUMBER(SEARCH("NOT NULL",UPPER(L$3))),"''","null"),SUBSTITUTE(VLOOKUP(L$2,convert!$A$1:$B$4,2,0),"@@@",L199))</f>
        <v>'g1'</v>
      </c>
      <c r="AB199" s="4" t="str">
        <f>IF(M199="",IF(ISNUMBER(SEARCH("NOT NULL",UPPER(M$3))),"''","null"),SUBSTITUTE(VLOOKUP(M$2,convert!$A$1:$B$4,2,0),"@@@",M199))</f>
        <v>null</v>
      </c>
      <c r="AC199" s="4" t="str">
        <f>IF(N199="",IF(ISNUMBER(SEARCH("NOT NULL",UPPER(N$3))),"''","null"),SUBSTITUTE(VLOOKUP(N$2,convert!$A$1:$B$4,2,0),"@@@",N199))</f>
        <v>null</v>
      </c>
      <c r="AD199" s="4" t="str">
        <f>IF(O199="",IF(ISNUMBER(SEARCH("NOT NULL",UPPER(O$3))),"''","null"),SUBSTITUTE(VLOOKUP(O$2,convert!$A$1:$B$4,2,0),"@@@",O199))</f>
        <v>TRUE</v>
      </c>
      <c r="AE199" s="4" t="str">
        <f t="shared" si="3"/>
        <v>    ('0146N01', 'ファイヤー', 90, 100, 90, 125, 85, 90, '', 'fire', 'flying', 'g1', null, null, TRUE),</v>
      </c>
    </row>
    <row r="200" spans="1:31">
      <c r="A200" s="4" t="s">
        <v>416</v>
      </c>
      <c r="B200" s="4" t="s">
        <v>415</v>
      </c>
      <c r="C200" s="5">
        <v>90</v>
      </c>
      <c r="D200" s="5">
        <v>85</v>
      </c>
      <c r="E200" s="5">
        <v>90</v>
      </c>
      <c r="F200" s="5">
        <v>100</v>
      </c>
      <c r="G200" s="5">
        <v>125</v>
      </c>
      <c r="H200" s="5">
        <v>90</v>
      </c>
      <c r="I200" s="4" t="s">
        <v>178</v>
      </c>
      <c r="J200" s="4" t="s">
        <v>91</v>
      </c>
      <c r="K200" s="4" t="s">
        <v>47</v>
      </c>
      <c r="L200" s="4" t="s">
        <v>179</v>
      </c>
      <c r="M200" s="5"/>
      <c r="N200" s="5"/>
      <c r="O200" s="5" t="b">
        <v>1</v>
      </c>
      <c r="P200" s="4" t="str">
        <f>IF(A200="",IF(ISNUMBER(SEARCH("NOT NULL",UPPER(A$3))),"''","null"),SUBSTITUTE(VLOOKUP(A$2,convert!$A$1:$B$4,2,0),"@@@",A200))</f>
        <v>'0146G01'</v>
      </c>
      <c r="Q200" s="4" t="str">
        <f>IF(B200="",IF(ISNUMBER(SEARCH("NOT NULL",UPPER(B$3))),"''","null"),SUBSTITUTE(VLOOKUP(B$2,convert!$A$1:$B$4,2,0),"@@@",B200))</f>
        <v>'ファイヤー'</v>
      </c>
      <c r="R200" s="4" t="str">
        <f>IF(C200="",IF(ISNUMBER(SEARCH("NOT NULL",UPPER(C$3))),"''","null"),SUBSTITUTE(VLOOKUP(C$2,convert!$A$1:$B$4,2,0),"@@@",C200))</f>
        <v>90</v>
      </c>
      <c r="S200" s="4" t="str">
        <f>IF(D200="",IF(ISNUMBER(SEARCH("NOT NULL",UPPER(D$3))),"''","null"),SUBSTITUTE(VLOOKUP(D$2,convert!$A$1:$B$4,2,0),"@@@",D200))</f>
        <v>85</v>
      </c>
      <c r="T200" s="4" t="str">
        <f>IF(E200="",IF(ISNUMBER(SEARCH("NOT NULL",UPPER(E$3))),"''","null"),SUBSTITUTE(VLOOKUP(E$2,convert!$A$1:$B$4,2,0),"@@@",E200))</f>
        <v>90</v>
      </c>
      <c r="U200" s="4" t="str">
        <f>IF(F200="",IF(ISNUMBER(SEARCH("NOT NULL",UPPER(F$3))),"''","null"),SUBSTITUTE(VLOOKUP(F$2,convert!$A$1:$B$4,2,0),"@@@",F200))</f>
        <v>100</v>
      </c>
      <c r="V200" s="4" t="str">
        <f>IF(G200="",IF(ISNUMBER(SEARCH("NOT NULL",UPPER(G$3))),"''","null"),SUBSTITUTE(VLOOKUP(G$2,convert!$A$1:$B$4,2,0),"@@@",G200))</f>
        <v>125</v>
      </c>
      <c r="W200" s="4" t="str">
        <f>IF(H200="",IF(ISNUMBER(SEARCH("NOT NULL",UPPER(H$3))),"''","null"),SUBSTITUTE(VLOOKUP(H$2,convert!$A$1:$B$4,2,0),"@@@",H200))</f>
        <v>90</v>
      </c>
      <c r="X200" s="4" t="str">
        <f>IF(I200="",IF(ISNUMBER(SEARCH("NOT NULL",UPPER(I$3))),"''","null"),SUBSTITUTE(VLOOKUP(I$2,convert!$A$1:$B$4,2,0),"@@@",I200))</f>
        <v>'ガラルのすがた'</v>
      </c>
      <c r="Y200" s="4" t="str">
        <f>IF(J200="",IF(ISNUMBER(SEARCH("NOT NULL",UPPER(J$3))),"''","null"),SUBSTITUTE(VLOOKUP(J$2,convert!$A$1:$B$4,2,0),"@@@",J200))</f>
        <v>'dark'</v>
      </c>
      <c r="Z200" s="4" t="str">
        <f>IF(K200="",IF(ISNUMBER(SEARCH("NOT NULL",UPPER(K$3))),"''","null"),SUBSTITUTE(VLOOKUP(K$2,convert!$A$1:$B$4,2,0),"@@@",K200))</f>
        <v>'flying'</v>
      </c>
      <c r="AA200" s="4" t="str">
        <f>IF(L200="",IF(ISNUMBER(SEARCH("NOT NULL",UPPER(L$3))),"''","null"),SUBSTITUTE(VLOOKUP(L$2,convert!$A$1:$B$4,2,0),"@@@",L200))</f>
        <v>'g8'</v>
      </c>
      <c r="AB200" s="4" t="str">
        <f>IF(M200="",IF(ISNUMBER(SEARCH("NOT NULL",UPPER(M$3))),"''","null"),SUBSTITUTE(VLOOKUP(M$2,convert!$A$1:$B$4,2,0),"@@@",M200))</f>
        <v>null</v>
      </c>
      <c r="AC200" s="4" t="str">
        <f>IF(N200="",IF(ISNUMBER(SEARCH("NOT NULL",UPPER(N$3))),"''","null"),SUBSTITUTE(VLOOKUP(N$2,convert!$A$1:$B$4,2,0),"@@@",N200))</f>
        <v>null</v>
      </c>
      <c r="AD200" s="4" t="str">
        <f>IF(O200="",IF(ISNUMBER(SEARCH("NOT NULL",UPPER(O$3))),"''","null"),SUBSTITUTE(VLOOKUP(O$2,convert!$A$1:$B$4,2,0),"@@@",O200))</f>
        <v>TRUE</v>
      </c>
      <c r="AE200" s="4" t="str">
        <f t="shared" si="3"/>
        <v>    ('0146G01', 'ファイヤー', 90, 85, 90, 100, 125, 90, 'ガラルのすがた', 'dark', 'flying', 'g8', null, null, TRUE),</v>
      </c>
    </row>
    <row r="201" spans="1:31">
      <c r="A201" s="4" t="s">
        <v>417</v>
      </c>
      <c r="B201" s="4" t="s">
        <v>418</v>
      </c>
      <c r="C201" s="5">
        <v>41</v>
      </c>
      <c r="D201" s="5">
        <v>64</v>
      </c>
      <c r="E201" s="5">
        <v>45</v>
      </c>
      <c r="F201" s="5">
        <v>50</v>
      </c>
      <c r="G201" s="5">
        <v>50</v>
      </c>
      <c r="H201" s="5">
        <v>50</v>
      </c>
      <c r="I201" s="5"/>
      <c r="J201" s="4" t="s">
        <v>50</v>
      </c>
      <c r="K201" s="5"/>
      <c r="L201" s="4" t="s">
        <v>32</v>
      </c>
      <c r="M201" s="5"/>
      <c r="N201" s="5"/>
      <c r="O201" s="5" t="b">
        <v>1</v>
      </c>
      <c r="P201" s="4" t="str">
        <f>IF(A201="",IF(ISNUMBER(SEARCH("NOT NULL",UPPER(A$3))),"''","null"),SUBSTITUTE(VLOOKUP(A$2,convert!$A$1:$B$4,2,0),"@@@",A201))</f>
        <v>'0147N01'</v>
      </c>
      <c r="Q201" s="4" t="str">
        <f>IF(B201="",IF(ISNUMBER(SEARCH("NOT NULL",UPPER(B$3))),"''","null"),SUBSTITUTE(VLOOKUP(B$2,convert!$A$1:$B$4,2,0),"@@@",B201))</f>
        <v>'ミニリュウ'</v>
      </c>
      <c r="R201" s="4" t="str">
        <f>IF(C201="",IF(ISNUMBER(SEARCH("NOT NULL",UPPER(C$3))),"''","null"),SUBSTITUTE(VLOOKUP(C$2,convert!$A$1:$B$4,2,0),"@@@",C201))</f>
        <v>41</v>
      </c>
      <c r="S201" s="4" t="str">
        <f>IF(D201="",IF(ISNUMBER(SEARCH("NOT NULL",UPPER(D$3))),"''","null"),SUBSTITUTE(VLOOKUP(D$2,convert!$A$1:$B$4,2,0),"@@@",D201))</f>
        <v>64</v>
      </c>
      <c r="T201" s="4" t="str">
        <f>IF(E201="",IF(ISNUMBER(SEARCH("NOT NULL",UPPER(E$3))),"''","null"),SUBSTITUTE(VLOOKUP(E$2,convert!$A$1:$B$4,2,0),"@@@",E201))</f>
        <v>45</v>
      </c>
      <c r="U201" s="4" t="str">
        <f>IF(F201="",IF(ISNUMBER(SEARCH("NOT NULL",UPPER(F$3))),"''","null"),SUBSTITUTE(VLOOKUP(F$2,convert!$A$1:$B$4,2,0),"@@@",F201))</f>
        <v>50</v>
      </c>
      <c r="V201" s="4" t="str">
        <f>IF(G201="",IF(ISNUMBER(SEARCH("NOT NULL",UPPER(G$3))),"''","null"),SUBSTITUTE(VLOOKUP(G$2,convert!$A$1:$B$4,2,0),"@@@",G201))</f>
        <v>50</v>
      </c>
      <c r="W201" s="4" t="str">
        <f>IF(H201="",IF(ISNUMBER(SEARCH("NOT NULL",UPPER(H$3))),"''","null"),SUBSTITUTE(VLOOKUP(H$2,convert!$A$1:$B$4,2,0),"@@@",H201))</f>
        <v>50</v>
      </c>
      <c r="X201" s="4" t="str">
        <f>IF(I201="",IF(ISNUMBER(SEARCH("NOT NULL",UPPER(I$3))),"''","null"),SUBSTITUTE(VLOOKUP(I$2,convert!$A$1:$B$4,2,0),"@@@",I201))</f>
        <v>''</v>
      </c>
      <c r="Y201" s="4" t="str">
        <f>IF(J201="",IF(ISNUMBER(SEARCH("NOT NULL",UPPER(J$3))),"''","null"),SUBSTITUTE(VLOOKUP(J$2,convert!$A$1:$B$4,2,0),"@@@",J201))</f>
        <v>'dragon'</v>
      </c>
      <c r="Z201" s="4" t="str">
        <f>IF(K201="",IF(ISNUMBER(SEARCH("NOT NULL",UPPER(K$3))),"''","null"),SUBSTITUTE(VLOOKUP(K$2,convert!$A$1:$B$4,2,0),"@@@",K201))</f>
        <v>null</v>
      </c>
      <c r="AA201" s="4" t="str">
        <f>IF(L201="",IF(ISNUMBER(SEARCH("NOT NULL",UPPER(L$3))),"''","null"),SUBSTITUTE(VLOOKUP(L$2,convert!$A$1:$B$4,2,0),"@@@",L201))</f>
        <v>'g1'</v>
      </c>
      <c r="AB201" s="4" t="str">
        <f>IF(M201="",IF(ISNUMBER(SEARCH("NOT NULL",UPPER(M$3))),"''","null"),SUBSTITUTE(VLOOKUP(M$2,convert!$A$1:$B$4,2,0),"@@@",M201))</f>
        <v>null</v>
      </c>
      <c r="AC201" s="4" t="str">
        <f>IF(N201="",IF(ISNUMBER(SEARCH("NOT NULL",UPPER(N$3))),"''","null"),SUBSTITUTE(VLOOKUP(N$2,convert!$A$1:$B$4,2,0),"@@@",N201))</f>
        <v>null</v>
      </c>
      <c r="AD201" s="4" t="str">
        <f>IF(O201="",IF(ISNUMBER(SEARCH("NOT NULL",UPPER(O$3))),"''","null"),SUBSTITUTE(VLOOKUP(O$2,convert!$A$1:$B$4,2,0),"@@@",O201))</f>
        <v>TRUE</v>
      </c>
      <c r="AE201" s="4" t="str">
        <f t="shared" si="3"/>
        <v>    ('0147N01', 'ミニリュウ', 41, 64, 45, 50, 50, 50, '', 'dragon', null, 'g1', null, null, TRUE),</v>
      </c>
    </row>
    <row r="202" spans="1:31">
      <c r="A202" s="4" t="s">
        <v>419</v>
      </c>
      <c r="B202" s="4" t="s">
        <v>420</v>
      </c>
      <c r="C202" s="5">
        <v>61</v>
      </c>
      <c r="D202" s="5">
        <v>84</v>
      </c>
      <c r="E202" s="5">
        <v>65</v>
      </c>
      <c r="F202" s="5">
        <v>70</v>
      </c>
      <c r="G202" s="5">
        <v>70</v>
      </c>
      <c r="H202" s="5">
        <v>70</v>
      </c>
      <c r="I202" s="5"/>
      <c r="J202" s="4" t="s">
        <v>50</v>
      </c>
      <c r="K202" s="5"/>
      <c r="L202" s="4" t="s">
        <v>32</v>
      </c>
      <c r="M202" s="5"/>
      <c r="N202" s="5"/>
      <c r="O202" s="5" t="b">
        <v>1</v>
      </c>
      <c r="P202" s="4" t="str">
        <f>IF(A202="",IF(ISNUMBER(SEARCH("NOT NULL",UPPER(A$3))),"''","null"),SUBSTITUTE(VLOOKUP(A$2,convert!$A$1:$B$4,2,0),"@@@",A202))</f>
        <v>'0148N01'</v>
      </c>
      <c r="Q202" s="4" t="str">
        <f>IF(B202="",IF(ISNUMBER(SEARCH("NOT NULL",UPPER(B$3))),"''","null"),SUBSTITUTE(VLOOKUP(B$2,convert!$A$1:$B$4,2,0),"@@@",B202))</f>
        <v>'ハクリュー'</v>
      </c>
      <c r="R202" s="4" t="str">
        <f>IF(C202="",IF(ISNUMBER(SEARCH("NOT NULL",UPPER(C$3))),"''","null"),SUBSTITUTE(VLOOKUP(C$2,convert!$A$1:$B$4,2,0),"@@@",C202))</f>
        <v>61</v>
      </c>
      <c r="S202" s="4" t="str">
        <f>IF(D202="",IF(ISNUMBER(SEARCH("NOT NULL",UPPER(D$3))),"''","null"),SUBSTITUTE(VLOOKUP(D$2,convert!$A$1:$B$4,2,0),"@@@",D202))</f>
        <v>84</v>
      </c>
      <c r="T202" s="4" t="str">
        <f>IF(E202="",IF(ISNUMBER(SEARCH("NOT NULL",UPPER(E$3))),"''","null"),SUBSTITUTE(VLOOKUP(E$2,convert!$A$1:$B$4,2,0),"@@@",E202))</f>
        <v>65</v>
      </c>
      <c r="U202" s="4" t="str">
        <f>IF(F202="",IF(ISNUMBER(SEARCH("NOT NULL",UPPER(F$3))),"''","null"),SUBSTITUTE(VLOOKUP(F$2,convert!$A$1:$B$4,2,0),"@@@",F202))</f>
        <v>70</v>
      </c>
      <c r="V202" s="4" t="str">
        <f>IF(G202="",IF(ISNUMBER(SEARCH("NOT NULL",UPPER(G$3))),"''","null"),SUBSTITUTE(VLOOKUP(G$2,convert!$A$1:$B$4,2,0),"@@@",G202))</f>
        <v>70</v>
      </c>
      <c r="W202" s="4" t="str">
        <f>IF(H202="",IF(ISNUMBER(SEARCH("NOT NULL",UPPER(H$3))),"''","null"),SUBSTITUTE(VLOOKUP(H$2,convert!$A$1:$B$4,2,0),"@@@",H202))</f>
        <v>70</v>
      </c>
      <c r="X202" s="4" t="str">
        <f>IF(I202="",IF(ISNUMBER(SEARCH("NOT NULL",UPPER(I$3))),"''","null"),SUBSTITUTE(VLOOKUP(I$2,convert!$A$1:$B$4,2,0),"@@@",I202))</f>
        <v>''</v>
      </c>
      <c r="Y202" s="4" t="str">
        <f>IF(J202="",IF(ISNUMBER(SEARCH("NOT NULL",UPPER(J$3))),"''","null"),SUBSTITUTE(VLOOKUP(J$2,convert!$A$1:$B$4,2,0),"@@@",J202))</f>
        <v>'dragon'</v>
      </c>
      <c r="Z202" s="4" t="str">
        <f>IF(K202="",IF(ISNUMBER(SEARCH("NOT NULL",UPPER(K$3))),"''","null"),SUBSTITUTE(VLOOKUP(K$2,convert!$A$1:$B$4,2,0),"@@@",K202))</f>
        <v>null</v>
      </c>
      <c r="AA202" s="4" t="str">
        <f>IF(L202="",IF(ISNUMBER(SEARCH("NOT NULL",UPPER(L$3))),"''","null"),SUBSTITUTE(VLOOKUP(L$2,convert!$A$1:$B$4,2,0),"@@@",L202))</f>
        <v>'g1'</v>
      </c>
      <c r="AB202" s="4" t="str">
        <f>IF(M202="",IF(ISNUMBER(SEARCH("NOT NULL",UPPER(M$3))),"''","null"),SUBSTITUTE(VLOOKUP(M$2,convert!$A$1:$B$4,2,0),"@@@",M202))</f>
        <v>null</v>
      </c>
      <c r="AC202" s="4" t="str">
        <f>IF(N202="",IF(ISNUMBER(SEARCH("NOT NULL",UPPER(N$3))),"''","null"),SUBSTITUTE(VLOOKUP(N$2,convert!$A$1:$B$4,2,0),"@@@",N202))</f>
        <v>null</v>
      </c>
      <c r="AD202" s="4" t="str">
        <f>IF(O202="",IF(ISNUMBER(SEARCH("NOT NULL",UPPER(O$3))),"''","null"),SUBSTITUTE(VLOOKUP(O$2,convert!$A$1:$B$4,2,0),"@@@",O202))</f>
        <v>TRUE</v>
      </c>
      <c r="AE202" s="4" t="str">
        <f t="shared" si="3"/>
        <v>    ('0148N01', 'ハクリュー', 61, 84, 65, 70, 70, 70, '', 'dragon', null, 'g1', null, null, TRUE),</v>
      </c>
    </row>
    <row r="203" spans="1:31">
      <c r="A203" s="4" t="s">
        <v>421</v>
      </c>
      <c r="B203" s="4" t="s">
        <v>422</v>
      </c>
      <c r="C203" s="5">
        <v>91</v>
      </c>
      <c r="D203" s="5">
        <v>134</v>
      </c>
      <c r="E203" s="5">
        <v>95</v>
      </c>
      <c r="F203" s="5">
        <v>100</v>
      </c>
      <c r="G203" s="5">
        <v>100</v>
      </c>
      <c r="H203" s="5">
        <v>80</v>
      </c>
      <c r="I203" s="5"/>
      <c r="J203" s="4" t="s">
        <v>50</v>
      </c>
      <c r="K203" s="4" t="s">
        <v>47</v>
      </c>
      <c r="L203" s="4" t="s">
        <v>32</v>
      </c>
      <c r="M203" s="5"/>
      <c r="N203" s="5"/>
      <c r="O203" s="5" t="b">
        <v>1</v>
      </c>
      <c r="P203" s="4" t="str">
        <f>IF(A203="",IF(ISNUMBER(SEARCH("NOT NULL",UPPER(A$3))),"''","null"),SUBSTITUTE(VLOOKUP(A$2,convert!$A$1:$B$4,2,0),"@@@",A203))</f>
        <v>'0149N01'</v>
      </c>
      <c r="Q203" s="4" t="str">
        <f>IF(B203="",IF(ISNUMBER(SEARCH("NOT NULL",UPPER(B$3))),"''","null"),SUBSTITUTE(VLOOKUP(B$2,convert!$A$1:$B$4,2,0),"@@@",B203))</f>
        <v>'カイリュー'</v>
      </c>
      <c r="R203" s="4" t="str">
        <f>IF(C203="",IF(ISNUMBER(SEARCH("NOT NULL",UPPER(C$3))),"''","null"),SUBSTITUTE(VLOOKUP(C$2,convert!$A$1:$B$4,2,0),"@@@",C203))</f>
        <v>91</v>
      </c>
      <c r="S203" s="4" t="str">
        <f>IF(D203="",IF(ISNUMBER(SEARCH("NOT NULL",UPPER(D$3))),"''","null"),SUBSTITUTE(VLOOKUP(D$2,convert!$A$1:$B$4,2,0),"@@@",D203))</f>
        <v>134</v>
      </c>
      <c r="T203" s="4" t="str">
        <f>IF(E203="",IF(ISNUMBER(SEARCH("NOT NULL",UPPER(E$3))),"''","null"),SUBSTITUTE(VLOOKUP(E$2,convert!$A$1:$B$4,2,0),"@@@",E203))</f>
        <v>95</v>
      </c>
      <c r="U203" s="4" t="str">
        <f>IF(F203="",IF(ISNUMBER(SEARCH("NOT NULL",UPPER(F$3))),"''","null"),SUBSTITUTE(VLOOKUP(F$2,convert!$A$1:$B$4,2,0),"@@@",F203))</f>
        <v>100</v>
      </c>
      <c r="V203" s="4" t="str">
        <f>IF(G203="",IF(ISNUMBER(SEARCH("NOT NULL",UPPER(G$3))),"''","null"),SUBSTITUTE(VLOOKUP(G$2,convert!$A$1:$B$4,2,0),"@@@",G203))</f>
        <v>100</v>
      </c>
      <c r="W203" s="4" t="str">
        <f>IF(H203="",IF(ISNUMBER(SEARCH("NOT NULL",UPPER(H$3))),"''","null"),SUBSTITUTE(VLOOKUP(H$2,convert!$A$1:$B$4,2,0),"@@@",H203))</f>
        <v>80</v>
      </c>
      <c r="X203" s="4" t="str">
        <f>IF(I203="",IF(ISNUMBER(SEARCH("NOT NULL",UPPER(I$3))),"''","null"),SUBSTITUTE(VLOOKUP(I$2,convert!$A$1:$B$4,2,0),"@@@",I203))</f>
        <v>''</v>
      </c>
      <c r="Y203" s="4" t="str">
        <f>IF(J203="",IF(ISNUMBER(SEARCH("NOT NULL",UPPER(J$3))),"''","null"),SUBSTITUTE(VLOOKUP(J$2,convert!$A$1:$B$4,2,0),"@@@",J203))</f>
        <v>'dragon'</v>
      </c>
      <c r="Z203" s="4" t="str">
        <f>IF(K203="",IF(ISNUMBER(SEARCH("NOT NULL",UPPER(K$3))),"''","null"),SUBSTITUTE(VLOOKUP(K$2,convert!$A$1:$B$4,2,0),"@@@",K203))</f>
        <v>'flying'</v>
      </c>
      <c r="AA203" s="4" t="str">
        <f>IF(L203="",IF(ISNUMBER(SEARCH("NOT NULL",UPPER(L$3))),"''","null"),SUBSTITUTE(VLOOKUP(L$2,convert!$A$1:$B$4,2,0),"@@@",L203))</f>
        <v>'g1'</v>
      </c>
      <c r="AB203" s="4" t="str">
        <f>IF(M203="",IF(ISNUMBER(SEARCH("NOT NULL",UPPER(M$3))),"''","null"),SUBSTITUTE(VLOOKUP(M$2,convert!$A$1:$B$4,2,0),"@@@",M203))</f>
        <v>null</v>
      </c>
      <c r="AC203" s="4" t="str">
        <f>IF(N203="",IF(ISNUMBER(SEARCH("NOT NULL",UPPER(N$3))),"''","null"),SUBSTITUTE(VLOOKUP(N$2,convert!$A$1:$B$4,2,0),"@@@",N203))</f>
        <v>null</v>
      </c>
      <c r="AD203" s="4" t="str">
        <f>IF(O203="",IF(ISNUMBER(SEARCH("NOT NULL",UPPER(O$3))),"''","null"),SUBSTITUTE(VLOOKUP(O$2,convert!$A$1:$B$4,2,0),"@@@",O203))</f>
        <v>TRUE</v>
      </c>
      <c r="AE203" s="4" t="str">
        <f t="shared" si="3"/>
        <v>    ('0149N01', 'カイリュー', 91, 134, 95, 100, 100, 80, '', 'dragon', 'flying', 'g1', null, null, TRUE),</v>
      </c>
    </row>
    <row r="204" spans="1:31">
      <c r="A204" s="4" t="s">
        <v>423</v>
      </c>
      <c r="B204" s="4" t="s">
        <v>424</v>
      </c>
      <c r="C204" s="5">
        <v>106</v>
      </c>
      <c r="D204" s="5">
        <v>110</v>
      </c>
      <c r="E204" s="5">
        <v>90</v>
      </c>
      <c r="F204" s="5">
        <v>154</v>
      </c>
      <c r="G204" s="5">
        <v>90</v>
      </c>
      <c r="H204" s="5">
        <v>130</v>
      </c>
      <c r="I204" s="5"/>
      <c r="J204" s="4" t="s">
        <v>113</v>
      </c>
      <c r="K204" s="5"/>
      <c r="L204" s="4" t="s">
        <v>32</v>
      </c>
      <c r="M204" s="5"/>
      <c r="N204" s="5"/>
      <c r="O204" s="5" t="b">
        <v>1</v>
      </c>
      <c r="P204" s="4" t="str">
        <f>IF(A204="",IF(ISNUMBER(SEARCH("NOT NULL",UPPER(A$3))),"''","null"),SUBSTITUTE(VLOOKUP(A$2,convert!$A$1:$B$4,2,0),"@@@",A204))</f>
        <v>'0150N01'</v>
      </c>
      <c r="Q204" s="4" t="str">
        <f>IF(B204="",IF(ISNUMBER(SEARCH("NOT NULL",UPPER(B$3))),"''","null"),SUBSTITUTE(VLOOKUP(B$2,convert!$A$1:$B$4,2,0),"@@@",B204))</f>
        <v>'ミュウツー'</v>
      </c>
      <c r="R204" s="4" t="str">
        <f>IF(C204="",IF(ISNUMBER(SEARCH("NOT NULL",UPPER(C$3))),"''","null"),SUBSTITUTE(VLOOKUP(C$2,convert!$A$1:$B$4,2,0),"@@@",C204))</f>
        <v>106</v>
      </c>
      <c r="S204" s="4" t="str">
        <f>IF(D204="",IF(ISNUMBER(SEARCH("NOT NULL",UPPER(D$3))),"''","null"),SUBSTITUTE(VLOOKUP(D$2,convert!$A$1:$B$4,2,0),"@@@",D204))</f>
        <v>110</v>
      </c>
      <c r="T204" s="4" t="str">
        <f>IF(E204="",IF(ISNUMBER(SEARCH("NOT NULL",UPPER(E$3))),"''","null"),SUBSTITUTE(VLOOKUP(E$2,convert!$A$1:$B$4,2,0),"@@@",E204))</f>
        <v>90</v>
      </c>
      <c r="U204" s="4" t="str">
        <f>IF(F204="",IF(ISNUMBER(SEARCH("NOT NULL",UPPER(F$3))),"''","null"),SUBSTITUTE(VLOOKUP(F$2,convert!$A$1:$B$4,2,0),"@@@",F204))</f>
        <v>154</v>
      </c>
      <c r="V204" s="4" t="str">
        <f>IF(G204="",IF(ISNUMBER(SEARCH("NOT NULL",UPPER(G$3))),"''","null"),SUBSTITUTE(VLOOKUP(G$2,convert!$A$1:$B$4,2,0),"@@@",G204))</f>
        <v>90</v>
      </c>
      <c r="W204" s="4" t="str">
        <f>IF(H204="",IF(ISNUMBER(SEARCH("NOT NULL",UPPER(H$3))),"''","null"),SUBSTITUTE(VLOOKUP(H$2,convert!$A$1:$B$4,2,0),"@@@",H204))</f>
        <v>130</v>
      </c>
      <c r="X204" s="4" t="str">
        <f>IF(I204="",IF(ISNUMBER(SEARCH("NOT NULL",UPPER(I$3))),"''","null"),SUBSTITUTE(VLOOKUP(I$2,convert!$A$1:$B$4,2,0),"@@@",I204))</f>
        <v>''</v>
      </c>
      <c r="Y204" s="4" t="str">
        <f>IF(J204="",IF(ISNUMBER(SEARCH("NOT NULL",UPPER(J$3))),"''","null"),SUBSTITUTE(VLOOKUP(J$2,convert!$A$1:$B$4,2,0),"@@@",J204))</f>
        <v>'psychic'</v>
      </c>
      <c r="Z204" s="4" t="str">
        <f>IF(K204="",IF(ISNUMBER(SEARCH("NOT NULL",UPPER(K$3))),"''","null"),SUBSTITUTE(VLOOKUP(K$2,convert!$A$1:$B$4,2,0),"@@@",K204))</f>
        <v>null</v>
      </c>
      <c r="AA204" s="4" t="str">
        <f>IF(L204="",IF(ISNUMBER(SEARCH("NOT NULL",UPPER(L$3))),"''","null"),SUBSTITUTE(VLOOKUP(L$2,convert!$A$1:$B$4,2,0),"@@@",L204))</f>
        <v>'g1'</v>
      </c>
      <c r="AB204" s="4" t="str">
        <f>IF(M204="",IF(ISNUMBER(SEARCH("NOT NULL",UPPER(M$3))),"''","null"),SUBSTITUTE(VLOOKUP(M$2,convert!$A$1:$B$4,2,0),"@@@",M204))</f>
        <v>null</v>
      </c>
      <c r="AC204" s="4" t="str">
        <f>IF(N204="",IF(ISNUMBER(SEARCH("NOT NULL",UPPER(N$3))),"''","null"),SUBSTITUTE(VLOOKUP(N$2,convert!$A$1:$B$4,2,0),"@@@",N204))</f>
        <v>null</v>
      </c>
      <c r="AD204" s="4" t="str">
        <f>IF(O204="",IF(ISNUMBER(SEARCH("NOT NULL",UPPER(O$3))),"''","null"),SUBSTITUTE(VLOOKUP(O$2,convert!$A$1:$B$4,2,0),"@@@",O204))</f>
        <v>TRUE</v>
      </c>
      <c r="AE204" s="4" t="str">
        <f t="shared" si="3"/>
        <v>    ('0150N01', 'ミュウツー', 106, 110, 90, 154, 90, 130, '', 'psychic', null, 'g1', null, null, TRUE),</v>
      </c>
    </row>
    <row r="205" spans="1:31">
      <c r="A205" s="4" t="s">
        <v>425</v>
      </c>
      <c r="B205" s="4" t="s">
        <v>424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4" t="s">
        <v>426</v>
      </c>
      <c r="J205" s="4" t="s">
        <v>113</v>
      </c>
      <c r="K205" s="5"/>
      <c r="L205" s="4" t="s">
        <v>427</v>
      </c>
      <c r="M205" s="5"/>
      <c r="N205" s="5"/>
      <c r="O205" s="5" t="b">
        <v>1</v>
      </c>
      <c r="P205" s="4" t="str">
        <f>IF(A205="",IF(ISNUMBER(SEARCH("NOT NULL",UPPER(A$3))),"''","null"),SUBSTITUTE(VLOOKUP(A$2,convert!$A$1:$B$4,2,0),"@@@",A205))</f>
        <v>'0150N02'</v>
      </c>
      <c r="Q205" s="4" t="str">
        <f>IF(B205="",IF(ISNUMBER(SEARCH("NOT NULL",UPPER(B$3))),"''","null"),SUBSTITUTE(VLOOKUP(B$2,convert!$A$1:$B$4,2,0),"@@@",B205))</f>
        <v>'ミュウツー'</v>
      </c>
      <c r="R205" s="4" t="str">
        <f>IF(C205="",IF(ISNUMBER(SEARCH("NOT NULL",UPPER(C$3))),"''","null"),SUBSTITUTE(VLOOKUP(C$2,convert!$A$1:$B$4,2,0),"@@@",C205))</f>
        <v>0</v>
      </c>
      <c r="S205" s="4" t="str">
        <f>IF(D205="",IF(ISNUMBER(SEARCH("NOT NULL",UPPER(D$3))),"''","null"),SUBSTITUTE(VLOOKUP(D$2,convert!$A$1:$B$4,2,0),"@@@",D205))</f>
        <v>0</v>
      </c>
      <c r="T205" s="4" t="str">
        <f>IF(E205="",IF(ISNUMBER(SEARCH("NOT NULL",UPPER(E$3))),"''","null"),SUBSTITUTE(VLOOKUP(E$2,convert!$A$1:$B$4,2,0),"@@@",E205))</f>
        <v>0</v>
      </c>
      <c r="U205" s="4" t="str">
        <f>IF(F205="",IF(ISNUMBER(SEARCH("NOT NULL",UPPER(F$3))),"''","null"),SUBSTITUTE(VLOOKUP(F$2,convert!$A$1:$B$4,2,0),"@@@",F205))</f>
        <v>0</v>
      </c>
      <c r="V205" s="4" t="str">
        <f>IF(G205="",IF(ISNUMBER(SEARCH("NOT NULL",UPPER(G$3))),"''","null"),SUBSTITUTE(VLOOKUP(G$2,convert!$A$1:$B$4,2,0),"@@@",G205))</f>
        <v>0</v>
      </c>
      <c r="W205" s="4" t="str">
        <f>IF(H205="",IF(ISNUMBER(SEARCH("NOT NULL",UPPER(H$3))),"''","null"),SUBSTITUTE(VLOOKUP(H$2,convert!$A$1:$B$4,2,0),"@@@",H205))</f>
        <v>0</v>
      </c>
      <c r="X205" s="4" t="str">
        <f>IF(I205="",IF(ISNUMBER(SEARCH("NOT NULL",UPPER(I$3))),"''","null"),SUBSTITUTE(VLOOKUP(I$2,convert!$A$1:$B$4,2,0),"@@@",I205))</f>
        <v>'アーマード'</v>
      </c>
      <c r="Y205" s="4" t="str">
        <f>IF(J205="",IF(ISNUMBER(SEARCH("NOT NULL",UPPER(J$3))),"''","null"),SUBSTITUTE(VLOOKUP(J$2,convert!$A$1:$B$4,2,0),"@@@",J205))</f>
        <v>'psychic'</v>
      </c>
      <c r="Z205" s="4" t="str">
        <f>IF(K205="",IF(ISNUMBER(SEARCH("NOT NULL",UPPER(K$3))),"''","null"),SUBSTITUTE(VLOOKUP(K$2,convert!$A$1:$B$4,2,0),"@@@",K205))</f>
        <v>null</v>
      </c>
      <c r="AA205" s="4" t="str">
        <f>IF(L205="",IF(ISNUMBER(SEARCH("NOT NULL",UPPER(L$3))),"''","null"),SUBSTITUTE(VLOOKUP(L$2,convert!$A$1:$B$4,2,0),"@@@",L205))</f>
        <v>'g7mov'</v>
      </c>
      <c r="AB205" s="4" t="str">
        <f>IF(M205="",IF(ISNUMBER(SEARCH("NOT NULL",UPPER(M$3))),"''","null"),SUBSTITUTE(VLOOKUP(M$2,convert!$A$1:$B$4,2,0),"@@@",M205))</f>
        <v>null</v>
      </c>
      <c r="AC205" s="4" t="str">
        <f>IF(N205="",IF(ISNUMBER(SEARCH("NOT NULL",UPPER(N$3))),"''","null"),SUBSTITUTE(VLOOKUP(N$2,convert!$A$1:$B$4,2,0),"@@@",N205))</f>
        <v>null</v>
      </c>
      <c r="AD205" s="4" t="str">
        <f>IF(O205="",IF(ISNUMBER(SEARCH("NOT NULL",UPPER(O$3))),"''","null"),SUBSTITUTE(VLOOKUP(O$2,convert!$A$1:$B$4,2,0),"@@@",O205))</f>
        <v>TRUE</v>
      </c>
      <c r="AE205" s="4" t="str">
        <f t="shared" si="3"/>
        <v>    ('0150N02', 'ミュウツー', 0, 0, 0, 0, 0, 0, 'アーマード', 'psychic', null, 'g7mov', null, null, TRUE),</v>
      </c>
    </row>
    <row r="206" spans="1:31">
      <c r="A206" s="4" t="s">
        <v>428</v>
      </c>
      <c r="B206" s="4" t="s">
        <v>429</v>
      </c>
      <c r="C206" s="5">
        <v>106</v>
      </c>
      <c r="D206" s="5">
        <v>190</v>
      </c>
      <c r="E206" s="5">
        <v>100</v>
      </c>
      <c r="F206" s="5">
        <v>154</v>
      </c>
      <c r="G206" s="5">
        <v>100</v>
      </c>
      <c r="H206" s="5">
        <v>130</v>
      </c>
      <c r="I206" s="5"/>
      <c r="J206" s="4" t="s">
        <v>113</v>
      </c>
      <c r="K206" s="4" t="s">
        <v>189</v>
      </c>
      <c r="L206" s="4" t="s">
        <v>39</v>
      </c>
      <c r="M206" s="5"/>
      <c r="N206" s="5"/>
      <c r="O206" s="5" t="b">
        <v>0</v>
      </c>
      <c r="P206" s="4" t="str">
        <f>IF(A206="",IF(ISNUMBER(SEARCH("NOT NULL",UPPER(A$3))),"''","null"),SUBSTITUTE(VLOOKUP(A$2,convert!$A$1:$B$4,2,0),"@@@",A206))</f>
        <v>'0150M01'</v>
      </c>
      <c r="Q206" s="4" t="str">
        <f>IF(B206="",IF(ISNUMBER(SEARCH("NOT NULL",UPPER(B$3))),"''","null"),SUBSTITUTE(VLOOKUP(B$2,convert!$A$1:$B$4,2,0),"@@@",B206))</f>
        <v>'メガミュウツーX'</v>
      </c>
      <c r="R206" s="4" t="str">
        <f>IF(C206="",IF(ISNUMBER(SEARCH("NOT NULL",UPPER(C$3))),"''","null"),SUBSTITUTE(VLOOKUP(C$2,convert!$A$1:$B$4,2,0),"@@@",C206))</f>
        <v>106</v>
      </c>
      <c r="S206" s="4" t="str">
        <f>IF(D206="",IF(ISNUMBER(SEARCH("NOT NULL",UPPER(D$3))),"''","null"),SUBSTITUTE(VLOOKUP(D$2,convert!$A$1:$B$4,2,0),"@@@",D206))</f>
        <v>190</v>
      </c>
      <c r="T206" s="4" t="str">
        <f>IF(E206="",IF(ISNUMBER(SEARCH("NOT NULL",UPPER(E$3))),"''","null"),SUBSTITUTE(VLOOKUP(E$2,convert!$A$1:$B$4,2,0),"@@@",E206))</f>
        <v>100</v>
      </c>
      <c r="U206" s="4" t="str">
        <f>IF(F206="",IF(ISNUMBER(SEARCH("NOT NULL",UPPER(F$3))),"''","null"),SUBSTITUTE(VLOOKUP(F$2,convert!$A$1:$B$4,2,0),"@@@",F206))</f>
        <v>154</v>
      </c>
      <c r="V206" s="4" t="str">
        <f>IF(G206="",IF(ISNUMBER(SEARCH("NOT NULL",UPPER(G$3))),"''","null"),SUBSTITUTE(VLOOKUP(G$2,convert!$A$1:$B$4,2,0),"@@@",G206))</f>
        <v>100</v>
      </c>
      <c r="W206" s="4" t="str">
        <f>IF(H206="",IF(ISNUMBER(SEARCH("NOT NULL",UPPER(H$3))),"''","null"),SUBSTITUTE(VLOOKUP(H$2,convert!$A$1:$B$4,2,0),"@@@",H206))</f>
        <v>130</v>
      </c>
      <c r="X206" s="4" t="str">
        <f>IF(I206="",IF(ISNUMBER(SEARCH("NOT NULL",UPPER(I$3))),"''","null"),SUBSTITUTE(VLOOKUP(I$2,convert!$A$1:$B$4,2,0),"@@@",I206))</f>
        <v>''</v>
      </c>
      <c r="Y206" s="4" t="str">
        <f>IF(J206="",IF(ISNUMBER(SEARCH("NOT NULL",UPPER(J$3))),"''","null"),SUBSTITUTE(VLOOKUP(J$2,convert!$A$1:$B$4,2,0),"@@@",J206))</f>
        <v>'psychic'</v>
      </c>
      <c r="Z206" s="4" t="str">
        <f>IF(K206="",IF(ISNUMBER(SEARCH("NOT NULL",UPPER(K$3))),"''","null"),SUBSTITUTE(VLOOKUP(K$2,convert!$A$1:$B$4,2,0),"@@@",K206))</f>
        <v>'fighting'</v>
      </c>
      <c r="AA206" s="4" t="str">
        <f>IF(L206="",IF(ISNUMBER(SEARCH("NOT NULL",UPPER(L$3))),"''","null"),SUBSTITUTE(VLOOKUP(L$2,convert!$A$1:$B$4,2,0),"@@@",L206))</f>
        <v>'g6'</v>
      </c>
      <c r="AB206" s="4" t="str">
        <f>IF(M206="",IF(ISNUMBER(SEARCH("NOT NULL",UPPER(M$3))),"''","null"),SUBSTITUTE(VLOOKUP(M$2,convert!$A$1:$B$4,2,0),"@@@",M206))</f>
        <v>null</v>
      </c>
      <c r="AC206" s="4" t="str">
        <f>IF(N206="",IF(ISNUMBER(SEARCH("NOT NULL",UPPER(N$3))),"''","null"),SUBSTITUTE(VLOOKUP(N$2,convert!$A$1:$B$4,2,0),"@@@",N206))</f>
        <v>null</v>
      </c>
      <c r="AD206" s="4" t="str">
        <f>IF(O206="",IF(ISNUMBER(SEARCH("NOT NULL",UPPER(O$3))),"''","null"),SUBSTITUTE(VLOOKUP(O$2,convert!$A$1:$B$4,2,0),"@@@",O206))</f>
        <v>FALSE</v>
      </c>
      <c r="AE206" s="4" t="str">
        <f t="shared" si="3"/>
        <v>    ('0150M01', 'メガミュウツーX', 106, 190, 100, 154, 100, 130, '', 'psychic', 'fighting', 'g6', null, null, FALSE),</v>
      </c>
    </row>
    <row r="207" spans="1:31">
      <c r="A207" s="4" t="s">
        <v>430</v>
      </c>
      <c r="B207" s="4" t="s">
        <v>431</v>
      </c>
      <c r="C207" s="5">
        <v>106</v>
      </c>
      <c r="D207" s="5">
        <v>150</v>
      </c>
      <c r="E207" s="5">
        <v>70</v>
      </c>
      <c r="F207" s="5">
        <v>194</v>
      </c>
      <c r="G207" s="5">
        <v>120</v>
      </c>
      <c r="H207" s="5">
        <v>140</v>
      </c>
      <c r="I207" s="5"/>
      <c r="J207" s="4" t="s">
        <v>113</v>
      </c>
      <c r="K207" s="5"/>
      <c r="L207" s="4" t="s">
        <v>39</v>
      </c>
      <c r="M207" s="5"/>
      <c r="N207" s="5"/>
      <c r="O207" s="5" t="b">
        <v>0</v>
      </c>
      <c r="P207" s="4" t="str">
        <f>IF(A207="",IF(ISNUMBER(SEARCH("NOT NULL",UPPER(A$3))),"''","null"),SUBSTITUTE(VLOOKUP(A$2,convert!$A$1:$B$4,2,0),"@@@",A207))</f>
        <v>'0150M02'</v>
      </c>
      <c r="Q207" s="4" t="str">
        <f>IF(B207="",IF(ISNUMBER(SEARCH("NOT NULL",UPPER(B$3))),"''","null"),SUBSTITUTE(VLOOKUP(B$2,convert!$A$1:$B$4,2,0),"@@@",B207))</f>
        <v>'メガミュウツーY'</v>
      </c>
      <c r="R207" s="4" t="str">
        <f>IF(C207="",IF(ISNUMBER(SEARCH("NOT NULL",UPPER(C$3))),"''","null"),SUBSTITUTE(VLOOKUP(C$2,convert!$A$1:$B$4,2,0),"@@@",C207))</f>
        <v>106</v>
      </c>
      <c r="S207" s="4" t="str">
        <f>IF(D207="",IF(ISNUMBER(SEARCH("NOT NULL",UPPER(D$3))),"''","null"),SUBSTITUTE(VLOOKUP(D$2,convert!$A$1:$B$4,2,0),"@@@",D207))</f>
        <v>150</v>
      </c>
      <c r="T207" s="4" t="str">
        <f>IF(E207="",IF(ISNUMBER(SEARCH("NOT NULL",UPPER(E$3))),"''","null"),SUBSTITUTE(VLOOKUP(E$2,convert!$A$1:$B$4,2,0),"@@@",E207))</f>
        <v>70</v>
      </c>
      <c r="U207" s="4" t="str">
        <f>IF(F207="",IF(ISNUMBER(SEARCH("NOT NULL",UPPER(F$3))),"''","null"),SUBSTITUTE(VLOOKUP(F$2,convert!$A$1:$B$4,2,0),"@@@",F207))</f>
        <v>194</v>
      </c>
      <c r="V207" s="4" t="str">
        <f>IF(G207="",IF(ISNUMBER(SEARCH("NOT NULL",UPPER(G$3))),"''","null"),SUBSTITUTE(VLOOKUP(G$2,convert!$A$1:$B$4,2,0),"@@@",G207))</f>
        <v>120</v>
      </c>
      <c r="W207" s="4" t="str">
        <f>IF(H207="",IF(ISNUMBER(SEARCH("NOT NULL",UPPER(H$3))),"''","null"),SUBSTITUTE(VLOOKUP(H$2,convert!$A$1:$B$4,2,0),"@@@",H207))</f>
        <v>140</v>
      </c>
      <c r="X207" s="4" t="str">
        <f>IF(I207="",IF(ISNUMBER(SEARCH("NOT NULL",UPPER(I$3))),"''","null"),SUBSTITUTE(VLOOKUP(I$2,convert!$A$1:$B$4,2,0),"@@@",I207))</f>
        <v>''</v>
      </c>
      <c r="Y207" s="4" t="str">
        <f>IF(J207="",IF(ISNUMBER(SEARCH("NOT NULL",UPPER(J$3))),"''","null"),SUBSTITUTE(VLOOKUP(J$2,convert!$A$1:$B$4,2,0),"@@@",J207))</f>
        <v>'psychic'</v>
      </c>
      <c r="Z207" s="4" t="str">
        <f>IF(K207="",IF(ISNUMBER(SEARCH("NOT NULL",UPPER(K$3))),"''","null"),SUBSTITUTE(VLOOKUP(K$2,convert!$A$1:$B$4,2,0),"@@@",K207))</f>
        <v>null</v>
      </c>
      <c r="AA207" s="4" t="str">
        <f>IF(L207="",IF(ISNUMBER(SEARCH("NOT NULL",UPPER(L$3))),"''","null"),SUBSTITUTE(VLOOKUP(L$2,convert!$A$1:$B$4,2,0),"@@@",L207))</f>
        <v>'g6'</v>
      </c>
      <c r="AB207" s="4" t="str">
        <f>IF(M207="",IF(ISNUMBER(SEARCH("NOT NULL",UPPER(M$3))),"''","null"),SUBSTITUTE(VLOOKUP(M$2,convert!$A$1:$B$4,2,0),"@@@",M207))</f>
        <v>null</v>
      </c>
      <c r="AC207" s="4" t="str">
        <f>IF(N207="",IF(ISNUMBER(SEARCH("NOT NULL",UPPER(N$3))),"''","null"),SUBSTITUTE(VLOOKUP(N$2,convert!$A$1:$B$4,2,0),"@@@",N207))</f>
        <v>null</v>
      </c>
      <c r="AD207" s="4" t="str">
        <f>IF(O207="",IF(ISNUMBER(SEARCH("NOT NULL",UPPER(O$3))),"''","null"),SUBSTITUTE(VLOOKUP(O$2,convert!$A$1:$B$4,2,0),"@@@",O207))</f>
        <v>FALSE</v>
      </c>
      <c r="AE207" s="4" t="str">
        <f t="shared" si="3"/>
        <v>    ('0150M02', 'メガミュウツーY', 106, 150, 70, 194, 120, 140, '', 'psychic', null, 'g6', null, null, FALSE),</v>
      </c>
    </row>
    <row r="208" spans="1:31">
      <c r="A208" s="4" t="s">
        <v>432</v>
      </c>
      <c r="B208" s="4" t="s">
        <v>433</v>
      </c>
      <c r="C208" s="5">
        <v>100</v>
      </c>
      <c r="D208" s="5">
        <v>100</v>
      </c>
      <c r="E208" s="5">
        <v>100</v>
      </c>
      <c r="F208" s="5">
        <v>100</v>
      </c>
      <c r="G208" s="5">
        <v>100</v>
      </c>
      <c r="H208" s="5">
        <v>100</v>
      </c>
      <c r="I208" s="5"/>
      <c r="J208" s="4" t="s">
        <v>113</v>
      </c>
      <c r="K208" s="5"/>
      <c r="L208" s="4" t="s">
        <v>32</v>
      </c>
      <c r="M208" s="5"/>
      <c r="N208" s="5"/>
      <c r="O208" s="5" t="b">
        <v>1</v>
      </c>
      <c r="P208" s="4" t="str">
        <f>IF(A208="",IF(ISNUMBER(SEARCH("NOT NULL",UPPER(A$3))),"''","null"),SUBSTITUTE(VLOOKUP(A$2,convert!$A$1:$B$4,2,0),"@@@",A208))</f>
        <v>'0151N01'</v>
      </c>
      <c r="Q208" s="4" t="str">
        <f>IF(B208="",IF(ISNUMBER(SEARCH("NOT NULL",UPPER(B$3))),"''","null"),SUBSTITUTE(VLOOKUP(B$2,convert!$A$1:$B$4,2,0),"@@@",B208))</f>
        <v>'ミュウ'</v>
      </c>
      <c r="R208" s="4" t="str">
        <f>IF(C208="",IF(ISNUMBER(SEARCH("NOT NULL",UPPER(C$3))),"''","null"),SUBSTITUTE(VLOOKUP(C$2,convert!$A$1:$B$4,2,0),"@@@",C208))</f>
        <v>100</v>
      </c>
      <c r="S208" s="4" t="str">
        <f>IF(D208="",IF(ISNUMBER(SEARCH("NOT NULL",UPPER(D$3))),"''","null"),SUBSTITUTE(VLOOKUP(D$2,convert!$A$1:$B$4,2,0),"@@@",D208))</f>
        <v>100</v>
      </c>
      <c r="T208" s="4" t="str">
        <f>IF(E208="",IF(ISNUMBER(SEARCH("NOT NULL",UPPER(E$3))),"''","null"),SUBSTITUTE(VLOOKUP(E$2,convert!$A$1:$B$4,2,0),"@@@",E208))</f>
        <v>100</v>
      </c>
      <c r="U208" s="4" t="str">
        <f>IF(F208="",IF(ISNUMBER(SEARCH("NOT NULL",UPPER(F$3))),"''","null"),SUBSTITUTE(VLOOKUP(F$2,convert!$A$1:$B$4,2,0),"@@@",F208))</f>
        <v>100</v>
      </c>
      <c r="V208" s="4" t="str">
        <f>IF(G208="",IF(ISNUMBER(SEARCH("NOT NULL",UPPER(G$3))),"''","null"),SUBSTITUTE(VLOOKUP(G$2,convert!$A$1:$B$4,2,0),"@@@",G208))</f>
        <v>100</v>
      </c>
      <c r="W208" s="4" t="str">
        <f>IF(H208="",IF(ISNUMBER(SEARCH("NOT NULL",UPPER(H$3))),"''","null"),SUBSTITUTE(VLOOKUP(H$2,convert!$A$1:$B$4,2,0),"@@@",H208))</f>
        <v>100</v>
      </c>
      <c r="X208" s="4" t="str">
        <f>IF(I208="",IF(ISNUMBER(SEARCH("NOT NULL",UPPER(I$3))),"''","null"),SUBSTITUTE(VLOOKUP(I$2,convert!$A$1:$B$4,2,0),"@@@",I208))</f>
        <v>''</v>
      </c>
      <c r="Y208" s="4" t="str">
        <f>IF(J208="",IF(ISNUMBER(SEARCH("NOT NULL",UPPER(J$3))),"''","null"),SUBSTITUTE(VLOOKUP(J$2,convert!$A$1:$B$4,2,0),"@@@",J208))</f>
        <v>'psychic'</v>
      </c>
      <c r="Z208" s="4" t="str">
        <f>IF(K208="",IF(ISNUMBER(SEARCH("NOT NULL",UPPER(K$3))),"''","null"),SUBSTITUTE(VLOOKUP(K$2,convert!$A$1:$B$4,2,0),"@@@",K208))</f>
        <v>null</v>
      </c>
      <c r="AA208" s="4" t="str">
        <f>IF(L208="",IF(ISNUMBER(SEARCH("NOT NULL",UPPER(L$3))),"''","null"),SUBSTITUTE(VLOOKUP(L$2,convert!$A$1:$B$4,2,0),"@@@",L208))</f>
        <v>'g1'</v>
      </c>
      <c r="AB208" s="4" t="str">
        <f>IF(M208="",IF(ISNUMBER(SEARCH("NOT NULL",UPPER(M$3))),"''","null"),SUBSTITUTE(VLOOKUP(M$2,convert!$A$1:$B$4,2,0),"@@@",M208))</f>
        <v>null</v>
      </c>
      <c r="AC208" s="4" t="str">
        <f>IF(N208="",IF(ISNUMBER(SEARCH("NOT NULL",UPPER(N$3))),"''","null"),SUBSTITUTE(VLOOKUP(N$2,convert!$A$1:$B$4,2,0),"@@@",N208))</f>
        <v>null</v>
      </c>
      <c r="AD208" s="4" t="str">
        <f>IF(O208="",IF(ISNUMBER(SEARCH("NOT NULL",UPPER(O$3))),"''","null"),SUBSTITUTE(VLOOKUP(O$2,convert!$A$1:$B$4,2,0),"@@@",O208))</f>
        <v>TRUE</v>
      </c>
      <c r="AE208" s="4" t="str">
        <f t="shared" si="3"/>
        <v>    ('0151N01', 'ミュウ', 100, 100, 100, 100, 100, 100, '', 'psychic', null, 'g1', null, null, TRUE),</v>
      </c>
    </row>
    <row r="209" spans="1:31">
      <c r="A209" s="4" t="s">
        <v>434</v>
      </c>
      <c r="B209" s="4" t="s">
        <v>435</v>
      </c>
      <c r="C209" s="5">
        <v>45</v>
      </c>
      <c r="D209" s="5">
        <v>49</v>
      </c>
      <c r="E209" s="5">
        <v>65</v>
      </c>
      <c r="F209" s="5">
        <v>49</v>
      </c>
      <c r="G209" s="5">
        <v>65</v>
      </c>
      <c r="H209" s="5">
        <v>45</v>
      </c>
      <c r="I209" s="5"/>
      <c r="J209" s="4" t="s">
        <v>30</v>
      </c>
      <c r="K209" s="5"/>
      <c r="L209" s="4" t="s">
        <v>436</v>
      </c>
      <c r="M209" s="5"/>
      <c r="N209" s="5"/>
      <c r="O209" s="5" t="b">
        <v>1</v>
      </c>
      <c r="P209" s="4" t="str">
        <f>IF(A209="",IF(ISNUMBER(SEARCH("NOT NULL",UPPER(A$3))),"''","null"),SUBSTITUTE(VLOOKUP(A$2,convert!$A$1:$B$4,2,0),"@@@",A209))</f>
        <v>'0152N01'</v>
      </c>
      <c r="Q209" s="4" t="str">
        <f>IF(B209="",IF(ISNUMBER(SEARCH("NOT NULL",UPPER(B$3))),"''","null"),SUBSTITUTE(VLOOKUP(B$2,convert!$A$1:$B$4,2,0),"@@@",B209))</f>
        <v>'チコリータ'</v>
      </c>
      <c r="R209" s="4" t="str">
        <f>IF(C209="",IF(ISNUMBER(SEARCH("NOT NULL",UPPER(C$3))),"''","null"),SUBSTITUTE(VLOOKUP(C$2,convert!$A$1:$B$4,2,0),"@@@",C209))</f>
        <v>45</v>
      </c>
      <c r="S209" s="4" t="str">
        <f>IF(D209="",IF(ISNUMBER(SEARCH("NOT NULL",UPPER(D$3))),"''","null"),SUBSTITUTE(VLOOKUP(D$2,convert!$A$1:$B$4,2,0),"@@@",D209))</f>
        <v>49</v>
      </c>
      <c r="T209" s="4" t="str">
        <f>IF(E209="",IF(ISNUMBER(SEARCH("NOT NULL",UPPER(E$3))),"''","null"),SUBSTITUTE(VLOOKUP(E$2,convert!$A$1:$B$4,2,0),"@@@",E209))</f>
        <v>65</v>
      </c>
      <c r="U209" s="4" t="str">
        <f>IF(F209="",IF(ISNUMBER(SEARCH("NOT NULL",UPPER(F$3))),"''","null"),SUBSTITUTE(VLOOKUP(F$2,convert!$A$1:$B$4,2,0),"@@@",F209))</f>
        <v>49</v>
      </c>
      <c r="V209" s="4" t="str">
        <f>IF(G209="",IF(ISNUMBER(SEARCH("NOT NULL",UPPER(G$3))),"''","null"),SUBSTITUTE(VLOOKUP(G$2,convert!$A$1:$B$4,2,0),"@@@",G209))</f>
        <v>65</v>
      </c>
      <c r="W209" s="4" t="str">
        <f>IF(H209="",IF(ISNUMBER(SEARCH("NOT NULL",UPPER(H$3))),"''","null"),SUBSTITUTE(VLOOKUP(H$2,convert!$A$1:$B$4,2,0),"@@@",H209))</f>
        <v>45</v>
      </c>
      <c r="X209" s="4" t="str">
        <f>IF(I209="",IF(ISNUMBER(SEARCH("NOT NULL",UPPER(I$3))),"''","null"),SUBSTITUTE(VLOOKUP(I$2,convert!$A$1:$B$4,2,0),"@@@",I209))</f>
        <v>''</v>
      </c>
      <c r="Y209" s="4" t="str">
        <f>IF(J209="",IF(ISNUMBER(SEARCH("NOT NULL",UPPER(J$3))),"''","null"),SUBSTITUTE(VLOOKUP(J$2,convert!$A$1:$B$4,2,0),"@@@",J209))</f>
        <v>'grass'</v>
      </c>
      <c r="Z209" s="4" t="str">
        <f>IF(K209="",IF(ISNUMBER(SEARCH("NOT NULL",UPPER(K$3))),"''","null"),SUBSTITUTE(VLOOKUP(K$2,convert!$A$1:$B$4,2,0),"@@@",K209))</f>
        <v>null</v>
      </c>
      <c r="AA209" s="4" t="str">
        <f>IF(L209="",IF(ISNUMBER(SEARCH("NOT NULL",UPPER(L$3))),"''","null"),SUBSTITUTE(VLOOKUP(L$2,convert!$A$1:$B$4,2,0),"@@@",L209))</f>
        <v>'g2'</v>
      </c>
      <c r="AB209" s="4" t="str">
        <f>IF(M209="",IF(ISNUMBER(SEARCH("NOT NULL",UPPER(M$3))),"''","null"),SUBSTITUTE(VLOOKUP(M$2,convert!$A$1:$B$4,2,0),"@@@",M209))</f>
        <v>null</v>
      </c>
      <c r="AC209" s="4" t="str">
        <f>IF(N209="",IF(ISNUMBER(SEARCH("NOT NULL",UPPER(N$3))),"''","null"),SUBSTITUTE(VLOOKUP(N$2,convert!$A$1:$B$4,2,0),"@@@",N209))</f>
        <v>null</v>
      </c>
      <c r="AD209" s="4" t="str">
        <f>IF(O209="",IF(ISNUMBER(SEARCH("NOT NULL",UPPER(O$3))),"''","null"),SUBSTITUTE(VLOOKUP(O$2,convert!$A$1:$B$4,2,0),"@@@",O209))</f>
        <v>TRUE</v>
      </c>
      <c r="AE209" s="4" t="str">
        <f t="shared" si="3"/>
        <v>    ('0152N01', 'チコリータ', 45, 49, 65, 49, 65, 45, '', 'grass', null, 'g2', null, null, TRUE),</v>
      </c>
    </row>
    <row r="210" spans="1:31">
      <c r="A210" s="4" t="s">
        <v>437</v>
      </c>
      <c r="B210" s="4" t="s">
        <v>438</v>
      </c>
      <c r="C210" s="5">
        <v>60</v>
      </c>
      <c r="D210" s="5">
        <v>62</v>
      </c>
      <c r="E210" s="5">
        <v>80</v>
      </c>
      <c r="F210" s="5">
        <v>63</v>
      </c>
      <c r="G210" s="5">
        <v>80</v>
      </c>
      <c r="H210" s="5">
        <v>60</v>
      </c>
      <c r="I210" s="5"/>
      <c r="J210" s="4" t="s">
        <v>30</v>
      </c>
      <c r="K210" s="5"/>
      <c r="L210" s="4" t="s">
        <v>436</v>
      </c>
      <c r="M210" s="5"/>
      <c r="N210" s="5"/>
      <c r="O210" s="5" t="b">
        <v>1</v>
      </c>
      <c r="P210" s="4" t="str">
        <f>IF(A210="",IF(ISNUMBER(SEARCH("NOT NULL",UPPER(A$3))),"''","null"),SUBSTITUTE(VLOOKUP(A$2,convert!$A$1:$B$4,2,0),"@@@",A210))</f>
        <v>'0153N01'</v>
      </c>
      <c r="Q210" s="4" t="str">
        <f>IF(B210="",IF(ISNUMBER(SEARCH("NOT NULL",UPPER(B$3))),"''","null"),SUBSTITUTE(VLOOKUP(B$2,convert!$A$1:$B$4,2,0),"@@@",B210))</f>
        <v>'ベイリーフ'</v>
      </c>
      <c r="R210" s="4" t="str">
        <f>IF(C210="",IF(ISNUMBER(SEARCH("NOT NULL",UPPER(C$3))),"''","null"),SUBSTITUTE(VLOOKUP(C$2,convert!$A$1:$B$4,2,0),"@@@",C210))</f>
        <v>60</v>
      </c>
      <c r="S210" s="4" t="str">
        <f>IF(D210="",IF(ISNUMBER(SEARCH("NOT NULL",UPPER(D$3))),"''","null"),SUBSTITUTE(VLOOKUP(D$2,convert!$A$1:$B$4,2,0),"@@@",D210))</f>
        <v>62</v>
      </c>
      <c r="T210" s="4" t="str">
        <f>IF(E210="",IF(ISNUMBER(SEARCH("NOT NULL",UPPER(E$3))),"''","null"),SUBSTITUTE(VLOOKUP(E$2,convert!$A$1:$B$4,2,0),"@@@",E210))</f>
        <v>80</v>
      </c>
      <c r="U210" s="4" t="str">
        <f>IF(F210="",IF(ISNUMBER(SEARCH("NOT NULL",UPPER(F$3))),"''","null"),SUBSTITUTE(VLOOKUP(F$2,convert!$A$1:$B$4,2,0),"@@@",F210))</f>
        <v>63</v>
      </c>
      <c r="V210" s="4" t="str">
        <f>IF(G210="",IF(ISNUMBER(SEARCH("NOT NULL",UPPER(G$3))),"''","null"),SUBSTITUTE(VLOOKUP(G$2,convert!$A$1:$B$4,2,0),"@@@",G210))</f>
        <v>80</v>
      </c>
      <c r="W210" s="4" t="str">
        <f>IF(H210="",IF(ISNUMBER(SEARCH("NOT NULL",UPPER(H$3))),"''","null"),SUBSTITUTE(VLOOKUP(H$2,convert!$A$1:$B$4,2,0),"@@@",H210))</f>
        <v>60</v>
      </c>
      <c r="X210" s="4" t="str">
        <f>IF(I210="",IF(ISNUMBER(SEARCH("NOT NULL",UPPER(I$3))),"''","null"),SUBSTITUTE(VLOOKUP(I$2,convert!$A$1:$B$4,2,0),"@@@",I210))</f>
        <v>''</v>
      </c>
      <c r="Y210" s="4" t="str">
        <f>IF(J210="",IF(ISNUMBER(SEARCH("NOT NULL",UPPER(J$3))),"''","null"),SUBSTITUTE(VLOOKUP(J$2,convert!$A$1:$B$4,2,0),"@@@",J210))</f>
        <v>'grass'</v>
      </c>
      <c r="Z210" s="4" t="str">
        <f>IF(K210="",IF(ISNUMBER(SEARCH("NOT NULL",UPPER(K$3))),"''","null"),SUBSTITUTE(VLOOKUP(K$2,convert!$A$1:$B$4,2,0),"@@@",K210))</f>
        <v>null</v>
      </c>
      <c r="AA210" s="4" t="str">
        <f>IF(L210="",IF(ISNUMBER(SEARCH("NOT NULL",UPPER(L$3))),"''","null"),SUBSTITUTE(VLOOKUP(L$2,convert!$A$1:$B$4,2,0),"@@@",L210))</f>
        <v>'g2'</v>
      </c>
      <c r="AB210" s="4" t="str">
        <f>IF(M210="",IF(ISNUMBER(SEARCH("NOT NULL",UPPER(M$3))),"''","null"),SUBSTITUTE(VLOOKUP(M$2,convert!$A$1:$B$4,2,0),"@@@",M210))</f>
        <v>null</v>
      </c>
      <c r="AC210" s="4" t="str">
        <f>IF(N210="",IF(ISNUMBER(SEARCH("NOT NULL",UPPER(N$3))),"''","null"),SUBSTITUTE(VLOOKUP(N$2,convert!$A$1:$B$4,2,0),"@@@",N210))</f>
        <v>null</v>
      </c>
      <c r="AD210" s="4" t="str">
        <f>IF(O210="",IF(ISNUMBER(SEARCH("NOT NULL",UPPER(O$3))),"''","null"),SUBSTITUTE(VLOOKUP(O$2,convert!$A$1:$B$4,2,0),"@@@",O210))</f>
        <v>TRUE</v>
      </c>
      <c r="AE210" s="4" t="str">
        <f t="shared" si="3"/>
        <v>    ('0153N01', 'ベイリーフ', 60, 62, 80, 63, 80, 60, '', 'grass', null, 'g2', null, null, TRUE),</v>
      </c>
    </row>
    <row r="211" spans="1:31">
      <c r="A211" s="4" t="s">
        <v>439</v>
      </c>
      <c r="B211" s="4" t="s">
        <v>440</v>
      </c>
      <c r="C211" s="5">
        <v>80</v>
      </c>
      <c r="D211" s="5">
        <v>82</v>
      </c>
      <c r="E211" s="5">
        <v>100</v>
      </c>
      <c r="F211" s="5">
        <v>83</v>
      </c>
      <c r="G211" s="5">
        <v>100</v>
      </c>
      <c r="H211" s="5">
        <v>80</v>
      </c>
      <c r="I211" s="5"/>
      <c r="J211" s="4" t="s">
        <v>30</v>
      </c>
      <c r="K211" s="5"/>
      <c r="L211" s="4" t="s">
        <v>436</v>
      </c>
      <c r="M211" s="5"/>
      <c r="N211" s="5"/>
      <c r="O211" s="5" t="b">
        <v>1</v>
      </c>
      <c r="P211" s="4" t="str">
        <f>IF(A211="",IF(ISNUMBER(SEARCH("NOT NULL",UPPER(A$3))),"''","null"),SUBSTITUTE(VLOOKUP(A$2,convert!$A$1:$B$4,2,0),"@@@",A211))</f>
        <v>'0154N01'</v>
      </c>
      <c r="Q211" s="4" t="str">
        <f>IF(B211="",IF(ISNUMBER(SEARCH("NOT NULL",UPPER(B$3))),"''","null"),SUBSTITUTE(VLOOKUP(B$2,convert!$A$1:$B$4,2,0),"@@@",B211))</f>
        <v>'メガニウム'</v>
      </c>
      <c r="R211" s="4" t="str">
        <f>IF(C211="",IF(ISNUMBER(SEARCH("NOT NULL",UPPER(C$3))),"''","null"),SUBSTITUTE(VLOOKUP(C$2,convert!$A$1:$B$4,2,0),"@@@",C211))</f>
        <v>80</v>
      </c>
      <c r="S211" s="4" t="str">
        <f>IF(D211="",IF(ISNUMBER(SEARCH("NOT NULL",UPPER(D$3))),"''","null"),SUBSTITUTE(VLOOKUP(D$2,convert!$A$1:$B$4,2,0),"@@@",D211))</f>
        <v>82</v>
      </c>
      <c r="T211" s="4" t="str">
        <f>IF(E211="",IF(ISNUMBER(SEARCH("NOT NULL",UPPER(E$3))),"''","null"),SUBSTITUTE(VLOOKUP(E$2,convert!$A$1:$B$4,2,0),"@@@",E211))</f>
        <v>100</v>
      </c>
      <c r="U211" s="4" t="str">
        <f>IF(F211="",IF(ISNUMBER(SEARCH("NOT NULL",UPPER(F$3))),"''","null"),SUBSTITUTE(VLOOKUP(F$2,convert!$A$1:$B$4,2,0),"@@@",F211))</f>
        <v>83</v>
      </c>
      <c r="V211" s="4" t="str">
        <f>IF(G211="",IF(ISNUMBER(SEARCH("NOT NULL",UPPER(G$3))),"''","null"),SUBSTITUTE(VLOOKUP(G$2,convert!$A$1:$B$4,2,0),"@@@",G211))</f>
        <v>100</v>
      </c>
      <c r="W211" s="4" t="str">
        <f>IF(H211="",IF(ISNUMBER(SEARCH("NOT NULL",UPPER(H$3))),"''","null"),SUBSTITUTE(VLOOKUP(H$2,convert!$A$1:$B$4,2,0),"@@@",H211))</f>
        <v>80</v>
      </c>
      <c r="X211" s="4" t="str">
        <f>IF(I211="",IF(ISNUMBER(SEARCH("NOT NULL",UPPER(I$3))),"''","null"),SUBSTITUTE(VLOOKUP(I$2,convert!$A$1:$B$4,2,0),"@@@",I211))</f>
        <v>''</v>
      </c>
      <c r="Y211" s="4" t="str">
        <f>IF(J211="",IF(ISNUMBER(SEARCH("NOT NULL",UPPER(J$3))),"''","null"),SUBSTITUTE(VLOOKUP(J$2,convert!$A$1:$B$4,2,0),"@@@",J211))</f>
        <v>'grass'</v>
      </c>
      <c r="Z211" s="4" t="str">
        <f>IF(K211="",IF(ISNUMBER(SEARCH("NOT NULL",UPPER(K$3))),"''","null"),SUBSTITUTE(VLOOKUP(K$2,convert!$A$1:$B$4,2,0),"@@@",K211))</f>
        <v>null</v>
      </c>
      <c r="AA211" s="4" t="str">
        <f>IF(L211="",IF(ISNUMBER(SEARCH("NOT NULL",UPPER(L$3))),"''","null"),SUBSTITUTE(VLOOKUP(L$2,convert!$A$1:$B$4,2,0),"@@@",L211))</f>
        <v>'g2'</v>
      </c>
      <c r="AB211" s="4" t="str">
        <f>IF(M211="",IF(ISNUMBER(SEARCH("NOT NULL",UPPER(M$3))),"''","null"),SUBSTITUTE(VLOOKUP(M$2,convert!$A$1:$B$4,2,0),"@@@",M211))</f>
        <v>null</v>
      </c>
      <c r="AC211" s="4" t="str">
        <f>IF(N211="",IF(ISNUMBER(SEARCH("NOT NULL",UPPER(N$3))),"''","null"),SUBSTITUTE(VLOOKUP(N$2,convert!$A$1:$B$4,2,0),"@@@",N211))</f>
        <v>null</v>
      </c>
      <c r="AD211" s="4" t="str">
        <f>IF(O211="",IF(ISNUMBER(SEARCH("NOT NULL",UPPER(O$3))),"''","null"),SUBSTITUTE(VLOOKUP(O$2,convert!$A$1:$B$4,2,0),"@@@",O211))</f>
        <v>TRUE</v>
      </c>
      <c r="AE211" s="4" t="str">
        <f t="shared" si="3"/>
        <v>    ('0154N01', 'メガニウム', 80, 82, 100, 83, 100, 80, '', 'grass', null, 'g2', null, null, TRUE),</v>
      </c>
    </row>
    <row r="212" spans="1:31">
      <c r="A212" s="4" t="s">
        <v>441</v>
      </c>
      <c r="B212" s="4" t="s">
        <v>442</v>
      </c>
      <c r="C212" s="5">
        <v>39</v>
      </c>
      <c r="D212" s="5">
        <v>52</v>
      </c>
      <c r="E212" s="5">
        <v>43</v>
      </c>
      <c r="F212" s="5">
        <v>60</v>
      </c>
      <c r="G212" s="5">
        <v>50</v>
      </c>
      <c r="H212" s="5">
        <v>65</v>
      </c>
      <c r="I212" s="5"/>
      <c r="J212" s="4" t="s">
        <v>42</v>
      </c>
      <c r="K212" s="5"/>
      <c r="L212" s="4" t="s">
        <v>436</v>
      </c>
      <c r="M212" s="5"/>
      <c r="N212" s="5"/>
      <c r="O212" s="5" t="b">
        <v>1</v>
      </c>
      <c r="P212" s="4" t="str">
        <f>IF(A212="",IF(ISNUMBER(SEARCH("NOT NULL",UPPER(A$3))),"''","null"),SUBSTITUTE(VLOOKUP(A$2,convert!$A$1:$B$4,2,0),"@@@",A212))</f>
        <v>'0155N01'</v>
      </c>
      <c r="Q212" s="4" t="str">
        <f>IF(B212="",IF(ISNUMBER(SEARCH("NOT NULL",UPPER(B$3))),"''","null"),SUBSTITUTE(VLOOKUP(B$2,convert!$A$1:$B$4,2,0),"@@@",B212))</f>
        <v>'ヒノアラシ'</v>
      </c>
      <c r="R212" s="4" t="str">
        <f>IF(C212="",IF(ISNUMBER(SEARCH("NOT NULL",UPPER(C$3))),"''","null"),SUBSTITUTE(VLOOKUP(C$2,convert!$A$1:$B$4,2,0),"@@@",C212))</f>
        <v>39</v>
      </c>
      <c r="S212" s="4" t="str">
        <f>IF(D212="",IF(ISNUMBER(SEARCH("NOT NULL",UPPER(D$3))),"''","null"),SUBSTITUTE(VLOOKUP(D$2,convert!$A$1:$B$4,2,0),"@@@",D212))</f>
        <v>52</v>
      </c>
      <c r="T212" s="4" t="str">
        <f>IF(E212="",IF(ISNUMBER(SEARCH("NOT NULL",UPPER(E$3))),"''","null"),SUBSTITUTE(VLOOKUP(E$2,convert!$A$1:$B$4,2,0),"@@@",E212))</f>
        <v>43</v>
      </c>
      <c r="U212" s="4" t="str">
        <f>IF(F212="",IF(ISNUMBER(SEARCH("NOT NULL",UPPER(F$3))),"''","null"),SUBSTITUTE(VLOOKUP(F$2,convert!$A$1:$B$4,2,0),"@@@",F212))</f>
        <v>60</v>
      </c>
      <c r="V212" s="4" t="str">
        <f>IF(G212="",IF(ISNUMBER(SEARCH("NOT NULL",UPPER(G$3))),"''","null"),SUBSTITUTE(VLOOKUP(G$2,convert!$A$1:$B$4,2,0),"@@@",G212))</f>
        <v>50</v>
      </c>
      <c r="W212" s="4" t="str">
        <f>IF(H212="",IF(ISNUMBER(SEARCH("NOT NULL",UPPER(H$3))),"''","null"),SUBSTITUTE(VLOOKUP(H$2,convert!$A$1:$B$4,2,0),"@@@",H212))</f>
        <v>65</v>
      </c>
      <c r="X212" s="4" t="str">
        <f>IF(I212="",IF(ISNUMBER(SEARCH("NOT NULL",UPPER(I$3))),"''","null"),SUBSTITUTE(VLOOKUP(I$2,convert!$A$1:$B$4,2,0),"@@@",I212))</f>
        <v>''</v>
      </c>
      <c r="Y212" s="4" t="str">
        <f>IF(J212="",IF(ISNUMBER(SEARCH("NOT NULL",UPPER(J$3))),"''","null"),SUBSTITUTE(VLOOKUP(J$2,convert!$A$1:$B$4,2,0),"@@@",J212))</f>
        <v>'fire'</v>
      </c>
      <c r="Z212" s="4" t="str">
        <f>IF(K212="",IF(ISNUMBER(SEARCH("NOT NULL",UPPER(K$3))),"''","null"),SUBSTITUTE(VLOOKUP(K$2,convert!$A$1:$B$4,2,0),"@@@",K212))</f>
        <v>null</v>
      </c>
      <c r="AA212" s="4" t="str">
        <f>IF(L212="",IF(ISNUMBER(SEARCH("NOT NULL",UPPER(L$3))),"''","null"),SUBSTITUTE(VLOOKUP(L$2,convert!$A$1:$B$4,2,0),"@@@",L212))</f>
        <v>'g2'</v>
      </c>
      <c r="AB212" s="4" t="str">
        <f>IF(M212="",IF(ISNUMBER(SEARCH("NOT NULL",UPPER(M$3))),"''","null"),SUBSTITUTE(VLOOKUP(M$2,convert!$A$1:$B$4,2,0),"@@@",M212))</f>
        <v>null</v>
      </c>
      <c r="AC212" s="4" t="str">
        <f>IF(N212="",IF(ISNUMBER(SEARCH("NOT NULL",UPPER(N$3))),"''","null"),SUBSTITUTE(VLOOKUP(N$2,convert!$A$1:$B$4,2,0),"@@@",N212))</f>
        <v>null</v>
      </c>
      <c r="AD212" s="4" t="str">
        <f>IF(O212="",IF(ISNUMBER(SEARCH("NOT NULL",UPPER(O$3))),"''","null"),SUBSTITUTE(VLOOKUP(O$2,convert!$A$1:$B$4,2,0),"@@@",O212))</f>
        <v>TRUE</v>
      </c>
      <c r="AE212" s="4" t="str">
        <f t="shared" si="3"/>
        <v>    ('0155N01', 'ヒノアラシ', 39, 52, 43, 60, 50, 65, '', 'fire', null, 'g2', null, null, TRUE),</v>
      </c>
    </row>
    <row r="213" spans="1:31">
      <c r="A213" s="4" t="s">
        <v>443</v>
      </c>
      <c r="B213" s="4" t="s">
        <v>444</v>
      </c>
      <c r="C213" s="5">
        <v>58</v>
      </c>
      <c r="D213" s="5">
        <v>64</v>
      </c>
      <c r="E213" s="5">
        <v>58</v>
      </c>
      <c r="F213" s="5">
        <v>80</v>
      </c>
      <c r="G213" s="5">
        <v>65</v>
      </c>
      <c r="H213" s="5">
        <v>80</v>
      </c>
      <c r="I213" s="5"/>
      <c r="J213" s="4" t="s">
        <v>42</v>
      </c>
      <c r="K213" s="5"/>
      <c r="L213" s="4" t="s">
        <v>436</v>
      </c>
      <c r="M213" s="5"/>
      <c r="N213" s="5"/>
      <c r="O213" s="5" t="b">
        <v>1</v>
      </c>
      <c r="P213" s="4" t="str">
        <f>IF(A213="",IF(ISNUMBER(SEARCH("NOT NULL",UPPER(A$3))),"''","null"),SUBSTITUTE(VLOOKUP(A$2,convert!$A$1:$B$4,2,0),"@@@",A213))</f>
        <v>'0156N01'</v>
      </c>
      <c r="Q213" s="4" t="str">
        <f>IF(B213="",IF(ISNUMBER(SEARCH("NOT NULL",UPPER(B$3))),"''","null"),SUBSTITUTE(VLOOKUP(B$2,convert!$A$1:$B$4,2,0),"@@@",B213))</f>
        <v>'マグマラシ'</v>
      </c>
      <c r="R213" s="4" t="str">
        <f>IF(C213="",IF(ISNUMBER(SEARCH("NOT NULL",UPPER(C$3))),"''","null"),SUBSTITUTE(VLOOKUP(C$2,convert!$A$1:$B$4,2,0),"@@@",C213))</f>
        <v>58</v>
      </c>
      <c r="S213" s="4" t="str">
        <f>IF(D213="",IF(ISNUMBER(SEARCH("NOT NULL",UPPER(D$3))),"''","null"),SUBSTITUTE(VLOOKUP(D$2,convert!$A$1:$B$4,2,0),"@@@",D213))</f>
        <v>64</v>
      </c>
      <c r="T213" s="4" t="str">
        <f>IF(E213="",IF(ISNUMBER(SEARCH("NOT NULL",UPPER(E$3))),"''","null"),SUBSTITUTE(VLOOKUP(E$2,convert!$A$1:$B$4,2,0),"@@@",E213))</f>
        <v>58</v>
      </c>
      <c r="U213" s="4" t="str">
        <f>IF(F213="",IF(ISNUMBER(SEARCH("NOT NULL",UPPER(F$3))),"''","null"),SUBSTITUTE(VLOOKUP(F$2,convert!$A$1:$B$4,2,0),"@@@",F213))</f>
        <v>80</v>
      </c>
      <c r="V213" s="4" t="str">
        <f>IF(G213="",IF(ISNUMBER(SEARCH("NOT NULL",UPPER(G$3))),"''","null"),SUBSTITUTE(VLOOKUP(G$2,convert!$A$1:$B$4,2,0),"@@@",G213))</f>
        <v>65</v>
      </c>
      <c r="W213" s="4" t="str">
        <f>IF(H213="",IF(ISNUMBER(SEARCH("NOT NULL",UPPER(H$3))),"''","null"),SUBSTITUTE(VLOOKUP(H$2,convert!$A$1:$B$4,2,0),"@@@",H213))</f>
        <v>80</v>
      </c>
      <c r="X213" s="4" t="str">
        <f>IF(I213="",IF(ISNUMBER(SEARCH("NOT NULL",UPPER(I$3))),"''","null"),SUBSTITUTE(VLOOKUP(I$2,convert!$A$1:$B$4,2,0),"@@@",I213))</f>
        <v>''</v>
      </c>
      <c r="Y213" s="4" t="str">
        <f>IF(J213="",IF(ISNUMBER(SEARCH("NOT NULL",UPPER(J$3))),"''","null"),SUBSTITUTE(VLOOKUP(J$2,convert!$A$1:$B$4,2,0),"@@@",J213))</f>
        <v>'fire'</v>
      </c>
      <c r="Z213" s="4" t="str">
        <f>IF(K213="",IF(ISNUMBER(SEARCH("NOT NULL",UPPER(K$3))),"''","null"),SUBSTITUTE(VLOOKUP(K$2,convert!$A$1:$B$4,2,0),"@@@",K213))</f>
        <v>null</v>
      </c>
      <c r="AA213" s="4" t="str">
        <f>IF(L213="",IF(ISNUMBER(SEARCH("NOT NULL",UPPER(L$3))),"''","null"),SUBSTITUTE(VLOOKUP(L$2,convert!$A$1:$B$4,2,0),"@@@",L213))</f>
        <v>'g2'</v>
      </c>
      <c r="AB213" s="4" t="str">
        <f>IF(M213="",IF(ISNUMBER(SEARCH("NOT NULL",UPPER(M$3))),"''","null"),SUBSTITUTE(VLOOKUP(M$2,convert!$A$1:$B$4,2,0),"@@@",M213))</f>
        <v>null</v>
      </c>
      <c r="AC213" s="4" t="str">
        <f>IF(N213="",IF(ISNUMBER(SEARCH("NOT NULL",UPPER(N$3))),"''","null"),SUBSTITUTE(VLOOKUP(N$2,convert!$A$1:$B$4,2,0),"@@@",N213))</f>
        <v>null</v>
      </c>
      <c r="AD213" s="4" t="str">
        <f>IF(O213="",IF(ISNUMBER(SEARCH("NOT NULL",UPPER(O$3))),"''","null"),SUBSTITUTE(VLOOKUP(O$2,convert!$A$1:$B$4,2,0),"@@@",O213))</f>
        <v>TRUE</v>
      </c>
      <c r="AE213" s="4" t="str">
        <f t="shared" si="3"/>
        <v>    ('0156N01', 'マグマラシ', 58, 64, 58, 80, 65, 80, '', 'fire', null, 'g2', null, null, TRUE),</v>
      </c>
    </row>
    <row r="214" spans="1:31">
      <c r="A214" s="4" t="s">
        <v>445</v>
      </c>
      <c r="B214" s="4" t="s">
        <v>446</v>
      </c>
      <c r="C214" s="5">
        <v>78</v>
      </c>
      <c r="D214" s="5">
        <v>84</v>
      </c>
      <c r="E214" s="5">
        <v>78</v>
      </c>
      <c r="F214" s="5">
        <v>109</v>
      </c>
      <c r="G214" s="5">
        <v>85</v>
      </c>
      <c r="H214" s="5">
        <v>100</v>
      </c>
      <c r="I214" s="5"/>
      <c r="J214" s="4" t="s">
        <v>42</v>
      </c>
      <c r="K214" s="5"/>
      <c r="L214" s="4" t="s">
        <v>436</v>
      </c>
      <c r="M214" s="5"/>
      <c r="N214" s="5"/>
      <c r="O214" s="5" t="b">
        <v>1</v>
      </c>
      <c r="P214" s="4" t="str">
        <f>IF(A214="",IF(ISNUMBER(SEARCH("NOT NULL",UPPER(A$3))),"''","null"),SUBSTITUTE(VLOOKUP(A$2,convert!$A$1:$B$4,2,0),"@@@",A214))</f>
        <v>'0157N01'</v>
      </c>
      <c r="Q214" s="4" t="str">
        <f>IF(B214="",IF(ISNUMBER(SEARCH("NOT NULL",UPPER(B$3))),"''","null"),SUBSTITUTE(VLOOKUP(B$2,convert!$A$1:$B$4,2,0),"@@@",B214))</f>
        <v>'バクフーン'</v>
      </c>
      <c r="R214" s="4" t="str">
        <f>IF(C214="",IF(ISNUMBER(SEARCH("NOT NULL",UPPER(C$3))),"''","null"),SUBSTITUTE(VLOOKUP(C$2,convert!$A$1:$B$4,2,0),"@@@",C214))</f>
        <v>78</v>
      </c>
      <c r="S214" s="4" t="str">
        <f>IF(D214="",IF(ISNUMBER(SEARCH("NOT NULL",UPPER(D$3))),"''","null"),SUBSTITUTE(VLOOKUP(D$2,convert!$A$1:$B$4,2,0),"@@@",D214))</f>
        <v>84</v>
      </c>
      <c r="T214" s="4" t="str">
        <f>IF(E214="",IF(ISNUMBER(SEARCH("NOT NULL",UPPER(E$3))),"''","null"),SUBSTITUTE(VLOOKUP(E$2,convert!$A$1:$B$4,2,0),"@@@",E214))</f>
        <v>78</v>
      </c>
      <c r="U214" s="4" t="str">
        <f>IF(F214="",IF(ISNUMBER(SEARCH("NOT NULL",UPPER(F$3))),"''","null"),SUBSTITUTE(VLOOKUP(F$2,convert!$A$1:$B$4,2,0),"@@@",F214))</f>
        <v>109</v>
      </c>
      <c r="V214" s="4" t="str">
        <f>IF(G214="",IF(ISNUMBER(SEARCH("NOT NULL",UPPER(G$3))),"''","null"),SUBSTITUTE(VLOOKUP(G$2,convert!$A$1:$B$4,2,0),"@@@",G214))</f>
        <v>85</v>
      </c>
      <c r="W214" s="4" t="str">
        <f>IF(H214="",IF(ISNUMBER(SEARCH("NOT NULL",UPPER(H$3))),"''","null"),SUBSTITUTE(VLOOKUP(H$2,convert!$A$1:$B$4,2,0),"@@@",H214))</f>
        <v>100</v>
      </c>
      <c r="X214" s="4" t="str">
        <f>IF(I214="",IF(ISNUMBER(SEARCH("NOT NULL",UPPER(I$3))),"''","null"),SUBSTITUTE(VLOOKUP(I$2,convert!$A$1:$B$4,2,0),"@@@",I214))</f>
        <v>''</v>
      </c>
      <c r="Y214" s="4" t="str">
        <f>IF(J214="",IF(ISNUMBER(SEARCH("NOT NULL",UPPER(J$3))),"''","null"),SUBSTITUTE(VLOOKUP(J$2,convert!$A$1:$B$4,2,0),"@@@",J214))</f>
        <v>'fire'</v>
      </c>
      <c r="Z214" s="4" t="str">
        <f>IF(K214="",IF(ISNUMBER(SEARCH("NOT NULL",UPPER(K$3))),"''","null"),SUBSTITUTE(VLOOKUP(K$2,convert!$A$1:$B$4,2,0),"@@@",K214))</f>
        <v>null</v>
      </c>
      <c r="AA214" s="4" t="str">
        <f>IF(L214="",IF(ISNUMBER(SEARCH("NOT NULL",UPPER(L$3))),"''","null"),SUBSTITUTE(VLOOKUP(L$2,convert!$A$1:$B$4,2,0),"@@@",L214))</f>
        <v>'g2'</v>
      </c>
      <c r="AB214" s="4" t="str">
        <f>IF(M214="",IF(ISNUMBER(SEARCH("NOT NULL",UPPER(M$3))),"''","null"),SUBSTITUTE(VLOOKUP(M$2,convert!$A$1:$B$4,2,0),"@@@",M214))</f>
        <v>null</v>
      </c>
      <c r="AC214" s="4" t="str">
        <f>IF(N214="",IF(ISNUMBER(SEARCH("NOT NULL",UPPER(N$3))),"''","null"),SUBSTITUTE(VLOOKUP(N$2,convert!$A$1:$B$4,2,0),"@@@",N214))</f>
        <v>null</v>
      </c>
      <c r="AD214" s="4" t="str">
        <f>IF(O214="",IF(ISNUMBER(SEARCH("NOT NULL",UPPER(O$3))),"''","null"),SUBSTITUTE(VLOOKUP(O$2,convert!$A$1:$B$4,2,0),"@@@",O214))</f>
        <v>TRUE</v>
      </c>
      <c r="AE214" s="4" t="str">
        <f t="shared" si="3"/>
        <v>    ('0157N01', 'バクフーン', 78, 84, 78, 109, 85, 100, '', 'fire', null, 'g2', null, null, TRUE),</v>
      </c>
    </row>
    <row r="215" spans="1:31">
      <c r="A215" s="4" t="s">
        <v>447</v>
      </c>
      <c r="B215" s="4" t="s">
        <v>446</v>
      </c>
      <c r="C215" s="5">
        <v>73</v>
      </c>
      <c r="D215" s="5">
        <v>84</v>
      </c>
      <c r="E215" s="5">
        <v>78</v>
      </c>
      <c r="F215" s="5">
        <v>119</v>
      </c>
      <c r="G215" s="5">
        <v>85</v>
      </c>
      <c r="H215" s="5">
        <v>95</v>
      </c>
      <c r="I215" s="4" t="s">
        <v>195</v>
      </c>
      <c r="J215" s="4" t="s">
        <v>42</v>
      </c>
      <c r="K215" s="4" t="s">
        <v>281</v>
      </c>
      <c r="L215" s="4" t="s">
        <v>197</v>
      </c>
      <c r="M215" s="5"/>
      <c r="N215" s="5"/>
      <c r="O215" s="5" t="b">
        <v>1</v>
      </c>
      <c r="P215" s="4" t="str">
        <f>IF(A215="",IF(ISNUMBER(SEARCH("NOT NULL",UPPER(A$3))),"''","null"),SUBSTITUTE(VLOOKUP(A$2,convert!$A$1:$B$4,2,0),"@@@",A215))</f>
        <v>'0157H01'</v>
      </c>
      <c r="Q215" s="4" t="str">
        <f>IF(B215="",IF(ISNUMBER(SEARCH("NOT NULL",UPPER(B$3))),"''","null"),SUBSTITUTE(VLOOKUP(B$2,convert!$A$1:$B$4,2,0),"@@@",B215))</f>
        <v>'バクフーン'</v>
      </c>
      <c r="R215" s="4" t="str">
        <f>IF(C215="",IF(ISNUMBER(SEARCH("NOT NULL",UPPER(C$3))),"''","null"),SUBSTITUTE(VLOOKUP(C$2,convert!$A$1:$B$4,2,0),"@@@",C215))</f>
        <v>73</v>
      </c>
      <c r="S215" s="4" t="str">
        <f>IF(D215="",IF(ISNUMBER(SEARCH("NOT NULL",UPPER(D$3))),"''","null"),SUBSTITUTE(VLOOKUP(D$2,convert!$A$1:$B$4,2,0),"@@@",D215))</f>
        <v>84</v>
      </c>
      <c r="T215" s="4" t="str">
        <f>IF(E215="",IF(ISNUMBER(SEARCH("NOT NULL",UPPER(E$3))),"''","null"),SUBSTITUTE(VLOOKUP(E$2,convert!$A$1:$B$4,2,0),"@@@",E215))</f>
        <v>78</v>
      </c>
      <c r="U215" s="4" t="str">
        <f>IF(F215="",IF(ISNUMBER(SEARCH("NOT NULL",UPPER(F$3))),"''","null"),SUBSTITUTE(VLOOKUP(F$2,convert!$A$1:$B$4,2,0),"@@@",F215))</f>
        <v>119</v>
      </c>
      <c r="V215" s="4" t="str">
        <f>IF(G215="",IF(ISNUMBER(SEARCH("NOT NULL",UPPER(G$3))),"''","null"),SUBSTITUTE(VLOOKUP(G$2,convert!$A$1:$B$4,2,0),"@@@",G215))</f>
        <v>85</v>
      </c>
      <c r="W215" s="4" t="str">
        <f>IF(H215="",IF(ISNUMBER(SEARCH("NOT NULL",UPPER(H$3))),"''","null"),SUBSTITUTE(VLOOKUP(H$2,convert!$A$1:$B$4,2,0),"@@@",H215))</f>
        <v>95</v>
      </c>
      <c r="X215" s="4" t="str">
        <f>IF(I215="",IF(ISNUMBER(SEARCH("NOT NULL",UPPER(I$3))),"''","null"),SUBSTITUTE(VLOOKUP(I$2,convert!$A$1:$B$4,2,0),"@@@",I215))</f>
        <v>'ヒスイのすがた'</v>
      </c>
      <c r="Y215" s="4" t="str">
        <f>IF(J215="",IF(ISNUMBER(SEARCH("NOT NULL",UPPER(J$3))),"''","null"),SUBSTITUTE(VLOOKUP(J$2,convert!$A$1:$B$4,2,0),"@@@",J215))</f>
        <v>'fire'</v>
      </c>
      <c r="Z215" s="4" t="str">
        <f>IF(K215="",IF(ISNUMBER(SEARCH("NOT NULL",UPPER(K$3))),"''","null"),SUBSTITUTE(VLOOKUP(K$2,convert!$A$1:$B$4,2,0),"@@@",K215))</f>
        <v>'ghost'</v>
      </c>
      <c r="AA215" s="4" t="str">
        <f>IF(L215="",IF(ISNUMBER(SEARCH("NOT NULL",UPPER(L$3))),"''","null"),SUBSTITUTE(VLOOKUP(L$2,convert!$A$1:$B$4,2,0),"@@@",L215))</f>
        <v>'g8arceus'</v>
      </c>
      <c r="AB215" s="4" t="str">
        <f>IF(M215="",IF(ISNUMBER(SEARCH("NOT NULL",UPPER(M$3))),"''","null"),SUBSTITUTE(VLOOKUP(M$2,convert!$A$1:$B$4,2,0),"@@@",M215))</f>
        <v>null</v>
      </c>
      <c r="AC215" s="4" t="str">
        <f>IF(N215="",IF(ISNUMBER(SEARCH("NOT NULL",UPPER(N$3))),"''","null"),SUBSTITUTE(VLOOKUP(N$2,convert!$A$1:$B$4,2,0),"@@@",N215))</f>
        <v>null</v>
      </c>
      <c r="AD215" s="4" t="str">
        <f>IF(O215="",IF(ISNUMBER(SEARCH("NOT NULL",UPPER(O$3))),"''","null"),SUBSTITUTE(VLOOKUP(O$2,convert!$A$1:$B$4,2,0),"@@@",O215))</f>
        <v>TRUE</v>
      </c>
      <c r="AE215" s="4" t="str">
        <f t="shared" si="3"/>
        <v>    ('0157H01', 'バクフーン', 73, 84, 78, 119, 85, 95, 'ヒスイのすがた', 'fire', 'ghost', 'g8arceus', null, null, TRUE),</v>
      </c>
    </row>
    <row r="216" spans="1:31">
      <c r="A216" s="4" t="s">
        <v>448</v>
      </c>
      <c r="B216" s="4" t="s">
        <v>449</v>
      </c>
      <c r="C216" s="5">
        <v>50</v>
      </c>
      <c r="D216" s="5">
        <v>65</v>
      </c>
      <c r="E216" s="5">
        <v>64</v>
      </c>
      <c r="F216" s="5">
        <v>44</v>
      </c>
      <c r="G216" s="5">
        <v>48</v>
      </c>
      <c r="H216" s="5">
        <v>43</v>
      </c>
      <c r="I216" s="5"/>
      <c r="J216" s="4" t="s">
        <v>55</v>
      </c>
      <c r="K216" s="5"/>
      <c r="L216" s="4" t="s">
        <v>436</v>
      </c>
      <c r="M216" s="5"/>
      <c r="N216" s="5"/>
      <c r="O216" s="5" t="b">
        <v>1</v>
      </c>
      <c r="P216" s="4" t="str">
        <f>IF(A216="",IF(ISNUMBER(SEARCH("NOT NULL",UPPER(A$3))),"''","null"),SUBSTITUTE(VLOOKUP(A$2,convert!$A$1:$B$4,2,0),"@@@",A216))</f>
        <v>'0158N01'</v>
      </c>
      <c r="Q216" s="4" t="str">
        <f>IF(B216="",IF(ISNUMBER(SEARCH("NOT NULL",UPPER(B$3))),"''","null"),SUBSTITUTE(VLOOKUP(B$2,convert!$A$1:$B$4,2,0),"@@@",B216))</f>
        <v>'ワニノコ'</v>
      </c>
      <c r="R216" s="4" t="str">
        <f>IF(C216="",IF(ISNUMBER(SEARCH("NOT NULL",UPPER(C$3))),"''","null"),SUBSTITUTE(VLOOKUP(C$2,convert!$A$1:$B$4,2,0),"@@@",C216))</f>
        <v>50</v>
      </c>
      <c r="S216" s="4" t="str">
        <f>IF(D216="",IF(ISNUMBER(SEARCH("NOT NULL",UPPER(D$3))),"''","null"),SUBSTITUTE(VLOOKUP(D$2,convert!$A$1:$B$4,2,0),"@@@",D216))</f>
        <v>65</v>
      </c>
      <c r="T216" s="4" t="str">
        <f>IF(E216="",IF(ISNUMBER(SEARCH("NOT NULL",UPPER(E$3))),"''","null"),SUBSTITUTE(VLOOKUP(E$2,convert!$A$1:$B$4,2,0),"@@@",E216))</f>
        <v>64</v>
      </c>
      <c r="U216" s="4" t="str">
        <f>IF(F216="",IF(ISNUMBER(SEARCH("NOT NULL",UPPER(F$3))),"''","null"),SUBSTITUTE(VLOOKUP(F$2,convert!$A$1:$B$4,2,0),"@@@",F216))</f>
        <v>44</v>
      </c>
      <c r="V216" s="4" t="str">
        <f>IF(G216="",IF(ISNUMBER(SEARCH("NOT NULL",UPPER(G$3))),"''","null"),SUBSTITUTE(VLOOKUP(G$2,convert!$A$1:$B$4,2,0),"@@@",G216))</f>
        <v>48</v>
      </c>
      <c r="W216" s="4" t="str">
        <f>IF(H216="",IF(ISNUMBER(SEARCH("NOT NULL",UPPER(H$3))),"''","null"),SUBSTITUTE(VLOOKUP(H$2,convert!$A$1:$B$4,2,0),"@@@",H216))</f>
        <v>43</v>
      </c>
      <c r="X216" s="4" t="str">
        <f>IF(I216="",IF(ISNUMBER(SEARCH("NOT NULL",UPPER(I$3))),"''","null"),SUBSTITUTE(VLOOKUP(I$2,convert!$A$1:$B$4,2,0),"@@@",I216))</f>
        <v>''</v>
      </c>
      <c r="Y216" s="4" t="str">
        <f>IF(J216="",IF(ISNUMBER(SEARCH("NOT NULL",UPPER(J$3))),"''","null"),SUBSTITUTE(VLOOKUP(J$2,convert!$A$1:$B$4,2,0),"@@@",J216))</f>
        <v>'water'</v>
      </c>
      <c r="Z216" s="4" t="str">
        <f>IF(K216="",IF(ISNUMBER(SEARCH("NOT NULL",UPPER(K$3))),"''","null"),SUBSTITUTE(VLOOKUP(K$2,convert!$A$1:$B$4,2,0),"@@@",K216))</f>
        <v>null</v>
      </c>
      <c r="AA216" s="4" t="str">
        <f>IF(L216="",IF(ISNUMBER(SEARCH("NOT NULL",UPPER(L$3))),"''","null"),SUBSTITUTE(VLOOKUP(L$2,convert!$A$1:$B$4,2,0),"@@@",L216))</f>
        <v>'g2'</v>
      </c>
      <c r="AB216" s="4" t="str">
        <f>IF(M216="",IF(ISNUMBER(SEARCH("NOT NULL",UPPER(M$3))),"''","null"),SUBSTITUTE(VLOOKUP(M$2,convert!$A$1:$B$4,2,0),"@@@",M216))</f>
        <v>null</v>
      </c>
      <c r="AC216" s="4" t="str">
        <f>IF(N216="",IF(ISNUMBER(SEARCH("NOT NULL",UPPER(N$3))),"''","null"),SUBSTITUTE(VLOOKUP(N$2,convert!$A$1:$B$4,2,0),"@@@",N216))</f>
        <v>null</v>
      </c>
      <c r="AD216" s="4" t="str">
        <f>IF(O216="",IF(ISNUMBER(SEARCH("NOT NULL",UPPER(O$3))),"''","null"),SUBSTITUTE(VLOOKUP(O$2,convert!$A$1:$B$4,2,0),"@@@",O216))</f>
        <v>TRUE</v>
      </c>
      <c r="AE216" s="4" t="str">
        <f t="shared" si="3"/>
        <v>    ('0158N01', 'ワニノコ', 50, 65, 64, 44, 48, 43, '', 'water', null, 'g2', null, null, TRUE),</v>
      </c>
    </row>
    <row r="217" spans="1:31">
      <c r="A217" s="4" t="s">
        <v>450</v>
      </c>
      <c r="B217" s="4" t="s">
        <v>451</v>
      </c>
      <c r="C217" s="5">
        <v>65</v>
      </c>
      <c r="D217" s="5">
        <v>80</v>
      </c>
      <c r="E217" s="5">
        <v>80</v>
      </c>
      <c r="F217" s="5">
        <v>59</v>
      </c>
      <c r="G217" s="5">
        <v>63</v>
      </c>
      <c r="H217" s="5">
        <v>58</v>
      </c>
      <c r="I217" s="5"/>
      <c r="J217" s="4" t="s">
        <v>55</v>
      </c>
      <c r="K217" s="5"/>
      <c r="L217" s="4" t="s">
        <v>436</v>
      </c>
      <c r="M217" s="5"/>
      <c r="N217" s="5"/>
      <c r="O217" s="5" t="b">
        <v>1</v>
      </c>
      <c r="P217" s="4" t="str">
        <f>IF(A217="",IF(ISNUMBER(SEARCH("NOT NULL",UPPER(A$3))),"''","null"),SUBSTITUTE(VLOOKUP(A$2,convert!$A$1:$B$4,2,0),"@@@",A217))</f>
        <v>'0159N01'</v>
      </c>
      <c r="Q217" s="4" t="str">
        <f>IF(B217="",IF(ISNUMBER(SEARCH("NOT NULL",UPPER(B$3))),"''","null"),SUBSTITUTE(VLOOKUP(B$2,convert!$A$1:$B$4,2,0),"@@@",B217))</f>
        <v>'アリゲイツ'</v>
      </c>
      <c r="R217" s="4" t="str">
        <f>IF(C217="",IF(ISNUMBER(SEARCH("NOT NULL",UPPER(C$3))),"''","null"),SUBSTITUTE(VLOOKUP(C$2,convert!$A$1:$B$4,2,0),"@@@",C217))</f>
        <v>65</v>
      </c>
      <c r="S217" s="4" t="str">
        <f>IF(D217="",IF(ISNUMBER(SEARCH("NOT NULL",UPPER(D$3))),"''","null"),SUBSTITUTE(VLOOKUP(D$2,convert!$A$1:$B$4,2,0),"@@@",D217))</f>
        <v>80</v>
      </c>
      <c r="T217" s="4" t="str">
        <f>IF(E217="",IF(ISNUMBER(SEARCH("NOT NULL",UPPER(E$3))),"''","null"),SUBSTITUTE(VLOOKUP(E$2,convert!$A$1:$B$4,2,0),"@@@",E217))</f>
        <v>80</v>
      </c>
      <c r="U217" s="4" t="str">
        <f>IF(F217="",IF(ISNUMBER(SEARCH("NOT NULL",UPPER(F$3))),"''","null"),SUBSTITUTE(VLOOKUP(F$2,convert!$A$1:$B$4,2,0),"@@@",F217))</f>
        <v>59</v>
      </c>
      <c r="V217" s="4" t="str">
        <f>IF(G217="",IF(ISNUMBER(SEARCH("NOT NULL",UPPER(G$3))),"''","null"),SUBSTITUTE(VLOOKUP(G$2,convert!$A$1:$B$4,2,0),"@@@",G217))</f>
        <v>63</v>
      </c>
      <c r="W217" s="4" t="str">
        <f>IF(H217="",IF(ISNUMBER(SEARCH("NOT NULL",UPPER(H$3))),"''","null"),SUBSTITUTE(VLOOKUP(H$2,convert!$A$1:$B$4,2,0),"@@@",H217))</f>
        <v>58</v>
      </c>
      <c r="X217" s="4" t="str">
        <f>IF(I217="",IF(ISNUMBER(SEARCH("NOT NULL",UPPER(I$3))),"''","null"),SUBSTITUTE(VLOOKUP(I$2,convert!$A$1:$B$4,2,0),"@@@",I217))</f>
        <v>''</v>
      </c>
      <c r="Y217" s="4" t="str">
        <f>IF(J217="",IF(ISNUMBER(SEARCH("NOT NULL",UPPER(J$3))),"''","null"),SUBSTITUTE(VLOOKUP(J$2,convert!$A$1:$B$4,2,0),"@@@",J217))</f>
        <v>'water'</v>
      </c>
      <c r="Z217" s="4" t="str">
        <f>IF(K217="",IF(ISNUMBER(SEARCH("NOT NULL",UPPER(K$3))),"''","null"),SUBSTITUTE(VLOOKUP(K$2,convert!$A$1:$B$4,2,0),"@@@",K217))</f>
        <v>null</v>
      </c>
      <c r="AA217" s="4" t="str">
        <f>IF(L217="",IF(ISNUMBER(SEARCH("NOT NULL",UPPER(L$3))),"''","null"),SUBSTITUTE(VLOOKUP(L$2,convert!$A$1:$B$4,2,0),"@@@",L217))</f>
        <v>'g2'</v>
      </c>
      <c r="AB217" s="4" t="str">
        <f>IF(M217="",IF(ISNUMBER(SEARCH("NOT NULL",UPPER(M$3))),"''","null"),SUBSTITUTE(VLOOKUP(M$2,convert!$A$1:$B$4,2,0),"@@@",M217))</f>
        <v>null</v>
      </c>
      <c r="AC217" s="4" t="str">
        <f>IF(N217="",IF(ISNUMBER(SEARCH("NOT NULL",UPPER(N$3))),"''","null"),SUBSTITUTE(VLOOKUP(N$2,convert!$A$1:$B$4,2,0),"@@@",N217))</f>
        <v>null</v>
      </c>
      <c r="AD217" s="4" t="str">
        <f>IF(O217="",IF(ISNUMBER(SEARCH("NOT NULL",UPPER(O$3))),"''","null"),SUBSTITUTE(VLOOKUP(O$2,convert!$A$1:$B$4,2,0),"@@@",O217))</f>
        <v>TRUE</v>
      </c>
      <c r="AE217" s="4" t="str">
        <f t="shared" si="3"/>
        <v>    ('0159N01', 'アリゲイツ', 65, 80, 80, 59, 63, 58, '', 'water', null, 'g2', null, null, TRUE),</v>
      </c>
    </row>
    <row r="218" spans="1:31">
      <c r="A218" s="4" t="s">
        <v>452</v>
      </c>
      <c r="B218" s="4" t="s">
        <v>453</v>
      </c>
      <c r="C218" s="5">
        <v>85</v>
      </c>
      <c r="D218" s="5">
        <v>105</v>
      </c>
      <c r="E218" s="5">
        <v>100</v>
      </c>
      <c r="F218" s="5">
        <v>79</v>
      </c>
      <c r="G218" s="5">
        <v>83</v>
      </c>
      <c r="H218" s="5">
        <v>78</v>
      </c>
      <c r="I218" s="5"/>
      <c r="J218" s="4" t="s">
        <v>55</v>
      </c>
      <c r="K218" s="5"/>
      <c r="L218" s="4" t="s">
        <v>436</v>
      </c>
      <c r="M218" s="5"/>
      <c r="N218" s="5"/>
      <c r="O218" s="5" t="b">
        <v>1</v>
      </c>
      <c r="P218" s="4" t="str">
        <f>IF(A218="",IF(ISNUMBER(SEARCH("NOT NULL",UPPER(A$3))),"''","null"),SUBSTITUTE(VLOOKUP(A$2,convert!$A$1:$B$4,2,0),"@@@",A218))</f>
        <v>'0160N01'</v>
      </c>
      <c r="Q218" s="4" t="str">
        <f>IF(B218="",IF(ISNUMBER(SEARCH("NOT NULL",UPPER(B$3))),"''","null"),SUBSTITUTE(VLOOKUP(B$2,convert!$A$1:$B$4,2,0),"@@@",B218))</f>
        <v>'オーダイル'</v>
      </c>
      <c r="R218" s="4" t="str">
        <f>IF(C218="",IF(ISNUMBER(SEARCH("NOT NULL",UPPER(C$3))),"''","null"),SUBSTITUTE(VLOOKUP(C$2,convert!$A$1:$B$4,2,0),"@@@",C218))</f>
        <v>85</v>
      </c>
      <c r="S218" s="4" t="str">
        <f>IF(D218="",IF(ISNUMBER(SEARCH("NOT NULL",UPPER(D$3))),"''","null"),SUBSTITUTE(VLOOKUP(D$2,convert!$A$1:$B$4,2,0),"@@@",D218))</f>
        <v>105</v>
      </c>
      <c r="T218" s="4" t="str">
        <f>IF(E218="",IF(ISNUMBER(SEARCH("NOT NULL",UPPER(E$3))),"''","null"),SUBSTITUTE(VLOOKUP(E$2,convert!$A$1:$B$4,2,0),"@@@",E218))</f>
        <v>100</v>
      </c>
      <c r="U218" s="4" t="str">
        <f>IF(F218="",IF(ISNUMBER(SEARCH("NOT NULL",UPPER(F$3))),"''","null"),SUBSTITUTE(VLOOKUP(F$2,convert!$A$1:$B$4,2,0),"@@@",F218))</f>
        <v>79</v>
      </c>
      <c r="V218" s="4" t="str">
        <f>IF(G218="",IF(ISNUMBER(SEARCH("NOT NULL",UPPER(G$3))),"''","null"),SUBSTITUTE(VLOOKUP(G$2,convert!$A$1:$B$4,2,0),"@@@",G218))</f>
        <v>83</v>
      </c>
      <c r="W218" s="4" t="str">
        <f>IF(H218="",IF(ISNUMBER(SEARCH("NOT NULL",UPPER(H$3))),"''","null"),SUBSTITUTE(VLOOKUP(H$2,convert!$A$1:$B$4,2,0),"@@@",H218))</f>
        <v>78</v>
      </c>
      <c r="X218" s="4" t="str">
        <f>IF(I218="",IF(ISNUMBER(SEARCH("NOT NULL",UPPER(I$3))),"''","null"),SUBSTITUTE(VLOOKUP(I$2,convert!$A$1:$B$4,2,0),"@@@",I218))</f>
        <v>''</v>
      </c>
      <c r="Y218" s="4" t="str">
        <f>IF(J218="",IF(ISNUMBER(SEARCH("NOT NULL",UPPER(J$3))),"''","null"),SUBSTITUTE(VLOOKUP(J$2,convert!$A$1:$B$4,2,0),"@@@",J218))</f>
        <v>'water'</v>
      </c>
      <c r="Z218" s="4" t="str">
        <f>IF(K218="",IF(ISNUMBER(SEARCH("NOT NULL",UPPER(K$3))),"''","null"),SUBSTITUTE(VLOOKUP(K$2,convert!$A$1:$B$4,2,0),"@@@",K218))</f>
        <v>null</v>
      </c>
      <c r="AA218" s="4" t="str">
        <f>IF(L218="",IF(ISNUMBER(SEARCH("NOT NULL",UPPER(L$3))),"''","null"),SUBSTITUTE(VLOOKUP(L$2,convert!$A$1:$B$4,2,0),"@@@",L218))</f>
        <v>'g2'</v>
      </c>
      <c r="AB218" s="4" t="str">
        <f>IF(M218="",IF(ISNUMBER(SEARCH("NOT NULL",UPPER(M$3))),"''","null"),SUBSTITUTE(VLOOKUP(M$2,convert!$A$1:$B$4,2,0),"@@@",M218))</f>
        <v>null</v>
      </c>
      <c r="AC218" s="4" t="str">
        <f>IF(N218="",IF(ISNUMBER(SEARCH("NOT NULL",UPPER(N$3))),"''","null"),SUBSTITUTE(VLOOKUP(N$2,convert!$A$1:$B$4,2,0),"@@@",N218))</f>
        <v>null</v>
      </c>
      <c r="AD218" s="4" t="str">
        <f>IF(O218="",IF(ISNUMBER(SEARCH("NOT NULL",UPPER(O$3))),"''","null"),SUBSTITUTE(VLOOKUP(O$2,convert!$A$1:$B$4,2,0),"@@@",O218))</f>
        <v>TRUE</v>
      </c>
      <c r="AE218" s="4" t="str">
        <f t="shared" si="3"/>
        <v>    ('0160N01', 'オーダイル', 85, 105, 100, 79, 83, 78, '', 'water', null, 'g2', null, null, TRUE),</v>
      </c>
    </row>
    <row r="219" spans="1:31">
      <c r="A219" s="4" t="s">
        <v>454</v>
      </c>
      <c r="B219" s="4" t="s">
        <v>455</v>
      </c>
      <c r="C219" s="5">
        <v>35</v>
      </c>
      <c r="D219" s="5">
        <v>46</v>
      </c>
      <c r="E219" s="5">
        <v>34</v>
      </c>
      <c r="F219" s="5">
        <v>35</v>
      </c>
      <c r="G219" s="5">
        <v>45</v>
      </c>
      <c r="H219" s="5">
        <v>20</v>
      </c>
      <c r="I219" s="5"/>
      <c r="J219" s="4" t="s">
        <v>80</v>
      </c>
      <c r="K219" s="5"/>
      <c r="L219" s="4" t="s">
        <v>436</v>
      </c>
      <c r="M219" s="5"/>
      <c r="N219" s="5"/>
      <c r="O219" s="5" t="b">
        <v>1</v>
      </c>
      <c r="P219" s="4" t="str">
        <f>IF(A219="",IF(ISNUMBER(SEARCH("NOT NULL",UPPER(A$3))),"''","null"),SUBSTITUTE(VLOOKUP(A$2,convert!$A$1:$B$4,2,0),"@@@",A219))</f>
        <v>'0161N01'</v>
      </c>
      <c r="Q219" s="4" t="str">
        <f>IF(B219="",IF(ISNUMBER(SEARCH("NOT NULL",UPPER(B$3))),"''","null"),SUBSTITUTE(VLOOKUP(B$2,convert!$A$1:$B$4,2,0),"@@@",B219))</f>
        <v>'オタチ'</v>
      </c>
      <c r="R219" s="4" t="str">
        <f>IF(C219="",IF(ISNUMBER(SEARCH("NOT NULL",UPPER(C$3))),"''","null"),SUBSTITUTE(VLOOKUP(C$2,convert!$A$1:$B$4,2,0),"@@@",C219))</f>
        <v>35</v>
      </c>
      <c r="S219" s="4" t="str">
        <f>IF(D219="",IF(ISNUMBER(SEARCH("NOT NULL",UPPER(D$3))),"''","null"),SUBSTITUTE(VLOOKUP(D$2,convert!$A$1:$B$4,2,0),"@@@",D219))</f>
        <v>46</v>
      </c>
      <c r="T219" s="4" t="str">
        <f>IF(E219="",IF(ISNUMBER(SEARCH("NOT NULL",UPPER(E$3))),"''","null"),SUBSTITUTE(VLOOKUP(E$2,convert!$A$1:$B$4,2,0),"@@@",E219))</f>
        <v>34</v>
      </c>
      <c r="U219" s="4" t="str">
        <f>IF(F219="",IF(ISNUMBER(SEARCH("NOT NULL",UPPER(F$3))),"''","null"),SUBSTITUTE(VLOOKUP(F$2,convert!$A$1:$B$4,2,0),"@@@",F219))</f>
        <v>35</v>
      </c>
      <c r="V219" s="4" t="str">
        <f>IF(G219="",IF(ISNUMBER(SEARCH("NOT NULL",UPPER(G$3))),"''","null"),SUBSTITUTE(VLOOKUP(G$2,convert!$A$1:$B$4,2,0),"@@@",G219))</f>
        <v>45</v>
      </c>
      <c r="W219" s="4" t="str">
        <f>IF(H219="",IF(ISNUMBER(SEARCH("NOT NULL",UPPER(H$3))),"''","null"),SUBSTITUTE(VLOOKUP(H$2,convert!$A$1:$B$4,2,0),"@@@",H219))</f>
        <v>20</v>
      </c>
      <c r="X219" s="4" t="str">
        <f>IF(I219="",IF(ISNUMBER(SEARCH("NOT NULL",UPPER(I$3))),"''","null"),SUBSTITUTE(VLOOKUP(I$2,convert!$A$1:$B$4,2,0),"@@@",I219))</f>
        <v>''</v>
      </c>
      <c r="Y219" s="4" t="str">
        <f>IF(J219="",IF(ISNUMBER(SEARCH("NOT NULL",UPPER(J$3))),"''","null"),SUBSTITUTE(VLOOKUP(J$2,convert!$A$1:$B$4,2,0),"@@@",J219))</f>
        <v>'normal'</v>
      </c>
      <c r="Z219" s="4" t="str">
        <f>IF(K219="",IF(ISNUMBER(SEARCH("NOT NULL",UPPER(K$3))),"''","null"),SUBSTITUTE(VLOOKUP(K$2,convert!$A$1:$B$4,2,0),"@@@",K219))</f>
        <v>null</v>
      </c>
      <c r="AA219" s="4" t="str">
        <f>IF(L219="",IF(ISNUMBER(SEARCH("NOT NULL",UPPER(L$3))),"''","null"),SUBSTITUTE(VLOOKUP(L$2,convert!$A$1:$B$4,2,0),"@@@",L219))</f>
        <v>'g2'</v>
      </c>
      <c r="AB219" s="4" t="str">
        <f>IF(M219="",IF(ISNUMBER(SEARCH("NOT NULL",UPPER(M$3))),"''","null"),SUBSTITUTE(VLOOKUP(M$2,convert!$A$1:$B$4,2,0),"@@@",M219))</f>
        <v>null</v>
      </c>
      <c r="AC219" s="4" t="str">
        <f>IF(N219="",IF(ISNUMBER(SEARCH("NOT NULL",UPPER(N$3))),"''","null"),SUBSTITUTE(VLOOKUP(N$2,convert!$A$1:$B$4,2,0),"@@@",N219))</f>
        <v>null</v>
      </c>
      <c r="AD219" s="4" t="str">
        <f>IF(O219="",IF(ISNUMBER(SEARCH("NOT NULL",UPPER(O$3))),"''","null"),SUBSTITUTE(VLOOKUP(O$2,convert!$A$1:$B$4,2,0),"@@@",O219))</f>
        <v>TRUE</v>
      </c>
      <c r="AE219" s="4" t="str">
        <f t="shared" si="3"/>
        <v>    ('0161N01', 'オタチ', 35, 46, 34, 35, 45, 20, '', 'normal', null, 'g2', null, null, TRUE),</v>
      </c>
    </row>
    <row r="220" spans="1:31">
      <c r="A220" s="4" t="s">
        <v>456</v>
      </c>
      <c r="B220" s="4" t="s">
        <v>457</v>
      </c>
      <c r="C220" s="5">
        <v>85</v>
      </c>
      <c r="D220" s="5">
        <v>76</v>
      </c>
      <c r="E220" s="5">
        <v>64</v>
      </c>
      <c r="F220" s="5">
        <v>45</v>
      </c>
      <c r="G220" s="5">
        <v>55</v>
      </c>
      <c r="H220" s="5">
        <v>90</v>
      </c>
      <c r="I220" s="5"/>
      <c r="J220" s="4" t="s">
        <v>80</v>
      </c>
      <c r="K220" s="5"/>
      <c r="L220" s="4" t="s">
        <v>436</v>
      </c>
      <c r="M220" s="5"/>
      <c r="N220" s="5"/>
      <c r="O220" s="5" t="b">
        <v>1</v>
      </c>
      <c r="P220" s="4" t="str">
        <f>IF(A220="",IF(ISNUMBER(SEARCH("NOT NULL",UPPER(A$3))),"''","null"),SUBSTITUTE(VLOOKUP(A$2,convert!$A$1:$B$4,2,0),"@@@",A220))</f>
        <v>'0162N01'</v>
      </c>
      <c r="Q220" s="4" t="str">
        <f>IF(B220="",IF(ISNUMBER(SEARCH("NOT NULL",UPPER(B$3))),"''","null"),SUBSTITUTE(VLOOKUP(B$2,convert!$A$1:$B$4,2,0),"@@@",B220))</f>
        <v>'オオタチ'</v>
      </c>
      <c r="R220" s="4" t="str">
        <f>IF(C220="",IF(ISNUMBER(SEARCH("NOT NULL",UPPER(C$3))),"''","null"),SUBSTITUTE(VLOOKUP(C$2,convert!$A$1:$B$4,2,0),"@@@",C220))</f>
        <v>85</v>
      </c>
      <c r="S220" s="4" t="str">
        <f>IF(D220="",IF(ISNUMBER(SEARCH("NOT NULL",UPPER(D$3))),"''","null"),SUBSTITUTE(VLOOKUP(D$2,convert!$A$1:$B$4,2,0),"@@@",D220))</f>
        <v>76</v>
      </c>
      <c r="T220" s="4" t="str">
        <f>IF(E220="",IF(ISNUMBER(SEARCH("NOT NULL",UPPER(E$3))),"''","null"),SUBSTITUTE(VLOOKUP(E$2,convert!$A$1:$B$4,2,0),"@@@",E220))</f>
        <v>64</v>
      </c>
      <c r="U220" s="4" t="str">
        <f>IF(F220="",IF(ISNUMBER(SEARCH("NOT NULL",UPPER(F$3))),"''","null"),SUBSTITUTE(VLOOKUP(F$2,convert!$A$1:$B$4,2,0),"@@@",F220))</f>
        <v>45</v>
      </c>
      <c r="V220" s="4" t="str">
        <f>IF(G220="",IF(ISNUMBER(SEARCH("NOT NULL",UPPER(G$3))),"''","null"),SUBSTITUTE(VLOOKUP(G$2,convert!$A$1:$B$4,2,0),"@@@",G220))</f>
        <v>55</v>
      </c>
      <c r="W220" s="4" t="str">
        <f>IF(H220="",IF(ISNUMBER(SEARCH("NOT NULL",UPPER(H$3))),"''","null"),SUBSTITUTE(VLOOKUP(H$2,convert!$A$1:$B$4,2,0),"@@@",H220))</f>
        <v>90</v>
      </c>
      <c r="X220" s="4" t="str">
        <f>IF(I220="",IF(ISNUMBER(SEARCH("NOT NULL",UPPER(I$3))),"''","null"),SUBSTITUTE(VLOOKUP(I$2,convert!$A$1:$B$4,2,0),"@@@",I220))</f>
        <v>''</v>
      </c>
      <c r="Y220" s="4" t="str">
        <f>IF(J220="",IF(ISNUMBER(SEARCH("NOT NULL",UPPER(J$3))),"''","null"),SUBSTITUTE(VLOOKUP(J$2,convert!$A$1:$B$4,2,0),"@@@",J220))</f>
        <v>'normal'</v>
      </c>
      <c r="Z220" s="4" t="str">
        <f>IF(K220="",IF(ISNUMBER(SEARCH("NOT NULL",UPPER(K$3))),"''","null"),SUBSTITUTE(VLOOKUP(K$2,convert!$A$1:$B$4,2,0),"@@@",K220))</f>
        <v>null</v>
      </c>
      <c r="AA220" s="4" t="str">
        <f>IF(L220="",IF(ISNUMBER(SEARCH("NOT NULL",UPPER(L$3))),"''","null"),SUBSTITUTE(VLOOKUP(L$2,convert!$A$1:$B$4,2,0),"@@@",L220))</f>
        <v>'g2'</v>
      </c>
      <c r="AB220" s="4" t="str">
        <f>IF(M220="",IF(ISNUMBER(SEARCH("NOT NULL",UPPER(M$3))),"''","null"),SUBSTITUTE(VLOOKUP(M$2,convert!$A$1:$B$4,2,0),"@@@",M220))</f>
        <v>null</v>
      </c>
      <c r="AC220" s="4" t="str">
        <f>IF(N220="",IF(ISNUMBER(SEARCH("NOT NULL",UPPER(N$3))),"''","null"),SUBSTITUTE(VLOOKUP(N$2,convert!$A$1:$B$4,2,0),"@@@",N220))</f>
        <v>null</v>
      </c>
      <c r="AD220" s="4" t="str">
        <f>IF(O220="",IF(ISNUMBER(SEARCH("NOT NULL",UPPER(O$3))),"''","null"),SUBSTITUTE(VLOOKUP(O$2,convert!$A$1:$B$4,2,0),"@@@",O220))</f>
        <v>TRUE</v>
      </c>
      <c r="AE220" s="4" t="str">
        <f t="shared" si="3"/>
        <v>    ('0162N01', 'オオタチ', 85, 76, 64, 45, 55, 90, '', 'normal', null, 'g2', null, null, TRUE),</v>
      </c>
    </row>
    <row r="221" spans="1:31">
      <c r="A221" s="4" t="s">
        <v>458</v>
      </c>
      <c r="B221" s="4" t="s">
        <v>459</v>
      </c>
      <c r="C221" s="5">
        <v>60</v>
      </c>
      <c r="D221" s="5">
        <v>30</v>
      </c>
      <c r="E221" s="5">
        <v>30</v>
      </c>
      <c r="F221" s="5">
        <v>36</v>
      </c>
      <c r="G221" s="5">
        <v>56</v>
      </c>
      <c r="H221" s="5">
        <v>50</v>
      </c>
      <c r="I221" s="5"/>
      <c r="J221" s="4" t="s">
        <v>80</v>
      </c>
      <c r="K221" s="4" t="s">
        <v>47</v>
      </c>
      <c r="L221" s="4" t="s">
        <v>436</v>
      </c>
      <c r="M221" s="5"/>
      <c r="N221" s="5"/>
      <c r="O221" s="5" t="b">
        <v>1</v>
      </c>
      <c r="P221" s="4" t="str">
        <f>IF(A221="",IF(ISNUMBER(SEARCH("NOT NULL",UPPER(A$3))),"''","null"),SUBSTITUTE(VLOOKUP(A$2,convert!$A$1:$B$4,2,0),"@@@",A221))</f>
        <v>'0163N01'</v>
      </c>
      <c r="Q221" s="4" t="str">
        <f>IF(B221="",IF(ISNUMBER(SEARCH("NOT NULL",UPPER(B$3))),"''","null"),SUBSTITUTE(VLOOKUP(B$2,convert!$A$1:$B$4,2,0),"@@@",B221))</f>
        <v>'ホーホー'</v>
      </c>
      <c r="R221" s="4" t="str">
        <f>IF(C221="",IF(ISNUMBER(SEARCH("NOT NULL",UPPER(C$3))),"''","null"),SUBSTITUTE(VLOOKUP(C$2,convert!$A$1:$B$4,2,0),"@@@",C221))</f>
        <v>60</v>
      </c>
      <c r="S221" s="4" t="str">
        <f>IF(D221="",IF(ISNUMBER(SEARCH("NOT NULL",UPPER(D$3))),"''","null"),SUBSTITUTE(VLOOKUP(D$2,convert!$A$1:$B$4,2,0),"@@@",D221))</f>
        <v>30</v>
      </c>
      <c r="T221" s="4" t="str">
        <f>IF(E221="",IF(ISNUMBER(SEARCH("NOT NULL",UPPER(E$3))),"''","null"),SUBSTITUTE(VLOOKUP(E$2,convert!$A$1:$B$4,2,0),"@@@",E221))</f>
        <v>30</v>
      </c>
      <c r="U221" s="4" t="str">
        <f>IF(F221="",IF(ISNUMBER(SEARCH("NOT NULL",UPPER(F$3))),"''","null"),SUBSTITUTE(VLOOKUP(F$2,convert!$A$1:$B$4,2,0),"@@@",F221))</f>
        <v>36</v>
      </c>
      <c r="V221" s="4" t="str">
        <f>IF(G221="",IF(ISNUMBER(SEARCH("NOT NULL",UPPER(G$3))),"''","null"),SUBSTITUTE(VLOOKUP(G$2,convert!$A$1:$B$4,2,0),"@@@",G221))</f>
        <v>56</v>
      </c>
      <c r="W221" s="4" t="str">
        <f>IF(H221="",IF(ISNUMBER(SEARCH("NOT NULL",UPPER(H$3))),"''","null"),SUBSTITUTE(VLOOKUP(H$2,convert!$A$1:$B$4,2,0),"@@@",H221))</f>
        <v>50</v>
      </c>
      <c r="X221" s="4" t="str">
        <f>IF(I221="",IF(ISNUMBER(SEARCH("NOT NULL",UPPER(I$3))),"''","null"),SUBSTITUTE(VLOOKUP(I$2,convert!$A$1:$B$4,2,0),"@@@",I221))</f>
        <v>''</v>
      </c>
      <c r="Y221" s="4" t="str">
        <f>IF(J221="",IF(ISNUMBER(SEARCH("NOT NULL",UPPER(J$3))),"''","null"),SUBSTITUTE(VLOOKUP(J$2,convert!$A$1:$B$4,2,0),"@@@",J221))</f>
        <v>'normal'</v>
      </c>
      <c r="Z221" s="4" t="str">
        <f>IF(K221="",IF(ISNUMBER(SEARCH("NOT NULL",UPPER(K$3))),"''","null"),SUBSTITUTE(VLOOKUP(K$2,convert!$A$1:$B$4,2,0),"@@@",K221))</f>
        <v>'flying'</v>
      </c>
      <c r="AA221" s="4" t="str">
        <f>IF(L221="",IF(ISNUMBER(SEARCH("NOT NULL",UPPER(L$3))),"''","null"),SUBSTITUTE(VLOOKUP(L$2,convert!$A$1:$B$4,2,0),"@@@",L221))</f>
        <v>'g2'</v>
      </c>
      <c r="AB221" s="4" t="str">
        <f>IF(M221="",IF(ISNUMBER(SEARCH("NOT NULL",UPPER(M$3))),"''","null"),SUBSTITUTE(VLOOKUP(M$2,convert!$A$1:$B$4,2,0),"@@@",M221))</f>
        <v>null</v>
      </c>
      <c r="AC221" s="4" t="str">
        <f>IF(N221="",IF(ISNUMBER(SEARCH("NOT NULL",UPPER(N$3))),"''","null"),SUBSTITUTE(VLOOKUP(N$2,convert!$A$1:$B$4,2,0),"@@@",N221))</f>
        <v>null</v>
      </c>
      <c r="AD221" s="4" t="str">
        <f>IF(O221="",IF(ISNUMBER(SEARCH("NOT NULL",UPPER(O$3))),"''","null"),SUBSTITUTE(VLOOKUP(O$2,convert!$A$1:$B$4,2,0),"@@@",O221))</f>
        <v>TRUE</v>
      </c>
      <c r="AE221" s="4" t="str">
        <f t="shared" si="3"/>
        <v>    ('0163N01', 'ホーホー', 60, 30, 30, 36, 56, 50, '', 'normal', 'flying', 'g2', null, null, TRUE),</v>
      </c>
    </row>
    <row r="222" spans="1:31">
      <c r="A222" s="4" t="s">
        <v>460</v>
      </c>
      <c r="B222" s="4" t="s">
        <v>461</v>
      </c>
      <c r="C222" s="5">
        <v>100</v>
      </c>
      <c r="D222" s="5">
        <v>50</v>
      </c>
      <c r="E222" s="5">
        <v>50</v>
      </c>
      <c r="F222" s="5">
        <v>86</v>
      </c>
      <c r="G222" s="5">
        <v>96</v>
      </c>
      <c r="H222" s="5">
        <v>70</v>
      </c>
      <c r="I222" s="5"/>
      <c r="J222" s="4" t="s">
        <v>80</v>
      </c>
      <c r="K222" s="4" t="s">
        <v>47</v>
      </c>
      <c r="L222" s="4" t="s">
        <v>436</v>
      </c>
      <c r="M222" s="5"/>
      <c r="N222" s="5"/>
      <c r="O222" s="5" t="b">
        <v>1</v>
      </c>
      <c r="P222" s="4" t="str">
        <f>IF(A222="",IF(ISNUMBER(SEARCH("NOT NULL",UPPER(A$3))),"''","null"),SUBSTITUTE(VLOOKUP(A$2,convert!$A$1:$B$4,2,0),"@@@",A222))</f>
        <v>'0164N01'</v>
      </c>
      <c r="Q222" s="4" t="str">
        <f>IF(B222="",IF(ISNUMBER(SEARCH("NOT NULL",UPPER(B$3))),"''","null"),SUBSTITUTE(VLOOKUP(B$2,convert!$A$1:$B$4,2,0),"@@@",B222))</f>
        <v>'ヨルノズク'</v>
      </c>
      <c r="R222" s="4" t="str">
        <f>IF(C222="",IF(ISNUMBER(SEARCH("NOT NULL",UPPER(C$3))),"''","null"),SUBSTITUTE(VLOOKUP(C$2,convert!$A$1:$B$4,2,0),"@@@",C222))</f>
        <v>100</v>
      </c>
      <c r="S222" s="4" t="str">
        <f>IF(D222="",IF(ISNUMBER(SEARCH("NOT NULL",UPPER(D$3))),"''","null"),SUBSTITUTE(VLOOKUP(D$2,convert!$A$1:$B$4,2,0),"@@@",D222))</f>
        <v>50</v>
      </c>
      <c r="T222" s="4" t="str">
        <f>IF(E222="",IF(ISNUMBER(SEARCH("NOT NULL",UPPER(E$3))),"''","null"),SUBSTITUTE(VLOOKUP(E$2,convert!$A$1:$B$4,2,0),"@@@",E222))</f>
        <v>50</v>
      </c>
      <c r="U222" s="4" t="str">
        <f>IF(F222="",IF(ISNUMBER(SEARCH("NOT NULL",UPPER(F$3))),"''","null"),SUBSTITUTE(VLOOKUP(F$2,convert!$A$1:$B$4,2,0),"@@@",F222))</f>
        <v>86</v>
      </c>
      <c r="V222" s="4" t="str">
        <f>IF(G222="",IF(ISNUMBER(SEARCH("NOT NULL",UPPER(G$3))),"''","null"),SUBSTITUTE(VLOOKUP(G$2,convert!$A$1:$B$4,2,0),"@@@",G222))</f>
        <v>96</v>
      </c>
      <c r="W222" s="4" t="str">
        <f>IF(H222="",IF(ISNUMBER(SEARCH("NOT NULL",UPPER(H$3))),"''","null"),SUBSTITUTE(VLOOKUP(H$2,convert!$A$1:$B$4,2,0),"@@@",H222))</f>
        <v>70</v>
      </c>
      <c r="X222" s="4" t="str">
        <f>IF(I222="",IF(ISNUMBER(SEARCH("NOT NULL",UPPER(I$3))),"''","null"),SUBSTITUTE(VLOOKUP(I$2,convert!$A$1:$B$4,2,0),"@@@",I222))</f>
        <v>''</v>
      </c>
      <c r="Y222" s="4" t="str">
        <f>IF(J222="",IF(ISNUMBER(SEARCH("NOT NULL",UPPER(J$3))),"''","null"),SUBSTITUTE(VLOOKUP(J$2,convert!$A$1:$B$4,2,0),"@@@",J222))</f>
        <v>'normal'</v>
      </c>
      <c r="Z222" s="4" t="str">
        <f>IF(K222="",IF(ISNUMBER(SEARCH("NOT NULL",UPPER(K$3))),"''","null"),SUBSTITUTE(VLOOKUP(K$2,convert!$A$1:$B$4,2,0),"@@@",K222))</f>
        <v>'flying'</v>
      </c>
      <c r="AA222" s="4" t="str">
        <f>IF(L222="",IF(ISNUMBER(SEARCH("NOT NULL",UPPER(L$3))),"''","null"),SUBSTITUTE(VLOOKUP(L$2,convert!$A$1:$B$4,2,0),"@@@",L222))</f>
        <v>'g2'</v>
      </c>
      <c r="AB222" s="4" t="str">
        <f>IF(M222="",IF(ISNUMBER(SEARCH("NOT NULL",UPPER(M$3))),"''","null"),SUBSTITUTE(VLOOKUP(M$2,convert!$A$1:$B$4,2,0),"@@@",M222))</f>
        <v>null</v>
      </c>
      <c r="AC222" s="4" t="str">
        <f>IF(N222="",IF(ISNUMBER(SEARCH("NOT NULL",UPPER(N$3))),"''","null"),SUBSTITUTE(VLOOKUP(N$2,convert!$A$1:$B$4,2,0),"@@@",N222))</f>
        <v>null</v>
      </c>
      <c r="AD222" s="4" t="str">
        <f>IF(O222="",IF(ISNUMBER(SEARCH("NOT NULL",UPPER(O$3))),"''","null"),SUBSTITUTE(VLOOKUP(O$2,convert!$A$1:$B$4,2,0),"@@@",O222))</f>
        <v>TRUE</v>
      </c>
      <c r="AE222" s="4" t="str">
        <f t="shared" si="3"/>
        <v>    ('0164N01', 'ヨルノズク', 100, 50, 50, 86, 96, 70, '', 'normal', 'flying', 'g2', null, null, TRUE),</v>
      </c>
    </row>
    <row r="223" spans="1:31">
      <c r="A223" s="4" t="s">
        <v>462</v>
      </c>
      <c r="B223" s="4" t="s">
        <v>463</v>
      </c>
      <c r="C223" s="5">
        <v>40</v>
      </c>
      <c r="D223" s="5">
        <v>20</v>
      </c>
      <c r="E223" s="5">
        <v>30</v>
      </c>
      <c r="F223" s="5">
        <v>40</v>
      </c>
      <c r="G223" s="5">
        <v>80</v>
      </c>
      <c r="H223" s="5">
        <v>55</v>
      </c>
      <c r="I223" s="5"/>
      <c r="J223" s="4" t="s">
        <v>64</v>
      </c>
      <c r="K223" s="4" t="s">
        <v>47</v>
      </c>
      <c r="L223" s="4" t="s">
        <v>436</v>
      </c>
      <c r="M223" s="5"/>
      <c r="N223" s="5"/>
      <c r="O223" s="5" t="b">
        <v>1</v>
      </c>
      <c r="P223" s="4" t="str">
        <f>IF(A223="",IF(ISNUMBER(SEARCH("NOT NULL",UPPER(A$3))),"''","null"),SUBSTITUTE(VLOOKUP(A$2,convert!$A$1:$B$4,2,0),"@@@",A223))</f>
        <v>'0165N01'</v>
      </c>
      <c r="Q223" s="4" t="str">
        <f>IF(B223="",IF(ISNUMBER(SEARCH("NOT NULL",UPPER(B$3))),"''","null"),SUBSTITUTE(VLOOKUP(B$2,convert!$A$1:$B$4,2,0),"@@@",B223))</f>
        <v>'レディバ'</v>
      </c>
      <c r="R223" s="4" t="str">
        <f>IF(C223="",IF(ISNUMBER(SEARCH("NOT NULL",UPPER(C$3))),"''","null"),SUBSTITUTE(VLOOKUP(C$2,convert!$A$1:$B$4,2,0),"@@@",C223))</f>
        <v>40</v>
      </c>
      <c r="S223" s="4" t="str">
        <f>IF(D223="",IF(ISNUMBER(SEARCH("NOT NULL",UPPER(D$3))),"''","null"),SUBSTITUTE(VLOOKUP(D$2,convert!$A$1:$B$4,2,0),"@@@",D223))</f>
        <v>20</v>
      </c>
      <c r="T223" s="4" t="str">
        <f>IF(E223="",IF(ISNUMBER(SEARCH("NOT NULL",UPPER(E$3))),"''","null"),SUBSTITUTE(VLOOKUP(E$2,convert!$A$1:$B$4,2,0),"@@@",E223))</f>
        <v>30</v>
      </c>
      <c r="U223" s="4" t="str">
        <f>IF(F223="",IF(ISNUMBER(SEARCH("NOT NULL",UPPER(F$3))),"''","null"),SUBSTITUTE(VLOOKUP(F$2,convert!$A$1:$B$4,2,0),"@@@",F223))</f>
        <v>40</v>
      </c>
      <c r="V223" s="4" t="str">
        <f>IF(G223="",IF(ISNUMBER(SEARCH("NOT NULL",UPPER(G$3))),"''","null"),SUBSTITUTE(VLOOKUP(G$2,convert!$A$1:$B$4,2,0),"@@@",G223))</f>
        <v>80</v>
      </c>
      <c r="W223" s="4" t="str">
        <f>IF(H223="",IF(ISNUMBER(SEARCH("NOT NULL",UPPER(H$3))),"''","null"),SUBSTITUTE(VLOOKUP(H$2,convert!$A$1:$B$4,2,0),"@@@",H223))</f>
        <v>55</v>
      </c>
      <c r="X223" s="4" t="str">
        <f>IF(I223="",IF(ISNUMBER(SEARCH("NOT NULL",UPPER(I$3))),"''","null"),SUBSTITUTE(VLOOKUP(I$2,convert!$A$1:$B$4,2,0),"@@@",I223))</f>
        <v>''</v>
      </c>
      <c r="Y223" s="4" t="str">
        <f>IF(J223="",IF(ISNUMBER(SEARCH("NOT NULL",UPPER(J$3))),"''","null"),SUBSTITUTE(VLOOKUP(J$2,convert!$A$1:$B$4,2,0),"@@@",J223))</f>
        <v>'bug'</v>
      </c>
      <c r="Z223" s="4" t="str">
        <f>IF(K223="",IF(ISNUMBER(SEARCH("NOT NULL",UPPER(K$3))),"''","null"),SUBSTITUTE(VLOOKUP(K$2,convert!$A$1:$B$4,2,0),"@@@",K223))</f>
        <v>'flying'</v>
      </c>
      <c r="AA223" s="4" t="str">
        <f>IF(L223="",IF(ISNUMBER(SEARCH("NOT NULL",UPPER(L$3))),"''","null"),SUBSTITUTE(VLOOKUP(L$2,convert!$A$1:$B$4,2,0),"@@@",L223))</f>
        <v>'g2'</v>
      </c>
      <c r="AB223" s="4" t="str">
        <f>IF(M223="",IF(ISNUMBER(SEARCH("NOT NULL",UPPER(M$3))),"''","null"),SUBSTITUTE(VLOOKUP(M$2,convert!$A$1:$B$4,2,0),"@@@",M223))</f>
        <v>null</v>
      </c>
      <c r="AC223" s="4" t="str">
        <f>IF(N223="",IF(ISNUMBER(SEARCH("NOT NULL",UPPER(N$3))),"''","null"),SUBSTITUTE(VLOOKUP(N$2,convert!$A$1:$B$4,2,0),"@@@",N223))</f>
        <v>null</v>
      </c>
      <c r="AD223" s="4" t="str">
        <f>IF(O223="",IF(ISNUMBER(SEARCH("NOT NULL",UPPER(O$3))),"''","null"),SUBSTITUTE(VLOOKUP(O$2,convert!$A$1:$B$4,2,0),"@@@",O223))</f>
        <v>TRUE</v>
      </c>
      <c r="AE223" s="4" t="str">
        <f t="shared" si="3"/>
        <v>    ('0165N01', 'レディバ', 40, 20, 30, 40, 80, 55, '', 'bug', 'flying', 'g2', null, null, TRUE),</v>
      </c>
    </row>
    <row r="224" spans="1:31">
      <c r="A224" s="4" t="s">
        <v>464</v>
      </c>
      <c r="B224" s="4" t="s">
        <v>465</v>
      </c>
      <c r="C224" s="5">
        <v>55</v>
      </c>
      <c r="D224" s="5">
        <v>35</v>
      </c>
      <c r="E224" s="5">
        <v>50</v>
      </c>
      <c r="F224" s="5">
        <v>55</v>
      </c>
      <c r="G224" s="5">
        <v>110</v>
      </c>
      <c r="H224" s="5">
        <v>85</v>
      </c>
      <c r="I224" s="5"/>
      <c r="J224" s="4" t="s">
        <v>64</v>
      </c>
      <c r="K224" s="4" t="s">
        <v>47</v>
      </c>
      <c r="L224" s="4" t="s">
        <v>436</v>
      </c>
      <c r="M224" s="5"/>
      <c r="N224" s="5"/>
      <c r="O224" s="5" t="b">
        <v>1</v>
      </c>
      <c r="P224" s="4" t="str">
        <f>IF(A224="",IF(ISNUMBER(SEARCH("NOT NULL",UPPER(A$3))),"''","null"),SUBSTITUTE(VLOOKUP(A$2,convert!$A$1:$B$4,2,0),"@@@",A224))</f>
        <v>'0166N01'</v>
      </c>
      <c r="Q224" s="4" t="str">
        <f>IF(B224="",IF(ISNUMBER(SEARCH("NOT NULL",UPPER(B$3))),"''","null"),SUBSTITUTE(VLOOKUP(B$2,convert!$A$1:$B$4,2,0),"@@@",B224))</f>
        <v>'レディアン'</v>
      </c>
      <c r="R224" s="4" t="str">
        <f>IF(C224="",IF(ISNUMBER(SEARCH("NOT NULL",UPPER(C$3))),"''","null"),SUBSTITUTE(VLOOKUP(C$2,convert!$A$1:$B$4,2,0),"@@@",C224))</f>
        <v>55</v>
      </c>
      <c r="S224" s="4" t="str">
        <f>IF(D224="",IF(ISNUMBER(SEARCH("NOT NULL",UPPER(D$3))),"''","null"),SUBSTITUTE(VLOOKUP(D$2,convert!$A$1:$B$4,2,0),"@@@",D224))</f>
        <v>35</v>
      </c>
      <c r="T224" s="4" t="str">
        <f>IF(E224="",IF(ISNUMBER(SEARCH("NOT NULL",UPPER(E$3))),"''","null"),SUBSTITUTE(VLOOKUP(E$2,convert!$A$1:$B$4,2,0),"@@@",E224))</f>
        <v>50</v>
      </c>
      <c r="U224" s="4" t="str">
        <f>IF(F224="",IF(ISNUMBER(SEARCH("NOT NULL",UPPER(F$3))),"''","null"),SUBSTITUTE(VLOOKUP(F$2,convert!$A$1:$B$4,2,0),"@@@",F224))</f>
        <v>55</v>
      </c>
      <c r="V224" s="4" t="str">
        <f>IF(G224="",IF(ISNUMBER(SEARCH("NOT NULL",UPPER(G$3))),"''","null"),SUBSTITUTE(VLOOKUP(G$2,convert!$A$1:$B$4,2,0),"@@@",G224))</f>
        <v>110</v>
      </c>
      <c r="W224" s="4" t="str">
        <f>IF(H224="",IF(ISNUMBER(SEARCH("NOT NULL",UPPER(H$3))),"''","null"),SUBSTITUTE(VLOOKUP(H$2,convert!$A$1:$B$4,2,0),"@@@",H224))</f>
        <v>85</v>
      </c>
      <c r="X224" s="4" t="str">
        <f>IF(I224="",IF(ISNUMBER(SEARCH("NOT NULL",UPPER(I$3))),"''","null"),SUBSTITUTE(VLOOKUP(I$2,convert!$A$1:$B$4,2,0),"@@@",I224))</f>
        <v>''</v>
      </c>
      <c r="Y224" s="4" t="str">
        <f>IF(J224="",IF(ISNUMBER(SEARCH("NOT NULL",UPPER(J$3))),"''","null"),SUBSTITUTE(VLOOKUP(J$2,convert!$A$1:$B$4,2,0),"@@@",J224))</f>
        <v>'bug'</v>
      </c>
      <c r="Z224" s="4" t="str">
        <f>IF(K224="",IF(ISNUMBER(SEARCH("NOT NULL",UPPER(K$3))),"''","null"),SUBSTITUTE(VLOOKUP(K$2,convert!$A$1:$B$4,2,0),"@@@",K224))</f>
        <v>'flying'</v>
      </c>
      <c r="AA224" s="4" t="str">
        <f>IF(L224="",IF(ISNUMBER(SEARCH("NOT NULL",UPPER(L$3))),"''","null"),SUBSTITUTE(VLOOKUP(L$2,convert!$A$1:$B$4,2,0),"@@@",L224))</f>
        <v>'g2'</v>
      </c>
      <c r="AB224" s="4" t="str">
        <f>IF(M224="",IF(ISNUMBER(SEARCH("NOT NULL",UPPER(M$3))),"''","null"),SUBSTITUTE(VLOOKUP(M$2,convert!$A$1:$B$4,2,0),"@@@",M224))</f>
        <v>null</v>
      </c>
      <c r="AC224" s="4" t="str">
        <f>IF(N224="",IF(ISNUMBER(SEARCH("NOT NULL",UPPER(N$3))),"''","null"),SUBSTITUTE(VLOOKUP(N$2,convert!$A$1:$B$4,2,0),"@@@",N224))</f>
        <v>null</v>
      </c>
      <c r="AD224" s="4" t="str">
        <f>IF(O224="",IF(ISNUMBER(SEARCH("NOT NULL",UPPER(O$3))),"''","null"),SUBSTITUTE(VLOOKUP(O$2,convert!$A$1:$B$4,2,0),"@@@",O224))</f>
        <v>TRUE</v>
      </c>
      <c r="AE224" s="4" t="str">
        <f t="shared" si="3"/>
        <v>    ('0166N01', 'レディアン', 55, 35, 50, 55, 110, 85, '', 'bug', 'flying', 'g2', null, null, TRUE),</v>
      </c>
    </row>
    <row r="225" spans="1:31">
      <c r="A225" s="4" t="s">
        <v>466</v>
      </c>
      <c r="B225" s="4" t="s">
        <v>467</v>
      </c>
      <c r="C225" s="5">
        <v>40</v>
      </c>
      <c r="D225" s="5">
        <v>60</v>
      </c>
      <c r="E225" s="5">
        <v>40</v>
      </c>
      <c r="F225" s="5">
        <v>40</v>
      </c>
      <c r="G225" s="5">
        <v>40</v>
      </c>
      <c r="H225" s="5">
        <v>30</v>
      </c>
      <c r="I225" s="5"/>
      <c r="J225" s="4" t="s">
        <v>64</v>
      </c>
      <c r="K225" s="4" t="s">
        <v>31</v>
      </c>
      <c r="L225" s="4" t="s">
        <v>436</v>
      </c>
      <c r="M225" s="5"/>
      <c r="N225" s="5"/>
      <c r="O225" s="5" t="b">
        <v>1</v>
      </c>
      <c r="P225" s="4" t="str">
        <f>IF(A225="",IF(ISNUMBER(SEARCH("NOT NULL",UPPER(A$3))),"''","null"),SUBSTITUTE(VLOOKUP(A$2,convert!$A$1:$B$4,2,0),"@@@",A225))</f>
        <v>'0167N01'</v>
      </c>
      <c r="Q225" s="4" t="str">
        <f>IF(B225="",IF(ISNUMBER(SEARCH("NOT NULL",UPPER(B$3))),"''","null"),SUBSTITUTE(VLOOKUP(B$2,convert!$A$1:$B$4,2,0),"@@@",B225))</f>
        <v>'イトマル'</v>
      </c>
      <c r="R225" s="4" t="str">
        <f>IF(C225="",IF(ISNUMBER(SEARCH("NOT NULL",UPPER(C$3))),"''","null"),SUBSTITUTE(VLOOKUP(C$2,convert!$A$1:$B$4,2,0),"@@@",C225))</f>
        <v>40</v>
      </c>
      <c r="S225" s="4" t="str">
        <f>IF(D225="",IF(ISNUMBER(SEARCH("NOT NULL",UPPER(D$3))),"''","null"),SUBSTITUTE(VLOOKUP(D$2,convert!$A$1:$B$4,2,0),"@@@",D225))</f>
        <v>60</v>
      </c>
      <c r="T225" s="4" t="str">
        <f>IF(E225="",IF(ISNUMBER(SEARCH("NOT NULL",UPPER(E$3))),"''","null"),SUBSTITUTE(VLOOKUP(E$2,convert!$A$1:$B$4,2,0),"@@@",E225))</f>
        <v>40</v>
      </c>
      <c r="U225" s="4" t="str">
        <f>IF(F225="",IF(ISNUMBER(SEARCH("NOT NULL",UPPER(F$3))),"''","null"),SUBSTITUTE(VLOOKUP(F$2,convert!$A$1:$B$4,2,0),"@@@",F225))</f>
        <v>40</v>
      </c>
      <c r="V225" s="4" t="str">
        <f>IF(G225="",IF(ISNUMBER(SEARCH("NOT NULL",UPPER(G$3))),"''","null"),SUBSTITUTE(VLOOKUP(G$2,convert!$A$1:$B$4,2,0),"@@@",G225))</f>
        <v>40</v>
      </c>
      <c r="W225" s="4" t="str">
        <f>IF(H225="",IF(ISNUMBER(SEARCH("NOT NULL",UPPER(H$3))),"''","null"),SUBSTITUTE(VLOOKUP(H$2,convert!$A$1:$B$4,2,0),"@@@",H225))</f>
        <v>30</v>
      </c>
      <c r="X225" s="4" t="str">
        <f>IF(I225="",IF(ISNUMBER(SEARCH("NOT NULL",UPPER(I$3))),"''","null"),SUBSTITUTE(VLOOKUP(I$2,convert!$A$1:$B$4,2,0),"@@@",I225))</f>
        <v>''</v>
      </c>
      <c r="Y225" s="4" t="str">
        <f>IF(J225="",IF(ISNUMBER(SEARCH("NOT NULL",UPPER(J$3))),"''","null"),SUBSTITUTE(VLOOKUP(J$2,convert!$A$1:$B$4,2,0),"@@@",J225))</f>
        <v>'bug'</v>
      </c>
      <c r="Z225" s="4" t="str">
        <f>IF(K225="",IF(ISNUMBER(SEARCH("NOT NULL",UPPER(K$3))),"''","null"),SUBSTITUTE(VLOOKUP(K$2,convert!$A$1:$B$4,2,0),"@@@",K225))</f>
        <v>'poison'</v>
      </c>
      <c r="AA225" s="4" t="str">
        <f>IF(L225="",IF(ISNUMBER(SEARCH("NOT NULL",UPPER(L$3))),"''","null"),SUBSTITUTE(VLOOKUP(L$2,convert!$A$1:$B$4,2,0),"@@@",L225))</f>
        <v>'g2'</v>
      </c>
      <c r="AB225" s="4" t="str">
        <f>IF(M225="",IF(ISNUMBER(SEARCH("NOT NULL",UPPER(M$3))),"''","null"),SUBSTITUTE(VLOOKUP(M$2,convert!$A$1:$B$4,2,0),"@@@",M225))</f>
        <v>null</v>
      </c>
      <c r="AC225" s="4" t="str">
        <f>IF(N225="",IF(ISNUMBER(SEARCH("NOT NULL",UPPER(N$3))),"''","null"),SUBSTITUTE(VLOOKUP(N$2,convert!$A$1:$B$4,2,0),"@@@",N225))</f>
        <v>null</v>
      </c>
      <c r="AD225" s="4" t="str">
        <f>IF(O225="",IF(ISNUMBER(SEARCH("NOT NULL",UPPER(O$3))),"''","null"),SUBSTITUTE(VLOOKUP(O$2,convert!$A$1:$B$4,2,0),"@@@",O225))</f>
        <v>TRUE</v>
      </c>
      <c r="AE225" s="4" t="str">
        <f t="shared" si="3"/>
        <v>    ('0167N01', 'イトマル', 40, 60, 40, 40, 40, 30, '', 'bug', 'poison', 'g2', null, null, TRUE),</v>
      </c>
    </row>
    <row r="226" spans="1:31">
      <c r="A226" s="4" t="s">
        <v>468</v>
      </c>
      <c r="B226" s="4" t="s">
        <v>469</v>
      </c>
      <c r="C226" s="5">
        <v>70</v>
      </c>
      <c r="D226" s="5">
        <v>90</v>
      </c>
      <c r="E226" s="5">
        <v>70</v>
      </c>
      <c r="F226" s="5">
        <v>60</v>
      </c>
      <c r="G226" s="5">
        <v>70</v>
      </c>
      <c r="H226" s="5">
        <v>40</v>
      </c>
      <c r="I226" s="5"/>
      <c r="J226" s="4" t="s">
        <v>64</v>
      </c>
      <c r="K226" s="4" t="s">
        <v>31</v>
      </c>
      <c r="L226" s="4" t="s">
        <v>436</v>
      </c>
      <c r="M226" s="5"/>
      <c r="N226" s="5"/>
      <c r="O226" s="5" t="b">
        <v>1</v>
      </c>
      <c r="P226" s="4" t="str">
        <f>IF(A226="",IF(ISNUMBER(SEARCH("NOT NULL",UPPER(A$3))),"''","null"),SUBSTITUTE(VLOOKUP(A$2,convert!$A$1:$B$4,2,0),"@@@",A226))</f>
        <v>'0168N01'</v>
      </c>
      <c r="Q226" s="4" t="str">
        <f>IF(B226="",IF(ISNUMBER(SEARCH("NOT NULL",UPPER(B$3))),"''","null"),SUBSTITUTE(VLOOKUP(B$2,convert!$A$1:$B$4,2,0),"@@@",B226))</f>
        <v>'アリアドス'</v>
      </c>
      <c r="R226" s="4" t="str">
        <f>IF(C226="",IF(ISNUMBER(SEARCH("NOT NULL",UPPER(C$3))),"''","null"),SUBSTITUTE(VLOOKUP(C$2,convert!$A$1:$B$4,2,0),"@@@",C226))</f>
        <v>70</v>
      </c>
      <c r="S226" s="4" t="str">
        <f>IF(D226="",IF(ISNUMBER(SEARCH("NOT NULL",UPPER(D$3))),"''","null"),SUBSTITUTE(VLOOKUP(D$2,convert!$A$1:$B$4,2,0),"@@@",D226))</f>
        <v>90</v>
      </c>
      <c r="T226" s="4" t="str">
        <f>IF(E226="",IF(ISNUMBER(SEARCH("NOT NULL",UPPER(E$3))),"''","null"),SUBSTITUTE(VLOOKUP(E$2,convert!$A$1:$B$4,2,0),"@@@",E226))</f>
        <v>70</v>
      </c>
      <c r="U226" s="4" t="str">
        <f>IF(F226="",IF(ISNUMBER(SEARCH("NOT NULL",UPPER(F$3))),"''","null"),SUBSTITUTE(VLOOKUP(F$2,convert!$A$1:$B$4,2,0),"@@@",F226))</f>
        <v>60</v>
      </c>
      <c r="V226" s="4" t="str">
        <f>IF(G226="",IF(ISNUMBER(SEARCH("NOT NULL",UPPER(G$3))),"''","null"),SUBSTITUTE(VLOOKUP(G$2,convert!$A$1:$B$4,2,0),"@@@",G226))</f>
        <v>70</v>
      </c>
      <c r="W226" s="4" t="str">
        <f>IF(H226="",IF(ISNUMBER(SEARCH("NOT NULL",UPPER(H$3))),"''","null"),SUBSTITUTE(VLOOKUP(H$2,convert!$A$1:$B$4,2,0),"@@@",H226))</f>
        <v>40</v>
      </c>
      <c r="X226" s="4" t="str">
        <f>IF(I226="",IF(ISNUMBER(SEARCH("NOT NULL",UPPER(I$3))),"''","null"),SUBSTITUTE(VLOOKUP(I$2,convert!$A$1:$B$4,2,0),"@@@",I226))</f>
        <v>''</v>
      </c>
      <c r="Y226" s="4" t="str">
        <f>IF(J226="",IF(ISNUMBER(SEARCH("NOT NULL",UPPER(J$3))),"''","null"),SUBSTITUTE(VLOOKUP(J$2,convert!$A$1:$B$4,2,0),"@@@",J226))</f>
        <v>'bug'</v>
      </c>
      <c r="Z226" s="4" t="str">
        <f>IF(K226="",IF(ISNUMBER(SEARCH("NOT NULL",UPPER(K$3))),"''","null"),SUBSTITUTE(VLOOKUP(K$2,convert!$A$1:$B$4,2,0),"@@@",K226))</f>
        <v>'poison'</v>
      </c>
      <c r="AA226" s="4" t="str">
        <f>IF(L226="",IF(ISNUMBER(SEARCH("NOT NULL",UPPER(L$3))),"''","null"),SUBSTITUTE(VLOOKUP(L$2,convert!$A$1:$B$4,2,0),"@@@",L226))</f>
        <v>'g2'</v>
      </c>
      <c r="AB226" s="4" t="str">
        <f>IF(M226="",IF(ISNUMBER(SEARCH("NOT NULL",UPPER(M$3))),"''","null"),SUBSTITUTE(VLOOKUP(M$2,convert!$A$1:$B$4,2,0),"@@@",M226))</f>
        <v>null</v>
      </c>
      <c r="AC226" s="4" t="str">
        <f>IF(N226="",IF(ISNUMBER(SEARCH("NOT NULL",UPPER(N$3))),"''","null"),SUBSTITUTE(VLOOKUP(N$2,convert!$A$1:$B$4,2,0),"@@@",N226))</f>
        <v>null</v>
      </c>
      <c r="AD226" s="4" t="str">
        <f>IF(O226="",IF(ISNUMBER(SEARCH("NOT NULL",UPPER(O$3))),"''","null"),SUBSTITUTE(VLOOKUP(O$2,convert!$A$1:$B$4,2,0),"@@@",O226))</f>
        <v>TRUE</v>
      </c>
      <c r="AE226" s="4" t="str">
        <f t="shared" si="3"/>
        <v>    ('0168N01', 'アリアドス', 70, 90, 70, 60, 70, 40, '', 'bug', 'poison', 'g2', null, null, TRUE),</v>
      </c>
    </row>
    <row r="227" spans="1:31">
      <c r="A227" s="4" t="s">
        <v>470</v>
      </c>
      <c r="B227" s="4" t="s">
        <v>471</v>
      </c>
      <c r="C227" s="5">
        <v>85</v>
      </c>
      <c r="D227" s="5">
        <v>90</v>
      </c>
      <c r="E227" s="5">
        <v>80</v>
      </c>
      <c r="F227" s="5">
        <v>70</v>
      </c>
      <c r="G227" s="5">
        <v>80</v>
      </c>
      <c r="H227" s="5">
        <v>130</v>
      </c>
      <c r="I227" s="5"/>
      <c r="J227" s="4" t="s">
        <v>31</v>
      </c>
      <c r="K227" s="4" t="s">
        <v>47</v>
      </c>
      <c r="L227" s="4" t="s">
        <v>436</v>
      </c>
      <c r="M227" s="5"/>
      <c r="N227" s="5"/>
      <c r="O227" s="5" t="b">
        <v>1</v>
      </c>
      <c r="P227" s="4" t="str">
        <f>IF(A227="",IF(ISNUMBER(SEARCH("NOT NULL",UPPER(A$3))),"''","null"),SUBSTITUTE(VLOOKUP(A$2,convert!$A$1:$B$4,2,0),"@@@",A227))</f>
        <v>'0169N01'</v>
      </c>
      <c r="Q227" s="4" t="str">
        <f>IF(B227="",IF(ISNUMBER(SEARCH("NOT NULL",UPPER(B$3))),"''","null"),SUBSTITUTE(VLOOKUP(B$2,convert!$A$1:$B$4,2,0),"@@@",B227))</f>
        <v>'クロバット'</v>
      </c>
      <c r="R227" s="4" t="str">
        <f>IF(C227="",IF(ISNUMBER(SEARCH("NOT NULL",UPPER(C$3))),"''","null"),SUBSTITUTE(VLOOKUP(C$2,convert!$A$1:$B$4,2,0),"@@@",C227))</f>
        <v>85</v>
      </c>
      <c r="S227" s="4" t="str">
        <f>IF(D227="",IF(ISNUMBER(SEARCH("NOT NULL",UPPER(D$3))),"''","null"),SUBSTITUTE(VLOOKUP(D$2,convert!$A$1:$B$4,2,0),"@@@",D227))</f>
        <v>90</v>
      </c>
      <c r="T227" s="4" t="str">
        <f>IF(E227="",IF(ISNUMBER(SEARCH("NOT NULL",UPPER(E$3))),"''","null"),SUBSTITUTE(VLOOKUP(E$2,convert!$A$1:$B$4,2,0),"@@@",E227))</f>
        <v>80</v>
      </c>
      <c r="U227" s="4" t="str">
        <f>IF(F227="",IF(ISNUMBER(SEARCH("NOT NULL",UPPER(F$3))),"''","null"),SUBSTITUTE(VLOOKUP(F$2,convert!$A$1:$B$4,2,0),"@@@",F227))</f>
        <v>70</v>
      </c>
      <c r="V227" s="4" t="str">
        <f>IF(G227="",IF(ISNUMBER(SEARCH("NOT NULL",UPPER(G$3))),"''","null"),SUBSTITUTE(VLOOKUP(G$2,convert!$A$1:$B$4,2,0),"@@@",G227))</f>
        <v>80</v>
      </c>
      <c r="W227" s="4" t="str">
        <f>IF(H227="",IF(ISNUMBER(SEARCH("NOT NULL",UPPER(H$3))),"''","null"),SUBSTITUTE(VLOOKUP(H$2,convert!$A$1:$B$4,2,0),"@@@",H227))</f>
        <v>130</v>
      </c>
      <c r="X227" s="4" t="str">
        <f>IF(I227="",IF(ISNUMBER(SEARCH("NOT NULL",UPPER(I$3))),"''","null"),SUBSTITUTE(VLOOKUP(I$2,convert!$A$1:$B$4,2,0),"@@@",I227))</f>
        <v>''</v>
      </c>
      <c r="Y227" s="4" t="str">
        <f>IF(J227="",IF(ISNUMBER(SEARCH("NOT NULL",UPPER(J$3))),"''","null"),SUBSTITUTE(VLOOKUP(J$2,convert!$A$1:$B$4,2,0),"@@@",J227))</f>
        <v>'poison'</v>
      </c>
      <c r="Z227" s="4" t="str">
        <f>IF(K227="",IF(ISNUMBER(SEARCH("NOT NULL",UPPER(K$3))),"''","null"),SUBSTITUTE(VLOOKUP(K$2,convert!$A$1:$B$4,2,0),"@@@",K227))</f>
        <v>'flying'</v>
      </c>
      <c r="AA227" s="4" t="str">
        <f>IF(L227="",IF(ISNUMBER(SEARCH("NOT NULL",UPPER(L$3))),"''","null"),SUBSTITUTE(VLOOKUP(L$2,convert!$A$1:$B$4,2,0),"@@@",L227))</f>
        <v>'g2'</v>
      </c>
      <c r="AB227" s="4" t="str">
        <f>IF(M227="",IF(ISNUMBER(SEARCH("NOT NULL",UPPER(M$3))),"''","null"),SUBSTITUTE(VLOOKUP(M$2,convert!$A$1:$B$4,2,0),"@@@",M227))</f>
        <v>null</v>
      </c>
      <c r="AC227" s="4" t="str">
        <f>IF(N227="",IF(ISNUMBER(SEARCH("NOT NULL",UPPER(N$3))),"''","null"),SUBSTITUTE(VLOOKUP(N$2,convert!$A$1:$B$4,2,0),"@@@",N227))</f>
        <v>null</v>
      </c>
      <c r="AD227" s="4" t="str">
        <f>IF(O227="",IF(ISNUMBER(SEARCH("NOT NULL",UPPER(O$3))),"''","null"),SUBSTITUTE(VLOOKUP(O$2,convert!$A$1:$B$4,2,0),"@@@",O227))</f>
        <v>TRUE</v>
      </c>
      <c r="AE227" s="4" t="str">
        <f t="shared" si="3"/>
        <v>    ('0169N01', 'クロバット', 85, 90, 80, 70, 80, 130, '', 'poison', 'flying', 'g2', null, null, TRUE),</v>
      </c>
    </row>
    <row r="228" spans="1:31">
      <c r="A228" s="4" t="s">
        <v>472</v>
      </c>
      <c r="B228" s="4" t="s">
        <v>473</v>
      </c>
      <c r="C228" s="5">
        <v>75</v>
      </c>
      <c r="D228" s="5">
        <v>38</v>
      </c>
      <c r="E228" s="5">
        <v>38</v>
      </c>
      <c r="F228" s="5">
        <v>56</v>
      </c>
      <c r="G228" s="5">
        <v>56</v>
      </c>
      <c r="H228" s="5">
        <v>67</v>
      </c>
      <c r="I228" s="5"/>
      <c r="J228" s="4" t="s">
        <v>55</v>
      </c>
      <c r="K228" s="4" t="s">
        <v>106</v>
      </c>
      <c r="L228" s="4" t="s">
        <v>436</v>
      </c>
      <c r="M228" s="5"/>
      <c r="N228" s="5"/>
      <c r="O228" s="5" t="b">
        <v>1</v>
      </c>
      <c r="P228" s="4" t="str">
        <f>IF(A228="",IF(ISNUMBER(SEARCH("NOT NULL",UPPER(A$3))),"''","null"),SUBSTITUTE(VLOOKUP(A$2,convert!$A$1:$B$4,2,0),"@@@",A228))</f>
        <v>'0170N01'</v>
      </c>
      <c r="Q228" s="4" t="str">
        <f>IF(B228="",IF(ISNUMBER(SEARCH("NOT NULL",UPPER(B$3))),"''","null"),SUBSTITUTE(VLOOKUP(B$2,convert!$A$1:$B$4,2,0),"@@@",B228))</f>
        <v>'チョンチー'</v>
      </c>
      <c r="R228" s="4" t="str">
        <f>IF(C228="",IF(ISNUMBER(SEARCH("NOT NULL",UPPER(C$3))),"''","null"),SUBSTITUTE(VLOOKUP(C$2,convert!$A$1:$B$4,2,0),"@@@",C228))</f>
        <v>75</v>
      </c>
      <c r="S228" s="4" t="str">
        <f>IF(D228="",IF(ISNUMBER(SEARCH("NOT NULL",UPPER(D$3))),"''","null"),SUBSTITUTE(VLOOKUP(D$2,convert!$A$1:$B$4,2,0),"@@@",D228))</f>
        <v>38</v>
      </c>
      <c r="T228" s="4" t="str">
        <f>IF(E228="",IF(ISNUMBER(SEARCH("NOT NULL",UPPER(E$3))),"''","null"),SUBSTITUTE(VLOOKUP(E$2,convert!$A$1:$B$4,2,0),"@@@",E228))</f>
        <v>38</v>
      </c>
      <c r="U228" s="4" t="str">
        <f>IF(F228="",IF(ISNUMBER(SEARCH("NOT NULL",UPPER(F$3))),"''","null"),SUBSTITUTE(VLOOKUP(F$2,convert!$A$1:$B$4,2,0),"@@@",F228))</f>
        <v>56</v>
      </c>
      <c r="V228" s="4" t="str">
        <f>IF(G228="",IF(ISNUMBER(SEARCH("NOT NULL",UPPER(G$3))),"''","null"),SUBSTITUTE(VLOOKUP(G$2,convert!$A$1:$B$4,2,0),"@@@",G228))</f>
        <v>56</v>
      </c>
      <c r="W228" s="4" t="str">
        <f>IF(H228="",IF(ISNUMBER(SEARCH("NOT NULL",UPPER(H$3))),"''","null"),SUBSTITUTE(VLOOKUP(H$2,convert!$A$1:$B$4,2,0),"@@@",H228))</f>
        <v>67</v>
      </c>
      <c r="X228" s="4" t="str">
        <f>IF(I228="",IF(ISNUMBER(SEARCH("NOT NULL",UPPER(I$3))),"''","null"),SUBSTITUTE(VLOOKUP(I$2,convert!$A$1:$B$4,2,0),"@@@",I228))</f>
        <v>''</v>
      </c>
      <c r="Y228" s="4" t="str">
        <f>IF(J228="",IF(ISNUMBER(SEARCH("NOT NULL",UPPER(J$3))),"''","null"),SUBSTITUTE(VLOOKUP(J$2,convert!$A$1:$B$4,2,0),"@@@",J228))</f>
        <v>'water'</v>
      </c>
      <c r="Z228" s="4" t="str">
        <f>IF(K228="",IF(ISNUMBER(SEARCH("NOT NULL",UPPER(K$3))),"''","null"),SUBSTITUTE(VLOOKUP(K$2,convert!$A$1:$B$4,2,0),"@@@",K228))</f>
        <v>'electric'</v>
      </c>
      <c r="AA228" s="4" t="str">
        <f>IF(L228="",IF(ISNUMBER(SEARCH("NOT NULL",UPPER(L$3))),"''","null"),SUBSTITUTE(VLOOKUP(L$2,convert!$A$1:$B$4,2,0),"@@@",L228))</f>
        <v>'g2'</v>
      </c>
      <c r="AB228" s="4" t="str">
        <f>IF(M228="",IF(ISNUMBER(SEARCH("NOT NULL",UPPER(M$3))),"''","null"),SUBSTITUTE(VLOOKUP(M$2,convert!$A$1:$B$4,2,0),"@@@",M228))</f>
        <v>null</v>
      </c>
      <c r="AC228" s="4" t="str">
        <f>IF(N228="",IF(ISNUMBER(SEARCH("NOT NULL",UPPER(N$3))),"''","null"),SUBSTITUTE(VLOOKUP(N$2,convert!$A$1:$B$4,2,0),"@@@",N228))</f>
        <v>null</v>
      </c>
      <c r="AD228" s="4" t="str">
        <f>IF(O228="",IF(ISNUMBER(SEARCH("NOT NULL",UPPER(O$3))),"''","null"),SUBSTITUTE(VLOOKUP(O$2,convert!$A$1:$B$4,2,0),"@@@",O228))</f>
        <v>TRUE</v>
      </c>
      <c r="AE228" s="4" t="str">
        <f t="shared" si="3"/>
        <v>    ('0170N01', 'チョンチー', 75, 38, 38, 56, 56, 67, '', 'water', 'electric', 'g2', null, null, TRUE),</v>
      </c>
    </row>
    <row r="229" spans="1:31">
      <c r="A229" s="4" t="s">
        <v>474</v>
      </c>
      <c r="B229" s="4" t="s">
        <v>475</v>
      </c>
      <c r="C229" s="5">
        <v>125</v>
      </c>
      <c r="D229" s="5">
        <v>58</v>
      </c>
      <c r="E229" s="5">
        <v>58</v>
      </c>
      <c r="F229" s="5">
        <v>76</v>
      </c>
      <c r="G229" s="5">
        <v>76</v>
      </c>
      <c r="H229" s="5">
        <v>67</v>
      </c>
      <c r="I229" s="5"/>
      <c r="J229" s="4" t="s">
        <v>55</v>
      </c>
      <c r="K229" s="4" t="s">
        <v>106</v>
      </c>
      <c r="L229" s="4" t="s">
        <v>436</v>
      </c>
      <c r="M229" s="5"/>
      <c r="N229" s="5"/>
      <c r="O229" s="5" t="b">
        <v>1</v>
      </c>
      <c r="P229" s="4" t="str">
        <f>IF(A229="",IF(ISNUMBER(SEARCH("NOT NULL",UPPER(A$3))),"''","null"),SUBSTITUTE(VLOOKUP(A$2,convert!$A$1:$B$4,2,0),"@@@",A229))</f>
        <v>'0171N01'</v>
      </c>
      <c r="Q229" s="4" t="str">
        <f>IF(B229="",IF(ISNUMBER(SEARCH("NOT NULL",UPPER(B$3))),"''","null"),SUBSTITUTE(VLOOKUP(B$2,convert!$A$1:$B$4,2,0),"@@@",B229))</f>
        <v>'ランターン'</v>
      </c>
      <c r="R229" s="4" t="str">
        <f>IF(C229="",IF(ISNUMBER(SEARCH("NOT NULL",UPPER(C$3))),"''","null"),SUBSTITUTE(VLOOKUP(C$2,convert!$A$1:$B$4,2,0),"@@@",C229))</f>
        <v>125</v>
      </c>
      <c r="S229" s="4" t="str">
        <f>IF(D229="",IF(ISNUMBER(SEARCH("NOT NULL",UPPER(D$3))),"''","null"),SUBSTITUTE(VLOOKUP(D$2,convert!$A$1:$B$4,2,0),"@@@",D229))</f>
        <v>58</v>
      </c>
      <c r="T229" s="4" t="str">
        <f>IF(E229="",IF(ISNUMBER(SEARCH("NOT NULL",UPPER(E$3))),"''","null"),SUBSTITUTE(VLOOKUP(E$2,convert!$A$1:$B$4,2,0),"@@@",E229))</f>
        <v>58</v>
      </c>
      <c r="U229" s="4" t="str">
        <f>IF(F229="",IF(ISNUMBER(SEARCH("NOT NULL",UPPER(F$3))),"''","null"),SUBSTITUTE(VLOOKUP(F$2,convert!$A$1:$B$4,2,0),"@@@",F229))</f>
        <v>76</v>
      </c>
      <c r="V229" s="4" t="str">
        <f>IF(G229="",IF(ISNUMBER(SEARCH("NOT NULL",UPPER(G$3))),"''","null"),SUBSTITUTE(VLOOKUP(G$2,convert!$A$1:$B$4,2,0),"@@@",G229))</f>
        <v>76</v>
      </c>
      <c r="W229" s="4" t="str">
        <f>IF(H229="",IF(ISNUMBER(SEARCH("NOT NULL",UPPER(H$3))),"''","null"),SUBSTITUTE(VLOOKUP(H$2,convert!$A$1:$B$4,2,0),"@@@",H229))</f>
        <v>67</v>
      </c>
      <c r="X229" s="4" t="str">
        <f>IF(I229="",IF(ISNUMBER(SEARCH("NOT NULL",UPPER(I$3))),"''","null"),SUBSTITUTE(VLOOKUP(I$2,convert!$A$1:$B$4,2,0),"@@@",I229))</f>
        <v>''</v>
      </c>
      <c r="Y229" s="4" t="str">
        <f>IF(J229="",IF(ISNUMBER(SEARCH("NOT NULL",UPPER(J$3))),"''","null"),SUBSTITUTE(VLOOKUP(J$2,convert!$A$1:$B$4,2,0),"@@@",J229))</f>
        <v>'water'</v>
      </c>
      <c r="Z229" s="4" t="str">
        <f>IF(K229="",IF(ISNUMBER(SEARCH("NOT NULL",UPPER(K$3))),"''","null"),SUBSTITUTE(VLOOKUP(K$2,convert!$A$1:$B$4,2,0),"@@@",K229))</f>
        <v>'electric'</v>
      </c>
      <c r="AA229" s="4" t="str">
        <f>IF(L229="",IF(ISNUMBER(SEARCH("NOT NULL",UPPER(L$3))),"''","null"),SUBSTITUTE(VLOOKUP(L$2,convert!$A$1:$B$4,2,0),"@@@",L229))</f>
        <v>'g2'</v>
      </c>
      <c r="AB229" s="4" t="str">
        <f>IF(M229="",IF(ISNUMBER(SEARCH("NOT NULL",UPPER(M$3))),"''","null"),SUBSTITUTE(VLOOKUP(M$2,convert!$A$1:$B$4,2,0),"@@@",M229))</f>
        <v>null</v>
      </c>
      <c r="AC229" s="4" t="str">
        <f>IF(N229="",IF(ISNUMBER(SEARCH("NOT NULL",UPPER(N$3))),"''","null"),SUBSTITUTE(VLOOKUP(N$2,convert!$A$1:$B$4,2,0),"@@@",N229))</f>
        <v>null</v>
      </c>
      <c r="AD229" s="4" t="str">
        <f>IF(O229="",IF(ISNUMBER(SEARCH("NOT NULL",UPPER(O$3))),"''","null"),SUBSTITUTE(VLOOKUP(O$2,convert!$A$1:$B$4,2,0),"@@@",O229))</f>
        <v>TRUE</v>
      </c>
      <c r="AE229" s="4" t="str">
        <f t="shared" si="3"/>
        <v>    ('0171N01', 'ランターン', 125, 58, 58, 76, 76, 67, '', 'water', 'electric', 'g2', null, null, TRUE),</v>
      </c>
    </row>
    <row r="230" spans="1:31">
      <c r="A230" s="4" t="s">
        <v>476</v>
      </c>
      <c r="B230" s="4" t="s">
        <v>477</v>
      </c>
      <c r="C230" s="5">
        <v>20</v>
      </c>
      <c r="D230" s="5">
        <v>40</v>
      </c>
      <c r="E230" s="5">
        <v>15</v>
      </c>
      <c r="F230" s="5">
        <v>35</v>
      </c>
      <c r="G230" s="5">
        <v>35</v>
      </c>
      <c r="H230" s="5">
        <v>60</v>
      </c>
      <c r="I230" s="5"/>
      <c r="J230" s="4" t="s">
        <v>106</v>
      </c>
      <c r="K230" s="5"/>
      <c r="L230" s="4" t="s">
        <v>436</v>
      </c>
      <c r="M230" s="5"/>
      <c r="N230" s="5"/>
      <c r="O230" s="5" t="b">
        <v>1</v>
      </c>
      <c r="P230" s="4" t="str">
        <f>IF(A230="",IF(ISNUMBER(SEARCH("NOT NULL",UPPER(A$3))),"''","null"),SUBSTITUTE(VLOOKUP(A$2,convert!$A$1:$B$4,2,0),"@@@",A230))</f>
        <v>'0172N01'</v>
      </c>
      <c r="Q230" s="4" t="str">
        <f>IF(B230="",IF(ISNUMBER(SEARCH("NOT NULL",UPPER(B$3))),"''","null"),SUBSTITUTE(VLOOKUP(B$2,convert!$A$1:$B$4,2,0),"@@@",B230))</f>
        <v>'ピチュー'</v>
      </c>
      <c r="R230" s="4" t="str">
        <f>IF(C230="",IF(ISNUMBER(SEARCH("NOT NULL",UPPER(C$3))),"''","null"),SUBSTITUTE(VLOOKUP(C$2,convert!$A$1:$B$4,2,0),"@@@",C230))</f>
        <v>20</v>
      </c>
      <c r="S230" s="4" t="str">
        <f>IF(D230="",IF(ISNUMBER(SEARCH("NOT NULL",UPPER(D$3))),"''","null"),SUBSTITUTE(VLOOKUP(D$2,convert!$A$1:$B$4,2,0),"@@@",D230))</f>
        <v>40</v>
      </c>
      <c r="T230" s="4" t="str">
        <f>IF(E230="",IF(ISNUMBER(SEARCH("NOT NULL",UPPER(E$3))),"''","null"),SUBSTITUTE(VLOOKUP(E$2,convert!$A$1:$B$4,2,0),"@@@",E230))</f>
        <v>15</v>
      </c>
      <c r="U230" s="4" t="str">
        <f>IF(F230="",IF(ISNUMBER(SEARCH("NOT NULL",UPPER(F$3))),"''","null"),SUBSTITUTE(VLOOKUP(F$2,convert!$A$1:$B$4,2,0),"@@@",F230))</f>
        <v>35</v>
      </c>
      <c r="V230" s="4" t="str">
        <f>IF(G230="",IF(ISNUMBER(SEARCH("NOT NULL",UPPER(G$3))),"''","null"),SUBSTITUTE(VLOOKUP(G$2,convert!$A$1:$B$4,2,0),"@@@",G230))</f>
        <v>35</v>
      </c>
      <c r="W230" s="4" t="str">
        <f>IF(H230="",IF(ISNUMBER(SEARCH("NOT NULL",UPPER(H$3))),"''","null"),SUBSTITUTE(VLOOKUP(H$2,convert!$A$1:$B$4,2,0),"@@@",H230))</f>
        <v>60</v>
      </c>
      <c r="X230" s="4" t="str">
        <f>IF(I230="",IF(ISNUMBER(SEARCH("NOT NULL",UPPER(I$3))),"''","null"),SUBSTITUTE(VLOOKUP(I$2,convert!$A$1:$B$4,2,0),"@@@",I230))</f>
        <v>''</v>
      </c>
      <c r="Y230" s="4" t="str">
        <f>IF(J230="",IF(ISNUMBER(SEARCH("NOT NULL",UPPER(J$3))),"''","null"),SUBSTITUTE(VLOOKUP(J$2,convert!$A$1:$B$4,2,0),"@@@",J230))</f>
        <v>'electric'</v>
      </c>
      <c r="Z230" s="4" t="str">
        <f>IF(K230="",IF(ISNUMBER(SEARCH("NOT NULL",UPPER(K$3))),"''","null"),SUBSTITUTE(VLOOKUP(K$2,convert!$A$1:$B$4,2,0),"@@@",K230))</f>
        <v>null</v>
      </c>
      <c r="AA230" s="4" t="str">
        <f>IF(L230="",IF(ISNUMBER(SEARCH("NOT NULL",UPPER(L$3))),"''","null"),SUBSTITUTE(VLOOKUP(L$2,convert!$A$1:$B$4,2,0),"@@@",L230))</f>
        <v>'g2'</v>
      </c>
      <c r="AB230" s="4" t="str">
        <f>IF(M230="",IF(ISNUMBER(SEARCH("NOT NULL",UPPER(M$3))),"''","null"),SUBSTITUTE(VLOOKUP(M$2,convert!$A$1:$B$4,2,0),"@@@",M230))</f>
        <v>null</v>
      </c>
      <c r="AC230" s="4" t="str">
        <f>IF(N230="",IF(ISNUMBER(SEARCH("NOT NULL",UPPER(N$3))),"''","null"),SUBSTITUTE(VLOOKUP(N$2,convert!$A$1:$B$4,2,0),"@@@",N230))</f>
        <v>null</v>
      </c>
      <c r="AD230" s="4" t="str">
        <f>IF(O230="",IF(ISNUMBER(SEARCH("NOT NULL",UPPER(O$3))),"''","null"),SUBSTITUTE(VLOOKUP(O$2,convert!$A$1:$B$4,2,0),"@@@",O230))</f>
        <v>TRUE</v>
      </c>
      <c r="AE230" s="4" t="str">
        <f t="shared" si="3"/>
        <v>    ('0172N01', 'ピチュー', 20, 40, 15, 35, 35, 60, '', 'electric', null, 'g2', null, null, TRUE),</v>
      </c>
    </row>
    <row r="231" spans="1:31">
      <c r="A231" s="4" t="s">
        <v>478</v>
      </c>
      <c r="B231" s="4" t="s">
        <v>479</v>
      </c>
      <c r="C231" s="5">
        <v>50</v>
      </c>
      <c r="D231" s="5">
        <v>25</v>
      </c>
      <c r="E231" s="5">
        <v>28</v>
      </c>
      <c r="F231" s="5">
        <v>45</v>
      </c>
      <c r="G231" s="5">
        <v>55</v>
      </c>
      <c r="H231" s="5">
        <v>15</v>
      </c>
      <c r="I231" s="5"/>
      <c r="J231" s="4" t="s">
        <v>137</v>
      </c>
      <c r="K231" s="5"/>
      <c r="L231" s="4" t="s">
        <v>436</v>
      </c>
      <c r="M231" s="5"/>
      <c r="N231" s="5"/>
      <c r="O231" s="5" t="b">
        <v>1</v>
      </c>
      <c r="P231" s="4" t="str">
        <f>IF(A231="",IF(ISNUMBER(SEARCH("NOT NULL",UPPER(A$3))),"''","null"),SUBSTITUTE(VLOOKUP(A$2,convert!$A$1:$B$4,2,0),"@@@",A231))</f>
        <v>'0173N01'</v>
      </c>
      <c r="Q231" s="4" t="str">
        <f>IF(B231="",IF(ISNUMBER(SEARCH("NOT NULL",UPPER(B$3))),"''","null"),SUBSTITUTE(VLOOKUP(B$2,convert!$A$1:$B$4,2,0),"@@@",B231))</f>
        <v>'ピィ'</v>
      </c>
      <c r="R231" s="4" t="str">
        <f>IF(C231="",IF(ISNUMBER(SEARCH("NOT NULL",UPPER(C$3))),"''","null"),SUBSTITUTE(VLOOKUP(C$2,convert!$A$1:$B$4,2,0),"@@@",C231))</f>
        <v>50</v>
      </c>
      <c r="S231" s="4" t="str">
        <f>IF(D231="",IF(ISNUMBER(SEARCH("NOT NULL",UPPER(D$3))),"''","null"),SUBSTITUTE(VLOOKUP(D$2,convert!$A$1:$B$4,2,0),"@@@",D231))</f>
        <v>25</v>
      </c>
      <c r="T231" s="4" t="str">
        <f>IF(E231="",IF(ISNUMBER(SEARCH("NOT NULL",UPPER(E$3))),"''","null"),SUBSTITUTE(VLOOKUP(E$2,convert!$A$1:$B$4,2,0),"@@@",E231))</f>
        <v>28</v>
      </c>
      <c r="U231" s="4" t="str">
        <f>IF(F231="",IF(ISNUMBER(SEARCH("NOT NULL",UPPER(F$3))),"''","null"),SUBSTITUTE(VLOOKUP(F$2,convert!$A$1:$B$4,2,0),"@@@",F231))</f>
        <v>45</v>
      </c>
      <c r="V231" s="4" t="str">
        <f>IF(G231="",IF(ISNUMBER(SEARCH("NOT NULL",UPPER(G$3))),"''","null"),SUBSTITUTE(VLOOKUP(G$2,convert!$A$1:$B$4,2,0),"@@@",G231))</f>
        <v>55</v>
      </c>
      <c r="W231" s="4" t="str">
        <f>IF(H231="",IF(ISNUMBER(SEARCH("NOT NULL",UPPER(H$3))),"''","null"),SUBSTITUTE(VLOOKUP(H$2,convert!$A$1:$B$4,2,0),"@@@",H231))</f>
        <v>15</v>
      </c>
      <c r="X231" s="4" t="str">
        <f>IF(I231="",IF(ISNUMBER(SEARCH("NOT NULL",UPPER(I$3))),"''","null"),SUBSTITUTE(VLOOKUP(I$2,convert!$A$1:$B$4,2,0),"@@@",I231))</f>
        <v>''</v>
      </c>
      <c r="Y231" s="4" t="str">
        <f>IF(J231="",IF(ISNUMBER(SEARCH("NOT NULL",UPPER(J$3))),"''","null"),SUBSTITUTE(VLOOKUP(J$2,convert!$A$1:$B$4,2,0),"@@@",J231))</f>
        <v>'fairy'</v>
      </c>
      <c r="Z231" s="4" t="str">
        <f>IF(K231="",IF(ISNUMBER(SEARCH("NOT NULL",UPPER(K$3))),"''","null"),SUBSTITUTE(VLOOKUP(K$2,convert!$A$1:$B$4,2,0),"@@@",K231))</f>
        <v>null</v>
      </c>
      <c r="AA231" s="4" t="str">
        <f>IF(L231="",IF(ISNUMBER(SEARCH("NOT NULL",UPPER(L$3))),"''","null"),SUBSTITUTE(VLOOKUP(L$2,convert!$A$1:$B$4,2,0),"@@@",L231))</f>
        <v>'g2'</v>
      </c>
      <c r="AB231" s="4" t="str">
        <f>IF(M231="",IF(ISNUMBER(SEARCH("NOT NULL",UPPER(M$3))),"''","null"),SUBSTITUTE(VLOOKUP(M$2,convert!$A$1:$B$4,2,0),"@@@",M231))</f>
        <v>null</v>
      </c>
      <c r="AC231" s="4" t="str">
        <f>IF(N231="",IF(ISNUMBER(SEARCH("NOT NULL",UPPER(N$3))),"''","null"),SUBSTITUTE(VLOOKUP(N$2,convert!$A$1:$B$4,2,0),"@@@",N231))</f>
        <v>null</v>
      </c>
      <c r="AD231" s="4" t="str">
        <f>IF(O231="",IF(ISNUMBER(SEARCH("NOT NULL",UPPER(O$3))),"''","null"),SUBSTITUTE(VLOOKUP(O$2,convert!$A$1:$B$4,2,0),"@@@",O231))</f>
        <v>TRUE</v>
      </c>
      <c r="AE231" s="4" t="str">
        <f t="shared" si="3"/>
        <v>    ('0173N01', 'ピィ', 50, 25, 28, 45, 55, 15, '', 'fairy', null, 'g2', null, null, TRUE),</v>
      </c>
    </row>
    <row r="232" spans="1:31">
      <c r="A232" s="4" t="s">
        <v>480</v>
      </c>
      <c r="B232" s="4" t="s">
        <v>481</v>
      </c>
      <c r="C232" s="5">
        <v>90</v>
      </c>
      <c r="D232" s="5">
        <v>30</v>
      </c>
      <c r="E232" s="5">
        <v>15</v>
      </c>
      <c r="F232" s="5">
        <v>40</v>
      </c>
      <c r="G232" s="5">
        <v>20</v>
      </c>
      <c r="H232" s="5">
        <v>15</v>
      </c>
      <c r="I232" s="5"/>
      <c r="J232" s="4" t="s">
        <v>80</v>
      </c>
      <c r="K232" s="4" t="s">
        <v>137</v>
      </c>
      <c r="L232" s="4" t="s">
        <v>436</v>
      </c>
      <c r="M232" s="5"/>
      <c r="N232" s="5"/>
      <c r="O232" s="5" t="b">
        <v>1</v>
      </c>
      <c r="P232" s="4" t="str">
        <f>IF(A232="",IF(ISNUMBER(SEARCH("NOT NULL",UPPER(A$3))),"''","null"),SUBSTITUTE(VLOOKUP(A$2,convert!$A$1:$B$4,2,0),"@@@",A232))</f>
        <v>'0174N01'</v>
      </c>
      <c r="Q232" s="4" t="str">
        <f>IF(B232="",IF(ISNUMBER(SEARCH("NOT NULL",UPPER(B$3))),"''","null"),SUBSTITUTE(VLOOKUP(B$2,convert!$A$1:$B$4,2,0),"@@@",B232))</f>
        <v>'ププリン'</v>
      </c>
      <c r="R232" s="4" t="str">
        <f>IF(C232="",IF(ISNUMBER(SEARCH("NOT NULL",UPPER(C$3))),"''","null"),SUBSTITUTE(VLOOKUP(C$2,convert!$A$1:$B$4,2,0),"@@@",C232))</f>
        <v>90</v>
      </c>
      <c r="S232" s="4" t="str">
        <f>IF(D232="",IF(ISNUMBER(SEARCH("NOT NULL",UPPER(D$3))),"''","null"),SUBSTITUTE(VLOOKUP(D$2,convert!$A$1:$B$4,2,0),"@@@",D232))</f>
        <v>30</v>
      </c>
      <c r="T232" s="4" t="str">
        <f>IF(E232="",IF(ISNUMBER(SEARCH("NOT NULL",UPPER(E$3))),"''","null"),SUBSTITUTE(VLOOKUP(E$2,convert!$A$1:$B$4,2,0),"@@@",E232))</f>
        <v>15</v>
      </c>
      <c r="U232" s="4" t="str">
        <f>IF(F232="",IF(ISNUMBER(SEARCH("NOT NULL",UPPER(F$3))),"''","null"),SUBSTITUTE(VLOOKUP(F$2,convert!$A$1:$B$4,2,0),"@@@",F232))</f>
        <v>40</v>
      </c>
      <c r="V232" s="4" t="str">
        <f>IF(G232="",IF(ISNUMBER(SEARCH("NOT NULL",UPPER(G$3))),"''","null"),SUBSTITUTE(VLOOKUP(G$2,convert!$A$1:$B$4,2,0),"@@@",G232))</f>
        <v>20</v>
      </c>
      <c r="W232" s="4" t="str">
        <f>IF(H232="",IF(ISNUMBER(SEARCH("NOT NULL",UPPER(H$3))),"''","null"),SUBSTITUTE(VLOOKUP(H$2,convert!$A$1:$B$4,2,0),"@@@",H232))</f>
        <v>15</v>
      </c>
      <c r="X232" s="4" t="str">
        <f>IF(I232="",IF(ISNUMBER(SEARCH("NOT NULL",UPPER(I$3))),"''","null"),SUBSTITUTE(VLOOKUP(I$2,convert!$A$1:$B$4,2,0),"@@@",I232))</f>
        <v>''</v>
      </c>
      <c r="Y232" s="4" t="str">
        <f>IF(J232="",IF(ISNUMBER(SEARCH("NOT NULL",UPPER(J$3))),"''","null"),SUBSTITUTE(VLOOKUP(J$2,convert!$A$1:$B$4,2,0),"@@@",J232))</f>
        <v>'normal'</v>
      </c>
      <c r="Z232" s="4" t="str">
        <f>IF(K232="",IF(ISNUMBER(SEARCH("NOT NULL",UPPER(K$3))),"''","null"),SUBSTITUTE(VLOOKUP(K$2,convert!$A$1:$B$4,2,0),"@@@",K232))</f>
        <v>'fairy'</v>
      </c>
      <c r="AA232" s="4" t="str">
        <f>IF(L232="",IF(ISNUMBER(SEARCH("NOT NULL",UPPER(L$3))),"''","null"),SUBSTITUTE(VLOOKUP(L$2,convert!$A$1:$B$4,2,0),"@@@",L232))</f>
        <v>'g2'</v>
      </c>
      <c r="AB232" s="4" t="str">
        <f>IF(M232="",IF(ISNUMBER(SEARCH("NOT NULL",UPPER(M$3))),"''","null"),SUBSTITUTE(VLOOKUP(M$2,convert!$A$1:$B$4,2,0),"@@@",M232))</f>
        <v>null</v>
      </c>
      <c r="AC232" s="4" t="str">
        <f>IF(N232="",IF(ISNUMBER(SEARCH("NOT NULL",UPPER(N$3))),"''","null"),SUBSTITUTE(VLOOKUP(N$2,convert!$A$1:$B$4,2,0),"@@@",N232))</f>
        <v>null</v>
      </c>
      <c r="AD232" s="4" t="str">
        <f>IF(O232="",IF(ISNUMBER(SEARCH("NOT NULL",UPPER(O$3))),"''","null"),SUBSTITUTE(VLOOKUP(O$2,convert!$A$1:$B$4,2,0),"@@@",O232))</f>
        <v>TRUE</v>
      </c>
      <c r="AE232" s="4" t="str">
        <f t="shared" si="3"/>
        <v>    ('0174N01', 'ププリン', 90, 30, 15, 40, 20, 15, '', 'normal', 'fairy', 'g2', null, null, TRUE),</v>
      </c>
    </row>
    <row r="233" spans="1:31">
      <c r="A233" s="4" t="s">
        <v>482</v>
      </c>
      <c r="B233" s="4" t="s">
        <v>483</v>
      </c>
      <c r="C233" s="5">
        <v>35</v>
      </c>
      <c r="D233" s="5">
        <v>20</v>
      </c>
      <c r="E233" s="5">
        <v>65</v>
      </c>
      <c r="F233" s="5">
        <v>40</v>
      </c>
      <c r="G233" s="5">
        <v>65</v>
      </c>
      <c r="H233" s="5">
        <v>20</v>
      </c>
      <c r="I233" s="5"/>
      <c r="J233" s="4" t="s">
        <v>137</v>
      </c>
      <c r="K233" s="5"/>
      <c r="L233" s="4" t="s">
        <v>436</v>
      </c>
      <c r="M233" s="5"/>
      <c r="N233" s="5"/>
      <c r="O233" s="5" t="b">
        <v>1</v>
      </c>
      <c r="P233" s="4" t="str">
        <f>IF(A233="",IF(ISNUMBER(SEARCH("NOT NULL",UPPER(A$3))),"''","null"),SUBSTITUTE(VLOOKUP(A$2,convert!$A$1:$B$4,2,0),"@@@",A233))</f>
        <v>'0175N01'</v>
      </c>
      <c r="Q233" s="4" t="str">
        <f>IF(B233="",IF(ISNUMBER(SEARCH("NOT NULL",UPPER(B$3))),"''","null"),SUBSTITUTE(VLOOKUP(B$2,convert!$A$1:$B$4,2,0),"@@@",B233))</f>
        <v>'トゲピー'</v>
      </c>
      <c r="R233" s="4" t="str">
        <f>IF(C233="",IF(ISNUMBER(SEARCH("NOT NULL",UPPER(C$3))),"''","null"),SUBSTITUTE(VLOOKUP(C$2,convert!$A$1:$B$4,2,0),"@@@",C233))</f>
        <v>35</v>
      </c>
      <c r="S233" s="4" t="str">
        <f>IF(D233="",IF(ISNUMBER(SEARCH("NOT NULL",UPPER(D$3))),"''","null"),SUBSTITUTE(VLOOKUP(D$2,convert!$A$1:$B$4,2,0),"@@@",D233))</f>
        <v>20</v>
      </c>
      <c r="T233" s="4" t="str">
        <f>IF(E233="",IF(ISNUMBER(SEARCH("NOT NULL",UPPER(E$3))),"''","null"),SUBSTITUTE(VLOOKUP(E$2,convert!$A$1:$B$4,2,0),"@@@",E233))</f>
        <v>65</v>
      </c>
      <c r="U233" s="4" t="str">
        <f>IF(F233="",IF(ISNUMBER(SEARCH("NOT NULL",UPPER(F$3))),"''","null"),SUBSTITUTE(VLOOKUP(F$2,convert!$A$1:$B$4,2,0),"@@@",F233))</f>
        <v>40</v>
      </c>
      <c r="V233" s="4" t="str">
        <f>IF(G233="",IF(ISNUMBER(SEARCH("NOT NULL",UPPER(G$3))),"''","null"),SUBSTITUTE(VLOOKUP(G$2,convert!$A$1:$B$4,2,0),"@@@",G233))</f>
        <v>65</v>
      </c>
      <c r="W233" s="4" t="str">
        <f>IF(H233="",IF(ISNUMBER(SEARCH("NOT NULL",UPPER(H$3))),"''","null"),SUBSTITUTE(VLOOKUP(H$2,convert!$A$1:$B$4,2,0),"@@@",H233))</f>
        <v>20</v>
      </c>
      <c r="X233" s="4" t="str">
        <f>IF(I233="",IF(ISNUMBER(SEARCH("NOT NULL",UPPER(I$3))),"''","null"),SUBSTITUTE(VLOOKUP(I$2,convert!$A$1:$B$4,2,0),"@@@",I233))</f>
        <v>''</v>
      </c>
      <c r="Y233" s="4" t="str">
        <f>IF(J233="",IF(ISNUMBER(SEARCH("NOT NULL",UPPER(J$3))),"''","null"),SUBSTITUTE(VLOOKUP(J$2,convert!$A$1:$B$4,2,0),"@@@",J233))</f>
        <v>'fairy'</v>
      </c>
      <c r="Z233" s="4" t="str">
        <f>IF(K233="",IF(ISNUMBER(SEARCH("NOT NULL",UPPER(K$3))),"''","null"),SUBSTITUTE(VLOOKUP(K$2,convert!$A$1:$B$4,2,0),"@@@",K233))</f>
        <v>null</v>
      </c>
      <c r="AA233" s="4" t="str">
        <f>IF(L233="",IF(ISNUMBER(SEARCH("NOT NULL",UPPER(L$3))),"''","null"),SUBSTITUTE(VLOOKUP(L$2,convert!$A$1:$B$4,2,0),"@@@",L233))</f>
        <v>'g2'</v>
      </c>
      <c r="AB233" s="4" t="str">
        <f>IF(M233="",IF(ISNUMBER(SEARCH("NOT NULL",UPPER(M$3))),"''","null"),SUBSTITUTE(VLOOKUP(M$2,convert!$A$1:$B$4,2,0),"@@@",M233))</f>
        <v>null</v>
      </c>
      <c r="AC233" s="4" t="str">
        <f>IF(N233="",IF(ISNUMBER(SEARCH("NOT NULL",UPPER(N$3))),"''","null"),SUBSTITUTE(VLOOKUP(N$2,convert!$A$1:$B$4,2,0),"@@@",N233))</f>
        <v>null</v>
      </c>
      <c r="AD233" s="4" t="str">
        <f>IF(O233="",IF(ISNUMBER(SEARCH("NOT NULL",UPPER(O$3))),"''","null"),SUBSTITUTE(VLOOKUP(O$2,convert!$A$1:$B$4,2,0),"@@@",O233))</f>
        <v>TRUE</v>
      </c>
      <c r="AE233" s="4" t="str">
        <f t="shared" si="3"/>
        <v>    ('0175N01', 'トゲピー', 35, 20, 65, 40, 65, 20, '', 'fairy', null, 'g2', null, null, TRUE),</v>
      </c>
    </row>
    <row r="234" spans="1:31">
      <c r="A234" s="4" t="s">
        <v>484</v>
      </c>
      <c r="B234" s="4" t="s">
        <v>485</v>
      </c>
      <c r="C234" s="5">
        <v>55</v>
      </c>
      <c r="D234" s="5">
        <v>40</v>
      </c>
      <c r="E234" s="5">
        <v>85</v>
      </c>
      <c r="F234" s="5">
        <v>80</v>
      </c>
      <c r="G234" s="5">
        <v>105</v>
      </c>
      <c r="H234" s="5">
        <v>40</v>
      </c>
      <c r="I234" s="5"/>
      <c r="J234" s="4" t="s">
        <v>137</v>
      </c>
      <c r="K234" s="4" t="s">
        <v>47</v>
      </c>
      <c r="L234" s="4" t="s">
        <v>436</v>
      </c>
      <c r="M234" s="5"/>
      <c r="N234" s="5"/>
      <c r="O234" s="5" t="b">
        <v>1</v>
      </c>
      <c r="P234" s="4" t="str">
        <f>IF(A234="",IF(ISNUMBER(SEARCH("NOT NULL",UPPER(A$3))),"''","null"),SUBSTITUTE(VLOOKUP(A$2,convert!$A$1:$B$4,2,0),"@@@",A234))</f>
        <v>'0176N01'</v>
      </c>
      <c r="Q234" s="4" t="str">
        <f>IF(B234="",IF(ISNUMBER(SEARCH("NOT NULL",UPPER(B$3))),"''","null"),SUBSTITUTE(VLOOKUP(B$2,convert!$A$1:$B$4,2,0),"@@@",B234))</f>
        <v>'トゲチック'</v>
      </c>
      <c r="R234" s="4" t="str">
        <f>IF(C234="",IF(ISNUMBER(SEARCH("NOT NULL",UPPER(C$3))),"''","null"),SUBSTITUTE(VLOOKUP(C$2,convert!$A$1:$B$4,2,0),"@@@",C234))</f>
        <v>55</v>
      </c>
      <c r="S234" s="4" t="str">
        <f>IF(D234="",IF(ISNUMBER(SEARCH("NOT NULL",UPPER(D$3))),"''","null"),SUBSTITUTE(VLOOKUP(D$2,convert!$A$1:$B$4,2,0),"@@@",D234))</f>
        <v>40</v>
      </c>
      <c r="T234" s="4" t="str">
        <f>IF(E234="",IF(ISNUMBER(SEARCH("NOT NULL",UPPER(E$3))),"''","null"),SUBSTITUTE(VLOOKUP(E$2,convert!$A$1:$B$4,2,0),"@@@",E234))</f>
        <v>85</v>
      </c>
      <c r="U234" s="4" t="str">
        <f>IF(F234="",IF(ISNUMBER(SEARCH("NOT NULL",UPPER(F$3))),"''","null"),SUBSTITUTE(VLOOKUP(F$2,convert!$A$1:$B$4,2,0),"@@@",F234))</f>
        <v>80</v>
      </c>
      <c r="V234" s="4" t="str">
        <f>IF(G234="",IF(ISNUMBER(SEARCH("NOT NULL",UPPER(G$3))),"''","null"),SUBSTITUTE(VLOOKUP(G$2,convert!$A$1:$B$4,2,0),"@@@",G234))</f>
        <v>105</v>
      </c>
      <c r="W234" s="4" t="str">
        <f>IF(H234="",IF(ISNUMBER(SEARCH("NOT NULL",UPPER(H$3))),"''","null"),SUBSTITUTE(VLOOKUP(H$2,convert!$A$1:$B$4,2,0),"@@@",H234))</f>
        <v>40</v>
      </c>
      <c r="X234" s="4" t="str">
        <f>IF(I234="",IF(ISNUMBER(SEARCH("NOT NULL",UPPER(I$3))),"''","null"),SUBSTITUTE(VLOOKUP(I$2,convert!$A$1:$B$4,2,0),"@@@",I234))</f>
        <v>''</v>
      </c>
      <c r="Y234" s="4" t="str">
        <f>IF(J234="",IF(ISNUMBER(SEARCH("NOT NULL",UPPER(J$3))),"''","null"),SUBSTITUTE(VLOOKUP(J$2,convert!$A$1:$B$4,2,0),"@@@",J234))</f>
        <v>'fairy'</v>
      </c>
      <c r="Z234" s="4" t="str">
        <f>IF(K234="",IF(ISNUMBER(SEARCH("NOT NULL",UPPER(K$3))),"''","null"),SUBSTITUTE(VLOOKUP(K$2,convert!$A$1:$B$4,2,0),"@@@",K234))</f>
        <v>'flying'</v>
      </c>
      <c r="AA234" s="4" t="str">
        <f>IF(L234="",IF(ISNUMBER(SEARCH("NOT NULL",UPPER(L$3))),"''","null"),SUBSTITUTE(VLOOKUP(L$2,convert!$A$1:$B$4,2,0),"@@@",L234))</f>
        <v>'g2'</v>
      </c>
      <c r="AB234" s="4" t="str">
        <f>IF(M234="",IF(ISNUMBER(SEARCH("NOT NULL",UPPER(M$3))),"''","null"),SUBSTITUTE(VLOOKUP(M$2,convert!$A$1:$B$4,2,0),"@@@",M234))</f>
        <v>null</v>
      </c>
      <c r="AC234" s="4" t="str">
        <f>IF(N234="",IF(ISNUMBER(SEARCH("NOT NULL",UPPER(N$3))),"''","null"),SUBSTITUTE(VLOOKUP(N$2,convert!$A$1:$B$4,2,0),"@@@",N234))</f>
        <v>null</v>
      </c>
      <c r="AD234" s="4" t="str">
        <f>IF(O234="",IF(ISNUMBER(SEARCH("NOT NULL",UPPER(O$3))),"''","null"),SUBSTITUTE(VLOOKUP(O$2,convert!$A$1:$B$4,2,0),"@@@",O234))</f>
        <v>TRUE</v>
      </c>
      <c r="AE234" s="4" t="str">
        <f t="shared" si="3"/>
        <v>    ('0176N01', 'トゲチック', 55, 40, 85, 80, 105, 40, '', 'fairy', 'flying', 'g2', null, null, TRUE),</v>
      </c>
    </row>
    <row r="235" spans="1:31">
      <c r="A235" s="4" t="s">
        <v>486</v>
      </c>
      <c r="B235" s="4" t="s">
        <v>487</v>
      </c>
      <c r="C235" s="5">
        <v>40</v>
      </c>
      <c r="D235" s="5">
        <v>50</v>
      </c>
      <c r="E235" s="5">
        <v>45</v>
      </c>
      <c r="F235" s="5">
        <v>70</v>
      </c>
      <c r="G235" s="5">
        <v>45</v>
      </c>
      <c r="H235" s="5">
        <v>70</v>
      </c>
      <c r="I235" s="5"/>
      <c r="J235" s="4" t="s">
        <v>113</v>
      </c>
      <c r="K235" s="4" t="s">
        <v>47</v>
      </c>
      <c r="L235" s="4" t="s">
        <v>436</v>
      </c>
      <c r="M235" s="5"/>
      <c r="N235" s="5"/>
      <c r="O235" s="5" t="b">
        <v>1</v>
      </c>
      <c r="P235" s="4" t="str">
        <f>IF(A235="",IF(ISNUMBER(SEARCH("NOT NULL",UPPER(A$3))),"''","null"),SUBSTITUTE(VLOOKUP(A$2,convert!$A$1:$B$4,2,0),"@@@",A235))</f>
        <v>'0177N01'</v>
      </c>
      <c r="Q235" s="4" t="str">
        <f>IF(B235="",IF(ISNUMBER(SEARCH("NOT NULL",UPPER(B$3))),"''","null"),SUBSTITUTE(VLOOKUP(B$2,convert!$A$1:$B$4,2,0),"@@@",B235))</f>
        <v>'ネイティ'</v>
      </c>
      <c r="R235" s="4" t="str">
        <f>IF(C235="",IF(ISNUMBER(SEARCH("NOT NULL",UPPER(C$3))),"''","null"),SUBSTITUTE(VLOOKUP(C$2,convert!$A$1:$B$4,2,0),"@@@",C235))</f>
        <v>40</v>
      </c>
      <c r="S235" s="4" t="str">
        <f>IF(D235="",IF(ISNUMBER(SEARCH("NOT NULL",UPPER(D$3))),"''","null"),SUBSTITUTE(VLOOKUP(D$2,convert!$A$1:$B$4,2,0),"@@@",D235))</f>
        <v>50</v>
      </c>
      <c r="T235" s="4" t="str">
        <f>IF(E235="",IF(ISNUMBER(SEARCH("NOT NULL",UPPER(E$3))),"''","null"),SUBSTITUTE(VLOOKUP(E$2,convert!$A$1:$B$4,2,0),"@@@",E235))</f>
        <v>45</v>
      </c>
      <c r="U235" s="4" t="str">
        <f>IF(F235="",IF(ISNUMBER(SEARCH("NOT NULL",UPPER(F$3))),"''","null"),SUBSTITUTE(VLOOKUP(F$2,convert!$A$1:$B$4,2,0),"@@@",F235))</f>
        <v>70</v>
      </c>
      <c r="V235" s="4" t="str">
        <f>IF(G235="",IF(ISNUMBER(SEARCH("NOT NULL",UPPER(G$3))),"''","null"),SUBSTITUTE(VLOOKUP(G$2,convert!$A$1:$B$4,2,0),"@@@",G235))</f>
        <v>45</v>
      </c>
      <c r="W235" s="4" t="str">
        <f>IF(H235="",IF(ISNUMBER(SEARCH("NOT NULL",UPPER(H$3))),"''","null"),SUBSTITUTE(VLOOKUP(H$2,convert!$A$1:$B$4,2,0),"@@@",H235))</f>
        <v>70</v>
      </c>
      <c r="X235" s="4" t="str">
        <f>IF(I235="",IF(ISNUMBER(SEARCH("NOT NULL",UPPER(I$3))),"''","null"),SUBSTITUTE(VLOOKUP(I$2,convert!$A$1:$B$4,2,0),"@@@",I235))</f>
        <v>''</v>
      </c>
      <c r="Y235" s="4" t="str">
        <f>IF(J235="",IF(ISNUMBER(SEARCH("NOT NULL",UPPER(J$3))),"''","null"),SUBSTITUTE(VLOOKUP(J$2,convert!$A$1:$B$4,2,0),"@@@",J235))</f>
        <v>'psychic'</v>
      </c>
      <c r="Z235" s="4" t="str">
        <f>IF(K235="",IF(ISNUMBER(SEARCH("NOT NULL",UPPER(K$3))),"''","null"),SUBSTITUTE(VLOOKUP(K$2,convert!$A$1:$B$4,2,0),"@@@",K235))</f>
        <v>'flying'</v>
      </c>
      <c r="AA235" s="4" t="str">
        <f>IF(L235="",IF(ISNUMBER(SEARCH("NOT NULL",UPPER(L$3))),"''","null"),SUBSTITUTE(VLOOKUP(L$2,convert!$A$1:$B$4,2,0),"@@@",L235))</f>
        <v>'g2'</v>
      </c>
      <c r="AB235" s="4" t="str">
        <f>IF(M235="",IF(ISNUMBER(SEARCH("NOT NULL",UPPER(M$3))),"''","null"),SUBSTITUTE(VLOOKUP(M$2,convert!$A$1:$B$4,2,0),"@@@",M235))</f>
        <v>null</v>
      </c>
      <c r="AC235" s="4" t="str">
        <f>IF(N235="",IF(ISNUMBER(SEARCH("NOT NULL",UPPER(N$3))),"''","null"),SUBSTITUTE(VLOOKUP(N$2,convert!$A$1:$B$4,2,0),"@@@",N235))</f>
        <v>null</v>
      </c>
      <c r="AD235" s="4" t="str">
        <f>IF(O235="",IF(ISNUMBER(SEARCH("NOT NULL",UPPER(O$3))),"''","null"),SUBSTITUTE(VLOOKUP(O$2,convert!$A$1:$B$4,2,0),"@@@",O235))</f>
        <v>TRUE</v>
      </c>
      <c r="AE235" s="4" t="str">
        <f t="shared" si="3"/>
        <v>    ('0177N01', 'ネイティ', 40, 50, 45, 70, 45, 70, '', 'psychic', 'flying', 'g2', null, null, TRUE),</v>
      </c>
    </row>
    <row r="236" spans="1:31">
      <c r="A236" s="4" t="s">
        <v>488</v>
      </c>
      <c r="B236" s="4" t="s">
        <v>489</v>
      </c>
      <c r="C236" s="5">
        <v>65</v>
      </c>
      <c r="D236" s="5">
        <v>75</v>
      </c>
      <c r="E236" s="5">
        <v>70</v>
      </c>
      <c r="F236" s="5">
        <v>95</v>
      </c>
      <c r="G236" s="5">
        <v>70</v>
      </c>
      <c r="H236" s="5">
        <v>95</v>
      </c>
      <c r="I236" s="5"/>
      <c r="J236" s="4" t="s">
        <v>113</v>
      </c>
      <c r="K236" s="4" t="s">
        <v>47</v>
      </c>
      <c r="L236" s="4" t="s">
        <v>436</v>
      </c>
      <c r="M236" s="5"/>
      <c r="N236" s="5"/>
      <c r="O236" s="5" t="b">
        <v>1</v>
      </c>
      <c r="P236" s="4" t="str">
        <f>IF(A236="",IF(ISNUMBER(SEARCH("NOT NULL",UPPER(A$3))),"''","null"),SUBSTITUTE(VLOOKUP(A$2,convert!$A$1:$B$4,2,0),"@@@",A236))</f>
        <v>'0178N01'</v>
      </c>
      <c r="Q236" s="4" t="str">
        <f>IF(B236="",IF(ISNUMBER(SEARCH("NOT NULL",UPPER(B$3))),"''","null"),SUBSTITUTE(VLOOKUP(B$2,convert!$A$1:$B$4,2,0),"@@@",B236))</f>
        <v>'ネイティオ'</v>
      </c>
      <c r="R236" s="4" t="str">
        <f>IF(C236="",IF(ISNUMBER(SEARCH("NOT NULL",UPPER(C$3))),"''","null"),SUBSTITUTE(VLOOKUP(C$2,convert!$A$1:$B$4,2,0),"@@@",C236))</f>
        <v>65</v>
      </c>
      <c r="S236" s="4" t="str">
        <f>IF(D236="",IF(ISNUMBER(SEARCH("NOT NULL",UPPER(D$3))),"''","null"),SUBSTITUTE(VLOOKUP(D$2,convert!$A$1:$B$4,2,0),"@@@",D236))</f>
        <v>75</v>
      </c>
      <c r="T236" s="4" t="str">
        <f>IF(E236="",IF(ISNUMBER(SEARCH("NOT NULL",UPPER(E$3))),"''","null"),SUBSTITUTE(VLOOKUP(E$2,convert!$A$1:$B$4,2,0),"@@@",E236))</f>
        <v>70</v>
      </c>
      <c r="U236" s="4" t="str">
        <f>IF(F236="",IF(ISNUMBER(SEARCH("NOT NULL",UPPER(F$3))),"''","null"),SUBSTITUTE(VLOOKUP(F$2,convert!$A$1:$B$4,2,0),"@@@",F236))</f>
        <v>95</v>
      </c>
      <c r="V236" s="4" t="str">
        <f>IF(G236="",IF(ISNUMBER(SEARCH("NOT NULL",UPPER(G$3))),"''","null"),SUBSTITUTE(VLOOKUP(G$2,convert!$A$1:$B$4,2,0),"@@@",G236))</f>
        <v>70</v>
      </c>
      <c r="W236" s="4" t="str">
        <f>IF(H236="",IF(ISNUMBER(SEARCH("NOT NULL",UPPER(H$3))),"''","null"),SUBSTITUTE(VLOOKUP(H$2,convert!$A$1:$B$4,2,0),"@@@",H236))</f>
        <v>95</v>
      </c>
      <c r="X236" s="4" t="str">
        <f>IF(I236="",IF(ISNUMBER(SEARCH("NOT NULL",UPPER(I$3))),"''","null"),SUBSTITUTE(VLOOKUP(I$2,convert!$A$1:$B$4,2,0),"@@@",I236))</f>
        <v>''</v>
      </c>
      <c r="Y236" s="4" t="str">
        <f>IF(J236="",IF(ISNUMBER(SEARCH("NOT NULL",UPPER(J$3))),"''","null"),SUBSTITUTE(VLOOKUP(J$2,convert!$A$1:$B$4,2,0),"@@@",J236))</f>
        <v>'psychic'</v>
      </c>
      <c r="Z236" s="4" t="str">
        <f>IF(K236="",IF(ISNUMBER(SEARCH("NOT NULL",UPPER(K$3))),"''","null"),SUBSTITUTE(VLOOKUP(K$2,convert!$A$1:$B$4,2,0),"@@@",K236))</f>
        <v>'flying'</v>
      </c>
      <c r="AA236" s="4" t="str">
        <f>IF(L236="",IF(ISNUMBER(SEARCH("NOT NULL",UPPER(L$3))),"''","null"),SUBSTITUTE(VLOOKUP(L$2,convert!$A$1:$B$4,2,0),"@@@",L236))</f>
        <v>'g2'</v>
      </c>
      <c r="AB236" s="4" t="str">
        <f>IF(M236="",IF(ISNUMBER(SEARCH("NOT NULL",UPPER(M$3))),"''","null"),SUBSTITUTE(VLOOKUP(M$2,convert!$A$1:$B$4,2,0),"@@@",M236))</f>
        <v>null</v>
      </c>
      <c r="AC236" s="4" t="str">
        <f>IF(N236="",IF(ISNUMBER(SEARCH("NOT NULL",UPPER(N$3))),"''","null"),SUBSTITUTE(VLOOKUP(N$2,convert!$A$1:$B$4,2,0),"@@@",N236))</f>
        <v>null</v>
      </c>
      <c r="AD236" s="4" t="str">
        <f>IF(O236="",IF(ISNUMBER(SEARCH("NOT NULL",UPPER(O$3))),"''","null"),SUBSTITUTE(VLOOKUP(O$2,convert!$A$1:$B$4,2,0),"@@@",O236))</f>
        <v>TRUE</v>
      </c>
      <c r="AE236" s="4" t="str">
        <f t="shared" si="3"/>
        <v>    ('0178N01', 'ネイティオ', 65, 75, 70, 95, 70, 95, '', 'psychic', 'flying', 'g2', null, null, TRUE),</v>
      </c>
    </row>
    <row r="237" spans="1:31">
      <c r="A237" s="4" t="s">
        <v>490</v>
      </c>
      <c r="B237" s="4" t="s">
        <v>491</v>
      </c>
      <c r="C237" s="5">
        <v>55</v>
      </c>
      <c r="D237" s="5">
        <v>40</v>
      </c>
      <c r="E237" s="5">
        <v>40</v>
      </c>
      <c r="F237" s="5">
        <v>65</v>
      </c>
      <c r="G237" s="5">
        <v>45</v>
      </c>
      <c r="H237" s="5">
        <v>35</v>
      </c>
      <c r="I237" s="5"/>
      <c r="J237" s="4" t="s">
        <v>106</v>
      </c>
      <c r="K237" s="5"/>
      <c r="L237" s="4" t="s">
        <v>436</v>
      </c>
      <c r="M237" s="5"/>
      <c r="N237" s="5"/>
      <c r="O237" s="5" t="b">
        <v>1</v>
      </c>
      <c r="P237" s="4" t="str">
        <f>IF(A237="",IF(ISNUMBER(SEARCH("NOT NULL",UPPER(A$3))),"''","null"),SUBSTITUTE(VLOOKUP(A$2,convert!$A$1:$B$4,2,0),"@@@",A237))</f>
        <v>'0179N01'</v>
      </c>
      <c r="Q237" s="4" t="str">
        <f>IF(B237="",IF(ISNUMBER(SEARCH("NOT NULL",UPPER(B$3))),"''","null"),SUBSTITUTE(VLOOKUP(B$2,convert!$A$1:$B$4,2,0),"@@@",B237))</f>
        <v>'メリープ'</v>
      </c>
      <c r="R237" s="4" t="str">
        <f>IF(C237="",IF(ISNUMBER(SEARCH("NOT NULL",UPPER(C$3))),"''","null"),SUBSTITUTE(VLOOKUP(C$2,convert!$A$1:$B$4,2,0),"@@@",C237))</f>
        <v>55</v>
      </c>
      <c r="S237" s="4" t="str">
        <f>IF(D237="",IF(ISNUMBER(SEARCH("NOT NULL",UPPER(D$3))),"''","null"),SUBSTITUTE(VLOOKUP(D$2,convert!$A$1:$B$4,2,0),"@@@",D237))</f>
        <v>40</v>
      </c>
      <c r="T237" s="4" t="str">
        <f>IF(E237="",IF(ISNUMBER(SEARCH("NOT NULL",UPPER(E$3))),"''","null"),SUBSTITUTE(VLOOKUP(E$2,convert!$A$1:$B$4,2,0),"@@@",E237))</f>
        <v>40</v>
      </c>
      <c r="U237" s="4" t="str">
        <f>IF(F237="",IF(ISNUMBER(SEARCH("NOT NULL",UPPER(F$3))),"''","null"),SUBSTITUTE(VLOOKUP(F$2,convert!$A$1:$B$4,2,0),"@@@",F237))</f>
        <v>65</v>
      </c>
      <c r="V237" s="4" t="str">
        <f>IF(G237="",IF(ISNUMBER(SEARCH("NOT NULL",UPPER(G$3))),"''","null"),SUBSTITUTE(VLOOKUP(G$2,convert!$A$1:$B$4,2,0),"@@@",G237))</f>
        <v>45</v>
      </c>
      <c r="W237" s="4" t="str">
        <f>IF(H237="",IF(ISNUMBER(SEARCH("NOT NULL",UPPER(H$3))),"''","null"),SUBSTITUTE(VLOOKUP(H$2,convert!$A$1:$B$4,2,0),"@@@",H237))</f>
        <v>35</v>
      </c>
      <c r="X237" s="4" t="str">
        <f>IF(I237="",IF(ISNUMBER(SEARCH("NOT NULL",UPPER(I$3))),"''","null"),SUBSTITUTE(VLOOKUP(I$2,convert!$A$1:$B$4,2,0),"@@@",I237))</f>
        <v>''</v>
      </c>
      <c r="Y237" s="4" t="str">
        <f>IF(J237="",IF(ISNUMBER(SEARCH("NOT NULL",UPPER(J$3))),"''","null"),SUBSTITUTE(VLOOKUP(J$2,convert!$A$1:$B$4,2,0),"@@@",J237))</f>
        <v>'electric'</v>
      </c>
      <c r="Z237" s="4" t="str">
        <f>IF(K237="",IF(ISNUMBER(SEARCH("NOT NULL",UPPER(K$3))),"''","null"),SUBSTITUTE(VLOOKUP(K$2,convert!$A$1:$B$4,2,0),"@@@",K237))</f>
        <v>null</v>
      </c>
      <c r="AA237" s="4" t="str">
        <f>IF(L237="",IF(ISNUMBER(SEARCH("NOT NULL",UPPER(L$3))),"''","null"),SUBSTITUTE(VLOOKUP(L$2,convert!$A$1:$B$4,2,0),"@@@",L237))</f>
        <v>'g2'</v>
      </c>
      <c r="AB237" s="4" t="str">
        <f>IF(M237="",IF(ISNUMBER(SEARCH("NOT NULL",UPPER(M$3))),"''","null"),SUBSTITUTE(VLOOKUP(M$2,convert!$A$1:$B$4,2,0),"@@@",M237))</f>
        <v>null</v>
      </c>
      <c r="AC237" s="4" t="str">
        <f>IF(N237="",IF(ISNUMBER(SEARCH("NOT NULL",UPPER(N$3))),"''","null"),SUBSTITUTE(VLOOKUP(N$2,convert!$A$1:$B$4,2,0),"@@@",N237))</f>
        <v>null</v>
      </c>
      <c r="AD237" s="4" t="str">
        <f>IF(O237="",IF(ISNUMBER(SEARCH("NOT NULL",UPPER(O$3))),"''","null"),SUBSTITUTE(VLOOKUP(O$2,convert!$A$1:$B$4,2,0),"@@@",O237))</f>
        <v>TRUE</v>
      </c>
      <c r="AE237" s="4" t="str">
        <f t="shared" si="3"/>
        <v>    ('0179N01', 'メリープ', 55, 40, 40, 65, 45, 35, '', 'electric', null, 'g2', null, null, TRUE),</v>
      </c>
    </row>
    <row r="238" spans="1:31">
      <c r="A238" s="4" t="s">
        <v>492</v>
      </c>
      <c r="B238" s="4" t="s">
        <v>493</v>
      </c>
      <c r="C238" s="5">
        <v>70</v>
      </c>
      <c r="D238" s="5">
        <v>55</v>
      </c>
      <c r="E238" s="5">
        <v>55</v>
      </c>
      <c r="F238" s="5">
        <v>80</v>
      </c>
      <c r="G238" s="5">
        <v>60</v>
      </c>
      <c r="H238" s="5">
        <v>45</v>
      </c>
      <c r="I238" s="5"/>
      <c r="J238" s="4" t="s">
        <v>106</v>
      </c>
      <c r="K238" s="5"/>
      <c r="L238" s="4" t="s">
        <v>436</v>
      </c>
      <c r="M238" s="5"/>
      <c r="N238" s="5"/>
      <c r="O238" s="5" t="b">
        <v>1</v>
      </c>
      <c r="P238" s="4" t="str">
        <f>IF(A238="",IF(ISNUMBER(SEARCH("NOT NULL",UPPER(A$3))),"''","null"),SUBSTITUTE(VLOOKUP(A$2,convert!$A$1:$B$4,2,0),"@@@",A238))</f>
        <v>'0180N01'</v>
      </c>
      <c r="Q238" s="4" t="str">
        <f>IF(B238="",IF(ISNUMBER(SEARCH("NOT NULL",UPPER(B$3))),"''","null"),SUBSTITUTE(VLOOKUP(B$2,convert!$A$1:$B$4,2,0),"@@@",B238))</f>
        <v>'モココ'</v>
      </c>
      <c r="R238" s="4" t="str">
        <f>IF(C238="",IF(ISNUMBER(SEARCH("NOT NULL",UPPER(C$3))),"''","null"),SUBSTITUTE(VLOOKUP(C$2,convert!$A$1:$B$4,2,0),"@@@",C238))</f>
        <v>70</v>
      </c>
      <c r="S238" s="4" t="str">
        <f>IF(D238="",IF(ISNUMBER(SEARCH("NOT NULL",UPPER(D$3))),"''","null"),SUBSTITUTE(VLOOKUP(D$2,convert!$A$1:$B$4,2,0),"@@@",D238))</f>
        <v>55</v>
      </c>
      <c r="T238" s="4" t="str">
        <f>IF(E238="",IF(ISNUMBER(SEARCH("NOT NULL",UPPER(E$3))),"''","null"),SUBSTITUTE(VLOOKUP(E$2,convert!$A$1:$B$4,2,0),"@@@",E238))</f>
        <v>55</v>
      </c>
      <c r="U238" s="4" t="str">
        <f>IF(F238="",IF(ISNUMBER(SEARCH("NOT NULL",UPPER(F$3))),"''","null"),SUBSTITUTE(VLOOKUP(F$2,convert!$A$1:$B$4,2,0),"@@@",F238))</f>
        <v>80</v>
      </c>
      <c r="V238" s="4" t="str">
        <f>IF(G238="",IF(ISNUMBER(SEARCH("NOT NULL",UPPER(G$3))),"''","null"),SUBSTITUTE(VLOOKUP(G$2,convert!$A$1:$B$4,2,0),"@@@",G238))</f>
        <v>60</v>
      </c>
      <c r="W238" s="4" t="str">
        <f>IF(H238="",IF(ISNUMBER(SEARCH("NOT NULL",UPPER(H$3))),"''","null"),SUBSTITUTE(VLOOKUP(H$2,convert!$A$1:$B$4,2,0),"@@@",H238))</f>
        <v>45</v>
      </c>
      <c r="X238" s="4" t="str">
        <f>IF(I238="",IF(ISNUMBER(SEARCH("NOT NULL",UPPER(I$3))),"''","null"),SUBSTITUTE(VLOOKUP(I$2,convert!$A$1:$B$4,2,0),"@@@",I238))</f>
        <v>''</v>
      </c>
      <c r="Y238" s="4" t="str">
        <f>IF(J238="",IF(ISNUMBER(SEARCH("NOT NULL",UPPER(J$3))),"''","null"),SUBSTITUTE(VLOOKUP(J$2,convert!$A$1:$B$4,2,0),"@@@",J238))</f>
        <v>'electric'</v>
      </c>
      <c r="Z238" s="4" t="str">
        <f>IF(K238="",IF(ISNUMBER(SEARCH("NOT NULL",UPPER(K$3))),"''","null"),SUBSTITUTE(VLOOKUP(K$2,convert!$A$1:$B$4,2,0),"@@@",K238))</f>
        <v>null</v>
      </c>
      <c r="AA238" s="4" t="str">
        <f>IF(L238="",IF(ISNUMBER(SEARCH("NOT NULL",UPPER(L$3))),"''","null"),SUBSTITUTE(VLOOKUP(L$2,convert!$A$1:$B$4,2,0),"@@@",L238))</f>
        <v>'g2'</v>
      </c>
      <c r="AB238" s="4" t="str">
        <f>IF(M238="",IF(ISNUMBER(SEARCH("NOT NULL",UPPER(M$3))),"''","null"),SUBSTITUTE(VLOOKUP(M$2,convert!$A$1:$B$4,2,0),"@@@",M238))</f>
        <v>null</v>
      </c>
      <c r="AC238" s="4" t="str">
        <f>IF(N238="",IF(ISNUMBER(SEARCH("NOT NULL",UPPER(N$3))),"''","null"),SUBSTITUTE(VLOOKUP(N$2,convert!$A$1:$B$4,2,0),"@@@",N238))</f>
        <v>null</v>
      </c>
      <c r="AD238" s="4" t="str">
        <f>IF(O238="",IF(ISNUMBER(SEARCH("NOT NULL",UPPER(O$3))),"''","null"),SUBSTITUTE(VLOOKUP(O$2,convert!$A$1:$B$4,2,0),"@@@",O238))</f>
        <v>TRUE</v>
      </c>
      <c r="AE238" s="4" t="str">
        <f t="shared" si="3"/>
        <v>    ('0180N01', 'モココ', 70, 55, 55, 80, 60, 45, '', 'electric', null, 'g2', null, null, TRUE),</v>
      </c>
    </row>
    <row r="239" spans="1:31">
      <c r="A239" s="4" t="s">
        <v>494</v>
      </c>
      <c r="B239" s="4" t="s">
        <v>495</v>
      </c>
      <c r="C239" s="5">
        <v>90</v>
      </c>
      <c r="D239" s="5">
        <v>75</v>
      </c>
      <c r="E239" s="5">
        <v>85</v>
      </c>
      <c r="F239" s="5">
        <v>115</v>
      </c>
      <c r="G239" s="5">
        <v>90</v>
      </c>
      <c r="H239" s="5">
        <v>55</v>
      </c>
      <c r="I239" s="5"/>
      <c r="J239" s="4" t="s">
        <v>106</v>
      </c>
      <c r="K239" s="5"/>
      <c r="L239" s="4" t="s">
        <v>436</v>
      </c>
      <c r="M239" s="5"/>
      <c r="N239" s="5"/>
      <c r="O239" s="5" t="b">
        <v>1</v>
      </c>
      <c r="P239" s="4" t="str">
        <f>IF(A239="",IF(ISNUMBER(SEARCH("NOT NULL",UPPER(A$3))),"''","null"),SUBSTITUTE(VLOOKUP(A$2,convert!$A$1:$B$4,2,0),"@@@",A239))</f>
        <v>'0181N01'</v>
      </c>
      <c r="Q239" s="4" t="str">
        <f>IF(B239="",IF(ISNUMBER(SEARCH("NOT NULL",UPPER(B$3))),"''","null"),SUBSTITUTE(VLOOKUP(B$2,convert!$A$1:$B$4,2,0),"@@@",B239))</f>
        <v>'デンリュウ'</v>
      </c>
      <c r="R239" s="4" t="str">
        <f>IF(C239="",IF(ISNUMBER(SEARCH("NOT NULL",UPPER(C$3))),"''","null"),SUBSTITUTE(VLOOKUP(C$2,convert!$A$1:$B$4,2,0),"@@@",C239))</f>
        <v>90</v>
      </c>
      <c r="S239" s="4" t="str">
        <f>IF(D239="",IF(ISNUMBER(SEARCH("NOT NULL",UPPER(D$3))),"''","null"),SUBSTITUTE(VLOOKUP(D$2,convert!$A$1:$B$4,2,0),"@@@",D239))</f>
        <v>75</v>
      </c>
      <c r="T239" s="4" t="str">
        <f>IF(E239="",IF(ISNUMBER(SEARCH("NOT NULL",UPPER(E$3))),"''","null"),SUBSTITUTE(VLOOKUP(E$2,convert!$A$1:$B$4,2,0),"@@@",E239))</f>
        <v>85</v>
      </c>
      <c r="U239" s="4" t="str">
        <f>IF(F239="",IF(ISNUMBER(SEARCH("NOT NULL",UPPER(F$3))),"''","null"),SUBSTITUTE(VLOOKUP(F$2,convert!$A$1:$B$4,2,0),"@@@",F239))</f>
        <v>115</v>
      </c>
      <c r="V239" s="4" t="str">
        <f>IF(G239="",IF(ISNUMBER(SEARCH("NOT NULL",UPPER(G$3))),"''","null"),SUBSTITUTE(VLOOKUP(G$2,convert!$A$1:$B$4,2,0),"@@@",G239))</f>
        <v>90</v>
      </c>
      <c r="W239" s="4" t="str">
        <f>IF(H239="",IF(ISNUMBER(SEARCH("NOT NULL",UPPER(H$3))),"''","null"),SUBSTITUTE(VLOOKUP(H$2,convert!$A$1:$B$4,2,0),"@@@",H239))</f>
        <v>55</v>
      </c>
      <c r="X239" s="4" t="str">
        <f>IF(I239="",IF(ISNUMBER(SEARCH("NOT NULL",UPPER(I$3))),"''","null"),SUBSTITUTE(VLOOKUP(I$2,convert!$A$1:$B$4,2,0),"@@@",I239))</f>
        <v>''</v>
      </c>
      <c r="Y239" s="4" t="str">
        <f>IF(J239="",IF(ISNUMBER(SEARCH("NOT NULL",UPPER(J$3))),"''","null"),SUBSTITUTE(VLOOKUP(J$2,convert!$A$1:$B$4,2,0),"@@@",J239))</f>
        <v>'electric'</v>
      </c>
      <c r="Z239" s="4" t="str">
        <f>IF(K239="",IF(ISNUMBER(SEARCH("NOT NULL",UPPER(K$3))),"''","null"),SUBSTITUTE(VLOOKUP(K$2,convert!$A$1:$B$4,2,0),"@@@",K239))</f>
        <v>null</v>
      </c>
      <c r="AA239" s="4" t="str">
        <f>IF(L239="",IF(ISNUMBER(SEARCH("NOT NULL",UPPER(L$3))),"''","null"),SUBSTITUTE(VLOOKUP(L$2,convert!$A$1:$B$4,2,0),"@@@",L239))</f>
        <v>'g2'</v>
      </c>
      <c r="AB239" s="4" t="str">
        <f>IF(M239="",IF(ISNUMBER(SEARCH("NOT NULL",UPPER(M$3))),"''","null"),SUBSTITUTE(VLOOKUP(M$2,convert!$A$1:$B$4,2,0),"@@@",M239))</f>
        <v>null</v>
      </c>
      <c r="AC239" s="4" t="str">
        <f>IF(N239="",IF(ISNUMBER(SEARCH("NOT NULL",UPPER(N$3))),"''","null"),SUBSTITUTE(VLOOKUP(N$2,convert!$A$1:$B$4,2,0),"@@@",N239))</f>
        <v>null</v>
      </c>
      <c r="AD239" s="4" t="str">
        <f>IF(O239="",IF(ISNUMBER(SEARCH("NOT NULL",UPPER(O$3))),"''","null"),SUBSTITUTE(VLOOKUP(O$2,convert!$A$1:$B$4,2,0),"@@@",O239))</f>
        <v>TRUE</v>
      </c>
      <c r="AE239" s="4" t="str">
        <f t="shared" si="3"/>
        <v>    ('0181N01', 'デンリュウ', 90, 75, 85, 115, 90, 55, '', 'electric', null, 'g2', null, null, TRUE),</v>
      </c>
    </row>
    <row r="240" spans="1:31">
      <c r="A240" s="4" t="s">
        <v>496</v>
      </c>
      <c r="B240" s="4" t="s">
        <v>497</v>
      </c>
      <c r="C240" s="5">
        <v>90</v>
      </c>
      <c r="D240" s="5">
        <v>95</v>
      </c>
      <c r="E240" s="5">
        <v>105</v>
      </c>
      <c r="F240" s="5">
        <v>165</v>
      </c>
      <c r="G240" s="5">
        <v>110</v>
      </c>
      <c r="H240" s="5">
        <v>45</v>
      </c>
      <c r="I240" s="5"/>
      <c r="J240" s="4" t="s">
        <v>106</v>
      </c>
      <c r="K240" s="4" t="s">
        <v>50</v>
      </c>
      <c r="L240" s="4" t="s">
        <v>39</v>
      </c>
      <c r="M240" s="5"/>
      <c r="N240" s="5"/>
      <c r="O240" s="5" t="b">
        <v>1</v>
      </c>
      <c r="P240" s="4" t="str">
        <f>IF(A240="",IF(ISNUMBER(SEARCH("NOT NULL",UPPER(A$3))),"''","null"),SUBSTITUTE(VLOOKUP(A$2,convert!$A$1:$B$4,2,0),"@@@",A240))</f>
        <v>'0181M01'</v>
      </c>
      <c r="Q240" s="4" t="str">
        <f>IF(B240="",IF(ISNUMBER(SEARCH("NOT NULL",UPPER(B$3))),"''","null"),SUBSTITUTE(VLOOKUP(B$2,convert!$A$1:$B$4,2,0),"@@@",B240))</f>
        <v>'メガデンリュウ'</v>
      </c>
      <c r="R240" s="4" t="str">
        <f>IF(C240="",IF(ISNUMBER(SEARCH("NOT NULL",UPPER(C$3))),"''","null"),SUBSTITUTE(VLOOKUP(C$2,convert!$A$1:$B$4,2,0),"@@@",C240))</f>
        <v>90</v>
      </c>
      <c r="S240" s="4" t="str">
        <f>IF(D240="",IF(ISNUMBER(SEARCH("NOT NULL",UPPER(D$3))),"''","null"),SUBSTITUTE(VLOOKUP(D$2,convert!$A$1:$B$4,2,0),"@@@",D240))</f>
        <v>95</v>
      </c>
      <c r="T240" s="4" t="str">
        <f>IF(E240="",IF(ISNUMBER(SEARCH("NOT NULL",UPPER(E$3))),"''","null"),SUBSTITUTE(VLOOKUP(E$2,convert!$A$1:$B$4,2,0),"@@@",E240))</f>
        <v>105</v>
      </c>
      <c r="U240" s="4" t="str">
        <f>IF(F240="",IF(ISNUMBER(SEARCH("NOT NULL",UPPER(F$3))),"''","null"),SUBSTITUTE(VLOOKUP(F$2,convert!$A$1:$B$4,2,0),"@@@",F240))</f>
        <v>165</v>
      </c>
      <c r="V240" s="4" t="str">
        <f>IF(G240="",IF(ISNUMBER(SEARCH("NOT NULL",UPPER(G$3))),"''","null"),SUBSTITUTE(VLOOKUP(G$2,convert!$A$1:$B$4,2,0),"@@@",G240))</f>
        <v>110</v>
      </c>
      <c r="W240" s="4" t="str">
        <f>IF(H240="",IF(ISNUMBER(SEARCH("NOT NULL",UPPER(H$3))),"''","null"),SUBSTITUTE(VLOOKUP(H$2,convert!$A$1:$B$4,2,0),"@@@",H240))</f>
        <v>45</v>
      </c>
      <c r="X240" s="4" t="str">
        <f>IF(I240="",IF(ISNUMBER(SEARCH("NOT NULL",UPPER(I$3))),"''","null"),SUBSTITUTE(VLOOKUP(I$2,convert!$A$1:$B$4,2,0),"@@@",I240))</f>
        <v>''</v>
      </c>
      <c r="Y240" s="4" t="str">
        <f>IF(J240="",IF(ISNUMBER(SEARCH("NOT NULL",UPPER(J$3))),"''","null"),SUBSTITUTE(VLOOKUP(J$2,convert!$A$1:$B$4,2,0),"@@@",J240))</f>
        <v>'electric'</v>
      </c>
      <c r="Z240" s="4" t="str">
        <f>IF(K240="",IF(ISNUMBER(SEARCH("NOT NULL",UPPER(K$3))),"''","null"),SUBSTITUTE(VLOOKUP(K$2,convert!$A$1:$B$4,2,0),"@@@",K240))</f>
        <v>'dragon'</v>
      </c>
      <c r="AA240" s="4" t="str">
        <f>IF(L240="",IF(ISNUMBER(SEARCH("NOT NULL",UPPER(L$3))),"''","null"),SUBSTITUTE(VLOOKUP(L$2,convert!$A$1:$B$4,2,0),"@@@",L240))</f>
        <v>'g6'</v>
      </c>
      <c r="AB240" s="4" t="str">
        <f>IF(M240="",IF(ISNUMBER(SEARCH("NOT NULL",UPPER(M$3))),"''","null"),SUBSTITUTE(VLOOKUP(M$2,convert!$A$1:$B$4,2,0),"@@@",M240))</f>
        <v>null</v>
      </c>
      <c r="AC240" s="4" t="str">
        <f>IF(N240="",IF(ISNUMBER(SEARCH("NOT NULL",UPPER(N$3))),"''","null"),SUBSTITUTE(VLOOKUP(N$2,convert!$A$1:$B$4,2,0),"@@@",N240))</f>
        <v>null</v>
      </c>
      <c r="AD240" s="4" t="str">
        <f>IF(O240="",IF(ISNUMBER(SEARCH("NOT NULL",UPPER(O$3))),"''","null"),SUBSTITUTE(VLOOKUP(O$2,convert!$A$1:$B$4,2,0),"@@@",O240))</f>
        <v>TRUE</v>
      </c>
      <c r="AE240" s="4" t="str">
        <f t="shared" si="3"/>
        <v>    ('0181M01', 'メガデンリュウ', 90, 95, 105, 165, 110, 45, '', 'electric', 'dragon', 'g6', null, null, TRUE),</v>
      </c>
    </row>
    <row r="241" spans="1:31">
      <c r="A241" s="4" t="s">
        <v>498</v>
      </c>
      <c r="B241" s="4" t="s">
        <v>499</v>
      </c>
      <c r="C241" s="5">
        <v>75</v>
      </c>
      <c r="D241" s="5">
        <v>80</v>
      </c>
      <c r="E241" s="5">
        <v>95</v>
      </c>
      <c r="F241" s="5">
        <v>90</v>
      </c>
      <c r="G241" s="5">
        <v>100</v>
      </c>
      <c r="H241" s="5">
        <v>50</v>
      </c>
      <c r="I241" s="5"/>
      <c r="J241" s="4" t="s">
        <v>30</v>
      </c>
      <c r="K241" s="5"/>
      <c r="L241" s="4" t="s">
        <v>436</v>
      </c>
      <c r="M241" s="5"/>
      <c r="N241" s="5"/>
      <c r="O241" s="5" t="b">
        <v>1</v>
      </c>
      <c r="P241" s="4" t="str">
        <f>IF(A241="",IF(ISNUMBER(SEARCH("NOT NULL",UPPER(A$3))),"''","null"),SUBSTITUTE(VLOOKUP(A$2,convert!$A$1:$B$4,2,0),"@@@",A241))</f>
        <v>'0182N01'</v>
      </c>
      <c r="Q241" s="4" t="str">
        <f>IF(B241="",IF(ISNUMBER(SEARCH("NOT NULL",UPPER(B$3))),"''","null"),SUBSTITUTE(VLOOKUP(B$2,convert!$A$1:$B$4,2,0),"@@@",B241))</f>
        <v>'キレイハナ'</v>
      </c>
      <c r="R241" s="4" t="str">
        <f>IF(C241="",IF(ISNUMBER(SEARCH("NOT NULL",UPPER(C$3))),"''","null"),SUBSTITUTE(VLOOKUP(C$2,convert!$A$1:$B$4,2,0),"@@@",C241))</f>
        <v>75</v>
      </c>
      <c r="S241" s="4" t="str">
        <f>IF(D241="",IF(ISNUMBER(SEARCH("NOT NULL",UPPER(D$3))),"''","null"),SUBSTITUTE(VLOOKUP(D$2,convert!$A$1:$B$4,2,0),"@@@",D241))</f>
        <v>80</v>
      </c>
      <c r="T241" s="4" t="str">
        <f>IF(E241="",IF(ISNUMBER(SEARCH("NOT NULL",UPPER(E$3))),"''","null"),SUBSTITUTE(VLOOKUP(E$2,convert!$A$1:$B$4,2,0),"@@@",E241))</f>
        <v>95</v>
      </c>
      <c r="U241" s="4" t="str">
        <f>IF(F241="",IF(ISNUMBER(SEARCH("NOT NULL",UPPER(F$3))),"''","null"),SUBSTITUTE(VLOOKUP(F$2,convert!$A$1:$B$4,2,0),"@@@",F241))</f>
        <v>90</v>
      </c>
      <c r="V241" s="4" t="str">
        <f>IF(G241="",IF(ISNUMBER(SEARCH("NOT NULL",UPPER(G$3))),"''","null"),SUBSTITUTE(VLOOKUP(G$2,convert!$A$1:$B$4,2,0),"@@@",G241))</f>
        <v>100</v>
      </c>
      <c r="W241" s="4" t="str">
        <f>IF(H241="",IF(ISNUMBER(SEARCH("NOT NULL",UPPER(H$3))),"''","null"),SUBSTITUTE(VLOOKUP(H$2,convert!$A$1:$B$4,2,0),"@@@",H241))</f>
        <v>50</v>
      </c>
      <c r="X241" s="4" t="str">
        <f>IF(I241="",IF(ISNUMBER(SEARCH("NOT NULL",UPPER(I$3))),"''","null"),SUBSTITUTE(VLOOKUP(I$2,convert!$A$1:$B$4,2,0),"@@@",I241))</f>
        <v>''</v>
      </c>
      <c r="Y241" s="4" t="str">
        <f>IF(J241="",IF(ISNUMBER(SEARCH("NOT NULL",UPPER(J$3))),"''","null"),SUBSTITUTE(VLOOKUP(J$2,convert!$A$1:$B$4,2,0),"@@@",J241))</f>
        <v>'grass'</v>
      </c>
      <c r="Z241" s="4" t="str">
        <f>IF(K241="",IF(ISNUMBER(SEARCH("NOT NULL",UPPER(K$3))),"''","null"),SUBSTITUTE(VLOOKUP(K$2,convert!$A$1:$B$4,2,0),"@@@",K241))</f>
        <v>null</v>
      </c>
      <c r="AA241" s="4" t="str">
        <f>IF(L241="",IF(ISNUMBER(SEARCH("NOT NULL",UPPER(L$3))),"''","null"),SUBSTITUTE(VLOOKUP(L$2,convert!$A$1:$B$4,2,0),"@@@",L241))</f>
        <v>'g2'</v>
      </c>
      <c r="AB241" s="4" t="str">
        <f>IF(M241="",IF(ISNUMBER(SEARCH("NOT NULL",UPPER(M$3))),"''","null"),SUBSTITUTE(VLOOKUP(M$2,convert!$A$1:$B$4,2,0),"@@@",M241))</f>
        <v>null</v>
      </c>
      <c r="AC241" s="4" t="str">
        <f>IF(N241="",IF(ISNUMBER(SEARCH("NOT NULL",UPPER(N$3))),"''","null"),SUBSTITUTE(VLOOKUP(N$2,convert!$A$1:$B$4,2,0),"@@@",N241))</f>
        <v>null</v>
      </c>
      <c r="AD241" s="4" t="str">
        <f>IF(O241="",IF(ISNUMBER(SEARCH("NOT NULL",UPPER(O$3))),"''","null"),SUBSTITUTE(VLOOKUP(O$2,convert!$A$1:$B$4,2,0),"@@@",O241))</f>
        <v>TRUE</v>
      </c>
      <c r="AE241" s="4" t="str">
        <f t="shared" si="3"/>
        <v>    ('0182N01', 'キレイハナ', 75, 80, 95, 90, 100, 50, '', 'grass', null, 'g2', null, null, TRUE),</v>
      </c>
    </row>
    <row r="242" spans="1:31">
      <c r="A242" s="4" t="s">
        <v>500</v>
      </c>
      <c r="B242" s="4" t="s">
        <v>501</v>
      </c>
      <c r="C242" s="5">
        <v>70</v>
      </c>
      <c r="D242" s="5">
        <v>20</v>
      </c>
      <c r="E242" s="5">
        <v>50</v>
      </c>
      <c r="F242" s="5">
        <v>20</v>
      </c>
      <c r="G242" s="5">
        <v>50</v>
      </c>
      <c r="H242" s="5">
        <v>40</v>
      </c>
      <c r="I242" s="5"/>
      <c r="J242" s="4" t="s">
        <v>55</v>
      </c>
      <c r="K242" s="4" t="s">
        <v>137</v>
      </c>
      <c r="L242" s="4" t="s">
        <v>436</v>
      </c>
      <c r="M242" s="5"/>
      <c r="N242" s="5"/>
      <c r="O242" s="5" t="b">
        <v>1</v>
      </c>
      <c r="P242" s="4" t="str">
        <f>IF(A242="",IF(ISNUMBER(SEARCH("NOT NULL",UPPER(A$3))),"''","null"),SUBSTITUTE(VLOOKUP(A$2,convert!$A$1:$B$4,2,0),"@@@",A242))</f>
        <v>'0183N01'</v>
      </c>
      <c r="Q242" s="4" t="str">
        <f>IF(B242="",IF(ISNUMBER(SEARCH("NOT NULL",UPPER(B$3))),"''","null"),SUBSTITUTE(VLOOKUP(B$2,convert!$A$1:$B$4,2,0),"@@@",B242))</f>
        <v>'マリル'</v>
      </c>
      <c r="R242" s="4" t="str">
        <f>IF(C242="",IF(ISNUMBER(SEARCH("NOT NULL",UPPER(C$3))),"''","null"),SUBSTITUTE(VLOOKUP(C$2,convert!$A$1:$B$4,2,0),"@@@",C242))</f>
        <v>70</v>
      </c>
      <c r="S242" s="4" t="str">
        <f>IF(D242="",IF(ISNUMBER(SEARCH("NOT NULL",UPPER(D$3))),"''","null"),SUBSTITUTE(VLOOKUP(D$2,convert!$A$1:$B$4,2,0),"@@@",D242))</f>
        <v>20</v>
      </c>
      <c r="T242" s="4" t="str">
        <f>IF(E242="",IF(ISNUMBER(SEARCH("NOT NULL",UPPER(E$3))),"''","null"),SUBSTITUTE(VLOOKUP(E$2,convert!$A$1:$B$4,2,0),"@@@",E242))</f>
        <v>50</v>
      </c>
      <c r="U242" s="4" t="str">
        <f>IF(F242="",IF(ISNUMBER(SEARCH("NOT NULL",UPPER(F$3))),"''","null"),SUBSTITUTE(VLOOKUP(F$2,convert!$A$1:$B$4,2,0),"@@@",F242))</f>
        <v>20</v>
      </c>
      <c r="V242" s="4" t="str">
        <f>IF(G242="",IF(ISNUMBER(SEARCH("NOT NULL",UPPER(G$3))),"''","null"),SUBSTITUTE(VLOOKUP(G$2,convert!$A$1:$B$4,2,0),"@@@",G242))</f>
        <v>50</v>
      </c>
      <c r="W242" s="4" t="str">
        <f>IF(H242="",IF(ISNUMBER(SEARCH("NOT NULL",UPPER(H$3))),"''","null"),SUBSTITUTE(VLOOKUP(H$2,convert!$A$1:$B$4,2,0),"@@@",H242))</f>
        <v>40</v>
      </c>
      <c r="X242" s="4" t="str">
        <f>IF(I242="",IF(ISNUMBER(SEARCH("NOT NULL",UPPER(I$3))),"''","null"),SUBSTITUTE(VLOOKUP(I$2,convert!$A$1:$B$4,2,0),"@@@",I242))</f>
        <v>''</v>
      </c>
      <c r="Y242" s="4" t="str">
        <f>IF(J242="",IF(ISNUMBER(SEARCH("NOT NULL",UPPER(J$3))),"''","null"),SUBSTITUTE(VLOOKUP(J$2,convert!$A$1:$B$4,2,0),"@@@",J242))</f>
        <v>'water'</v>
      </c>
      <c r="Z242" s="4" t="str">
        <f>IF(K242="",IF(ISNUMBER(SEARCH("NOT NULL",UPPER(K$3))),"''","null"),SUBSTITUTE(VLOOKUP(K$2,convert!$A$1:$B$4,2,0),"@@@",K242))</f>
        <v>'fairy'</v>
      </c>
      <c r="AA242" s="4" t="str">
        <f>IF(L242="",IF(ISNUMBER(SEARCH("NOT NULL",UPPER(L$3))),"''","null"),SUBSTITUTE(VLOOKUP(L$2,convert!$A$1:$B$4,2,0),"@@@",L242))</f>
        <v>'g2'</v>
      </c>
      <c r="AB242" s="4" t="str">
        <f>IF(M242="",IF(ISNUMBER(SEARCH("NOT NULL",UPPER(M$3))),"''","null"),SUBSTITUTE(VLOOKUP(M$2,convert!$A$1:$B$4,2,0),"@@@",M242))</f>
        <v>null</v>
      </c>
      <c r="AC242" s="4" t="str">
        <f>IF(N242="",IF(ISNUMBER(SEARCH("NOT NULL",UPPER(N$3))),"''","null"),SUBSTITUTE(VLOOKUP(N$2,convert!$A$1:$B$4,2,0),"@@@",N242))</f>
        <v>null</v>
      </c>
      <c r="AD242" s="4" t="str">
        <f>IF(O242="",IF(ISNUMBER(SEARCH("NOT NULL",UPPER(O$3))),"''","null"),SUBSTITUTE(VLOOKUP(O$2,convert!$A$1:$B$4,2,0),"@@@",O242))</f>
        <v>TRUE</v>
      </c>
      <c r="AE242" s="4" t="str">
        <f t="shared" si="3"/>
        <v>    ('0183N01', 'マリル', 70, 20, 50, 20, 50, 40, '', 'water', 'fairy', 'g2', null, null, TRUE),</v>
      </c>
    </row>
    <row r="243" spans="1:31">
      <c r="A243" s="4" t="s">
        <v>502</v>
      </c>
      <c r="B243" s="4" t="s">
        <v>503</v>
      </c>
      <c r="C243" s="5">
        <v>100</v>
      </c>
      <c r="D243" s="5">
        <v>50</v>
      </c>
      <c r="E243" s="5">
        <v>80</v>
      </c>
      <c r="F243" s="5">
        <v>60</v>
      </c>
      <c r="G243" s="5">
        <v>80</v>
      </c>
      <c r="H243" s="5">
        <v>50</v>
      </c>
      <c r="I243" s="5"/>
      <c r="J243" s="4" t="s">
        <v>55</v>
      </c>
      <c r="K243" s="4" t="s">
        <v>137</v>
      </c>
      <c r="L243" s="4" t="s">
        <v>436</v>
      </c>
      <c r="M243" s="5"/>
      <c r="N243" s="5"/>
      <c r="O243" s="5" t="b">
        <v>1</v>
      </c>
      <c r="P243" s="4" t="str">
        <f>IF(A243="",IF(ISNUMBER(SEARCH("NOT NULL",UPPER(A$3))),"''","null"),SUBSTITUTE(VLOOKUP(A$2,convert!$A$1:$B$4,2,0),"@@@",A243))</f>
        <v>'0184N01'</v>
      </c>
      <c r="Q243" s="4" t="str">
        <f>IF(B243="",IF(ISNUMBER(SEARCH("NOT NULL",UPPER(B$3))),"''","null"),SUBSTITUTE(VLOOKUP(B$2,convert!$A$1:$B$4,2,0),"@@@",B243))</f>
        <v>'マリルリ'</v>
      </c>
      <c r="R243" s="4" t="str">
        <f>IF(C243="",IF(ISNUMBER(SEARCH("NOT NULL",UPPER(C$3))),"''","null"),SUBSTITUTE(VLOOKUP(C$2,convert!$A$1:$B$4,2,0),"@@@",C243))</f>
        <v>100</v>
      </c>
      <c r="S243" s="4" t="str">
        <f>IF(D243="",IF(ISNUMBER(SEARCH("NOT NULL",UPPER(D$3))),"''","null"),SUBSTITUTE(VLOOKUP(D$2,convert!$A$1:$B$4,2,0),"@@@",D243))</f>
        <v>50</v>
      </c>
      <c r="T243" s="4" t="str">
        <f>IF(E243="",IF(ISNUMBER(SEARCH("NOT NULL",UPPER(E$3))),"''","null"),SUBSTITUTE(VLOOKUP(E$2,convert!$A$1:$B$4,2,0),"@@@",E243))</f>
        <v>80</v>
      </c>
      <c r="U243" s="4" t="str">
        <f>IF(F243="",IF(ISNUMBER(SEARCH("NOT NULL",UPPER(F$3))),"''","null"),SUBSTITUTE(VLOOKUP(F$2,convert!$A$1:$B$4,2,0),"@@@",F243))</f>
        <v>60</v>
      </c>
      <c r="V243" s="4" t="str">
        <f>IF(G243="",IF(ISNUMBER(SEARCH("NOT NULL",UPPER(G$3))),"''","null"),SUBSTITUTE(VLOOKUP(G$2,convert!$A$1:$B$4,2,0),"@@@",G243))</f>
        <v>80</v>
      </c>
      <c r="W243" s="4" t="str">
        <f>IF(H243="",IF(ISNUMBER(SEARCH("NOT NULL",UPPER(H$3))),"''","null"),SUBSTITUTE(VLOOKUP(H$2,convert!$A$1:$B$4,2,0),"@@@",H243))</f>
        <v>50</v>
      </c>
      <c r="X243" s="4" t="str">
        <f>IF(I243="",IF(ISNUMBER(SEARCH("NOT NULL",UPPER(I$3))),"''","null"),SUBSTITUTE(VLOOKUP(I$2,convert!$A$1:$B$4,2,0),"@@@",I243))</f>
        <v>''</v>
      </c>
      <c r="Y243" s="4" t="str">
        <f>IF(J243="",IF(ISNUMBER(SEARCH("NOT NULL",UPPER(J$3))),"''","null"),SUBSTITUTE(VLOOKUP(J$2,convert!$A$1:$B$4,2,0),"@@@",J243))</f>
        <v>'water'</v>
      </c>
      <c r="Z243" s="4" t="str">
        <f>IF(K243="",IF(ISNUMBER(SEARCH("NOT NULL",UPPER(K$3))),"''","null"),SUBSTITUTE(VLOOKUP(K$2,convert!$A$1:$B$4,2,0),"@@@",K243))</f>
        <v>'fairy'</v>
      </c>
      <c r="AA243" s="4" t="str">
        <f>IF(L243="",IF(ISNUMBER(SEARCH("NOT NULL",UPPER(L$3))),"''","null"),SUBSTITUTE(VLOOKUP(L$2,convert!$A$1:$B$4,2,0),"@@@",L243))</f>
        <v>'g2'</v>
      </c>
      <c r="AB243" s="4" t="str">
        <f>IF(M243="",IF(ISNUMBER(SEARCH("NOT NULL",UPPER(M$3))),"''","null"),SUBSTITUTE(VLOOKUP(M$2,convert!$A$1:$B$4,2,0),"@@@",M243))</f>
        <v>null</v>
      </c>
      <c r="AC243" s="4" t="str">
        <f>IF(N243="",IF(ISNUMBER(SEARCH("NOT NULL",UPPER(N$3))),"''","null"),SUBSTITUTE(VLOOKUP(N$2,convert!$A$1:$B$4,2,0),"@@@",N243))</f>
        <v>null</v>
      </c>
      <c r="AD243" s="4" t="str">
        <f>IF(O243="",IF(ISNUMBER(SEARCH("NOT NULL",UPPER(O$3))),"''","null"),SUBSTITUTE(VLOOKUP(O$2,convert!$A$1:$B$4,2,0),"@@@",O243))</f>
        <v>TRUE</v>
      </c>
      <c r="AE243" s="4" t="str">
        <f t="shared" si="3"/>
        <v>    ('0184N01', 'マリルリ', 100, 50, 80, 60, 80, 50, '', 'water', 'fairy', 'g2', null, null, TRUE),</v>
      </c>
    </row>
    <row r="244" spans="1:31">
      <c r="A244" s="4" t="s">
        <v>504</v>
      </c>
      <c r="B244" s="4" t="s">
        <v>505</v>
      </c>
      <c r="C244" s="5">
        <v>70</v>
      </c>
      <c r="D244" s="5">
        <v>100</v>
      </c>
      <c r="E244" s="5">
        <v>115</v>
      </c>
      <c r="F244" s="5">
        <v>30</v>
      </c>
      <c r="G244" s="5">
        <v>65</v>
      </c>
      <c r="H244" s="5">
        <v>30</v>
      </c>
      <c r="I244" s="5"/>
      <c r="J244" s="4" t="s">
        <v>196</v>
      </c>
      <c r="K244" s="5"/>
      <c r="L244" s="4" t="s">
        <v>436</v>
      </c>
      <c r="M244" s="5"/>
      <c r="N244" s="5"/>
      <c r="O244" s="5" t="b">
        <v>1</v>
      </c>
      <c r="P244" s="4" t="str">
        <f>IF(A244="",IF(ISNUMBER(SEARCH("NOT NULL",UPPER(A$3))),"''","null"),SUBSTITUTE(VLOOKUP(A$2,convert!$A$1:$B$4,2,0),"@@@",A244))</f>
        <v>'0185N01'</v>
      </c>
      <c r="Q244" s="4" t="str">
        <f>IF(B244="",IF(ISNUMBER(SEARCH("NOT NULL",UPPER(B$3))),"''","null"),SUBSTITUTE(VLOOKUP(B$2,convert!$A$1:$B$4,2,0),"@@@",B244))</f>
        <v>'ウソッキー'</v>
      </c>
      <c r="R244" s="4" t="str">
        <f>IF(C244="",IF(ISNUMBER(SEARCH("NOT NULL",UPPER(C$3))),"''","null"),SUBSTITUTE(VLOOKUP(C$2,convert!$A$1:$B$4,2,0),"@@@",C244))</f>
        <v>70</v>
      </c>
      <c r="S244" s="4" t="str">
        <f>IF(D244="",IF(ISNUMBER(SEARCH("NOT NULL",UPPER(D$3))),"''","null"),SUBSTITUTE(VLOOKUP(D$2,convert!$A$1:$B$4,2,0),"@@@",D244))</f>
        <v>100</v>
      </c>
      <c r="T244" s="4" t="str">
        <f>IF(E244="",IF(ISNUMBER(SEARCH("NOT NULL",UPPER(E$3))),"''","null"),SUBSTITUTE(VLOOKUP(E$2,convert!$A$1:$B$4,2,0),"@@@",E244))</f>
        <v>115</v>
      </c>
      <c r="U244" s="4" t="str">
        <f>IF(F244="",IF(ISNUMBER(SEARCH("NOT NULL",UPPER(F$3))),"''","null"),SUBSTITUTE(VLOOKUP(F$2,convert!$A$1:$B$4,2,0),"@@@",F244))</f>
        <v>30</v>
      </c>
      <c r="V244" s="4" t="str">
        <f>IF(G244="",IF(ISNUMBER(SEARCH("NOT NULL",UPPER(G$3))),"''","null"),SUBSTITUTE(VLOOKUP(G$2,convert!$A$1:$B$4,2,0),"@@@",G244))</f>
        <v>65</v>
      </c>
      <c r="W244" s="4" t="str">
        <f>IF(H244="",IF(ISNUMBER(SEARCH("NOT NULL",UPPER(H$3))),"''","null"),SUBSTITUTE(VLOOKUP(H$2,convert!$A$1:$B$4,2,0),"@@@",H244))</f>
        <v>30</v>
      </c>
      <c r="X244" s="4" t="str">
        <f>IF(I244="",IF(ISNUMBER(SEARCH("NOT NULL",UPPER(I$3))),"''","null"),SUBSTITUTE(VLOOKUP(I$2,convert!$A$1:$B$4,2,0),"@@@",I244))</f>
        <v>''</v>
      </c>
      <c r="Y244" s="4" t="str">
        <f>IF(J244="",IF(ISNUMBER(SEARCH("NOT NULL",UPPER(J$3))),"''","null"),SUBSTITUTE(VLOOKUP(J$2,convert!$A$1:$B$4,2,0),"@@@",J244))</f>
        <v>'rock'</v>
      </c>
      <c r="Z244" s="4" t="str">
        <f>IF(K244="",IF(ISNUMBER(SEARCH("NOT NULL",UPPER(K$3))),"''","null"),SUBSTITUTE(VLOOKUP(K$2,convert!$A$1:$B$4,2,0),"@@@",K244))</f>
        <v>null</v>
      </c>
      <c r="AA244" s="4" t="str">
        <f>IF(L244="",IF(ISNUMBER(SEARCH("NOT NULL",UPPER(L$3))),"''","null"),SUBSTITUTE(VLOOKUP(L$2,convert!$A$1:$B$4,2,0),"@@@",L244))</f>
        <v>'g2'</v>
      </c>
      <c r="AB244" s="4" t="str">
        <f>IF(M244="",IF(ISNUMBER(SEARCH("NOT NULL",UPPER(M$3))),"''","null"),SUBSTITUTE(VLOOKUP(M$2,convert!$A$1:$B$4,2,0),"@@@",M244))</f>
        <v>null</v>
      </c>
      <c r="AC244" s="4" t="str">
        <f>IF(N244="",IF(ISNUMBER(SEARCH("NOT NULL",UPPER(N$3))),"''","null"),SUBSTITUTE(VLOOKUP(N$2,convert!$A$1:$B$4,2,0),"@@@",N244))</f>
        <v>null</v>
      </c>
      <c r="AD244" s="4" t="str">
        <f>IF(O244="",IF(ISNUMBER(SEARCH("NOT NULL",UPPER(O$3))),"''","null"),SUBSTITUTE(VLOOKUP(O$2,convert!$A$1:$B$4,2,0),"@@@",O244))</f>
        <v>TRUE</v>
      </c>
      <c r="AE244" s="4" t="str">
        <f t="shared" si="3"/>
        <v>    ('0185N01', 'ウソッキー', 70, 100, 115, 30, 65, 30, '', 'rock', null, 'g2', null, null, TRUE),</v>
      </c>
    </row>
    <row r="245" spans="1:31">
      <c r="A245" s="4" t="s">
        <v>506</v>
      </c>
      <c r="B245" s="4" t="s">
        <v>507</v>
      </c>
      <c r="C245" s="5">
        <v>90</v>
      </c>
      <c r="D245" s="5">
        <v>75</v>
      </c>
      <c r="E245" s="5">
        <v>75</v>
      </c>
      <c r="F245" s="5">
        <v>90</v>
      </c>
      <c r="G245" s="5">
        <v>100</v>
      </c>
      <c r="H245" s="5">
        <v>70</v>
      </c>
      <c r="I245" s="5"/>
      <c r="J245" s="4" t="s">
        <v>55</v>
      </c>
      <c r="K245" s="5"/>
      <c r="L245" s="4" t="s">
        <v>436</v>
      </c>
      <c r="M245" s="5"/>
      <c r="N245" s="5"/>
      <c r="O245" s="5" t="b">
        <v>1</v>
      </c>
      <c r="P245" s="4" t="str">
        <f>IF(A245="",IF(ISNUMBER(SEARCH("NOT NULL",UPPER(A$3))),"''","null"),SUBSTITUTE(VLOOKUP(A$2,convert!$A$1:$B$4,2,0),"@@@",A245))</f>
        <v>'0186N01'</v>
      </c>
      <c r="Q245" s="4" t="str">
        <f>IF(B245="",IF(ISNUMBER(SEARCH("NOT NULL",UPPER(B$3))),"''","null"),SUBSTITUTE(VLOOKUP(B$2,convert!$A$1:$B$4,2,0),"@@@",B245))</f>
        <v>'ニョロトノ'</v>
      </c>
      <c r="R245" s="4" t="str">
        <f>IF(C245="",IF(ISNUMBER(SEARCH("NOT NULL",UPPER(C$3))),"''","null"),SUBSTITUTE(VLOOKUP(C$2,convert!$A$1:$B$4,2,0),"@@@",C245))</f>
        <v>90</v>
      </c>
      <c r="S245" s="4" t="str">
        <f>IF(D245="",IF(ISNUMBER(SEARCH("NOT NULL",UPPER(D$3))),"''","null"),SUBSTITUTE(VLOOKUP(D$2,convert!$A$1:$B$4,2,0),"@@@",D245))</f>
        <v>75</v>
      </c>
      <c r="T245" s="4" t="str">
        <f>IF(E245="",IF(ISNUMBER(SEARCH("NOT NULL",UPPER(E$3))),"''","null"),SUBSTITUTE(VLOOKUP(E$2,convert!$A$1:$B$4,2,0),"@@@",E245))</f>
        <v>75</v>
      </c>
      <c r="U245" s="4" t="str">
        <f>IF(F245="",IF(ISNUMBER(SEARCH("NOT NULL",UPPER(F$3))),"''","null"),SUBSTITUTE(VLOOKUP(F$2,convert!$A$1:$B$4,2,0),"@@@",F245))</f>
        <v>90</v>
      </c>
      <c r="V245" s="4" t="str">
        <f>IF(G245="",IF(ISNUMBER(SEARCH("NOT NULL",UPPER(G$3))),"''","null"),SUBSTITUTE(VLOOKUP(G$2,convert!$A$1:$B$4,2,0),"@@@",G245))</f>
        <v>100</v>
      </c>
      <c r="W245" s="4" t="str">
        <f>IF(H245="",IF(ISNUMBER(SEARCH("NOT NULL",UPPER(H$3))),"''","null"),SUBSTITUTE(VLOOKUP(H$2,convert!$A$1:$B$4,2,0),"@@@",H245))</f>
        <v>70</v>
      </c>
      <c r="X245" s="4" t="str">
        <f>IF(I245="",IF(ISNUMBER(SEARCH("NOT NULL",UPPER(I$3))),"''","null"),SUBSTITUTE(VLOOKUP(I$2,convert!$A$1:$B$4,2,0),"@@@",I245))</f>
        <v>''</v>
      </c>
      <c r="Y245" s="4" t="str">
        <f>IF(J245="",IF(ISNUMBER(SEARCH("NOT NULL",UPPER(J$3))),"''","null"),SUBSTITUTE(VLOOKUP(J$2,convert!$A$1:$B$4,2,0),"@@@",J245))</f>
        <v>'water'</v>
      </c>
      <c r="Z245" s="4" t="str">
        <f>IF(K245="",IF(ISNUMBER(SEARCH("NOT NULL",UPPER(K$3))),"''","null"),SUBSTITUTE(VLOOKUP(K$2,convert!$A$1:$B$4,2,0),"@@@",K245))</f>
        <v>null</v>
      </c>
      <c r="AA245" s="4" t="str">
        <f>IF(L245="",IF(ISNUMBER(SEARCH("NOT NULL",UPPER(L$3))),"''","null"),SUBSTITUTE(VLOOKUP(L$2,convert!$A$1:$B$4,2,0),"@@@",L245))</f>
        <v>'g2'</v>
      </c>
      <c r="AB245" s="4" t="str">
        <f>IF(M245="",IF(ISNUMBER(SEARCH("NOT NULL",UPPER(M$3))),"''","null"),SUBSTITUTE(VLOOKUP(M$2,convert!$A$1:$B$4,2,0),"@@@",M245))</f>
        <v>null</v>
      </c>
      <c r="AC245" s="4" t="str">
        <f>IF(N245="",IF(ISNUMBER(SEARCH("NOT NULL",UPPER(N$3))),"''","null"),SUBSTITUTE(VLOOKUP(N$2,convert!$A$1:$B$4,2,0),"@@@",N245))</f>
        <v>null</v>
      </c>
      <c r="AD245" s="4" t="str">
        <f>IF(O245="",IF(ISNUMBER(SEARCH("NOT NULL",UPPER(O$3))),"''","null"),SUBSTITUTE(VLOOKUP(O$2,convert!$A$1:$B$4,2,0),"@@@",O245))</f>
        <v>TRUE</v>
      </c>
      <c r="AE245" s="4" t="str">
        <f t="shared" si="3"/>
        <v>    ('0186N01', 'ニョロトノ', 90, 75, 75, 90, 100, 70, '', 'water', null, 'g2', null, null, TRUE),</v>
      </c>
    </row>
    <row r="246" spans="1:31">
      <c r="A246" s="4" t="s">
        <v>508</v>
      </c>
      <c r="B246" s="4" t="s">
        <v>509</v>
      </c>
      <c r="C246" s="5">
        <v>35</v>
      </c>
      <c r="D246" s="5">
        <v>35</v>
      </c>
      <c r="E246" s="5">
        <v>40</v>
      </c>
      <c r="F246" s="5">
        <v>35</v>
      </c>
      <c r="G246" s="5">
        <v>55</v>
      </c>
      <c r="H246" s="5">
        <v>50</v>
      </c>
      <c r="I246" s="5"/>
      <c r="J246" s="4" t="s">
        <v>30</v>
      </c>
      <c r="K246" s="4" t="s">
        <v>47</v>
      </c>
      <c r="L246" s="4" t="s">
        <v>436</v>
      </c>
      <c r="M246" s="5"/>
      <c r="N246" s="5"/>
      <c r="O246" s="5" t="b">
        <v>1</v>
      </c>
      <c r="P246" s="4" t="str">
        <f>IF(A246="",IF(ISNUMBER(SEARCH("NOT NULL",UPPER(A$3))),"''","null"),SUBSTITUTE(VLOOKUP(A$2,convert!$A$1:$B$4,2,0),"@@@",A246))</f>
        <v>'0187N01'</v>
      </c>
      <c r="Q246" s="4" t="str">
        <f>IF(B246="",IF(ISNUMBER(SEARCH("NOT NULL",UPPER(B$3))),"''","null"),SUBSTITUTE(VLOOKUP(B$2,convert!$A$1:$B$4,2,0),"@@@",B246))</f>
        <v>'ハネッコ'</v>
      </c>
      <c r="R246" s="4" t="str">
        <f>IF(C246="",IF(ISNUMBER(SEARCH("NOT NULL",UPPER(C$3))),"''","null"),SUBSTITUTE(VLOOKUP(C$2,convert!$A$1:$B$4,2,0),"@@@",C246))</f>
        <v>35</v>
      </c>
      <c r="S246" s="4" t="str">
        <f>IF(D246="",IF(ISNUMBER(SEARCH("NOT NULL",UPPER(D$3))),"''","null"),SUBSTITUTE(VLOOKUP(D$2,convert!$A$1:$B$4,2,0),"@@@",D246))</f>
        <v>35</v>
      </c>
      <c r="T246" s="4" t="str">
        <f>IF(E246="",IF(ISNUMBER(SEARCH("NOT NULL",UPPER(E$3))),"''","null"),SUBSTITUTE(VLOOKUP(E$2,convert!$A$1:$B$4,2,0),"@@@",E246))</f>
        <v>40</v>
      </c>
      <c r="U246" s="4" t="str">
        <f>IF(F246="",IF(ISNUMBER(SEARCH("NOT NULL",UPPER(F$3))),"''","null"),SUBSTITUTE(VLOOKUP(F$2,convert!$A$1:$B$4,2,0),"@@@",F246))</f>
        <v>35</v>
      </c>
      <c r="V246" s="4" t="str">
        <f>IF(G246="",IF(ISNUMBER(SEARCH("NOT NULL",UPPER(G$3))),"''","null"),SUBSTITUTE(VLOOKUP(G$2,convert!$A$1:$B$4,2,0),"@@@",G246))</f>
        <v>55</v>
      </c>
      <c r="W246" s="4" t="str">
        <f>IF(H246="",IF(ISNUMBER(SEARCH("NOT NULL",UPPER(H$3))),"''","null"),SUBSTITUTE(VLOOKUP(H$2,convert!$A$1:$B$4,2,0),"@@@",H246))</f>
        <v>50</v>
      </c>
      <c r="X246" s="4" t="str">
        <f>IF(I246="",IF(ISNUMBER(SEARCH("NOT NULL",UPPER(I$3))),"''","null"),SUBSTITUTE(VLOOKUP(I$2,convert!$A$1:$B$4,2,0),"@@@",I246))</f>
        <v>''</v>
      </c>
      <c r="Y246" s="4" t="str">
        <f>IF(J246="",IF(ISNUMBER(SEARCH("NOT NULL",UPPER(J$3))),"''","null"),SUBSTITUTE(VLOOKUP(J$2,convert!$A$1:$B$4,2,0),"@@@",J246))</f>
        <v>'grass'</v>
      </c>
      <c r="Z246" s="4" t="str">
        <f>IF(K246="",IF(ISNUMBER(SEARCH("NOT NULL",UPPER(K$3))),"''","null"),SUBSTITUTE(VLOOKUP(K$2,convert!$A$1:$B$4,2,0),"@@@",K246))</f>
        <v>'flying'</v>
      </c>
      <c r="AA246" s="4" t="str">
        <f>IF(L246="",IF(ISNUMBER(SEARCH("NOT NULL",UPPER(L$3))),"''","null"),SUBSTITUTE(VLOOKUP(L$2,convert!$A$1:$B$4,2,0),"@@@",L246))</f>
        <v>'g2'</v>
      </c>
      <c r="AB246" s="4" t="str">
        <f>IF(M246="",IF(ISNUMBER(SEARCH("NOT NULL",UPPER(M$3))),"''","null"),SUBSTITUTE(VLOOKUP(M$2,convert!$A$1:$B$4,2,0),"@@@",M246))</f>
        <v>null</v>
      </c>
      <c r="AC246" s="4" t="str">
        <f>IF(N246="",IF(ISNUMBER(SEARCH("NOT NULL",UPPER(N$3))),"''","null"),SUBSTITUTE(VLOOKUP(N$2,convert!$A$1:$B$4,2,0),"@@@",N246))</f>
        <v>null</v>
      </c>
      <c r="AD246" s="4" t="str">
        <f>IF(O246="",IF(ISNUMBER(SEARCH("NOT NULL",UPPER(O$3))),"''","null"),SUBSTITUTE(VLOOKUP(O$2,convert!$A$1:$B$4,2,0),"@@@",O246))</f>
        <v>TRUE</v>
      </c>
      <c r="AE246" s="4" t="str">
        <f t="shared" si="3"/>
        <v>    ('0187N01', 'ハネッコ', 35, 35, 40, 35, 55, 50, '', 'grass', 'flying', 'g2', null, null, TRUE),</v>
      </c>
    </row>
    <row r="247" spans="1:31">
      <c r="A247" s="4" t="s">
        <v>510</v>
      </c>
      <c r="B247" s="4" t="s">
        <v>511</v>
      </c>
      <c r="C247" s="5">
        <v>55</v>
      </c>
      <c r="D247" s="5">
        <v>45</v>
      </c>
      <c r="E247" s="5">
        <v>50</v>
      </c>
      <c r="F247" s="5">
        <v>45</v>
      </c>
      <c r="G247" s="5">
        <v>65</v>
      </c>
      <c r="H247" s="5">
        <v>80</v>
      </c>
      <c r="I247" s="5"/>
      <c r="J247" s="4" t="s">
        <v>30</v>
      </c>
      <c r="K247" s="4" t="s">
        <v>47</v>
      </c>
      <c r="L247" s="4" t="s">
        <v>436</v>
      </c>
      <c r="M247" s="5"/>
      <c r="N247" s="5"/>
      <c r="O247" s="5" t="b">
        <v>1</v>
      </c>
      <c r="P247" s="4" t="str">
        <f>IF(A247="",IF(ISNUMBER(SEARCH("NOT NULL",UPPER(A$3))),"''","null"),SUBSTITUTE(VLOOKUP(A$2,convert!$A$1:$B$4,2,0),"@@@",A247))</f>
        <v>'0188N01'</v>
      </c>
      <c r="Q247" s="4" t="str">
        <f>IF(B247="",IF(ISNUMBER(SEARCH("NOT NULL",UPPER(B$3))),"''","null"),SUBSTITUTE(VLOOKUP(B$2,convert!$A$1:$B$4,2,0),"@@@",B247))</f>
        <v>'ポポッコ'</v>
      </c>
      <c r="R247" s="4" t="str">
        <f>IF(C247="",IF(ISNUMBER(SEARCH("NOT NULL",UPPER(C$3))),"''","null"),SUBSTITUTE(VLOOKUP(C$2,convert!$A$1:$B$4,2,0),"@@@",C247))</f>
        <v>55</v>
      </c>
      <c r="S247" s="4" t="str">
        <f>IF(D247="",IF(ISNUMBER(SEARCH("NOT NULL",UPPER(D$3))),"''","null"),SUBSTITUTE(VLOOKUP(D$2,convert!$A$1:$B$4,2,0),"@@@",D247))</f>
        <v>45</v>
      </c>
      <c r="T247" s="4" t="str">
        <f>IF(E247="",IF(ISNUMBER(SEARCH("NOT NULL",UPPER(E$3))),"''","null"),SUBSTITUTE(VLOOKUP(E$2,convert!$A$1:$B$4,2,0),"@@@",E247))</f>
        <v>50</v>
      </c>
      <c r="U247" s="4" t="str">
        <f>IF(F247="",IF(ISNUMBER(SEARCH("NOT NULL",UPPER(F$3))),"''","null"),SUBSTITUTE(VLOOKUP(F$2,convert!$A$1:$B$4,2,0),"@@@",F247))</f>
        <v>45</v>
      </c>
      <c r="V247" s="4" t="str">
        <f>IF(G247="",IF(ISNUMBER(SEARCH("NOT NULL",UPPER(G$3))),"''","null"),SUBSTITUTE(VLOOKUP(G$2,convert!$A$1:$B$4,2,0),"@@@",G247))</f>
        <v>65</v>
      </c>
      <c r="W247" s="4" t="str">
        <f>IF(H247="",IF(ISNUMBER(SEARCH("NOT NULL",UPPER(H$3))),"''","null"),SUBSTITUTE(VLOOKUP(H$2,convert!$A$1:$B$4,2,0),"@@@",H247))</f>
        <v>80</v>
      </c>
      <c r="X247" s="4" t="str">
        <f>IF(I247="",IF(ISNUMBER(SEARCH("NOT NULL",UPPER(I$3))),"''","null"),SUBSTITUTE(VLOOKUP(I$2,convert!$A$1:$B$4,2,0),"@@@",I247))</f>
        <v>''</v>
      </c>
      <c r="Y247" s="4" t="str">
        <f>IF(J247="",IF(ISNUMBER(SEARCH("NOT NULL",UPPER(J$3))),"''","null"),SUBSTITUTE(VLOOKUP(J$2,convert!$A$1:$B$4,2,0),"@@@",J247))</f>
        <v>'grass'</v>
      </c>
      <c r="Z247" s="4" t="str">
        <f>IF(K247="",IF(ISNUMBER(SEARCH("NOT NULL",UPPER(K$3))),"''","null"),SUBSTITUTE(VLOOKUP(K$2,convert!$A$1:$B$4,2,0),"@@@",K247))</f>
        <v>'flying'</v>
      </c>
      <c r="AA247" s="4" t="str">
        <f>IF(L247="",IF(ISNUMBER(SEARCH("NOT NULL",UPPER(L$3))),"''","null"),SUBSTITUTE(VLOOKUP(L$2,convert!$A$1:$B$4,2,0),"@@@",L247))</f>
        <v>'g2'</v>
      </c>
      <c r="AB247" s="4" t="str">
        <f>IF(M247="",IF(ISNUMBER(SEARCH("NOT NULL",UPPER(M$3))),"''","null"),SUBSTITUTE(VLOOKUP(M$2,convert!$A$1:$B$4,2,0),"@@@",M247))</f>
        <v>null</v>
      </c>
      <c r="AC247" s="4" t="str">
        <f>IF(N247="",IF(ISNUMBER(SEARCH("NOT NULL",UPPER(N$3))),"''","null"),SUBSTITUTE(VLOOKUP(N$2,convert!$A$1:$B$4,2,0),"@@@",N247))</f>
        <v>null</v>
      </c>
      <c r="AD247" s="4" t="str">
        <f>IF(O247="",IF(ISNUMBER(SEARCH("NOT NULL",UPPER(O$3))),"''","null"),SUBSTITUTE(VLOOKUP(O$2,convert!$A$1:$B$4,2,0),"@@@",O247))</f>
        <v>TRUE</v>
      </c>
      <c r="AE247" s="4" t="str">
        <f t="shared" si="3"/>
        <v>    ('0188N01', 'ポポッコ', 55, 45, 50, 45, 65, 80, '', 'grass', 'flying', 'g2', null, null, TRUE),</v>
      </c>
    </row>
    <row r="248" spans="1:31">
      <c r="A248" s="4" t="s">
        <v>512</v>
      </c>
      <c r="B248" s="4" t="s">
        <v>513</v>
      </c>
      <c r="C248" s="5">
        <v>75</v>
      </c>
      <c r="D248" s="5">
        <v>55</v>
      </c>
      <c r="E248" s="5">
        <v>70</v>
      </c>
      <c r="F248" s="5">
        <v>55</v>
      </c>
      <c r="G248" s="5">
        <v>95</v>
      </c>
      <c r="H248" s="5">
        <v>110</v>
      </c>
      <c r="I248" s="5"/>
      <c r="J248" s="4" t="s">
        <v>30</v>
      </c>
      <c r="K248" s="4" t="s">
        <v>47</v>
      </c>
      <c r="L248" s="4" t="s">
        <v>436</v>
      </c>
      <c r="M248" s="5"/>
      <c r="N248" s="5"/>
      <c r="O248" s="5" t="b">
        <v>1</v>
      </c>
      <c r="P248" s="4" t="str">
        <f>IF(A248="",IF(ISNUMBER(SEARCH("NOT NULL",UPPER(A$3))),"''","null"),SUBSTITUTE(VLOOKUP(A$2,convert!$A$1:$B$4,2,0),"@@@",A248))</f>
        <v>'0189N01'</v>
      </c>
      <c r="Q248" s="4" t="str">
        <f>IF(B248="",IF(ISNUMBER(SEARCH("NOT NULL",UPPER(B$3))),"''","null"),SUBSTITUTE(VLOOKUP(B$2,convert!$A$1:$B$4,2,0),"@@@",B248))</f>
        <v>'ワタッコ'</v>
      </c>
      <c r="R248" s="4" t="str">
        <f>IF(C248="",IF(ISNUMBER(SEARCH("NOT NULL",UPPER(C$3))),"''","null"),SUBSTITUTE(VLOOKUP(C$2,convert!$A$1:$B$4,2,0),"@@@",C248))</f>
        <v>75</v>
      </c>
      <c r="S248" s="4" t="str">
        <f>IF(D248="",IF(ISNUMBER(SEARCH("NOT NULL",UPPER(D$3))),"''","null"),SUBSTITUTE(VLOOKUP(D$2,convert!$A$1:$B$4,2,0),"@@@",D248))</f>
        <v>55</v>
      </c>
      <c r="T248" s="4" t="str">
        <f>IF(E248="",IF(ISNUMBER(SEARCH("NOT NULL",UPPER(E$3))),"''","null"),SUBSTITUTE(VLOOKUP(E$2,convert!$A$1:$B$4,2,0),"@@@",E248))</f>
        <v>70</v>
      </c>
      <c r="U248" s="4" t="str">
        <f>IF(F248="",IF(ISNUMBER(SEARCH("NOT NULL",UPPER(F$3))),"''","null"),SUBSTITUTE(VLOOKUP(F$2,convert!$A$1:$B$4,2,0),"@@@",F248))</f>
        <v>55</v>
      </c>
      <c r="V248" s="4" t="str">
        <f>IF(G248="",IF(ISNUMBER(SEARCH("NOT NULL",UPPER(G$3))),"''","null"),SUBSTITUTE(VLOOKUP(G$2,convert!$A$1:$B$4,2,0),"@@@",G248))</f>
        <v>95</v>
      </c>
      <c r="W248" s="4" t="str">
        <f>IF(H248="",IF(ISNUMBER(SEARCH("NOT NULL",UPPER(H$3))),"''","null"),SUBSTITUTE(VLOOKUP(H$2,convert!$A$1:$B$4,2,0),"@@@",H248))</f>
        <v>110</v>
      </c>
      <c r="X248" s="4" t="str">
        <f>IF(I248="",IF(ISNUMBER(SEARCH("NOT NULL",UPPER(I$3))),"''","null"),SUBSTITUTE(VLOOKUP(I$2,convert!$A$1:$B$4,2,0),"@@@",I248))</f>
        <v>''</v>
      </c>
      <c r="Y248" s="4" t="str">
        <f>IF(J248="",IF(ISNUMBER(SEARCH("NOT NULL",UPPER(J$3))),"''","null"),SUBSTITUTE(VLOOKUP(J$2,convert!$A$1:$B$4,2,0),"@@@",J248))</f>
        <v>'grass'</v>
      </c>
      <c r="Z248" s="4" t="str">
        <f>IF(K248="",IF(ISNUMBER(SEARCH("NOT NULL",UPPER(K$3))),"''","null"),SUBSTITUTE(VLOOKUP(K$2,convert!$A$1:$B$4,2,0),"@@@",K248))</f>
        <v>'flying'</v>
      </c>
      <c r="AA248" s="4" t="str">
        <f>IF(L248="",IF(ISNUMBER(SEARCH("NOT NULL",UPPER(L$3))),"''","null"),SUBSTITUTE(VLOOKUP(L$2,convert!$A$1:$B$4,2,0),"@@@",L248))</f>
        <v>'g2'</v>
      </c>
      <c r="AB248" s="4" t="str">
        <f>IF(M248="",IF(ISNUMBER(SEARCH("NOT NULL",UPPER(M$3))),"''","null"),SUBSTITUTE(VLOOKUP(M$2,convert!$A$1:$B$4,2,0),"@@@",M248))</f>
        <v>null</v>
      </c>
      <c r="AC248" s="4" t="str">
        <f>IF(N248="",IF(ISNUMBER(SEARCH("NOT NULL",UPPER(N$3))),"''","null"),SUBSTITUTE(VLOOKUP(N$2,convert!$A$1:$B$4,2,0),"@@@",N248))</f>
        <v>null</v>
      </c>
      <c r="AD248" s="4" t="str">
        <f>IF(O248="",IF(ISNUMBER(SEARCH("NOT NULL",UPPER(O$3))),"''","null"),SUBSTITUTE(VLOOKUP(O$2,convert!$A$1:$B$4,2,0),"@@@",O248))</f>
        <v>TRUE</v>
      </c>
      <c r="AE248" s="4" t="str">
        <f t="shared" si="3"/>
        <v>    ('0189N01', 'ワタッコ', 75, 55, 70, 55, 95, 110, '', 'grass', 'flying', 'g2', null, null, TRUE),</v>
      </c>
    </row>
    <row r="249" spans="1:31">
      <c r="A249" s="4" t="s">
        <v>514</v>
      </c>
      <c r="B249" s="4" t="s">
        <v>515</v>
      </c>
      <c r="C249" s="5">
        <v>55</v>
      </c>
      <c r="D249" s="5">
        <v>70</v>
      </c>
      <c r="E249" s="5">
        <v>55</v>
      </c>
      <c r="F249" s="5">
        <v>40</v>
      </c>
      <c r="G249" s="5">
        <v>55</v>
      </c>
      <c r="H249" s="5">
        <v>85</v>
      </c>
      <c r="I249" s="5"/>
      <c r="J249" s="4" t="s">
        <v>80</v>
      </c>
      <c r="K249" s="5"/>
      <c r="L249" s="4" t="s">
        <v>436</v>
      </c>
      <c r="M249" s="5"/>
      <c r="N249" s="5"/>
      <c r="O249" s="5" t="b">
        <v>1</v>
      </c>
      <c r="P249" s="4" t="str">
        <f>IF(A249="",IF(ISNUMBER(SEARCH("NOT NULL",UPPER(A$3))),"''","null"),SUBSTITUTE(VLOOKUP(A$2,convert!$A$1:$B$4,2,0),"@@@",A249))</f>
        <v>'0190N01'</v>
      </c>
      <c r="Q249" s="4" t="str">
        <f>IF(B249="",IF(ISNUMBER(SEARCH("NOT NULL",UPPER(B$3))),"''","null"),SUBSTITUTE(VLOOKUP(B$2,convert!$A$1:$B$4,2,0),"@@@",B249))</f>
        <v>'エイパム'</v>
      </c>
      <c r="R249" s="4" t="str">
        <f>IF(C249="",IF(ISNUMBER(SEARCH("NOT NULL",UPPER(C$3))),"''","null"),SUBSTITUTE(VLOOKUP(C$2,convert!$A$1:$B$4,2,0),"@@@",C249))</f>
        <v>55</v>
      </c>
      <c r="S249" s="4" t="str">
        <f>IF(D249="",IF(ISNUMBER(SEARCH("NOT NULL",UPPER(D$3))),"''","null"),SUBSTITUTE(VLOOKUP(D$2,convert!$A$1:$B$4,2,0),"@@@",D249))</f>
        <v>70</v>
      </c>
      <c r="T249" s="4" t="str">
        <f>IF(E249="",IF(ISNUMBER(SEARCH("NOT NULL",UPPER(E$3))),"''","null"),SUBSTITUTE(VLOOKUP(E$2,convert!$A$1:$B$4,2,0),"@@@",E249))</f>
        <v>55</v>
      </c>
      <c r="U249" s="4" t="str">
        <f>IF(F249="",IF(ISNUMBER(SEARCH("NOT NULL",UPPER(F$3))),"''","null"),SUBSTITUTE(VLOOKUP(F$2,convert!$A$1:$B$4,2,0),"@@@",F249))</f>
        <v>40</v>
      </c>
      <c r="V249" s="4" t="str">
        <f>IF(G249="",IF(ISNUMBER(SEARCH("NOT NULL",UPPER(G$3))),"''","null"),SUBSTITUTE(VLOOKUP(G$2,convert!$A$1:$B$4,2,0),"@@@",G249))</f>
        <v>55</v>
      </c>
      <c r="W249" s="4" t="str">
        <f>IF(H249="",IF(ISNUMBER(SEARCH("NOT NULL",UPPER(H$3))),"''","null"),SUBSTITUTE(VLOOKUP(H$2,convert!$A$1:$B$4,2,0),"@@@",H249))</f>
        <v>85</v>
      </c>
      <c r="X249" s="4" t="str">
        <f>IF(I249="",IF(ISNUMBER(SEARCH("NOT NULL",UPPER(I$3))),"''","null"),SUBSTITUTE(VLOOKUP(I$2,convert!$A$1:$B$4,2,0),"@@@",I249))</f>
        <v>''</v>
      </c>
      <c r="Y249" s="4" t="str">
        <f>IF(J249="",IF(ISNUMBER(SEARCH("NOT NULL",UPPER(J$3))),"''","null"),SUBSTITUTE(VLOOKUP(J$2,convert!$A$1:$B$4,2,0),"@@@",J249))</f>
        <v>'normal'</v>
      </c>
      <c r="Z249" s="4" t="str">
        <f>IF(K249="",IF(ISNUMBER(SEARCH("NOT NULL",UPPER(K$3))),"''","null"),SUBSTITUTE(VLOOKUP(K$2,convert!$A$1:$B$4,2,0),"@@@",K249))</f>
        <v>null</v>
      </c>
      <c r="AA249" s="4" t="str">
        <f>IF(L249="",IF(ISNUMBER(SEARCH("NOT NULL",UPPER(L$3))),"''","null"),SUBSTITUTE(VLOOKUP(L$2,convert!$A$1:$B$4,2,0),"@@@",L249))</f>
        <v>'g2'</v>
      </c>
      <c r="AB249" s="4" t="str">
        <f>IF(M249="",IF(ISNUMBER(SEARCH("NOT NULL",UPPER(M$3))),"''","null"),SUBSTITUTE(VLOOKUP(M$2,convert!$A$1:$B$4,2,0),"@@@",M249))</f>
        <v>null</v>
      </c>
      <c r="AC249" s="4" t="str">
        <f>IF(N249="",IF(ISNUMBER(SEARCH("NOT NULL",UPPER(N$3))),"''","null"),SUBSTITUTE(VLOOKUP(N$2,convert!$A$1:$B$4,2,0),"@@@",N249))</f>
        <v>null</v>
      </c>
      <c r="AD249" s="4" t="str">
        <f>IF(O249="",IF(ISNUMBER(SEARCH("NOT NULL",UPPER(O$3))),"''","null"),SUBSTITUTE(VLOOKUP(O$2,convert!$A$1:$B$4,2,0),"@@@",O249))</f>
        <v>TRUE</v>
      </c>
      <c r="AE249" s="4" t="str">
        <f t="shared" si="3"/>
        <v>    ('0190N01', 'エイパム', 55, 70, 55, 40, 55, 85, '', 'normal', null, 'g2', null, null, TRUE),</v>
      </c>
    </row>
    <row r="250" spans="1:31">
      <c r="A250" s="4" t="s">
        <v>516</v>
      </c>
      <c r="B250" s="4" t="s">
        <v>517</v>
      </c>
      <c r="C250" s="5">
        <v>30</v>
      </c>
      <c r="D250" s="5">
        <v>30</v>
      </c>
      <c r="E250" s="5">
        <v>30</v>
      </c>
      <c r="F250" s="5">
        <v>30</v>
      </c>
      <c r="G250" s="5">
        <v>30</v>
      </c>
      <c r="H250" s="5">
        <v>30</v>
      </c>
      <c r="I250" s="5"/>
      <c r="J250" s="4" t="s">
        <v>30</v>
      </c>
      <c r="K250" s="5"/>
      <c r="L250" s="4" t="s">
        <v>436</v>
      </c>
      <c r="M250" s="5"/>
      <c r="N250" s="5"/>
      <c r="O250" s="5" t="b">
        <v>1</v>
      </c>
      <c r="P250" s="4" t="str">
        <f>IF(A250="",IF(ISNUMBER(SEARCH("NOT NULL",UPPER(A$3))),"''","null"),SUBSTITUTE(VLOOKUP(A$2,convert!$A$1:$B$4,2,0),"@@@",A250))</f>
        <v>'0191N01'</v>
      </c>
      <c r="Q250" s="4" t="str">
        <f>IF(B250="",IF(ISNUMBER(SEARCH("NOT NULL",UPPER(B$3))),"''","null"),SUBSTITUTE(VLOOKUP(B$2,convert!$A$1:$B$4,2,0),"@@@",B250))</f>
        <v>'ヒマナッツ'</v>
      </c>
      <c r="R250" s="4" t="str">
        <f>IF(C250="",IF(ISNUMBER(SEARCH("NOT NULL",UPPER(C$3))),"''","null"),SUBSTITUTE(VLOOKUP(C$2,convert!$A$1:$B$4,2,0),"@@@",C250))</f>
        <v>30</v>
      </c>
      <c r="S250" s="4" t="str">
        <f>IF(D250="",IF(ISNUMBER(SEARCH("NOT NULL",UPPER(D$3))),"''","null"),SUBSTITUTE(VLOOKUP(D$2,convert!$A$1:$B$4,2,0),"@@@",D250))</f>
        <v>30</v>
      </c>
      <c r="T250" s="4" t="str">
        <f>IF(E250="",IF(ISNUMBER(SEARCH("NOT NULL",UPPER(E$3))),"''","null"),SUBSTITUTE(VLOOKUP(E$2,convert!$A$1:$B$4,2,0),"@@@",E250))</f>
        <v>30</v>
      </c>
      <c r="U250" s="4" t="str">
        <f>IF(F250="",IF(ISNUMBER(SEARCH("NOT NULL",UPPER(F$3))),"''","null"),SUBSTITUTE(VLOOKUP(F$2,convert!$A$1:$B$4,2,0),"@@@",F250))</f>
        <v>30</v>
      </c>
      <c r="V250" s="4" t="str">
        <f>IF(G250="",IF(ISNUMBER(SEARCH("NOT NULL",UPPER(G$3))),"''","null"),SUBSTITUTE(VLOOKUP(G$2,convert!$A$1:$B$4,2,0),"@@@",G250))</f>
        <v>30</v>
      </c>
      <c r="W250" s="4" t="str">
        <f>IF(H250="",IF(ISNUMBER(SEARCH("NOT NULL",UPPER(H$3))),"''","null"),SUBSTITUTE(VLOOKUP(H$2,convert!$A$1:$B$4,2,0),"@@@",H250))</f>
        <v>30</v>
      </c>
      <c r="X250" s="4" t="str">
        <f>IF(I250="",IF(ISNUMBER(SEARCH("NOT NULL",UPPER(I$3))),"''","null"),SUBSTITUTE(VLOOKUP(I$2,convert!$A$1:$B$4,2,0),"@@@",I250))</f>
        <v>''</v>
      </c>
      <c r="Y250" s="4" t="str">
        <f>IF(J250="",IF(ISNUMBER(SEARCH("NOT NULL",UPPER(J$3))),"''","null"),SUBSTITUTE(VLOOKUP(J$2,convert!$A$1:$B$4,2,0),"@@@",J250))</f>
        <v>'grass'</v>
      </c>
      <c r="Z250" s="4" t="str">
        <f>IF(K250="",IF(ISNUMBER(SEARCH("NOT NULL",UPPER(K$3))),"''","null"),SUBSTITUTE(VLOOKUP(K$2,convert!$A$1:$B$4,2,0),"@@@",K250))</f>
        <v>null</v>
      </c>
      <c r="AA250" s="4" t="str">
        <f>IF(L250="",IF(ISNUMBER(SEARCH("NOT NULL",UPPER(L$3))),"''","null"),SUBSTITUTE(VLOOKUP(L$2,convert!$A$1:$B$4,2,0),"@@@",L250))</f>
        <v>'g2'</v>
      </c>
      <c r="AB250" s="4" t="str">
        <f>IF(M250="",IF(ISNUMBER(SEARCH("NOT NULL",UPPER(M$3))),"''","null"),SUBSTITUTE(VLOOKUP(M$2,convert!$A$1:$B$4,2,0),"@@@",M250))</f>
        <v>null</v>
      </c>
      <c r="AC250" s="4" t="str">
        <f>IF(N250="",IF(ISNUMBER(SEARCH("NOT NULL",UPPER(N$3))),"''","null"),SUBSTITUTE(VLOOKUP(N$2,convert!$A$1:$B$4,2,0),"@@@",N250))</f>
        <v>null</v>
      </c>
      <c r="AD250" s="4" t="str">
        <f>IF(O250="",IF(ISNUMBER(SEARCH("NOT NULL",UPPER(O$3))),"''","null"),SUBSTITUTE(VLOOKUP(O$2,convert!$A$1:$B$4,2,0),"@@@",O250))</f>
        <v>TRUE</v>
      </c>
      <c r="AE250" s="4" t="str">
        <f t="shared" si="3"/>
        <v>    ('0191N01', 'ヒマナッツ', 30, 30, 30, 30, 30, 30, '', 'grass', null, 'g2', null, null, TRUE),</v>
      </c>
    </row>
    <row r="251" spans="1:31">
      <c r="A251" s="4" t="s">
        <v>518</v>
      </c>
      <c r="B251" s="4" t="s">
        <v>519</v>
      </c>
      <c r="C251" s="5">
        <v>75</v>
      </c>
      <c r="D251" s="5">
        <v>75</v>
      </c>
      <c r="E251" s="5">
        <v>55</v>
      </c>
      <c r="F251" s="5">
        <v>105</v>
      </c>
      <c r="G251" s="5">
        <v>85</v>
      </c>
      <c r="H251" s="5">
        <v>30</v>
      </c>
      <c r="I251" s="5"/>
      <c r="J251" s="4" t="s">
        <v>30</v>
      </c>
      <c r="K251" s="5"/>
      <c r="L251" s="4" t="s">
        <v>436</v>
      </c>
      <c r="M251" s="5"/>
      <c r="N251" s="5"/>
      <c r="O251" s="5" t="b">
        <v>1</v>
      </c>
      <c r="P251" s="4" t="str">
        <f>IF(A251="",IF(ISNUMBER(SEARCH("NOT NULL",UPPER(A$3))),"''","null"),SUBSTITUTE(VLOOKUP(A$2,convert!$A$1:$B$4,2,0),"@@@",A251))</f>
        <v>'0192N01'</v>
      </c>
      <c r="Q251" s="4" t="str">
        <f>IF(B251="",IF(ISNUMBER(SEARCH("NOT NULL",UPPER(B$3))),"''","null"),SUBSTITUTE(VLOOKUP(B$2,convert!$A$1:$B$4,2,0),"@@@",B251))</f>
        <v>'キマワリ'</v>
      </c>
      <c r="R251" s="4" t="str">
        <f>IF(C251="",IF(ISNUMBER(SEARCH("NOT NULL",UPPER(C$3))),"''","null"),SUBSTITUTE(VLOOKUP(C$2,convert!$A$1:$B$4,2,0),"@@@",C251))</f>
        <v>75</v>
      </c>
      <c r="S251" s="4" t="str">
        <f>IF(D251="",IF(ISNUMBER(SEARCH("NOT NULL",UPPER(D$3))),"''","null"),SUBSTITUTE(VLOOKUP(D$2,convert!$A$1:$B$4,2,0),"@@@",D251))</f>
        <v>75</v>
      </c>
      <c r="T251" s="4" t="str">
        <f>IF(E251="",IF(ISNUMBER(SEARCH("NOT NULL",UPPER(E$3))),"''","null"),SUBSTITUTE(VLOOKUP(E$2,convert!$A$1:$B$4,2,0),"@@@",E251))</f>
        <v>55</v>
      </c>
      <c r="U251" s="4" t="str">
        <f>IF(F251="",IF(ISNUMBER(SEARCH("NOT NULL",UPPER(F$3))),"''","null"),SUBSTITUTE(VLOOKUP(F$2,convert!$A$1:$B$4,2,0),"@@@",F251))</f>
        <v>105</v>
      </c>
      <c r="V251" s="4" t="str">
        <f>IF(G251="",IF(ISNUMBER(SEARCH("NOT NULL",UPPER(G$3))),"''","null"),SUBSTITUTE(VLOOKUP(G$2,convert!$A$1:$B$4,2,0),"@@@",G251))</f>
        <v>85</v>
      </c>
      <c r="W251" s="4" t="str">
        <f>IF(H251="",IF(ISNUMBER(SEARCH("NOT NULL",UPPER(H$3))),"''","null"),SUBSTITUTE(VLOOKUP(H$2,convert!$A$1:$B$4,2,0),"@@@",H251))</f>
        <v>30</v>
      </c>
      <c r="X251" s="4" t="str">
        <f>IF(I251="",IF(ISNUMBER(SEARCH("NOT NULL",UPPER(I$3))),"''","null"),SUBSTITUTE(VLOOKUP(I$2,convert!$A$1:$B$4,2,0),"@@@",I251))</f>
        <v>''</v>
      </c>
      <c r="Y251" s="4" t="str">
        <f>IF(J251="",IF(ISNUMBER(SEARCH("NOT NULL",UPPER(J$3))),"''","null"),SUBSTITUTE(VLOOKUP(J$2,convert!$A$1:$B$4,2,0),"@@@",J251))</f>
        <v>'grass'</v>
      </c>
      <c r="Z251" s="4" t="str">
        <f>IF(K251="",IF(ISNUMBER(SEARCH("NOT NULL",UPPER(K$3))),"''","null"),SUBSTITUTE(VLOOKUP(K$2,convert!$A$1:$B$4,2,0),"@@@",K251))</f>
        <v>null</v>
      </c>
      <c r="AA251" s="4" t="str">
        <f>IF(L251="",IF(ISNUMBER(SEARCH("NOT NULL",UPPER(L$3))),"''","null"),SUBSTITUTE(VLOOKUP(L$2,convert!$A$1:$B$4,2,0),"@@@",L251))</f>
        <v>'g2'</v>
      </c>
      <c r="AB251" s="4" t="str">
        <f>IF(M251="",IF(ISNUMBER(SEARCH("NOT NULL",UPPER(M$3))),"''","null"),SUBSTITUTE(VLOOKUP(M$2,convert!$A$1:$B$4,2,0),"@@@",M251))</f>
        <v>null</v>
      </c>
      <c r="AC251" s="4" t="str">
        <f>IF(N251="",IF(ISNUMBER(SEARCH("NOT NULL",UPPER(N$3))),"''","null"),SUBSTITUTE(VLOOKUP(N$2,convert!$A$1:$B$4,2,0),"@@@",N251))</f>
        <v>null</v>
      </c>
      <c r="AD251" s="4" t="str">
        <f>IF(O251="",IF(ISNUMBER(SEARCH("NOT NULL",UPPER(O$3))),"''","null"),SUBSTITUTE(VLOOKUP(O$2,convert!$A$1:$B$4,2,0),"@@@",O251))</f>
        <v>TRUE</v>
      </c>
      <c r="AE251" s="4" t="str">
        <f t="shared" si="3"/>
        <v>    ('0192N01', 'キマワリ', 75, 75, 55, 105, 85, 30, '', 'grass', null, 'g2', null, null, TRUE),</v>
      </c>
    </row>
    <row r="252" spans="1:31">
      <c r="A252" s="4" t="s">
        <v>520</v>
      </c>
      <c r="B252" s="4" t="s">
        <v>521</v>
      </c>
      <c r="C252" s="5">
        <v>65</v>
      </c>
      <c r="D252" s="5">
        <v>65</v>
      </c>
      <c r="E252" s="5">
        <v>45</v>
      </c>
      <c r="F252" s="5">
        <v>75</v>
      </c>
      <c r="G252" s="5">
        <v>45</v>
      </c>
      <c r="H252" s="5">
        <v>95</v>
      </c>
      <c r="I252" s="5"/>
      <c r="J252" s="4" t="s">
        <v>64</v>
      </c>
      <c r="K252" s="4" t="s">
        <v>47</v>
      </c>
      <c r="L252" s="4" t="s">
        <v>436</v>
      </c>
      <c r="M252" s="5"/>
      <c r="N252" s="5"/>
      <c r="O252" s="5" t="b">
        <v>1</v>
      </c>
      <c r="P252" s="4" t="str">
        <f>IF(A252="",IF(ISNUMBER(SEARCH("NOT NULL",UPPER(A$3))),"''","null"),SUBSTITUTE(VLOOKUP(A$2,convert!$A$1:$B$4,2,0),"@@@",A252))</f>
        <v>'0193N01'</v>
      </c>
      <c r="Q252" s="4" t="str">
        <f>IF(B252="",IF(ISNUMBER(SEARCH("NOT NULL",UPPER(B$3))),"''","null"),SUBSTITUTE(VLOOKUP(B$2,convert!$A$1:$B$4,2,0),"@@@",B252))</f>
        <v>'ヤンヤンマ'</v>
      </c>
      <c r="R252" s="4" t="str">
        <f>IF(C252="",IF(ISNUMBER(SEARCH("NOT NULL",UPPER(C$3))),"''","null"),SUBSTITUTE(VLOOKUP(C$2,convert!$A$1:$B$4,2,0),"@@@",C252))</f>
        <v>65</v>
      </c>
      <c r="S252" s="4" t="str">
        <f>IF(D252="",IF(ISNUMBER(SEARCH("NOT NULL",UPPER(D$3))),"''","null"),SUBSTITUTE(VLOOKUP(D$2,convert!$A$1:$B$4,2,0),"@@@",D252))</f>
        <v>65</v>
      </c>
      <c r="T252" s="4" t="str">
        <f>IF(E252="",IF(ISNUMBER(SEARCH("NOT NULL",UPPER(E$3))),"''","null"),SUBSTITUTE(VLOOKUP(E$2,convert!$A$1:$B$4,2,0),"@@@",E252))</f>
        <v>45</v>
      </c>
      <c r="U252" s="4" t="str">
        <f>IF(F252="",IF(ISNUMBER(SEARCH("NOT NULL",UPPER(F$3))),"''","null"),SUBSTITUTE(VLOOKUP(F$2,convert!$A$1:$B$4,2,0),"@@@",F252))</f>
        <v>75</v>
      </c>
      <c r="V252" s="4" t="str">
        <f>IF(G252="",IF(ISNUMBER(SEARCH("NOT NULL",UPPER(G$3))),"''","null"),SUBSTITUTE(VLOOKUP(G$2,convert!$A$1:$B$4,2,0),"@@@",G252))</f>
        <v>45</v>
      </c>
      <c r="W252" s="4" t="str">
        <f>IF(H252="",IF(ISNUMBER(SEARCH("NOT NULL",UPPER(H$3))),"''","null"),SUBSTITUTE(VLOOKUP(H$2,convert!$A$1:$B$4,2,0),"@@@",H252))</f>
        <v>95</v>
      </c>
      <c r="X252" s="4" t="str">
        <f>IF(I252="",IF(ISNUMBER(SEARCH("NOT NULL",UPPER(I$3))),"''","null"),SUBSTITUTE(VLOOKUP(I$2,convert!$A$1:$B$4,2,0),"@@@",I252))</f>
        <v>''</v>
      </c>
      <c r="Y252" s="4" t="str">
        <f>IF(J252="",IF(ISNUMBER(SEARCH("NOT NULL",UPPER(J$3))),"''","null"),SUBSTITUTE(VLOOKUP(J$2,convert!$A$1:$B$4,2,0),"@@@",J252))</f>
        <v>'bug'</v>
      </c>
      <c r="Z252" s="4" t="str">
        <f>IF(K252="",IF(ISNUMBER(SEARCH("NOT NULL",UPPER(K$3))),"''","null"),SUBSTITUTE(VLOOKUP(K$2,convert!$A$1:$B$4,2,0),"@@@",K252))</f>
        <v>'flying'</v>
      </c>
      <c r="AA252" s="4" t="str">
        <f>IF(L252="",IF(ISNUMBER(SEARCH("NOT NULL",UPPER(L$3))),"''","null"),SUBSTITUTE(VLOOKUP(L$2,convert!$A$1:$B$4,2,0),"@@@",L252))</f>
        <v>'g2'</v>
      </c>
      <c r="AB252" s="4" t="str">
        <f>IF(M252="",IF(ISNUMBER(SEARCH("NOT NULL",UPPER(M$3))),"''","null"),SUBSTITUTE(VLOOKUP(M$2,convert!$A$1:$B$4,2,0),"@@@",M252))</f>
        <v>null</v>
      </c>
      <c r="AC252" s="4" t="str">
        <f>IF(N252="",IF(ISNUMBER(SEARCH("NOT NULL",UPPER(N$3))),"''","null"),SUBSTITUTE(VLOOKUP(N$2,convert!$A$1:$B$4,2,0),"@@@",N252))</f>
        <v>null</v>
      </c>
      <c r="AD252" s="4" t="str">
        <f>IF(O252="",IF(ISNUMBER(SEARCH("NOT NULL",UPPER(O$3))),"''","null"),SUBSTITUTE(VLOOKUP(O$2,convert!$A$1:$B$4,2,0),"@@@",O252))</f>
        <v>TRUE</v>
      </c>
      <c r="AE252" s="4" t="str">
        <f t="shared" si="3"/>
        <v>    ('0193N01', 'ヤンヤンマ', 65, 65, 45, 75, 45, 95, '', 'bug', 'flying', 'g2', null, null, TRUE),</v>
      </c>
    </row>
    <row r="253" spans="1:31">
      <c r="A253" s="4" t="s">
        <v>522</v>
      </c>
      <c r="B253" s="4" t="s">
        <v>523</v>
      </c>
      <c r="C253" s="5">
        <v>55</v>
      </c>
      <c r="D253" s="5">
        <v>45</v>
      </c>
      <c r="E253" s="5">
        <v>45</v>
      </c>
      <c r="F253" s="5">
        <v>25</v>
      </c>
      <c r="G253" s="5">
        <v>25</v>
      </c>
      <c r="H253" s="5">
        <v>15</v>
      </c>
      <c r="I253" s="5"/>
      <c r="J253" s="4" t="s">
        <v>55</v>
      </c>
      <c r="K253" s="4" t="s">
        <v>116</v>
      </c>
      <c r="L253" s="4" t="s">
        <v>436</v>
      </c>
      <c r="M253" s="5"/>
      <c r="N253" s="5"/>
      <c r="O253" s="5" t="b">
        <v>1</v>
      </c>
      <c r="P253" s="4" t="str">
        <f>IF(A253="",IF(ISNUMBER(SEARCH("NOT NULL",UPPER(A$3))),"''","null"),SUBSTITUTE(VLOOKUP(A$2,convert!$A$1:$B$4,2,0),"@@@",A253))</f>
        <v>'0194N01'</v>
      </c>
      <c r="Q253" s="4" t="str">
        <f>IF(B253="",IF(ISNUMBER(SEARCH("NOT NULL",UPPER(B$3))),"''","null"),SUBSTITUTE(VLOOKUP(B$2,convert!$A$1:$B$4,2,0),"@@@",B253))</f>
        <v>'ウパー'</v>
      </c>
      <c r="R253" s="4" t="str">
        <f>IF(C253="",IF(ISNUMBER(SEARCH("NOT NULL",UPPER(C$3))),"''","null"),SUBSTITUTE(VLOOKUP(C$2,convert!$A$1:$B$4,2,0),"@@@",C253))</f>
        <v>55</v>
      </c>
      <c r="S253" s="4" t="str">
        <f>IF(D253="",IF(ISNUMBER(SEARCH("NOT NULL",UPPER(D$3))),"''","null"),SUBSTITUTE(VLOOKUP(D$2,convert!$A$1:$B$4,2,0),"@@@",D253))</f>
        <v>45</v>
      </c>
      <c r="T253" s="4" t="str">
        <f>IF(E253="",IF(ISNUMBER(SEARCH("NOT NULL",UPPER(E$3))),"''","null"),SUBSTITUTE(VLOOKUP(E$2,convert!$A$1:$B$4,2,0),"@@@",E253))</f>
        <v>45</v>
      </c>
      <c r="U253" s="4" t="str">
        <f>IF(F253="",IF(ISNUMBER(SEARCH("NOT NULL",UPPER(F$3))),"''","null"),SUBSTITUTE(VLOOKUP(F$2,convert!$A$1:$B$4,2,0),"@@@",F253))</f>
        <v>25</v>
      </c>
      <c r="V253" s="4" t="str">
        <f>IF(G253="",IF(ISNUMBER(SEARCH("NOT NULL",UPPER(G$3))),"''","null"),SUBSTITUTE(VLOOKUP(G$2,convert!$A$1:$B$4,2,0),"@@@",G253))</f>
        <v>25</v>
      </c>
      <c r="W253" s="4" t="str">
        <f>IF(H253="",IF(ISNUMBER(SEARCH("NOT NULL",UPPER(H$3))),"''","null"),SUBSTITUTE(VLOOKUP(H$2,convert!$A$1:$B$4,2,0),"@@@",H253))</f>
        <v>15</v>
      </c>
      <c r="X253" s="4" t="str">
        <f>IF(I253="",IF(ISNUMBER(SEARCH("NOT NULL",UPPER(I$3))),"''","null"),SUBSTITUTE(VLOOKUP(I$2,convert!$A$1:$B$4,2,0),"@@@",I253))</f>
        <v>''</v>
      </c>
      <c r="Y253" s="4" t="str">
        <f>IF(J253="",IF(ISNUMBER(SEARCH("NOT NULL",UPPER(J$3))),"''","null"),SUBSTITUTE(VLOOKUP(J$2,convert!$A$1:$B$4,2,0),"@@@",J253))</f>
        <v>'water'</v>
      </c>
      <c r="Z253" s="4" t="str">
        <f>IF(K253="",IF(ISNUMBER(SEARCH("NOT NULL",UPPER(K$3))),"''","null"),SUBSTITUTE(VLOOKUP(K$2,convert!$A$1:$B$4,2,0),"@@@",K253))</f>
        <v>'ground'</v>
      </c>
      <c r="AA253" s="4" t="str">
        <f>IF(L253="",IF(ISNUMBER(SEARCH("NOT NULL",UPPER(L$3))),"''","null"),SUBSTITUTE(VLOOKUP(L$2,convert!$A$1:$B$4,2,0),"@@@",L253))</f>
        <v>'g2'</v>
      </c>
      <c r="AB253" s="4" t="str">
        <f>IF(M253="",IF(ISNUMBER(SEARCH("NOT NULL",UPPER(M$3))),"''","null"),SUBSTITUTE(VLOOKUP(M$2,convert!$A$1:$B$4,2,0),"@@@",M253))</f>
        <v>null</v>
      </c>
      <c r="AC253" s="4" t="str">
        <f>IF(N253="",IF(ISNUMBER(SEARCH("NOT NULL",UPPER(N$3))),"''","null"),SUBSTITUTE(VLOOKUP(N$2,convert!$A$1:$B$4,2,0),"@@@",N253))</f>
        <v>null</v>
      </c>
      <c r="AD253" s="4" t="str">
        <f>IF(O253="",IF(ISNUMBER(SEARCH("NOT NULL",UPPER(O$3))),"''","null"),SUBSTITUTE(VLOOKUP(O$2,convert!$A$1:$B$4,2,0),"@@@",O253))</f>
        <v>TRUE</v>
      </c>
      <c r="AE253" s="4" t="str">
        <f t="shared" si="3"/>
        <v>    ('0194N01', 'ウパー', 55, 45, 45, 25, 25, 15, '', 'water', 'ground', 'g2', null, null, TRUE),</v>
      </c>
    </row>
    <row r="254" spans="1:31">
      <c r="A254" s="4" t="s">
        <v>524</v>
      </c>
      <c r="B254" s="4" t="s">
        <v>523</v>
      </c>
      <c r="C254" s="5">
        <v>55</v>
      </c>
      <c r="D254" s="5">
        <v>45</v>
      </c>
      <c r="E254" s="5">
        <v>45</v>
      </c>
      <c r="F254" s="5">
        <v>25</v>
      </c>
      <c r="G254" s="5">
        <v>25</v>
      </c>
      <c r="H254" s="5">
        <v>15</v>
      </c>
      <c r="I254" s="4" t="s">
        <v>525</v>
      </c>
      <c r="J254" s="4" t="s">
        <v>31</v>
      </c>
      <c r="K254" s="4" t="s">
        <v>116</v>
      </c>
      <c r="L254" s="4" t="s">
        <v>368</v>
      </c>
      <c r="M254" s="5"/>
      <c r="N254" s="5"/>
      <c r="O254" s="5" t="b">
        <v>1</v>
      </c>
      <c r="P254" s="4" t="str">
        <f>IF(A254="",IF(ISNUMBER(SEARCH("NOT NULL",UPPER(A$3))),"''","null"),SUBSTITUTE(VLOOKUP(A$2,convert!$A$1:$B$4,2,0),"@@@",A254))</f>
        <v>'0194P01'</v>
      </c>
      <c r="Q254" s="4" t="str">
        <f>IF(B254="",IF(ISNUMBER(SEARCH("NOT NULL",UPPER(B$3))),"''","null"),SUBSTITUTE(VLOOKUP(B$2,convert!$A$1:$B$4,2,0),"@@@",B254))</f>
        <v>'ウパー'</v>
      </c>
      <c r="R254" s="4" t="str">
        <f>IF(C254="",IF(ISNUMBER(SEARCH("NOT NULL",UPPER(C$3))),"''","null"),SUBSTITUTE(VLOOKUP(C$2,convert!$A$1:$B$4,2,0),"@@@",C254))</f>
        <v>55</v>
      </c>
      <c r="S254" s="4" t="str">
        <f>IF(D254="",IF(ISNUMBER(SEARCH("NOT NULL",UPPER(D$3))),"''","null"),SUBSTITUTE(VLOOKUP(D$2,convert!$A$1:$B$4,2,0),"@@@",D254))</f>
        <v>45</v>
      </c>
      <c r="T254" s="4" t="str">
        <f>IF(E254="",IF(ISNUMBER(SEARCH("NOT NULL",UPPER(E$3))),"''","null"),SUBSTITUTE(VLOOKUP(E$2,convert!$A$1:$B$4,2,0),"@@@",E254))</f>
        <v>45</v>
      </c>
      <c r="U254" s="4" t="str">
        <f>IF(F254="",IF(ISNUMBER(SEARCH("NOT NULL",UPPER(F$3))),"''","null"),SUBSTITUTE(VLOOKUP(F$2,convert!$A$1:$B$4,2,0),"@@@",F254))</f>
        <v>25</v>
      </c>
      <c r="V254" s="4" t="str">
        <f>IF(G254="",IF(ISNUMBER(SEARCH("NOT NULL",UPPER(G$3))),"''","null"),SUBSTITUTE(VLOOKUP(G$2,convert!$A$1:$B$4,2,0),"@@@",G254))</f>
        <v>25</v>
      </c>
      <c r="W254" s="4" t="str">
        <f>IF(H254="",IF(ISNUMBER(SEARCH("NOT NULL",UPPER(H$3))),"''","null"),SUBSTITUTE(VLOOKUP(H$2,convert!$A$1:$B$4,2,0),"@@@",H254))</f>
        <v>15</v>
      </c>
      <c r="X254" s="4" t="str">
        <f>IF(I254="",IF(ISNUMBER(SEARCH("NOT NULL",UPPER(I$3))),"''","null"),SUBSTITUTE(VLOOKUP(I$2,convert!$A$1:$B$4,2,0),"@@@",I254))</f>
        <v>'パルデアのすがた'</v>
      </c>
      <c r="Y254" s="4" t="str">
        <f>IF(J254="",IF(ISNUMBER(SEARCH("NOT NULL",UPPER(J$3))),"''","null"),SUBSTITUTE(VLOOKUP(J$2,convert!$A$1:$B$4,2,0),"@@@",J254))</f>
        <v>'poison'</v>
      </c>
      <c r="Z254" s="4" t="str">
        <f>IF(K254="",IF(ISNUMBER(SEARCH("NOT NULL",UPPER(K$3))),"''","null"),SUBSTITUTE(VLOOKUP(K$2,convert!$A$1:$B$4,2,0),"@@@",K254))</f>
        <v>'ground'</v>
      </c>
      <c r="AA254" s="4" t="str">
        <f>IF(L254="",IF(ISNUMBER(SEARCH("NOT NULL",UPPER(L$3))),"''","null"),SUBSTITUTE(VLOOKUP(L$2,convert!$A$1:$B$4,2,0),"@@@",L254))</f>
        <v>'g9'</v>
      </c>
      <c r="AB254" s="4" t="str">
        <f>IF(M254="",IF(ISNUMBER(SEARCH("NOT NULL",UPPER(M$3))),"''","null"),SUBSTITUTE(VLOOKUP(M$2,convert!$A$1:$B$4,2,0),"@@@",M254))</f>
        <v>null</v>
      </c>
      <c r="AC254" s="4" t="str">
        <f>IF(N254="",IF(ISNUMBER(SEARCH("NOT NULL",UPPER(N$3))),"''","null"),SUBSTITUTE(VLOOKUP(N$2,convert!$A$1:$B$4,2,0),"@@@",N254))</f>
        <v>null</v>
      </c>
      <c r="AD254" s="4" t="str">
        <f>IF(O254="",IF(ISNUMBER(SEARCH("NOT NULL",UPPER(O$3))),"''","null"),SUBSTITUTE(VLOOKUP(O$2,convert!$A$1:$B$4,2,0),"@@@",O254))</f>
        <v>TRUE</v>
      </c>
      <c r="AE254" s="4" t="str">
        <f t="shared" si="3"/>
        <v>    ('0194P01', 'ウパー', 55, 45, 45, 25, 25, 15, 'パルデアのすがた', 'poison', 'ground', 'g9', null, null, TRUE),</v>
      </c>
    </row>
    <row r="255" spans="1:31">
      <c r="A255" s="4" t="s">
        <v>526</v>
      </c>
      <c r="B255" s="4" t="s">
        <v>527</v>
      </c>
      <c r="C255" s="5">
        <v>95</v>
      </c>
      <c r="D255" s="5">
        <v>85</v>
      </c>
      <c r="E255" s="5">
        <v>85</v>
      </c>
      <c r="F255" s="5">
        <v>65</v>
      </c>
      <c r="G255" s="5">
        <v>65</v>
      </c>
      <c r="H255" s="5">
        <v>35</v>
      </c>
      <c r="I255" s="5"/>
      <c r="J255" s="4" t="s">
        <v>55</v>
      </c>
      <c r="K255" s="4" t="s">
        <v>116</v>
      </c>
      <c r="L255" s="4" t="s">
        <v>436</v>
      </c>
      <c r="M255" s="5"/>
      <c r="N255" s="5"/>
      <c r="O255" s="5" t="b">
        <v>1</v>
      </c>
      <c r="P255" s="4" t="str">
        <f>IF(A255="",IF(ISNUMBER(SEARCH("NOT NULL",UPPER(A$3))),"''","null"),SUBSTITUTE(VLOOKUP(A$2,convert!$A$1:$B$4,2,0),"@@@",A255))</f>
        <v>'0195N01'</v>
      </c>
      <c r="Q255" s="4" t="str">
        <f>IF(B255="",IF(ISNUMBER(SEARCH("NOT NULL",UPPER(B$3))),"''","null"),SUBSTITUTE(VLOOKUP(B$2,convert!$A$1:$B$4,2,0),"@@@",B255))</f>
        <v>'ヌオー'</v>
      </c>
      <c r="R255" s="4" t="str">
        <f>IF(C255="",IF(ISNUMBER(SEARCH("NOT NULL",UPPER(C$3))),"''","null"),SUBSTITUTE(VLOOKUP(C$2,convert!$A$1:$B$4,2,0),"@@@",C255))</f>
        <v>95</v>
      </c>
      <c r="S255" s="4" t="str">
        <f>IF(D255="",IF(ISNUMBER(SEARCH("NOT NULL",UPPER(D$3))),"''","null"),SUBSTITUTE(VLOOKUP(D$2,convert!$A$1:$B$4,2,0),"@@@",D255))</f>
        <v>85</v>
      </c>
      <c r="T255" s="4" t="str">
        <f>IF(E255="",IF(ISNUMBER(SEARCH("NOT NULL",UPPER(E$3))),"''","null"),SUBSTITUTE(VLOOKUP(E$2,convert!$A$1:$B$4,2,0),"@@@",E255))</f>
        <v>85</v>
      </c>
      <c r="U255" s="4" t="str">
        <f>IF(F255="",IF(ISNUMBER(SEARCH("NOT NULL",UPPER(F$3))),"''","null"),SUBSTITUTE(VLOOKUP(F$2,convert!$A$1:$B$4,2,0),"@@@",F255))</f>
        <v>65</v>
      </c>
      <c r="V255" s="4" t="str">
        <f>IF(G255="",IF(ISNUMBER(SEARCH("NOT NULL",UPPER(G$3))),"''","null"),SUBSTITUTE(VLOOKUP(G$2,convert!$A$1:$B$4,2,0),"@@@",G255))</f>
        <v>65</v>
      </c>
      <c r="W255" s="4" t="str">
        <f>IF(H255="",IF(ISNUMBER(SEARCH("NOT NULL",UPPER(H$3))),"''","null"),SUBSTITUTE(VLOOKUP(H$2,convert!$A$1:$B$4,2,0),"@@@",H255))</f>
        <v>35</v>
      </c>
      <c r="X255" s="4" t="str">
        <f>IF(I255="",IF(ISNUMBER(SEARCH("NOT NULL",UPPER(I$3))),"''","null"),SUBSTITUTE(VLOOKUP(I$2,convert!$A$1:$B$4,2,0),"@@@",I255))</f>
        <v>''</v>
      </c>
      <c r="Y255" s="4" t="str">
        <f>IF(J255="",IF(ISNUMBER(SEARCH("NOT NULL",UPPER(J$3))),"''","null"),SUBSTITUTE(VLOOKUP(J$2,convert!$A$1:$B$4,2,0),"@@@",J255))</f>
        <v>'water'</v>
      </c>
      <c r="Z255" s="4" t="str">
        <f>IF(K255="",IF(ISNUMBER(SEARCH("NOT NULL",UPPER(K$3))),"''","null"),SUBSTITUTE(VLOOKUP(K$2,convert!$A$1:$B$4,2,0),"@@@",K255))</f>
        <v>'ground'</v>
      </c>
      <c r="AA255" s="4" t="str">
        <f>IF(L255="",IF(ISNUMBER(SEARCH("NOT NULL",UPPER(L$3))),"''","null"),SUBSTITUTE(VLOOKUP(L$2,convert!$A$1:$B$4,2,0),"@@@",L255))</f>
        <v>'g2'</v>
      </c>
      <c r="AB255" s="4" t="str">
        <f>IF(M255="",IF(ISNUMBER(SEARCH("NOT NULL",UPPER(M$3))),"''","null"),SUBSTITUTE(VLOOKUP(M$2,convert!$A$1:$B$4,2,0),"@@@",M255))</f>
        <v>null</v>
      </c>
      <c r="AC255" s="4" t="str">
        <f>IF(N255="",IF(ISNUMBER(SEARCH("NOT NULL",UPPER(N$3))),"''","null"),SUBSTITUTE(VLOOKUP(N$2,convert!$A$1:$B$4,2,0),"@@@",N255))</f>
        <v>null</v>
      </c>
      <c r="AD255" s="4" t="str">
        <f>IF(O255="",IF(ISNUMBER(SEARCH("NOT NULL",UPPER(O$3))),"''","null"),SUBSTITUTE(VLOOKUP(O$2,convert!$A$1:$B$4,2,0),"@@@",O255))</f>
        <v>TRUE</v>
      </c>
      <c r="AE255" s="4" t="str">
        <f t="shared" si="3"/>
        <v>    ('0195N01', 'ヌオー', 95, 85, 85, 65, 65, 35, '', 'water', 'ground', 'g2', null, null, TRUE),</v>
      </c>
    </row>
    <row r="256" spans="1:31">
      <c r="A256" s="4" t="s">
        <v>528</v>
      </c>
      <c r="B256" s="4" t="s">
        <v>529</v>
      </c>
      <c r="C256" s="5">
        <v>65</v>
      </c>
      <c r="D256" s="5">
        <v>65</v>
      </c>
      <c r="E256" s="5">
        <v>60</v>
      </c>
      <c r="F256" s="5">
        <v>130</v>
      </c>
      <c r="G256" s="5">
        <v>95</v>
      </c>
      <c r="H256" s="5">
        <v>110</v>
      </c>
      <c r="I256" s="5"/>
      <c r="J256" s="4" t="s">
        <v>113</v>
      </c>
      <c r="K256" s="5"/>
      <c r="L256" s="4" t="s">
        <v>436</v>
      </c>
      <c r="M256" s="5"/>
      <c r="N256" s="5"/>
      <c r="O256" s="5" t="b">
        <v>1</v>
      </c>
      <c r="P256" s="4" t="str">
        <f>IF(A256="",IF(ISNUMBER(SEARCH("NOT NULL",UPPER(A$3))),"''","null"),SUBSTITUTE(VLOOKUP(A$2,convert!$A$1:$B$4,2,0),"@@@",A256))</f>
        <v>'0196N01'</v>
      </c>
      <c r="Q256" s="4" t="str">
        <f>IF(B256="",IF(ISNUMBER(SEARCH("NOT NULL",UPPER(B$3))),"''","null"),SUBSTITUTE(VLOOKUP(B$2,convert!$A$1:$B$4,2,0),"@@@",B256))</f>
        <v>'エーフィ'</v>
      </c>
      <c r="R256" s="4" t="str">
        <f>IF(C256="",IF(ISNUMBER(SEARCH("NOT NULL",UPPER(C$3))),"''","null"),SUBSTITUTE(VLOOKUP(C$2,convert!$A$1:$B$4,2,0),"@@@",C256))</f>
        <v>65</v>
      </c>
      <c r="S256" s="4" t="str">
        <f>IF(D256="",IF(ISNUMBER(SEARCH("NOT NULL",UPPER(D$3))),"''","null"),SUBSTITUTE(VLOOKUP(D$2,convert!$A$1:$B$4,2,0),"@@@",D256))</f>
        <v>65</v>
      </c>
      <c r="T256" s="4" t="str">
        <f>IF(E256="",IF(ISNUMBER(SEARCH("NOT NULL",UPPER(E$3))),"''","null"),SUBSTITUTE(VLOOKUP(E$2,convert!$A$1:$B$4,2,0),"@@@",E256))</f>
        <v>60</v>
      </c>
      <c r="U256" s="4" t="str">
        <f>IF(F256="",IF(ISNUMBER(SEARCH("NOT NULL",UPPER(F$3))),"''","null"),SUBSTITUTE(VLOOKUP(F$2,convert!$A$1:$B$4,2,0),"@@@",F256))</f>
        <v>130</v>
      </c>
      <c r="V256" s="4" t="str">
        <f>IF(G256="",IF(ISNUMBER(SEARCH("NOT NULL",UPPER(G$3))),"''","null"),SUBSTITUTE(VLOOKUP(G$2,convert!$A$1:$B$4,2,0),"@@@",G256))</f>
        <v>95</v>
      </c>
      <c r="W256" s="4" t="str">
        <f>IF(H256="",IF(ISNUMBER(SEARCH("NOT NULL",UPPER(H$3))),"''","null"),SUBSTITUTE(VLOOKUP(H$2,convert!$A$1:$B$4,2,0),"@@@",H256))</f>
        <v>110</v>
      </c>
      <c r="X256" s="4" t="str">
        <f>IF(I256="",IF(ISNUMBER(SEARCH("NOT NULL",UPPER(I$3))),"''","null"),SUBSTITUTE(VLOOKUP(I$2,convert!$A$1:$B$4,2,0),"@@@",I256))</f>
        <v>''</v>
      </c>
      <c r="Y256" s="4" t="str">
        <f>IF(J256="",IF(ISNUMBER(SEARCH("NOT NULL",UPPER(J$3))),"''","null"),SUBSTITUTE(VLOOKUP(J$2,convert!$A$1:$B$4,2,0),"@@@",J256))</f>
        <v>'psychic'</v>
      </c>
      <c r="Z256" s="4" t="str">
        <f>IF(K256="",IF(ISNUMBER(SEARCH("NOT NULL",UPPER(K$3))),"''","null"),SUBSTITUTE(VLOOKUP(K$2,convert!$A$1:$B$4,2,0),"@@@",K256))</f>
        <v>null</v>
      </c>
      <c r="AA256" s="4" t="str">
        <f>IF(L256="",IF(ISNUMBER(SEARCH("NOT NULL",UPPER(L$3))),"''","null"),SUBSTITUTE(VLOOKUP(L$2,convert!$A$1:$B$4,2,0),"@@@",L256))</f>
        <v>'g2'</v>
      </c>
      <c r="AB256" s="4" t="str">
        <f>IF(M256="",IF(ISNUMBER(SEARCH("NOT NULL",UPPER(M$3))),"''","null"),SUBSTITUTE(VLOOKUP(M$2,convert!$A$1:$B$4,2,0),"@@@",M256))</f>
        <v>null</v>
      </c>
      <c r="AC256" s="4" t="str">
        <f>IF(N256="",IF(ISNUMBER(SEARCH("NOT NULL",UPPER(N$3))),"''","null"),SUBSTITUTE(VLOOKUP(N$2,convert!$A$1:$B$4,2,0),"@@@",N256))</f>
        <v>null</v>
      </c>
      <c r="AD256" s="4" t="str">
        <f>IF(O256="",IF(ISNUMBER(SEARCH("NOT NULL",UPPER(O$3))),"''","null"),SUBSTITUTE(VLOOKUP(O$2,convert!$A$1:$B$4,2,0),"@@@",O256))</f>
        <v>TRUE</v>
      </c>
      <c r="AE256" s="4" t="str">
        <f t="shared" si="3"/>
        <v>    ('0196N01', 'エーフィ', 65, 65, 60, 130, 95, 110, '', 'psychic', null, 'g2', null, null, TRUE),</v>
      </c>
    </row>
    <row r="257" spans="1:31">
      <c r="A257" s="4" t="s">
        <v>530</v>
      </c>
      <c r="B257" s="4" t="s">
        <v>531</v>
      </c>
      <c r="C257" s="5">
        <v>95</v>
      </c>
      <c r="D257" s="5">
        <v>65</v>
      </c>
      <c r="E257" s="5">
        <v>110</v>
      </c>
      <c r="F257" s="5">
        <v>60</v>
      </c>
      <c r="G257" s="5">
        <v>130</v>
      </c>
      <c r="H257" s="5">
        <v>65</v>
      </c>
      <c r="I257" s="5"/>
      <c r="J257" s="4" t="s">
        <v>91</v>
      </c>
      <c r="K257" s="5"/>
      <c r="L257" s="4" t="s">
        <v>436</v>
      </c>
      <c r="M257" s="5"/>
      <c r="N257" s="5"/>
      <c r="O257" s="5" t="b">
        <v>1</v>
      </c>
      <c r="P257" s="4" t="str">
        <f>IF(A257="",IF(ISNUMBER(SEARCH("NOT NULL",UPPER(A$3))),"''","null"),SUBSTITUTE(VLOOKUP(A$2,convert!$A$1:$B$4,2,0),"@@@",A257))</f>
        <v>'0197N01'</v>
      </c>
      <c r="Q257" s="4" t="str">
        <f>IF(B257="",IF(ISNUMBER(SEARCH("NOT NULL",UPPER(B$3))),"''","null"),SUBSTITUTE(VLOOKUP(B$2,convert!$A$1:$B$4,2,0),"@@@",B257))</f>
        <v>'ブラッキー'</v>
      </c>
      <c r="R257" s="4" t="str">
        <f>IF(C257="",IF(ISNUMBER(SEARCH("NOT NULL",UPPER(C$3))),"''","null"),SUBSTITUTE(VLOOKUP(C$2,convert!$A$1:$B$4,2,0),"@@@",C257))</f>
        <v>95</v>
      </c>
      <c r="S257" s="4" t="str">
        <f>IF(D257="",IF(ISNUMBER(SEARCH("NOT NULL",UPPER(D$3))),"''","null"),SUBSTITUTE(VLOOKUP(D$2,convert!$A$1:$B$4,2,0),"@@@",D257))</f>
        <v>65</v>
      </c>
      <c r="T257" s="4" t="str">
        <f>IF(E257="",IF(ISNUMBER(SEARCH("NOT NULL",UPPER(E$3))),"''","null"),SUBSTITUTE(VLOOKUP(E$2,convert!$A$1:$B$4,2,0),"@@@",E257))</f>
        <v>110</v>
      </c>
      <c r="U257" s="4" t="str">
        <f>IF(F257="",IF(ISNUMBER(SEARCH("NOT NULL",UPPER(F$3))),"''","null"),SUBSTITUTE(VLOOKUP(F$2,convert!$A$1:$B$4,2,0),"@@@",F257))</f>
        <v>60</v>
      </c>
      <c r="V257" s="4" t="str">
        <f>IF(G257="",IF(ISNUMBER(SEARCH("NOT NULL",UPPER(G$3))),"''","null"),SUBSTITUTE(VLOOKUP(G$2,convert!$A$1:$B$4,2,0),"@@@",G257))</f>
        <v>130</v>
      </c>
      <c r="W257" s="4" t="str">
        <f>IF(H257="",IF(ISNUMBER(SEARCH("NOT NULL",UPPER(H$3))),"''","null"),SUBSTITUTE(VLOOKUP(H$2,convert!$A$1:$B$4,2,0),"@@@",H257))</f>
        <v>65</v>
      </c>
      <c r="X257" s="4" t="str">
        <f>IF(I257="",IF(ISNUMBER(SEARCH("NOT NULL",UPPER(I$3))),"''","null"),SUBSTITUTE(VLOOKUP(I$2,convert!$A$1:$B$4,2,0),"@@@",I257))</f>
        <v>''</v>
      </c>
      <c r="Y257" s="4" t="str">
        <f>IF(J257="",IF(ISNUMBER(SEARCH("NOT NULL",UPPER(J$3))),"''","null"),SUBSTITUTE(VLOOKUP(J$2,convert!$A$1:$B$4,2,0),"@@@",J257))</f>
        <v>'dark'</v>
      </c>
      <c r="Z257" s="4" t="str">
        <f>IF(K257="",IF(ISNUMBER(SEARCH("NOT NULL",UPPER(K$3))),"''","null"),SUBSTITUTE(VLOOKUP(K$2,convert!$A$1:$B$4,2,0),"@@@",K257))</f>
        <v>null</v>
      </c>
      <c r="AA257" s="4" t="str">
        <f>IF(L257="",IF(ISNUMBER(SEARCH("NOT NULL",UPPER(L$3))),"''","null"),SUBSTITUTE(VLOOKUP(L$2,convert!$A$1:$B$4,2,0),"@@@",L257))</f>
        <v>'g2'</v>
      </c>
      <c r="AB257" s="4" t="str">
        <f>IF(M257="",IF(ISNUMBER(SEARCH("NOT NULL",UPPER(M$3))),"''","null"),SUBSTITUTE(VLOOKUP(M$2,convert!$A$1:$B$4,2,0),"@@@",M257))</f>
        <v>null</v>
      </c>
      <c r="AC257" s="4" t="str">
        <f>IF(N257="",IF(ISNUMBER(SEARCH("NOT NULL",UPPER(N$3))),"''","null"),SUBSTITUTE(VLOOKUP(N$2,convert!$A$1:$B$4,2,0),"@@@",N257))</f>
        <v>null</v>
      </c>
      <c r="AD257" s="4" t="str">
        <f>IF(O257="",IF(ISNUMBER(SEARCH("NOT NULL",UPPER(O$3))),"''","null"),SUBSTITUTE(VLOOKUP(O$2,convert!$A$1:$B$4,2,0),"@@@",O257))</f>
        <v>TRUE</v>
      </c>
      <c r="AE257" s="4" t="str">
        <f t="shared" si="3"/>
        <v>    ('0197N01', 'ブラッキー', 95, 65, 110, 60, 130, 65, '', 'dark', null, 'g2', null, null, TRUE),</v>
      </c>
    </row>
    <row r="258" spans="1:31">
      <c r="A258" s="4" t="s">
        <v>532</v>
      </c>
      <c r="B258" s="4" t="s">
        <v>533</v>
      </c>
      <c r="C258" s="5">
        <v>60</v>
      </c>
      <c r="D258" s="5">
        <v>85</v>
      </c>
      <c r="E258" s="5">
        <v>42</v>
      </c>
      <c r="F258" s="5">
        <v>85</v>
      </c>
      <c r="G258" s="5">
        <v>42</v>
      </c>
      <c r="H258" s="5">
        <v>91</v>
      </c>
      <c r="I258" s="5"/>
      <c r="J258" s="4" t="s">
        <v>91</v>
      </c>
      <c r="K258" s="4" t="s">
        <v>47</v>
      </c>
      <c r="L258" s="4" t="s">
        <v>436</v>
      </c>
      <c r="M258" s="5"/>
      <c r="N258" s="5"/>
      <c r="O258" s="5" t="b">
        <v>1</v>
      </c>
      <c r="P258" s="4" t="str">
        <f>IF(A258="",IF(ISNUMBER(SEARCH("NOT NULL",UPPER(A$3))),"''","null"),SUBSTITUTE(VLOOKUP(A$2,convert!$A$1:$B$4,2,0),"@@@",A258))</f>
        <v>'0198N01'</v>
      </c>
      <c r="Q258" s="4" t="str">
        <f>IF(B258="",IF(ISNUMBER(SEARCH("NOT NULL",UPPER(B$3))),"''","null"),SUBSTITUTE(VLOOKUP(B$2,convert!$A$1:$B$4,2,0),"@@@",B258))</f>
        <v>'ヤミカラス'</v>
      </c>
      <c r="R258" s="4" t="str">
        <f>IF(C258="",IF(ISNUMBER(SEARCH("NOT NULL",UPPER(C$3))),"''","null"),SUBSTITUTE(VLOOKUP(C$2,convert!$A$1:$B$4,2,0),"@@@",C258))</f>
        <v>60</v>
      </c>
      <c r="S258" s="4" t="str">
        <f>IF(D258="",IF(ISNUMBER(SEARCH("NOT NULL",UPPER(D$3))),"''","null"),SUBSTITUTE(VLOOKUP(D$2,convert!$A$1:$B$4,2,0),"@@@",D258))</f>
        <v>85</v>
      </c>
      <c r="T258" s="4" t="str">
        <f>IF(E258="",IF(ISNUMBER(SEARCH("NOT NULL",UPPER(E$3))),"''","null"),SUBSTITUTE(VLOOKUP(E$2,convert!$A$1:$B$4,2,0),"@@@",E258))</f>
        <v>42</v>
      </c>
      <c r="U258" s="4" t="str">
        <f>IF(F258="",IF(ISNUMBER(SEARCH("NOT NULL",UPPER(F$3))),"''","null"),SUBSTITUTE(VLOOKUP(F$2,convert!$A$1:$B$4,2,0),"@@@",F258))</f>
        <v>85</v>
      </c>
      <c r="V258" s="4" t="str">
        <f>IF(G258="",IF(ISNUMBER(SEARCH("NOT NULL",UPPER(G$3))),"''","null"),SUBSTITUTE(VLOOKUP(G$2,convert!$A$1:$B$4,2,0),"@@@",G258))</f>
        <v>42</v>
      </c>
      <c r="W258" s="4" t="str">
        <f>IF(H258="",IF(ISNUMBER(SEARCH("NOT NULL",UPPER(H$3))),"''","null"),SUBSTITUTE(VLOOKUP(H$2,convert!$A$1:$B$4,2,0),"@@@",H258))</f>
        <v>91</v>
      </c>
      <c r="X258" s="4" t="str">
        <f>IF(I258="",IF(ISNUMBER(SEARCH("NOT NULL",UPPER(I$3))),"''","null"),SUBSTITUTE(VLOOKUP(I$2,convert!$A$1:$B$4,2,0),"@@@",I258))</f>
        <v>''</v>
      </c>
      <c r="Y258" s="4" t="str">
        <f>IF(J258="",IF(ISNUMBER(SEARCH("NOT NULL",UPPER(J$3))),"''","null"),SUBSTITUTE(VLOOKUP(J$2,convert!$A$1:$B$4,2,0),"@@@",J258))</f>
        <v>'dark'</v>
      </c>
      <c r="Z258" s="4" t="str">
        <f>IF(K258="",IF(ISNUMBER(SEARCH("NOT NULL",UPPER(K$3))),"''","null"),SUBSTITUTE(VLOOKUP(K$2,convert!$A$1:$B$4,2,0),"@@@",K258))</f>
        <v>'flying'</v>
      </c>
      <c r="AA258" s="4" t="str">
        <f>IF(L258="",IF(ISNUMBER(SEARCH("NOT NULL",UPPER(L$3))),"''","null"),SUBSTITUTE(VLOOKUP(L$2,convert!$A$1:$B$4,2,0),"@@@",L258))</f>
        <v>'g2'</v>
      </c>
      <c r="AB258" s="4" t="str">
        <f>IF(M258="",IF(ISNUMBER(SEARCH("NOT NULL",UPPER(M$3))),"''","null"),SUBSTITUTE(VLOOKUP(M$2,convert!$A$1:$B$4,2,0),"@@@",M258))</f>
        <v>null</v>
      </c>
      <c r="AC258" s="4" t="str">
        <f>IF(N258="",IF(ISNUMBER(SEARCH("NOT NULL",UPPER(N$3))),"''","null"),SUBSTITUTE(VLOOKUP(N$2,convert!$A$1:$B$4,2,0),"@@@",N258))</f>
        <v>null</v>
      </c>
      <c r="AD258" s="4" t="str">
        <f>IF(O258="",IF(ISNUMBER(SEARCH("NOT NULL",UPPER(O$3))),"''","null"),SUBSTITUTE(VLOOKUP(O$2,convert!$A$1:$B$4,2,0),"@@@",O258))</f>
        <v>TRUE</v>
      </c>
      <c r="AE258" s="4" t="str">
        <f t="shared" si="3"/>
        <v>    ('0198N01', 'ヤミカラス', 60, 85, 42, 85, 42, 91, '', 'dark', 'flying', 'g2', null, null, TRUE),</v>
      </c>
    </row>
    <row r="259" spans="1:31">
      <c r="A259" s="4" t="s">
        <v>534</v>
      </c>
      <c r="B259" s="4" t="s">
        <v>535</v>
      </c>
      <c r="C259" s="5">
        <v>95</v>
      </c>
      <c r="D259" s="5">
        <v>75</v>
      </c>
      <c r="E259" s="5">
        <v>80</v>
      </c>
      <c r="F259" s="5">
        <v>100</v>
      </c>
      <c r="G259" s="5">
        <v>110</v>
      </c>
      <c r="H259" s="5">
        <v>30</v>
      </c>
      <c r="I259" s="5"/>
      <c r="J259" s="4" t="s">
        <v>55</v>
      </c>
      <c r="K259" s="4" t="s">
        <v>113</v>
      </c>
      <c r="L259" s="4" t="s">
        <v>436</v>
      </c>
      <c r="M259" s="5"/>
      <c r="N259" s="5"/>
      <c r="O259" s="5" t="b">
        <v>1</v>
      </c>
      <c r="P259" s="4" t="str">
        <f>IF(A259="",IF(ISNUMBER(SEARCH("NOT NULL",UPPER(A$3))),"''","null"),SUBSTITUTE(VLOOKUP(A$2,convert!$A$1:$B$4,2,0),"@@@",A259))</f>
        <v>'0199N01'</v>
      </c>
      <c r="Q259" s="4" t="str">
        <f>IF(B259="",IF(ISNUMBER(SEARCH("NOT NULL",UPPER(B$3))),"''","null"),SUBSTITUTE(VLOOKUP(B$2,convert!$A$1:$B$4,2,0),"@@@",B259))</f>
        <v>'ヤドキング'</v>
      </c>
      <c r="R259" s="4" t="str">
        <f>IF(C259="",IF(ISNUMBER(SEARCH("NOT NULL",UPPER(C$3))),"''","null"),SUBSTITUTE(VLOOKUP(C$2,convert!$A$1:$B$4,2,0),"@@@",C259))</f>
        <v>95</v>
      </c>
      <c r="S259" s="4" t="str">
        <f>IF(D259="",IF(ISNUMBER(SEARCH("NOT NULL",UPPER(D$3))),"''","null"),SUBSTITUTE(VLOOKUP(D$2,convert!$A$1:$B$4,2,0),"@@@",D259))</f>
        <v>75</v>
      </c>
      <c r="T259" s="4" t="str">
        <f>IF(E259="",IF(ISNUMBER(SEARCH("NOT NULL",UPPER(E$3))),"''","null"),SUBSTITUTE(VLOOKUP(E$2,convert!$A$1:$B$4,2,0),"@@@",E259))</f>
        <v>80</v>
      </c>
      <c r="U259" s="4" t="str">
        <f>IF(F259="",IF(ISNUMBER(SEARCH("NOT NULL",UPPER(F$3))),"''","null"),SUBSTITUTE(VLOOKUP(F$2,convert!$A$1:$B$4,2,0),"@@@",F259))</f>
        <v>100</v>
      </c>
      <c r="V259" s="4" t="str">
        <f>IF(G259="",IF(ISNUMBER(SEARCH("NOT NULL",UPPER(G$3))),"''","null"),SUBSTITUTE(VLOOKUP(G$2,convert!$A$1:$B$4,2,0),"@@@",G259))</f>
        <v>110</v>
      </c>
      <c r="W259" s="4" t="str">
        <f>IF(H259="",IF(ISNUMBER(SEARCH("NOT NULL",UPPER(H$3))),"''","null"),SUBSTITUTE(VLOOKUP(H$2,convert!$A$1:$B$4,2,0),"@@@",H259))</f>
        <v>30</v>
      </c>
      <c r="X259" s="4" t="str">
        <f>IF(I259="",IF(ISNUMBER(SEARCH("NOT NULL",UPPER(I$3))),"''","null"),SUBSTITUTE(VLOOKUP(I$2,convert!$A$1:$B$4,2,0),"@@@",I259))</f>
        <v>''</v>
      </c>
      <c r="Y259" s="4" t="str">
        <f>IF(J259="",IF(ISNUMBER(SEARCH("NOT NULL",UPPER(J$3))),"''","null"),SUBSTITUTE(VLOOKUP(J$2,convert!$A$1:$B$4,2,0),"@@@",J259))</f>
        <v>'water'</v>
      </c>
      <c r="Z259" s="4" t="str">
        <f>IF(K259="",IF(ISNUMBER(SEARCH("NOT NULL",UPPER(K$3))),"''","null"),SUBSTITUTE(VLOOKUP(K$2,convert!$A$1:$B$4,2,0),"@@@",K259))</f>
        <v>'psychic'</v>
      </c>
      <c r="AA259" s="4" t="str">
        <f>IF(L259="",IF(ISNUMBER(SEARCH("NOT NULL",UPPER(L$3))),"''","null"),SUBSTITUTE(VLOOKUP(L$2,convert!$A$1:$B$4,2,0),"@@@",L259))</f>
        <v>'g2'</v>
      </c>
      <c r="AB259" s="4" t="str">
        <f>IF(M259="",IF(ISNUMBER(SEARCH("NOT NULL",UPPER(M$3))),"''","null"),SUBSTITUTE(VLOOKUP(M$2,convert!$A$1:$B$4,2,0),"@@@",M259))</f>
        <v>null</v>
      </c>
      <c r="AC259" s="4" t="str">
        <f>IF(N259="",IF(ISNUMBER(SEARCH("NOT NULL",UPPER(N$3))),"''","null"),SUBSTITUTE(VLOOKUP(N$2,convert!$A$1:$B$4,2,0),"@@@",N259))</f>
        <v>null</v>
      </c>
      <c r="AD259" s="4" t="str">
        <f>IF(O259="",IF(ISNUMBER(SEARCH("NOT NULL",UPPER(O$3))),"''","null"),SUBSTITUTE(VLOOKUP(O$2,convert!$A$1:$B$4,2,0),"@@@",O259))</f>
        <v>TRUE</v>
      </c>
      <c r="AE259" s="4" t="str">
        <f t="shared" si="3"/>
        <v>    ('0199N01', 'ヤドキング', 95, 75, 80, 100, 110, 30, '', 'water', 'psychic', 'g2', null, null, TRUE),</v>
      </c>
    </row>
    <row r="260" spans="1:31">
      <c r="A260" s="4" t="s">
        <v>536</v>
      </c>
      <c r="B260" s="4" t="s">
        <v>535</v>
      </c>
      <c r="C260" s="5">
        <v>95</v>
      </c>
      <c r="D260" s="5">
        <v>65</v>
      </c>
      <c r="E260" s="5">
        <v>80</v>
      </c>
      <c r="F260" s="5">
        <v>110</v>
      </c>
      <c r="G260" s="5">
        <v>110</v>
      </c>
      <c r="H260" s="5">
        <v>30</v>
      </c>
      <c r="I260" s="4" t="s">
        <v>178</v>
      </c>
      <c r="J260" s="4" t="s">
        <v>31</v>
      </c>
      <c r="K260" s="4" t="s">
        <v>113</v>
      </c>
      <c r="L260" s="4" t="s">
        <v>179</v>
      </c>
      <c r="M260" s="5"/>
      <c r="N260" s="5"/>
      <c r="O260" s="5" t="b">
        <v>1</v>
      </c>
      <c r="P260" s="4" t="str">
        <f>IF(A260="",IF(ISNUMBER(SEARCH("NOT NULL",UPPER(A$3))),"''","null"),SUBSTITUTE(VLOOKUP(A$2,convert!$A$1:$B$4,2,0),"@@@",A260))</f>
        <v>'0199G01'</v>
      </c>
      <c r="Q260" s="4" t="str">
        <f>IF(B260="",IF(ISNUMBER(SEARCH("NOT NULL",UPPER(B$3))),"''","null"),SUBSTITUTE(VLOOKUP(B$2,convert!$A$1:$B$4,2,0),"@@@",B260))</f>
        <v>'ヤドキング'</v>
      </c>
      <c r="R260" s="4" t="str">
        <f>IF(C260="",IF(ISNUMBER(SEARCH("NOT NULL",UPPER(C$3))),"''","null"),SUBSTITUTE(VLOOKUP(C$2,convert!$A$1:$B$4,2,0),"@@@",C260))</f>
        <v>95</v>
      </c>
      <c r="S260" s="4" t="str">
        <f>IF(D260="",IF(ISNUMBER(SEARCH("NOT NULL",UPPER(D$3))),"''","null"),SUBSTITUTE(VLOOKUP(D$2,convert!$A$1:$B$4,2,0),"@@@",D260))</f>
        <v>65</v>
      </c>
      <c r="T260" s="4" t="str">
        <f>IF(E260="",IF(ISNUMBER(SEARCH("NOT NULL",UPPER(E$3))),"''","null"),SUBSTITUTE(VLOOKUP(E$2,convert!$A$1:$B$4,2,0),"@@@",E260))</f>
        <v>80</v>
      </c>
      <c r="U260" s="4" t="str">
        <f>IF(F260="",IF(ISNUMBER(SEARCH("NOT NULL",UPPER(F$3))),"''","null"),SUBSTITUTE(VLOOKUP(F$2,convert!$A$1:$B$4,2,0),"@@@",F260))</f>
        <v>110</v>
      </c>
      <c r="V260" s="4" t="str">
        <f>IF(G260="",IF(ISNUMBER(SEARCH("NOT NULL",UPPER(G$3))),"''","null"),SUBSTITUTE(VLOOKUP(G$2,convert!$A$1:$B$4,2,0),"@@@",G260))</f>
        <v>110</v>
      </c>
      <c r="W260" s="4" t="str">
        <f>IF(H260="",IF(ISNUMBER(SEARCH("NOT NULL",UPPER(H$3))),"''","null"),SUBSTITUTE(VLOOKUP(H$2,convert!$A$1:$B$4,2,0),"@@@",H260))</f>
        <v>30</v>
      </c>
      <c r="X260" s="4" t="str">
        <f>IF(I260="",IF(ISNUMBER(SEARCH("NOT NULL",UPPER(I$3))),"''","null"),SUBSTITUTE(VLOOKUP(I$2,convert!$A$1:$B$4,2,0),"@@@",I260))</f>
        <v>'ガラルのすがた'</v>
      </c>
      <c r="Y260" s="4" t="str">
        <f>IF(J260="",IF(ISNUMBER(SEARCH("NOT NULL",UPPER(J$3))),"''","null"),SUBSTITUTE(VLOOKUP(J$2,convert!$A$1:$B$4,2,0),"@@@",J260))</f>
        <v>'poison'</v>
      </c>
      <c r="Z260" s="4" t="str">
        <f>IF(K260="",IF(ISNUMBER(SEARCH("NOT NULL",UPPER(K$3))),"''","null"),SUBSTITUTE(VLOOKUP(K$2,convert!$A$1:$B$4,2,0),"@@@",K260))</f>
        <v>'psychic'</v>
      </c>
      <c r="AA260" s="4" t="str">
        <f>IF(L260="",IF(ISNUMBER(SEARCH("NOT NULL",UPPER(L$3))),"''","null"),SUBSTITUTE(VLOOKUP(L$2,convert!$A$1:$B$4,2,0),"@@@",L260))</f>
        <v>'g8'</v>
      </c>
      <c r="AB260" s="4" t="str">
        <f>IF(M260="",IF(ISNUMBER(SEARCH("NOT NULL",UPPER(M$3))),"''","null"),SUBSTITUTE(VLOOKUP(M$2,convert!$A$1:$B$4,2,0),"@@@",M260))</f>
        <v>null</v>
      </c>
      <c r="AC260" s="4" t="str">
        <f>IF(N260="",IF(ISNUMBER(SEARCH("NOT NULL",UPPER(N$3))),"''","null"),SUBSTITUTE(VLOOKUP(N$2,convert!$A$1:$B$4,2,0),"@@@",N260))</f>
        <v>null</v>
      </c>
      <c r="AD260" s="4" t="str">
        <f>IF(O260="",IF(ISNUMBER(SEARCH("NOT NULL",UPPER(O$3))),"''","null"),SUBSTITUTE(VLOOKUP(O$2,convert!$A$1:$B$4,2,0),"@@@",O260))</f>
        <v>TRUE</v>
      </c>
      <c r="AE260" s="4" t="str">
        <f t="shared" si="3"/>
        <v>    ('0199G01', 'ヤドキング', 95, 65, 80, 110, 110, 30, 'ガラルのすがた', 'poison', 'psychic', 'g8', null, null, TRUE),</v>
      </c>
    </row>
    <row r="261" spans="1:31">
      <c r="A261" s="4" t="s">
        <v>537</v>
      </c>
      <c r="B261" s="4" t="s">
        <v>538</v>
      </c>
      <c r="C261" s="5">
        <v>60</v>
      </c>
      <c r="D261" s="5">
        <v>60</v>
      </c>
      <c r="E261" s="5">
        <v>60</v>
      </c>
      <c r="F261" s="5">
        <v>85</v>
      </c>
      <c r="G261" s="5">
        <v>85</v>
      </c>
      <c r="H261" s="5">
        <v>85</v>
      </c>
      <c r="I261" s="5"/>
      <c r="J261" s="4" t="s">
        <v>281</v>
      </c>
      <c r="K261" s="5"/>
      <c r="L261" s="4" t="s">
        <v>436</v>
      </c>
      <c r="M261" s="5"/>
      <c r="N261" s="5"/>
      <c r="O261" s="5" t="b">
        <v>1</v>
      </c>
      <c r="P261" s="4" t="str">
        <f>IF(A261="",IF(ISNUMBER(SEARCH("NOT NULL",UPPER(A$3))),"''","null"),SUBSTITUTE(VLOOKUP(A$2,convert!$A$1:$B$4,2,0),"@@@",A261))</f>
        <v>'0200N01'</v>
      </c>
      <c r="Q261" s="4" t="str">
        <f>IF(B261="",IF(ISNUMBER(SEARCH("NOT NULL",UPPER(B$3))),"''","null"),SUBSTITUTE(VLOOKUP(B$2,convert!$A$1:$B$4,2,0),"@@@",B261))</f>
        <v>'ムウマ'</v>
      </c>
      <c r="R261" s="4" t="str">
        <f>IF(C261="",IF(ISNUMBER(SEARCH("NOT NULL",UPPER(C$3))),"''","null"),SUBSTITUTE(VLOOKUP(C$2,convert!$A$1:$B$4,2,0),"@@@",C261))</f>
        <v>60</v>
      </c>
      <c r="S261" s="4" t="str">
        <f>IF(D261="",IF(ISNUMBER(SEARCH("NOT NULL",UPPER(D$3))),"''","null"),SUBSTITUTE(VLOOKUP(D$2,convert!$A$1:$B$4,2,0),"@@@",D261))</f>
        <v>60</v>
      </c>
      <c r="T261" s="4" t="str">
        <f>IF(E261="",IF(ISNUMBER(SEARCH("NOT NULL",UPPER(E$3))),"''","null"),SUBSTITUTE(VLOOKUP(E$2,convert!$A$1:$B$4,2,0),"@@@",E261))</f>
        <v>60</v>
      </c>
      <c r="U261" s="4" t="str">
        <f>IF(F261="",IF(ISNUMBER(SEARCH("NOT NULL",UPPER(F$3))),"''","null"),SUBSTITUTE(VLOOKUP(F$2,convert!$A$1:$B$4,2,0),"@@@",F261))</f>
        <v>85</v>
      </c>
      <c r="V261" s="4" t="str">
        <f>IF(G261="",IF(ISNUMBER(SEARCH("NOT NULL",UPPER(G$3))),"''","null"),SUBSTITUTE(VLOOKUP(G$2,convert!$A$1:$B$4,2,0),"@@@",G261))</f>
        <v>85</v>
      </c>
      <c r="W261" s="4" t="str">
        <f>IF(H261="",IF(ISNUMBER(SEARCH("NOT NULL",UPPER(H$3))),"''","null"),SUBSTITUTE(VLOOKUP(H$2,convert!$A$1:$B$4,2,0),"@@@",H261))</f>
        <v>85</v>
      </c>
      <c r="X261" s="4" t="str">
        <f>IF(I261="",IF(ISNUMBER(SEARCH("NOT NULL",UPPER(I$3))),"''","null"),SUBSTITUTE(VLOOKUP(I$2,convert!$A$1:$B$4,2,0),"@@@",I261))</f>
        <v>''</v>
      </c>
      <c r="Y261" s="4" t="str">
        <f>IF(J261="",IF(ISNUMBER(SEARCH("NOT NULL",UPPER(J$3))),"''","null"),SUBSTITUTE(VLOOKUP(J$2,convert!$A$1:$B$4,2,0),"@@@",J261))</f>
        <v>'ghost'</v>
      </c>
      <c r="Z261" s="4" t="str">
        <f>IF(K261="",IF(ISNUMBER(SEARCH("NOT NULL",UPPER(K$3))),"''","null"),SUBSTITUTE(VLOOKUP(K$2,convert!$A$1:$B$4,2,0),"@@@",K261))</f>
        <v>null</v>
      </c>
      <c r="AA261" s="4" t="str">
        <f>IF(L261="",IF(ISNUMBER(SEARCH("NOT NULL",UPPER(L$3))),"''","null"),SUBSTITUTE(VLOOKUP(L$2,convert!$A$1:$B$4,2,0),"@@@",L261))</f>
        <v>'g2'</v>
      </c>
      <c r="AB261" s="4" t="str">
        <f>IF(M261="",IF(ISNUMBER(SEARCH("NOT NULL",UPPER(M$3))),"''","null"),SUBSTITUTE(VLOOKUP(M$2,convert!$A$1:$B$4,2,0),"@@@",M261))</f>
        <v>null</v>
      </c>
      <c r="AC261" s="4" t="str">
        <f>IF(N261="",IF(ISNUMBER(SEARCH("NOT NULL",UPPER(N$3))),"''","null"),SUBSTITUTE(VLOOKUP(N$2,convert!$A$1:$B$4,2,0),"@@@",N261))</f>
        <v>null</v>
      </c>
      <c r="AD261" s="4" t="str">
        <f>IF(O261="",IF(ISNUMBER(SEARCH("NOT NULL",UPPER(O$3))),"''","null"),SUBSTITUTE(VLOOKUP(O$2,convert!$A$1:$B$4,2,0),"@@@",O261))</f>
        <v>TRUE</v>
      </c>
      <c r="AE261" s="4" t="str">
        <f t="shared" ref="AE261:AE324" si="4">"    ("&amp;_xlfn.TEXTJOIN(", ",FALSE,P261:AD261)&amp;"),"</f>
        <v>    ('0200N01', 'ムウマ', 60, 60, 60, 85, 85, 85, '', 'ghost', null, 'g2', null, null, TRUE),</v>
      </c>
    </row>
    <row r="262" spans="1:31">
      <c r="A262" s="4" t="s">
        <v>539</v>
      </c>
      <c r="B262" s="4" t="s">
        <v>540</v>
      </c>
      <c r="C262" s="5">
        <v>48</v>
      </c>
      <c r="D262" s="5">
        <v>72</v>
      </c>
      <c r="E262" s="5">
        <v>48</v>
      </c>
      <c r="F262" s="5">
        <v>72</v>
      </c>
      <c r="G262" s="5">
        <v>48</v>
      </c>
      <c r="H262" s="5">
        <v>48</v>
      </c>
      <c r="I262" s="5"/>
      <c r="J262" s="4" t="s">
        <v>113</v>
      </c>
      <c r="K262" s="5"/>
      <c r="L262" s="4" t="s">
        <v>436</v>
      </c>
      <c r="M262" s="5"/>
      <c r="N262" s="5"/>
      <c r="O262" s="5" t="b">
        <v>1</v>
      </c>
      <c r="P262" s="4" t="str">
        <f>IF(A262="",IF(ISNUMBER(SEARCH("NOT NULL",UPPER(A$3))),"''","null"),SUBSTITUTE(VLOOKUP(A$2,convert!$A$1:$B$4,2,0),"@@@",A262))</f>
        <v>'0201N01'</v>
      </c>
      <c r="Q262" s="4" t="str">
        <f>IF(B262="",IF(ISNUMBER(SEARCH("NOT NULL",UPPER(B$3))),"''","null"),SUBSTITUTE(VLOOKUP(B$2,convert!$A$1:$B$4,2,0),"@@@",B262))</f>
        <v>'アンノーン'</v>
      </c>
      <c r="R262" s="4" t="str">
        <f>IF(C262="",IF(ISNUMBER(SEARCH("NOT NULL",UPPER(C$3))),"''","null"),SUBSTITUTE(VLOOKUP(C$2,convert!$A$1:$B$4,2,0),"@@@",C262))</f>
        <v>48</v>
      </c>
      <c r="S262" s="4" t="str">
        <f>IF(D262="",IF(ISNUMBER(SEARCH("NOT NULL",UPPER(D$3))),"''","null"),SUBSTITUTE(VLOOKUP(D$2,convert!$A$1:$B$4,2,0),"@@@",D262))</f>
        <v>72</v>
      </c>
      <c r="T262" s="4" t="str">
        <f>IF(E262="",IF(ISNUMBER(SEARCH("NOT NULL",UPPER(E$3))),"''","null"),SUBSTITUTE(VLOOKUP(E$2,convert!$A$1:$B$4,2,0),"@@@",E262))</f>
        <v>48</v>
      </c>
      <c r="U262" s="4" t="str">
        <f>IF(F262="",IF(ISNUMBER(SEARCH("NOT NULL",UPPER(F$3))),"''","null"),SUBSTITUTE(VLOOKUP(F$2,convert!$A$1:$B$4,2,0),"@@@",F262))</f>
        <v>72</v>
      </c>
      <c r="V262" s="4" t="str">
        <f>IF(G262="",IF(ISNUMBER(SEARCH("NOT NULL",UPPER(G$3))),"''","null"),SUBSTITUTE(VLOOKUP(G$2,convert!$A$1:$B$4,2,0),"@@@",G262))</f>
        <v>48</v>
      </c>
      <c r="W262" s="4" t="str">
        <f>IF(H262="",IF(ISNUMBER(SEARCH("NOT NULL",UPPER(H$3))),"''","null"),SUBSTITUTE(VLOOKUP(H$2,convert!$A$1:$B$4,2,0),"@@@",H262))</f>
        <v>48</v>
      </c>
      <c r="X262" s="4" t="str">
        <f>IF(I262="",IF(ISNUMBER(SEARCH("NOT NULL",UPPER(I$3))),"''","null"),SUBSTITUTE(VLOOKUP(I$2,convert!$A$1:$B$4,2,0),"@@@",I262))</f>
        <v>''</v>
      </c>
      <c r="Y262" s="4" t="str">
        <f>IF(J262="",IF(ISNUMBER(SEARCH("NOT NULL",UPPER(J$3))),"''","null"),SUBSTITUTE(VLOOKUP(J$2,convert!$A$1:$B$4,2,0),"@@@",J262))</f>
        <v>'psychic'</v>
      </c>
      <c r="Z262" s="4" t="str">
        <f>IF(K262="",IF(ISNUMBER(SEARCH("NOT NULL",UPPER(K$3))),"''","null"),SUBSTITUTE(VLOOKUP(K$2,convert!$A$1:$B$4,2,0),"@@@",K262))</f>
        <v>null</v>
      </c>
      <c r="AA262" s="4" t="str">
        <f>IF(L262="",IF(ISNUMBER(SEARCH("NOT NULL",UPPER(L$3))),"''","null"),SUBSTITUTE(VLOOKUP(L$2,convert!$A$1:$B$4,2,0),"@@@",L262))</f>
        <v>'g2'</v>
      </c>
      <c r="AB262" s="4" t="str">
        <f>IF(M262="",IF(ISNUMBER(SEARCH("NOT NULL",UPPER(M$3))),"''","null"),SUBSTITUTE(VLOOKUP(M$2,convert!$A$1:$B$4,2,0),"@@@",M262))</f>
        <v>null</v>
      </c>
      <c r="AC262" s="4" t="str">
        <f>IF(N262="",IF(ISNUMBER(SEARCH("NOT NULL",UPPER(N$3))),"''","null"),SUBSTITUTE(VLOOKUP(N$2,convert!$A$1:$B$4,2,0),"@@@",N262))</f>
        <v>null</v>
      </c>
      <c r="AD262" s="4" t="str">
        <f>IF(O262="",IF(ISNUMBER(SEARCH("NOT NULL",UPPER(O$3))),"''","null"),SUBSTITUTE(VLOOKUP(O$2,convert!$A$1:$B$4,2,0),"@@@",O262))</f>
        <v>TRUE</v>
      </c>
      <c r="AE262" s="4" t="str">
        <f t="shared" si="4"/>
        <v>    ('0201N01', 'アンノーン', 48, 72, 48, 72, 48, 48, '', 'psychic', null, 'g2', null, null, TRUE),</v>
      </c>
    </row>
    <row r="263" spans="1:31">
      <c r="A263" s="4" t="s">
        <v>541</v>
      </c>
      <c r="B263" s="4" t="s">
        <v>542</v>
      </c>
      <c r="C263" s="5">
        <v>190</v>
      </c>
      <c r="D263" s="5">
        <v>33</v>
      </c>
      <c r="E263" s="5">
        <v>58</v>
      </c>
      <c r="F263" s="5">
        <v>33</v>
      </c>
      <c r="G263" s="5">
        <v>58</v>
      </c>
      <c r="H263" s="5">
        <v>33</v>
      </c>
      <c r="I263" s="5"/>
      <c r="J263" s="4" t="s">
        <v>113</v>
      </c>
      <c r="K263" s="5"/>
      <c r="L263" s="4" t="s">
        <v>436</v>
      </c>
      <c r="M263" s="5"/>
      <c r="N263" s="5"/>
      <c r="O263" s="5" t="b">
        <v>1</v>
      </c>
      <c r="P263" s="4" t="str">
        <f>IF(A263="",IF(ISNUMBER(SEARCH("NOT NULL",UPPER(A$3))),"''","null"),SUBSTITUTE(VLOOKUP(A$2,convert!$A$1:$B$4,2,0),"@@@",A263))</f>
        <v>'0202N01'</v>
      </c>
      <c r="Q263" s="4" t="str">
        <f>IF(B263="",IF(ISNUMBER(SEARCH("NOT NULL",UPPER(B$3))),"''","null"),SUBSTITUTE(VLOOKUP(B$2,convert!$A$1:$B$4,2,0),"@@@",B263))</f>
        <v>'ソーナンス'</v>
      </c>
      <c r="R263" s="4" t="str">
        <f>IF(C263="",IF(ISNUMBER(SEARCH("NOT NULL",UPPER(C$3))),"''","null"),SUBSTITUTE(VLOOKUP(C$2,convert!$A$1:$B$4,2,0),"@@@",C263))</f>
        <v>190</v>
      </c>
      <c r="S263" s="4" t="str">
        <f>IF(D263="",IF(ISNUMBER(SEARCH("NOT NULL",UPPER(D$3))),"''","null"),SUBSTITUTE(VLOOKUP(D$2,convert!$A$1:$B$4,2,0),"@@@",D263))</f>
        <v>33</v>
      </c>
      <c r="T263" s="4" t="str">
        <f>IF(E263="",IF(ISNUMBER(SEARCH("NOT NULL",UPPER(E$3))),"''","null"),SUBSTITUTE(VLOOKUP(E$2,convert!$A$1:$B$4,2,0),"@@@",E263))</f>
        <v>58</v>
      </c>
      <c r="U263" s="4" t="str">
        <f>IF(F263="",IF(ISNUMBER(SEARCH("NOT NULL",UPPER(F$3))),"''","null"),SUBSTITUTE(VLOOKUP(F$2,convert!$A$1:$B$4,2,0),"@@@",F263))</f>
        <v>33</v>
      </c>
      <c r="V263" s="4" t="str">
        <f>IF(G263="",IF(ISNUMBER(SEARCH("NOT NULL",UPPER(G$3))),"''","null"),SUBSTITUTE(VLOOKUP(G$2,convert!$A$1:$B$4,2,0),"@@@",G263))</f>
        <v>58</v>
      </c>
      <c r="W263" s="4" t="str">
        <f>IF(H263="",IF(ISNUMBER(SEARCH("NOT NULL",UPPER(H$3))),"''","null"),SUBSTITUTE(VLOOKUP(H$2,convert!$A$1:$B$4,2,0),"@@@",H263))</f>
        <v>33</v>
      </c>
      <c r="X263" s="4" t="str">
        <f>IF(I263="",IF(ISNUMBER(SEARCH("NOT NULL",UPPER(I$3))),"''","null"),SUBSTITUTE(VLOOKUP(I$2,convert!$A$1:$B$4,2,0),"@@@",I263))</f>
        <v>''</v>
      </c>
      <c r="Y263" s="4" t="str">
        <f>IF(J263="",IF(ISNUMBER(SEARCH("NOT NULL",UPPER(J$3))),"''","null"),SUBSTITUTE(VLOOKUP(J$2,convert!$A$1:$B$4,2,0),"@@@",J263))</f>
        <v>'psychic'</v>
      </c>
      <c r="Z263" s="4" t="str">
        <f>IF(K263="",IF(ISNUMBER(SEARCH("NOT NULL",UPPER(K$3))),"''","null"),SUBSTITUTE(VLOOKUP(K$2,convert!$A$1:$B$4,2,0),"@@@",K263))</f>
        <v>null</v>
      </c>
      <c r="AA263" s="4" t="str">
        <f>IF(L263="",IF(ISNUMBER(SEARCH("NOT NULL",UPPER(L$3))),"''","null"),SUBSTITUTE(VLOOKUP(L$2,convert!$A$1:$B$4,2,0),"@@@",L263))</f>
        <v>'g2'</v>
      </c>
      <c r="AB263" s="4" t="str">
        <f>IF(M263="",IF(ISNUMBER(SEARCH("NOT NULL",UPPER(M$3))),"''","null"),SUBSTITUTE(VLOOKUP(M$2,convert!$A$1:$B$4,2,0),"@@@",M263))</f>
        <v>null</v>
      </c>
      <c r="AC263" s="4" t="str">
        <f>IF(N263="",IF(ISNUMBER(SEARCH("NOT NULL",UPPER(N$3))),"''","null"),SUBSTITUTE(VLOOKUP(N$2,convert!$A$1:$B$4,2,0),"@@@",N263))</f>
        <v>null</v>
      </c>
      <c r="AD263" s="4" t="str">
        <f>IF(O263="",IF(ISNUMBER(SEARCH("NOT NULL",UPPER(O$3))),"''","null"),SUBSTITUTE(VLOOKUP(O$2,convert!$A$1:$B$4,2,0),"@@@",O263))</f>
        <v>TRUE</v>
      </c>
      <c r="AE263" s="4" t="str">
        <f t="shared" si="4"/>
        <v>    ('0202N01', 'ソーナンス', 190, 33, 58, 33, 58, 33, '', 'psychic', null, 'g2', null, null, TRUE),</v>
      </c>
    </row>
    <row r="264" spans="1:31">
      <c r="A264" s="4" t="s">
        <v>543</v>
      </c>
      <c r="B264" s="4" t="s">
        <v>544</v>
      </c>
      <c r="C264" s="5">
        <v>70</v>
      </c>
      <c r="D264" s="5">
        <v>80</v>
      </c>
      <c r="E264" s="5">
        <v>65</v>
      </c>
      <c r="F264" s="5">
        <v>90</v>
      </c>
      <c r="G264" s="5">
        <v>65</v>
      </c>
      <c r="H264" s="5">
        <v>85</v>
      </c>
      <c r="I264" s="5"/>
      <c r="J264" s="4" t="s">
        <v>80</v>
      </c>
      <c r="K264" s="4" t="s">
        <v>113</v>
      </c>
      <c r="L264" s="4" t="s">
        <v>436</v>
      </c>
      <c r="M264" s="5"/>
      <c r="N264" s="5"/>
      <c r="O264" s="5" t="b">
        <v>1</v>
      </c>
      <c r="P264" s="4" t="str">
        <f>IF(A264="",IF(ISNUMBER(SEARCH("NOT NULL",UPPER(A$3))),"''","null"),SUBSTITUTE(VLOOKUP(A$2,convert!$A$1:$B$4,2,0),"@@@",A264))</f>
        <v>'0203N01'</v>
      </c>
      <c r="Q264" s="4" t="str">
        <f>IF(B264="",IF(ISNUMBER(SEARCH("NOT NULL",UPPER(B$3))),"''","null"),SUBSTITUTE(VLOOKUP(B$2,convert!$A$1:$B$4,2,0),"@@@",B264))</f>
        <v>'キリンリキ'</v>
      </c>
      <c r="R264" s="4" t="str">
        <f>IF(C264="",IF(ISNUMBER(SEARCH("NOT NULL",UPPER(C$3))),"''","null"),SUBSTITUTE(VLOOKUP(C$2,convert!$A$1:$B$4,2,0),"@@@",C264))</f>
        <v>70</v>
      </c>
      <c r="S264" s="4" t="str">
        <f>IF(D264="",IF(ISNUMBER(SEARCH("NOT NULL",UPPER(D$3))),"''","null"),SUBSTITUTE(VLOOKUP(D$2,convert!$A$1:$B$4,2,0),"@@@",D264))</f>
        <v>80</v>
      </c>
      <c r="T264" s="4" t="str">
        <f>IF(E264="",IF(ISNUMBER(SEARCH("NOT NULL",UPPER(E$3))),"''","null"),SUBSTITUTE(VLOOKUP(E$2,convert!$A$1:$B$4,2,0),"@@@",E264))</f>
        <v>65</v>
      </c>
      <c r="U264" s="4" t="str">
        <f>IF(F264="",IF(ISNUMBER(SEARCH("NOT NULL",UPPER(F$3))),"''","null"),SUBSTITUTE(VLOOKUP(F$2,convert!$A$1:$B$4,2,0),"@@@",F264))</f>
        <v>90</v>
      </c>
      <c r="V264" s="4" t="str">
        <f>IF(G264="",IF(ISNUMBER(SEARCH("NOT NULL",UPPER(G$3))),"''","null"),SUBSTITUTE(VLOOKUP(G$2,convert!$A$1:$B$4,2,0),"@@@",G264))</f>
        <v>65</v>
      </c>
      <c r="W264" s="4" t="str">
        <f>IF(H264="",IF(ISNUMBER(SEARCH("NOT NULL",UPPER(H$3))),"''","null"),SUBSTITUTE(VLOOKUP(H$2,convert!$A$1:$B$4,2,0),"@@@",H264))</f>
        <v>85</v>
      </c>
      <c r="X264" s="4" t="str">
        <f>IF(I264="",IF(ISNUMBER(SEARCH("NOT NULL",UPPER(I$3))),"''","null"),SUBSTITUTE(VLOOKUP(I$2,convert!$A$1:$B$4,2,0),"@@@",I264))</f>
        <v>''</v>
      </c>
      <c r="Y264" s="4" t="str">
        <f>IF(J264="",IF(ISNUMBER(SEARCH("NOT NULL",UPPER(J$3))),"''","null"),SUBSTITUTE(VLOOKUP(J$2,convert!$A$1:$B$4,2,0),"@@@",J264))</f>
        <v>'normal'</v>
      </c>
      <c r="Z264" s="4" t="str">
        <f>IF(K264="",IF(ISNUMBER(SEARCH("NOT NULL",UPPER(K$3))),"''","null"),SUBSTITUTE(VLOOKUP(K$2,convert!$A$1:$B$4,2,0),"@@@",K264))</f>
        <v>'psychic'</v>
      </c>
      <c r="AA264" s="4" t="str">
        <f>IF(L264="",IF(ISNUMBER(SEARCH("NOT NULL",UPPER(L$3))),"''","null"),SUBSTITUTE(VLOOKUP(L$2,convert!$A$1:$B$4,2,0),"@@@",L264))</f>
        <v>'g2'</v>
      </c>
      <c r="AB264" s="4" t="str">
        <f>IF(M264="",IF(ISNUMBER(SEARCH("NOT NULL",UPPER(M$3))),"''","null"),SUBSTITUTE(VLOOKUP(M$2,convert!$A$1:$B$4,2,0),"@@@",M264))</f>
        <v>null</v>
      </c>
      <c r="AC264" s="4" t="str">
        <f>IF(N264="",IF(ISNUMBER(SEARCH("NOT NULL",UPPER(N$3))),"''","null"),SUBSTITUTE(VLOOKUP(N$2,convert!$A$1:$B$4,2,0),"@@@",N264))</f>
        <v>null</v>
      </c>
      <c r="AD264" s="4" t="str">
        <f>IF(O264="",IF(ISNUMBER(SEARCH("NOT NULL",UPPER(O$3))),"''","null"),SUBSTITUTE(VLOOKUP(O$2,convert!$A$1:$B$4,2,0),"@@@",O264))</f>
        <v>TRUE</v>
      </c>
      <c r="AE264" s="4" t="str">
        <f t="shared" si="4"/>
        <v>    ('0203N01', 'キリンリキ', 70, 80, 65, 90, 65, 85, '', 'normal', 'psychic', 'g2', null, null, TRUE),</v>
      </c>
    </row>
    <row r="265" spans="1:31">
      <c r="A265" s="4" t="s">
        <v>545</v>
      </c>
      <c r="B265" s="4" t="s">
        <v>546</v>
      </c>
      <c r="C265" s="5">
        <v>50</v>
      </c>
      <c r="D265" s="5">
        <v>65</v>
      </c>
      <c r="E265" s="5">
        <v>90</v>
      </c>
      <c r="F265" s="5">
        <v>35</v>
      </c>
      <c r="G265" s="5">
        <v>35</v>
      </c>
      <c r="H265" s="5">
        <v>15</v>
      </c>
      <c r="I265" s="5"/>
      <c r="J265" s="4" t="s">
        <v>64</v>
      </c>
      <c r="K265" s="5"/>
      <c r="L265" s="4" t="s">
        <v>436</v>
      </c>
      <c r="M265" s="5"/>
      <c r="N265" s="5"/>
      <c r="O265" s="5" t="b">
        <v>1</v>
      </c>
      <c r="P265" s="4" t="str">
        <f>IF(A265="",IF(ISNUMBER(SEARCH("NOT NULL",UPPER(A$3))),"''","null"),SUBSTITUTE(VLOOKUP(A$2,convert!$A$1:$B$4,2,0),"@@@",A265))</f>
        <v>'0204N01'</v>
      </c>
      <c r="Q265" s="4" t="str">
        <f>IF(B265="",IF(ISNUMBER(SEARCH("NOT NULL",UPPER(B$3))),"''","null"),SUBSTITUTE(VLOOKUP(B$2,convert!$A$1:$B$4,2,0),"@@@",B265))</f>
        <v>'クヌギダマ'</v>
      </c>
      <c r="R265" s="4" t="str">
        <f>IF(C265="",IF(ISNUMBER(SEARCH("NOT NULL",UPPER(C$3))),"''","null"),SUBSTITUTE(VLOOKUP(C$2,convert!$A$1:$B$4,2,0),"@@@",C265))</f>
        <v>50</v>
      </c>
      <c r="S265" s="4" t="str">
        <f>IF(D265="",IF(ISNUMBER(SEARCH("NOT NULL",UPPER(D$3))),"''","null"),SUBSTITUTE(VLOOKUP(D$2,convert!$A$1:$B$4,2,0),"@@@",D265))</f>
        <v>65</v>
      </c>
      <c r="T265" s="4" t="str">
        <f>IF(E265="",IF(ISNUMBER(SEARCH("NOT NULL",UPPER(E$3))),"''","null"),SUBSTITUTE(VLOOKUP(E$2,convert!$A$1:$B$4,2,0),"@@@",E265))</f>
        <v>90</v>
      </c>
      <c r="U265" s="4" t="str">
        <f>IF(F265="",IF(ISNUMBER(SEARCH("NOT NULL",UPPER(F$3))),"''","null"),SUBSTITUTE(VLOOKUP(F$2,convert!$A$1:$B$4,2,0),"@@@",F265))</f>
        <v>35</v>
      </c>
      <c r="V265" s="4" t="str">
        <f>IF(G265="",IF(ISNUMBER(SEARCH("NOT NULL",UPPER(G$3))),"''","null"),SUBSTITUTE(VLOOKUP(G$2,convert!$A$1:$B$4,2,0),"@@@",G265))</f>
        <v>35</v>
      </c>
      <c r="W265" s="4" t="str">
        <f>IF(H265="",IF(ISNUMBER(SEARCH("NOT NULL",UPPER(H$3))),"''","null"),SUBSTITUTE(VLOOKUP(H$2,convert!$A$1:$B$4,2,0),"@@@",H265))</f>
        <v>15</v>
      </c>
      <c r="X265" s="4" t="str">
        <f>IF(I265="",IF(ISNUMBER(SEARCH("NOT NULL",UPPER(I$3))),"''","null"),SUBSTITUTE(VLOOKUP(I$2,convert!$A$1:$B$4,2,0),"@@@",I265))</f>
        <v>''</v>
      </c>
      <c r="Y265" s="4" t="str">
        <f>IF(J265="",IF(ISNUMBER(SEARCH("NOT NULL",UPPER(J$3))),"''","null"),SUBSTITUTE(VLOOKUP(J$2,convert!$A$1:$B$4,2,0),"@@@",J265))</f>
        <v>'bug'</v>
      </c>
      <c r="Z265" s="4" t="str">
        <f>IF(K265="",IF(ISNUMBER(SEARCH("NOT NULL",UPPER(K$3))),"''","null"),SUBSTITUTE(VLOOKUP(K$2,convert!$A$1:$B$4,2,0),"@@@",K265))</f>
        <v>null</v>
      </c>
      <c r="AA265" s="4" t="str">
        <f>IF(L265="",IF(ISNUMBER(SEARCH("NOT NULL",UPPER(L$3))),"''","null"),SUBSTITUTE(VLOOKUP(L$2,convert!$A$1:$B$4,2,0),"@@@",L265))</f>
        <v>'g2'</v>
      </c>
      <c r="AB265" s="4" t="str">
        <f>IF(M265="",IF(ISNUMBER(SEARCH("NOT NULL",UPPER(M$3))),"''","null"),SUBSTITUTE(VLOOKUP(M$2,convert!$A$1:$B$4,2,0),"@@@",M265))</f>
        <v>null</v>
      </c>
      <c r="AC265" s="4" t="str">
        <f>IF(N265="",IF(ISNUMBER(SEARCH("NOT NULL",UPPER(N$3))),"''","null"),SUBSTITUTE(VLOOKUP(N$2,convert!$A$1:$B$4,2,0),"@@@",N265))</f>
        <v>null</v>
      </c>
      <c r="AD265" s="4" t="str">
        <f>IF(O265="",IF(ISNUMBER(SEARCH("NOT NULL",UPPER(O$3))),"''","null"),SUBSTITUTE(VLOOKUP(O$2,convert!$A$1:$B$4,2,0),"@@@",O265))</f>
        <v>TRUE</v>
      </c>
      <c r="AE265" s="4" t="str">
        <f t="shared" si="4"/>
        <v>    ('0204N01', 'クヌギダマ', 50, 65, 90, 35, 35, 15, '', 'bug', null, 'g2', null, null, TRUE),</v>
      </c>
    </row>
    <row r="266" spans="1:31">
      <c r="A266" s="4" t="s">
        <v>547</v>
      </c>
      <c r="B266" s="4" t="s">
        <v>548</v>
      </c>
      <c r="C266" s="5">
        <v>75</v>
      </c>
      <c r="D266" s="5">
        <v>90</v>
      </c>
      <c r="E266" s="5">
        <v>140</v>
      </c>
      <c r="F266" s="5">
        <v>60</v>
      </c>
      <c r="G266" s="5">
        <v>60</v>
      </c>
      <c r="H266" s="5">
        <v>40</v>
      </c>
      <c r="I266" s="5"/>
      <c r="J266" s="4" t="s">
        <v>64</v>
      </c>
      <c r="K266" s="4" t="s">
        <v>119</v>
      </c>
      <c r="L266" s="4" t="s">
        <v>436</v>
      </c>
      <c r="M266" s="5"/>
      <c r="N266" s="5"/>
      <c r="O266" s="5" t="b">
        <v>1</v>
      </c>
      <c r="P266" s="4" t="str">
        <f>IF(A266="",IF(ISNUMBER(SEARCH("NOT NULL",UPPER(A$3))),"''","null"),SUBSTITUTE(VLOOKUP(A$2,convert!$A$1:$B$4,2,0),"@@@",A266))</f>
        <v>'0205N01'</v>
      </c>
      <c r="Q266" s="4" t="str">
        <f>IF(B266="",IF(ISNUMBER(SEARCH("NOT NULL",UPPER(B$3))),"''","null"),SUBSTITUTE(VLOOKUP(B$2,convert!$A$1:$B$4,2,0),"@@@",B266))</f>
        <v>'フォレトス'</v>
      </c>
      <c r="R266" s="4" t="str">
        <f>IF(C266="",IF(ISNUMBER(SEARCH("NOT NULL",UPPER(C$3))),"''","null"),SUBSTITUTE(VLOOKUP(C$2,convert!$A$1:$B$4,2,0),"@@@",C266))</f>
        <v>75</v>
      </c>
      <c r="S266" s="4" t="str">
        <f>IF(D266="",IF(ISNUMBER(SEARCH("NOT NULL",UPPER(D$3))),"''","null"),SUBSTITUTE(VLOOKUP(D$2,convert!$A$1:$B$4,2,0),"@@@",D266))</f>
        <v>90</v>
      </c>
      <c r="T266" s="4" t="str">
        <f>IF(E266="",IF(ISNUMBER(SEARCH("NOT NULL",UPPER(E$3))),"''","null"),SUBSTITUTE(VLOOKUP(E$2,convert!$A$1:$B$4,2,0),"@@@",E266))</f>
        <v>140</v>
      </c>
      <c r="U266" s="4" t="str">
        <f>IF(F266="",IF(ISNUMBER(SEARCH("NOT NULL",UPPER(F$3))),"''","null"),SUBSTITUTE(VLOOKUP(F$2,convert!$A$1:$B$4,2,0),"@@@",F266))</f>
        <v>60</v>
      </c>
      <c r="V266" s="4" t="str">
        <f>IF(G266="",IF(ISNUMBER(SEARCH("NOT NULL",UPPER(G$3))),"''","null"),SUBSTITUTE(VLOOKUP(G$2,convert!$A$1:$B$4,2,0),"@@@",G266))</f>
        <v>60</v>
      </c>
      <c r="W266" s="4" t="str">
        <f>IF(H266="",IF(ISNUMBER(SEARCH("NOT NULL",UPPER(H$3))),"''","null"),SUBSTITUTE(VLOOKUP(H$2,convert!$A$1:$B$4,2,0),"@@@",H266))</f>
        <v>40</v>
      </c>
      <c r="X266" s="4" t="str">
        <f>IF(I266="",IF(ISNUMBER(SEARCH("NOT NULL",UPPER(I$3))),"''","null"),SUBSTITUTE(VLOOKUP(I$2,convert!$A$1:$B$4,2,0),"@@@",I266))</f>
        <v>''</v>
      </c>
      <c r="Y266" s="4" t="str">
        <f>IF(J266="",IF(ISNUMBER(SEARCH("NOT NULL",UPPER(J$3))),"''","null"),SUBSTITUTE(VLOOKUP(J$2,convert!$A$1:$B$4,2,0),"@@@",J266))</f>
        <v>'bug'</v>
      </c>
      <c r="Z266" s="4" t="str">
        <f>IF(K266="",IF(ISNUMBER(SEARCH("NOT NULL",UPPER(K$3))),"''","null"),SUBSTITUTE(VLOOKUP(K$2,convert!$A$1:$B$4,2,0),"@@@",K266))</f>
        <v>'steel'</v>
      </c>
      <c r="AA266" s="4" t="str">
        <f>IF(L266="",IF(ISNUMBER(SEARCH("NOT NULL",UPPER(L$3))),"''","null"),SUBSTITUTE(VLOOKUP(L$2,convert!$A$1:$B$4,2,0),"@@@",L266))</f>
        <v>'g2'</v>
      </c>
      <c r="AB266" s="4" t="str">
        <f>IF(M266="",IF(ISNUMBER(SEARCH("NOT NULL",UPPER(M$3))),"''","null"),SUBSTITUTE(VLOOKUP(M$2,convert!$A$1:$B$4,2,0),"@@@",M266))</f>
        <v>null</v>
      </c>
      <c r="AC266" s="4" t="str">
        <f>IF(N266="",IF(ISNUMBER(SEARCH("NOT NULL",UPPER(N$3))),"''","null"),SUBSTITUTE(VLOOKUP(N$2,convert!$A$1:$B$4,2,0),"@@@",N266))</f>
        <v>null</v>
      </c>
      <c r="AD266" s="4" t="str">
        <f>IF(O266="",IF(ISNUMBER(SEARCH("NOT NULL",UPPER(O$3))),"''","null"),SUBSTITUTE(VLOOKUP(O$2,convert!$A$1:$B$4,2,0),"@@@",O266))</f>
        <v>TRUE</v>
      </c>
      <c r="AE266" s="4" t="str">
        <f t="shared" si="4"/>
        <v>    ('0205N01', 'フォレトス', 75, 90, 140, 60, 60, 40, '', 'bug', 'steel', 'g2', null, null, TRUE),</v>
      </c>
    </row>
    <row r="267" spans="1:31">
      <c r="A267" s="4" t="s">
        <v>549</v>
      </c>
      <c r="B267" s="4" t="s">
        <v>550</v>
      </c>
      <c r="C267" s="5">
        <v>100</v>
      </c>
      <c r="D267" s="5">
        <v>70</v>
      </c>
      <c r="E267" s="5">
        <v>70</v>
      </c>
      <c r="F267" s="5">
        <v>65</v>
      </c>
      <c r="G267" s="5">
        <v>65</v>
      </c>
      <c r="H267" s="5">
        <v>45</v>
      </c>
      <c r="I267" s="5"/>
      <c r="J267" s="4" t="s">
        <v>80</v>
      </c>
      <c r="K267" s="5"/>
      <c r="L267" s="4" t="s">
        <v>436</v>
      </c>
      <c r="M267" s="5"/>
      <c r="N267" s="5"/>
      <c r="O267" s="5" t="b">
        <v>1</v>
      </c>
      <c r="P267" s="4" t="str">
        <f>IF(A267="",IF(ISNUMBER(SEARCH("NOT NULL",UPPER(A$3))),"''","null"),SUBSTITUTE(VLOOKUP(A$2,convert!$A$1:$B$4,2,0),"@@@",A267))</f>
        <v>'0206N01'</v>
      </c>
      <c r="Q267" s="4" t="str">
        <f>IF(B267="",IF(ISNUMBER(SEARCH("NOT NULL",UPPER(B$3))),"''","null"),SUBSTITUTE(VLOOKUP(B$2,convert!$A$1:$B$4,2,0),"@@@",B267))</f>
        <v>'ノコッチ'</v>
      </c>
      <c r="R267" s="4" t="str">
        <f>IF(C267="",IF(ISNUMBER(SEARCH("NOT NULL",UPPER(C$3))),"''","null"),SUBSTITUTE(VLOOKUP(C$2,convert!$A$1:$B$4,2,0),"@@@",C267))</f>
        <v>100</v>
      </c>
      <c r="S267" s="4" t="str">
        <f>IF(D267="",IF(ISNUMBER(SEARCH("NOT NULL",UPPER(D$3))),"''","null"),SUBSTITUTE(VLOOKUP(D$2,convert!$A$1:$B$4,2,0),"@@@",D267))</f>
        <v>70</v>
      </c>
      <c r="T267" s="4" t="str">
        <f>IF(E267="",IF(ISNUMBER(SEARCH("NOT NULL",UPPER(E$3))),"''","null"),SUBSTITUTE(VLOOKUP(E$2,convert!$A$1:$B$4,2,0),"@@@",E267))</f>
        <v>70</v>
      </c>
      <c r="U267" s="4" t="str">
        <f>IF(F267="",IF(ISNUMBER(SEARCH("NOT NULL",UPPER(F$3))),"''","null"),SUBSTITUTE(VLOOKUP(F$2,convert!$A$1:$B$4,2,0),"@@@",F267))</f>
        <v>65</v>
      </c>
      <c r="V267" s="4" t="str">
        <f>IF(G267="",IF(ISNUMBER(SEARCH("NOT NULL",UPPER(G$3))),"''","null"),SUBSTITUTE(VLOOKUP(G$2,convert!$A$1:$B$4,2,0),"@@@",G267))</f>
        <v>65</v>
      </c>
      <c r="W267" s="4" t="str">
        <f>IF(H267="",IF(ISNUMBER(SEARCH("NOT NULL",UPPER(H$3))),"''","null"),SUBSTITUTE(VLOOKUP(H$2,convert!$A$1:$B$4,2,0),"@@@",H267))</f>
        <v>45</v>
      </c>
      <c r="X267" s="4" t="str">
        <f>IF(I267="",IF(ISNUMBER(SEARCH("NOT NULL",UPPER(I$3))),"''","null"),SUBSTITUTE(VLOOKUP(I$2,convert!$A$1:$B$4,2,0),"@@@",I267))</f>
        <v>''</v>
      </c>
      <c r="Y267" s="4" t="str">
        <f>IF(J267="",IF(ISNUMBER(SEARCH("NOT NULL",UPPER(J$3))),"''","null"),SUBSTITUTE(VLOOKUP(J$2,convert!$A$1:$B$4,2,0),"@@@",J267))</f>
        <v>'normal'</v>
      </c>
      <c r="Z267" s="4" t="str">
        <f>IF(K267="",IF(ISNUMBER(SEARCH("NOT NULL",UPPER(K$3))),"''","null"),SUBSTITUTE(VLOOKUP(K$2,convert!$A$1:$B$4,2,0),"@@@",K267))</f>
        <v>null</v>
      </c>
      <c r="AA267" s="4" t="str">
        <f>IF(L267="",IF(ISNUMBER(SEARCH("NOT NULL",UPPER(L$3))),"''","null"),SUBSTITUTE(VLOOKUP(L$2,convert!$A$1:$B$4,2,0),"@@@",L267))</f>
        <v>'g2'</v>
      </c>
      <c r="AB267" s="4" t="str">
        <f>IF(M267="",IF(ISNUMBER(SEARCH("NOT NULL",UPPER(M$3))),"''","null"),SUBSTITUTE(VLOOKUP(M$2,convert!$A$1:$B$4,2,0),"@@@",M267))</f>
        <v>null</v>
      </c>
      <c r="AC267" s="4" t="str">
        <f>IF(N267="",IF(ISNUMBER(SEARCH("NOT NULL",UPPER(N$3))),"''","null"),SUBSTITUTE(VLOOKUP(N$2,convert!$A$1:$B$4,2,0),"@@@",N267))</f>
        <v>null</v>
      </c>
      <c r="AD267" s="4" t="str">
        <f>IF(O267="",IF(ISNUMBER(SEARCH("NOT NULL",UPPER(O$3))),"''","null"),SUBSTITUTE(VLOOKUP(O$2,convert!$A$1:$B$4,2,0),"@@@",O267))</f>
        <v>TRUE</v>
      </c>
      <c r="AE267" s="4" t="str">
        <f t="shared" si="4"/>
        <v>    ('0206N01', 'ノコッチ', 100, 70, 70, 65, 65, 45, '', 'normal', null, 'g2', null, null, TRUE),</v>
      </c>
    </row>
    <row r="268" spans="1:31">
      <c r="A268" s="4" t="s">
        <v>551</v>
      </c>
      <c r="B268" s="4" t="s">
        <v>552</v>
      </c>
      <c r="C268" s="5">
        <v>65</v>
      </c>
      <c r="D268" s="5">
        <v>75</v>
      </c>
      <c r="E268" s="5">
        <v>105</v>
      </c>
      <c r="F268" s="5">
        <v>35</v>
      </c>
      <c r="G268" s="5">
        <v>65</v>
      </c>
      <c r="H268" s="5">
        <v>85</v>
      </c>
      <c r="I268" s="5"/>
      <c r="J268" s="4" t="s">
        <v>116</v>
      </c>
      <c r="K268" s="4" t="s">
        <v>47</v>
      </c>
      <c r="L268" s="4" t="s">
        <v>436</v>
      </c>
      <c r="M268" s="5"/>
      <c r="N268" s="5"/>
      <c r="O268" s="5" t="b">
        <v>1</v>
      </c>
      <c r="P268" s="4" t="str">
        <f>IF(A268="",IF(ISNUMBER(SEARCH("NOT NULL",UPPER(A$3))),"''","null"),SUBSTITUTE(VLOOKUP(A$2,convert!$A$1:$B$4,2,0),"@@@",A268))</f>
        <v>'0207N01'</v>
      </c>
      <c r="Q268" s="4" t="str">
        <f>IF(B268="",IF(ISNUMBER(SEARCH("NOT NULL",UPPER(B$3))),"''","null"),SUBSTITUTE(VLOOKUP(B$2,convert!$A$1:$B$4,2,0),"@@@",B268))</f>
        <v>'グライガー'</v>
      </c>
      <c r="R268" s="4" t="str">
        <f>IF(C268="",IF(ISNUMBER(SEARCH("NOT NULL",UPPER(C$3))),"''","null"),SUBSTITUTE(VLOOKUP(C$2,convert!$A$1:$B$4,2,0),"@@@",C268))</f>
        <v>65</v>
      </c>
      <c r="S268" s="4" t="str">
        <f>IF(D268="",IF(ISNUMBER(SEARCH("NOT NULL",UPPER(D$3))),"''","null"),SUBSTITUTE(VLOOKUP(D$2,convert!$A$1:$B$4,2,0),"@@@",D268))</f>
        <v>75</v>
      </c>
      <c r="T268" s="4" t="str">
        <f>IF(E268="",IF(ISNUMBER(SEARCH("NOT NULL",UPPER(E$3))),"''","null"),SUBSTITUTE(VLOOKUP(E$2,convert!$A$1:$B$4,2,0),"@@@",E268))</f>
        <v>105</v>
      </c>
      <c r="U268" s="4" t="str">
        <f>IF(F268="",IF(ISNUMBER(SEARCH("NOT NULL",UPPER(F$3))),"''","null"),SUBSTITUTE(VLOOKUP(F$2,convert!$A$1:$B$4,2,0),"@@@",F268))</f>
        <v>35</v>
      </c>
      <c r="V268" s="4" t="str">
        <f>IF(G268="",IF(ISNUMBER(SEARCH("NOT NULL",UPPER(G$3))),"''","null"),SUBSTITUTE(VLOOKUP(G$2,convert!$A$1:$B$4,2,0),"@@@",G268))</f>
        <v>65</v>
      </c>
      <c r="W268" s="4" t="str">
        <f>IF(H268="",IF(ISNUMBER(SEARCH("NOT NULL",UPPER(H$3))),"''","null"),SUBSTITUTE(VLOOKUP(H$2,convert!$A$1:$B$4,2,0),"@@@",H268))</f>
        <v>85</v>
      </c>
      <c r="X268" s="4" t="str">
        <f>IF(I268="",IF(ISNUMBER(SEARCH("NOT NULL",UPPER(I$3))),"''","null"),SUBSTITUTE(VLOOKUP(I$2,convert!$A$1:$B$4,2,0),"@@@",I268))</f>
        <v>''</v>
      </c>
      <c r="Y268" s="4" t="str">
        <f>IF(J268="",IF(ISNUMBER(SEARCH("NOT NULL",UPPER(J$3))),"''","null"),SUBSTITUTE(VLOOKUP(J$2,convert!$A$1:$B$4,2,0),"@@@",J268))</f>
        <v>'ground'</v>
      </c>
      <c r="Z268" s="4" t="str">
        <f>IF(K268="",IF(ISNUMBER(SEARCH("NOT NULL",UPPER(K$3))),"''","null"),SUBSTITUTE(VLOOKUP(K$2,convert!$A$1:$B$4,2,0),"@@@",K268))</f>
        <v>'flying'</v>
      </c>
      <c r="AA268" s="4" t="str">
        <f>IF(L268="",IF(ISNUMBER(SEARCH("NOT NULL",UPPER(L$3))),"''","null"),SUBSTITUTE(VLOOKUP(L$2,convert!$A$1:$B$4,2,0),"@@@",L268))</f>
        <v>'g2'</v>
      </c>
      <c r="AB268" s="4" t="str">
        <f>IF(M268="",IF(ISNUMBER(SEARCH("NOT NULL",UPPER(M$3))),"''","null"),SUBSTITUTE(VLOOKUP(M$2,convert!$A$1:$B$4,2,0),"@@@",M268))</f>
        <v>null</v>
      </c>
      <c r="AC268" s="4" t="str">
        <f>IF(N268="",IF(ISNUMBER(SEARCH("NOT NULL",UPPER(N$3))),"''","null"),SUBSTITUTE(VLOOKUP(N$2,convert!$A$1:$B$4,2,0),"@@@",N268))</f>
        <v>null</v>
      </c>
      <c r="AD268" s="4" t="str">
        <f>IF(O268="",IF(ISNUMBER(SEARCH("NOT NULL",UPPER(O$3))),"''","null"),SUBSTITUTE(VLOOKUP(O$2,convert!$A$1:$B$4,2,0),"@@@",O268))</f>
        <v>TRUE</v>
      </c>
      <c r="AE268" s="4" t="str">
        <f t="shared" si="4"/>
        <v>    ('0207N01', 'グライガー', 65, 75, 105, 35, 65, 85, '', 'ground', 'flying', 'g2', null, null, TRUE),</v>
      </c>
    </row>
    <row r="269" spans="1:31">
      <c r="A269" s="4" t="s">
        <v>553</v>
      </c>
      <c r="B269" s="4" t="s">
        <v>554</v>
      </c>
      <c r="C269" s="5">
        <v>75</v>
      </c>
      <c r="D269" s="5">
        <v>85</v>
      </c>
      <c r="E269" s="5">
        <v>200</v>
      </c>
      <c r="F269" s="5">
        <v>55</v>
      </c>
      <c r="G269" s="5">
        <v>65</v>
      </c>
      <c r="H269" s="5">
        <v>30</v>
      </c>
      <c r="I269" s="5"/>
      <c r="J269" s="4" t="s">
        <v>119</v>
      </c>
      <c r="K269" s="4" t="s">
        <v>116</v>
      </c>
      <c r="L269" s="4" t="s">
        <v>436</v>
      </c>
      <c r="M269" s="5"/>
      <c r="N269" s="5"/>
      <c r="O269" s="5" t="b">
        <v>1</v>
      </c>
      <c r="P269" s="4" t="str">
        <f>IF(A269="",IF(ISNUMBER(SEARCH("NOT NULL",UPPER(A$3))),"''","null"),SUBSTITUTE(VLOOKUP(A$2,convert!$A$1:$B$4,2,0),"@@@",A269))</f>
        <v>'0208N01'</v>
      </c>
      <c r="Q269" s="4" t="str">
        <f>IF(B269="",IF(ISNUMBER(SEARCH("NOT NULL",UPPER(B$3))),"''","null"),SUBSTITUTE(VLOOKUP(B$2,convert!$A$1:$B$4,2,0),"@@@",B269))</f>
        <v>'ハガネール'</v>
      </c>
      <c r="R269" s="4" t="str">
        <f>IF(C269="",IF(ISNUMBER(SEARCH("NOT NULL",UPPER(C$3))),"''","null"),SUBSTITUTE(VLOOKUP(C$2,convert!$A$1:$B$4,2,0),"@@@",C269))</f>
        <v>75</v>
      </c>
      <c r="S269" s="4" t="str">
        <f>IF(D269="",IF(ISNUMBER(SEARCH("NOT NULL",UPPER(D$3))),"''","null"),SUBSTITUTE(VLOOKUP(D$2,convert!$A$1:$B$4,2,0),"@@@",D269))</f>
        <v>85</v>
      </c>
      <c r="T269" s="4" t="str">
        <f>IF(E269="",IF(ISNUMBER(SEARCH("NOT NULL",UPPER(E$3))),"''","null"),SUBSTITUTE(VLOOKUP(E$2,convert!$A$1:$B$4,2,0),"@@@",E269))</f>
        <v>200</v>
      </c>
      <c r="U269" s="4" t="str">
        <f>IF(F269="",IF(ISNUMBER(SEARCH("NOT NULL",UPPER(F$3))),"''","null"),SUBSTITUTE(VLOOKUP(F$2,convert!$A$1:$B$4,2,0),"@@@",F269))</f>
        <v>55</v>
      </c>
      <c r="V269" s="4" t="str">
        <f>IF(G269="",IF(ISNUMBER(SEARCH("NOT NULL",UPPER(G$3))),"''","null"),SUBSTITUTE(VLOOKUP(G$2,convert!$A$1:$B$4,2,0),"@@@",G269))</f>
        <v>65</v>
      </c>
      <c r="W269" s="4" t="str">
        <f>IF(H269="",IF(ISNUMBER(SEARCH("NOT NULL",UPPER(H$3))),"''","null"),SUBSTITUTE(VLOOKUP(H$2,convert!$A$1:$B$4,2,0),"@@@",H269))</f>
        <v>30</v>
      </c>
      <c r="X269" s="4" t="str">
        <f>IF(I269="",IF(ISNUMBER(SEARCH("NOT NULL",UPPER(I$3))),"''","null"),SUBSTITUTE(VLOOKUP(I$2,convert!$A$1:$B$4,2,0),"@@@",I269))</f>
        <v>''</v>
      </c>
      <c r="Y269" s="4" t="str">
        <f>IF(J269="",IF(ISNUMBER(SEARCH("NOT NULL",UPPER(J$3))),"''","null"),SUBSTITUTE(VLOOKUP(J$2,convert!$A$1:$B$4,2,0),"@@@",J269))</f>
        <v>'steel'</v>
      </c>
      <c r="Z269" s="4" t="str">
        <f>IF(K269="",IF(ISNUMBER(SEARCH("NOT NULL",UPPER(K$3))),"''","null"),SUBSTITUTE(VLOOKUP(K$2,convert!$A$1:$B$4,2,0),"@@@",K269))</f>
        <v>'ground'</v>
      </c>
      <c r="AA269" s="4" t="str">
        <f>IF(L269="",IF(ISNUMBER(SEARCH("NOT NULL",UPPER(L$3))),"''","null"),SUBSTITUTE(VLOOKUP(L$2,convert!$A$1:$B$4,2,0),"@@@",L269))</f>
        <v>'g2'</v>
      </c>
      <c r="AB269" s="4" t="str">
        <f>IF(M269="",IF(ISNUMBER(SEARCH("NOT NULL",UPPER(M$3))),"''","null"),SUBSTITUTE(VLOOKUP(M$2,convert!$A$1:$B$4,2,0),"@@@",M269))</f>
        <v>null</v>
      </c>
      <c r="AC269" s="4" t="str">
        <f>IF(N269="",IF(ISNUMBER(SEARCH("NOT NULL",UPPER(N$3))),"''","null"),SUBSTITUTE(VLOOKUP(N$2,convert!$A$1:$B$4,2,0),"@@@",N269))</f>
        <v>null</v>
      </c>
      <c r="AD269" s="4" t="str">
        <f>IF(O269="",IF(ISNUMBER(SEARCH("NOT NULL",UPPER(O$3))),"''","null"),SUBSTITUTE(VLOOKUP(O$2,convert!$A$1:$B$4,2,0),"@@@",O269))</f>
        <v>TRUE</v>
      </c>
      <c r="AE269" s="4" t="str">
        <f t="shared" si="4"/>
        <v>    ('0208N01', 'ハガネール', 75, 85, 200, 55, 65, 30, '', 'steel', 'ground', 'g2', null, null, TRUE),</v>
      </c>
    </row>
    <row r="270" spans="1:31">
      <c r="A270" s="4" t="s">
        <v>555</v>
      </c>
      <c r="B270" s="4" t="s">
        <v>556</v>
      </c>
      <c r="C270" s="5">
        <v>75</v>
      </c>
      <c r="D270" s="5">
        <v>125</v>
      </c>
      <c r="E270" s="5">
        <v>230</v>
      </c>
      <c r="F270" s="5">
        <v>55</v>
      </c>
      <c r="G270" s="5">
        <v>95</v>
      </c>
      <c r="H270" s="5">
        <v>30</v>
      </c>
      <c r="I270" s="5"/>
      <c r="J270" s="4" t="s">
        <v>119</v>
      </c>
      <c r="K270" s="4" t="s">
        <v>116</v>
      </c>
      <c r="L270" s="4" t="s">
        <v>77</v>
      </c>
      <c r="M270" s="5"/>
      <c r="N270" s="5"/>
      <c r="O270" s="5" t="b">
        <v>1</v>
      </c>
      <c r="P270" s="4" t="str">
        <f>IF(A270="",IF(ISNUMBER(SEARCH("NOT NULL",UPPER(A$3))),"''","null"),SUBSTITUTE(VLOOKUP(A$2,convert!$A$1:$B$4,2,0),"@@@",A270))</f>
        <v>'0208M01'</v>
      </c>
      <c r="Q270" s="4" t="str">
        <f>IF(B270="",IF(ISNUMBER(SEARCH("NOT NULL",UPPER(B$3))),"''","null"),SUBSTITUTE(VLOOKUP(B$2,convert!$A$1:$B$4,2,0),"@@@",B270))</f>
        <v>'メガハガネール'</v>
      </c>
      <c r="R270" s="4" t="str">
        <f>IF(C270="",IF(ISNUMBER(SEARCH("NOT NULL",UPPER(C$3))),"''","null"),SUBSTITUTE(VLOOKUP(C$2,convert!$A$1:$B$4,2,0),"@@@",C270))</f>
        <v>75</v>
      </c>
      <c r="S270" s="4" t="str">
        <f>IF(D270="",IF(ISNUMBER(SEARCH("NOT NULL",UPPER(D$3))),"''","null"),SUBSTITUTE(VLOOKUP(D$2,convert!$A$1:$B$4,2,0),"@@@",D270))</f>
        <v>125</v>
      </c>
      <c r="T270" s="4" t="str">
        <f>IF(E270="",IF(ISNUMBER(SEARCH("NOT NULL",UPPER(E$3))),"''","null"),SUBSTITUTE(VLOOKUP(E$2,convert!$A$1:$B$4,2,0),"@@@",E270))</f>
        <v>230</v>
      </c>
      <c r="U270" s="4" t="str">
        <f>IF(F270="",IF(ISNUMBER(SEARCH("NOT NULL",UPPER(F$3))),"''","null"),SUBSTITUTE(VLOOKUP(F$2,convert!$A$1:$B$4,2,0),"@@@",F270))</f>
        <v>55</v>
      </c>
      <c r="V270" s="4" t="str">
        <f>IF(G270="",IF(ISNUMBER(SEARCH("NOT NULL",UPPER(G$3))),"''","null"),SUBSTITUTE(VLOOKUP(G$2,convert!$A$1:$B$4,2,0),"@@@",G270))</f>
        <v>95</v>
      </c>
      <c r="W270" s="4" t="str">
        <f>IF(H270="",IF(ISNUMBER(SEARCH("NOT NULL",UPPER(H$3))),"''","null"),SUBSTITUTE(VLOOKUP(H$2,convert!$A$1:$B$4,2,0),"@@@",H270))</f>
        <v>30</v>
      </c>
      <c r="X270" s="4" t="str">
        <f>IF(I270="",IF(ISNUMBER(SEARCH("NOT NULL",UPPER(I$3))),"''","null"),SUBSTITUTE(VLOOKUP(I$2,convert!$A$1:$B$4,2,0),"@@@",I270))</f>
        <v>''</v>
      </c>
      <c r="Y270" s="4" t="str">
        <f>IF(J270="",IF(ISNUMBER(SEARCH("NOT NULL",UPPER(J$3))),"''","null"),SUBSTITUTE(VLOOKUP(J$2,convert!$A$1:$B$4,2,0),"@@@",J270))</f>
        <v>'steel'</v>
      </c>
      <c r="Z270" s="4" t="str">
        <f>IF(K270="",IF(ISNUMBER(SEARCH("NOT NULL",UPPER(K$3))),"''","null"),SUBSTITUTE(VLOOKUP(K$2,convert!$A$1:$B$4,2,0),"@@@",K270))</f>
        <v>'ground'</v>
      </c>
      <c r="AA270" s="4" t="str">
        <f>IF(L270="",IF(ISNUMBER(SEARCH("NOT NULL",UPPER(L$3))),"''","null"),SUBSTITUTE(VLOOKUP(L$2,convert!$A$1:$B$4,2,0),"@@@",L270))</f>
        <v>'g6oras'</v>
      </c>
      <c r="AB270" s="4" t="str">
        <f>IF(M270="",IF(ISNUMBER(SEARCH("NOT NULL",UPPER(M$3))),"''","null"),SUBSTITUTE(VLOOKUP(M$2,convert!$A$1:$B$4,2,0),"@@@",M270))</f>
        <v>null</v>
      </c>
      <c r="AC270" s="4" t="str">
        <f>IF(N270="",IF(ISNUMBER(SEARCH("NOT NULL",UPPER(N$3))),"''","null"),SUBSTITUTE(VLOOKUP(N$2,convert!$A$1:$B$4,2,0),"@@@",N270))</f>
        <v>null</v>
      </c>
      <c r="AD270" s="4" t="str">
        <f>IF(O270="",IF(ISNUMBER(SEARCH("NOT NULL",UPPER(O$3))),"''","null"),SUBSTITUTE(VLOOKUP(O$2,convert!$A$1:$B$4,2,0),"@@@",O270))</f>
        <v>TRUE</v>
      </c>
      <c r="AE270" s="4" t="str">
        <f t="shared" si="4"/>
        <v>    ('0208M01', 'メガハガネール', 75, 125, 230, 55, 95, 30, '', 'steel', 'ground', 'g6oras', null, null, TRUE),</v>
      </c>
    </row>
    <row r="271" spans="1:31">
      <c r="A271" s="4" t="s">
        <v>557</v>
      </c>
      <c r="B271" s="4" t="s">
        <v>558</v>
      </c>
      <c r="C271" s="5">
        <v>60</v>
      </c>
      <c r="D271" s="5">
        <v>80</v>
      </c>
      <c r="E271" s="5">
        <v>50</v>
      </c>
      <c r="F271" s="5">
        <v>40</v>
      </c>
      <c r="G271" s="5">
        <v>40</v>
      </c>
      <c r="H271" s="5">
        <v>30</v>
      </c>
      <c r="I271" s="5"/>
      <c r="J271" s="4" t="s">
        <v>137</v>
      </c>
      <c r="K271" s="5"/>
      <c r="L271" s="4" t="s">
        <v>436</v>
      </c>
      <c r="M271" s="5"/>
      <c r="N271" s="5"/>
      <c r="O271" s="5" t="b">
        <v>1</v>
      </c>
      <c r="P271" s="4" t="str">
        <f>IF(A271="",IF(ISNUMBER(SEARCH("NOT NULL",UPPER(A$3))),"''","null"),SUBSTITUTE(VLOOKUP(A$2,convert!$A$1:$B$4,2,0),"@@@",A271))</f>
        <v>'0209N01'</v>
      </c>
      <c r="Q271" s="4" t="str">
        <f>IF(B271="",IF(ISNUMBER(SEARCH("NOT NULL",UPPER(B$3))),"''","null"),SUBSTITUTE(VLOOKUP(B$2,convert!$A$1:$B$4,2,0),"@@@",B271))</f>
        <v>'ブルー'</v>
      </c>
      <c r="R271" s="4" t="str">
        <f>IF(C271="",IF(ISNUMBER(SEARCH("NOT NULL",UPPER(C$3))),"''","null"),SUBSTITUTE(VLOOKUP(C$2,convert!$A$1:$B$4,2,0),"@@@",C271))</f>
        <v>60</v>
      </c>
      <c r="S271" s="4" t="str">
        <f>IF(D271="",IF(ISNUMBER(SEARCH("NOT NULL",UPPER(D$3))),"''","null"),SUBSTITUTE(VLOOKUP(D$2,convert!$A$1:$B$4,2,0),"@@@",D271))</f>
        <v>80</v>
      </c>
      <c r="T271" s="4" t="str">
        <f>IF(E271="",IF(ISNUMBER(SEARCH("NOT NULL",UPPER(E$3))),"''","null"),SUBSTITUTE(VLOOKUP(E$2,convert!$A$1:$B$4,2,0),"@@@",E271))</f>
        <v>50</v>
      </c>
      <c r="U271" s="4" t="str">
        <f>IF(F271="",IF(ISNUMBER(SEARCH("NOT NULL",UPPER(F$3))),"''","null"),SUBSTITUTE(VLOOKUP(F$2,convert!$A$1:$B$4,2,0),"@@@",F271))</f>
        <v>40</v>
      </c>
      <c r="V271" s="4" t="str">
        <f>IF(G271="",IF(ISNUMBER(SEARCH("NOT NULL",UPPER(G$3))),"''","null"),SUBSTITUTE(VLOOKUP(G$2,convert!$A$1:$B$4,2,0),"@@@",G271))</f>
        <v>40</v>
      </c>
      <c r="W271" s="4" t="str">
        <f>IF(H271="",IF(ISNUMBER(SEARCH("NOT NULL",UPPER(H$3))),"''","null"),SUBSTITUTE(VLOOKUP(H$2,convert!$A$1:$B$4,2,0),"@@@",H271))</f>
        <v>30</v>
      </c>
      <c r="X271" s="4" t="str">
        <f>IF(I271="",IF(ISNUMBER(SEARCH("NOT NULL",UPPER(I$3))),"''","null"),SUBSTITUTE(VLOOKUP(I$2,convert!$A$1:$B$4,2,0),"@@@",I271))</f>
        <v>''</v>
      </c>
      <c r="Y271" s="4" t="str">
        <f>IF(J271="",IF(ISNUMBER(SEARCH("NOT NULL",UPPER(J$3))),"''","null"),SUBSTITUTE(VLOOKUP(J$2,convert!$A$1:$B$4,2,0),"@@@",J271))</f>
        <v>'fairy'</v>
      </c>
      <c r="Z271" s="4" t="str">
        <f>IF(K271="",IF(ISNUMBER(SEARCH("NOT NULL",UPPER(K$3))),"''","null"),SUBSTITUTE(VLOOKUP(K$2,convert!$A$1:$B$4,2,0),"@@@",K271))</f>
        <v>null</v>
      </c>
      <c r="AA271" s="4" t="str">
        <f>IF(L271="",IF(ISNUMBER(SEARCH("NOT NULL",UPPER(L$3))),"''","null"),SUBSTITUTE(VLOOKUP(L$2,convert!$A$1:$B$4,2,0),"@@@",L271))</f>
        <v>'g2'</v>
      </c>
      <c r="AB271" s="4" t="str">
        <f>IF(M271="",IF(ISNUMBER(SEARCH("NOT NULL",UPPER(M$3))),"''","null"),SUBSTITUTE(VLOOKUP(M$2,convert!$A$1:$B$4,2,0),"@@@",M271))</f>
        <v>null</v>
      </c>
      <c r="AC271" s="4" t="str">
        <f>IF(N271="",IF(ISNUMBER(SEARCH("NOT NULL",UPPER(N$3))),"''","null"),SUBSTITUTE(VLOOKUP(N$2,convert!$A$1:$B$4,2,0),"@@@",N271))</f>
        <v>null</v>
      </c>
      <c r="AD271" s="4" t="str">
        <f>IF(O271="",IF(ISNUMBER(SEARCH("NOT NULL",UPPER(O$3))),"''","null"),SUBSTITUTE(VLOOKUP(O$2,convert!$A$1:$B$4,2,0),"@@@",O271))</f>
        <v>TRUE</v>
      </c>
      <c r="AE271" s="4" t="str">
        <f t="shared" si="4"/>
        <v>    ('0209N01', 'ブルー', 60, 80, 50, 40, 40, 30, '', 'fairy', null, 'g2', null, null, TRUE),</v>
      </c>
    </row>
    <row r="272" spans="1:31">
      <c r="A272" s="4" t="s">
        <v>559</v>
      </c>
      <c r="B272" s="4" t="s">
        <v>560</v>
      </c>
      <c r="C272" s="5">
        <v>90</v>
      </c>
      <c r="D272" s="5">
        <v>120</v>
      </c>
      <c r="E272" s="5">
        <v>75</v>
      </c>
      <c r="F272" s="5">
        <v>60</v>
      </c>
      <c r="G272" s="5">
        <v>60</v>
      </c>
      <c r="H272" s="5">
        <v>45</v>
      </c>
      <c r="I272" s="5"/>
      <c r="J272" s="4" t="s">
        <v>137</v>
      </c>
      <c r="K272" s="5"/>
      <c r="L272" s="4" t="s">
        <v>436</v>
      </c>
      <c r="M272" s="5"/>
      <c r="N272" s="5"/>
      <c r="O272" s="5" t="b">
        <v>1</v>
      </c>
      <c r="P272" s="4" t="str">
        <f>IF(A272="",IF(ISNUMBER(SEARCH("NOT NULL",UPPER(A$3))),"''","null"),SUBSTITUTE(VLOOKUP(A$2,convert!$A$1:$B$4,2,0),"@@@",A272))</f>
        <v>'0210N01'</v>
      </c>
      <c r="Q272" s="4" t="str">
        <f>IF(B272="",IF(ISNUMBER(SEARCH("NOT NULL",UPPER(B$3))),"''","null"),SUBSTITUTE(VLOOKUP(B$2,convert!$A$1:$B$4,2,0),"@@@",B272))</f>
        <v>'グランブル'</v>
      </c>
      <c r="R272" s="4" t="str">
        <f>IF(C272="",IF(ISNUMBER(SEARCH("NOT NULL",UPPER(C$3))),"''","null"),SUBSTITUTE(VLOOKUP(C$2,convert!$A$1:$B$4,2,0),"@@@",C272))</f>
        <v>90</v>
      </c>
      <c r="S272" s="4" t="str">
        <f>IF(D272="",IF(ISNUMBER(SEARCH("NOT NULL",UPPER(D$3))),"''","null"),SUBSTITUTE(VLOOKUP(D$2,convert!$A$1:$B$4,2,0),"@@@",D272))</f>
        <v>120</v>
      </c>
      <c r="T272" s="4" t="str">
        <f>IF(E272="",IF(ISNUMBER(SEARCH("NOT NULL",UPPER(E$3))),"''","null"),SUBSTITUTE(VLOOKUP(E$2,convert!$A$1:$B$4,2,0),"@@@",E272))</f>
        <v>75</v>
      </c>
      <c r="U272" s="4" t="str">
        <f>IF(F272="",IF(ISNUMBER(SEARCH("NOT NULL",UPPER(F$3))),"''","null"),SUBSTITUTE(VLOOKUP(F$2,convert!$A$1:$B$4,2,0),"@@@",F272))</f>
        <v>60</v>
      </c>
      <c r="V272" s="4" t="str">
        <f>IF(G272="",IF(ISNUMBER(SEARCH("NOT NULL",UPPER(G$3))),"''","null"),SUBSTITUTE(VLOOKUP(G$2,convert!$A$1:$B$4,2,0),"@@@",G272))</f>
        <v>60</v>
      </c>
      <c r="W272" s="4" t="str">
        <f>IF(H272="",IF(ISNUMBER(SEARCH("NOT NULL",UPPER(H$3))),"''","null"),SUBSTITUTE(VLOOKUP(H$2,convert!$A$1:$B$4,2,0),"@@@",H272))</f>
        <v>45</v>
      </c>
      <c r="X272" s="4" t="str">
        <f>IF(I272="",IF(ISNUMBER(SEARCH("NOT NULL",UPPER(I$3))),"''","null"),SUBSTITUTE(VLOOKUP(I$2,convert!$A$1:$B$4,2,0),"@@@",I272))</f>
        <v>''</v>
      </c>
      <c r="Y272" s="4" t="str">
        <f>IF(J272="",IF(ISNUMBER(SEARCH("NOT NULL",UPPER(J$3))),"''","null"),SUBSTITUTE(VLOOKUP(J$2,convert!$A$1:$B$4,2,0),"@@@",J272))</f>
        <v>'fairy'</v>
      </c>
      <c r="Z272" s="4" t="str">
        <f>IF(K272="",IF(ISNUMBER(SEARCH("NOT NULL",UPPER(K$3))),"''","null"),SUBSTITUTE(VLOOKUP(K$2,convert!$A$1:$B$4,2,0),"@@@",K272))</f>
        <v>null</v>
      </c>
      <c r="AA272" s="4" t="str">
        <f>IF(L272="",IF(ISNUMBER(SEARCH("NOT NULL",UPPER(L$3))),"''","null"),SUBSTITUTE(VLOOKUP(L$2,convert!$A$1:$B$4,2,0),"@@@",L272))</f>
        <v>'g2'</v>
      </c>
      <c r="AB272" s="4" t="str">
        <f>IF(M272="",IF(ISNUMBER(SEARCH("NOT NULL",UPPER(M$3))),"''","null"),SUBSTITUTE(VLOOKUP(M$2,convert!$A$1:$B$4,2,0),"@@@",M272))</f>
        <v>null</v>
      </c>
      <c r="AC272" s="4" t="str">
        <f>IF(N272="",IF(ISNUMBER(SEARCH("NOT NULL",UPPER(N$3))),"''","null"),SUBSTITUTE(VLOOKUP(N$2,convert!$A$1:$B$4,2,0),"@@@",N272))</f>
        <v>null</v>
      </c>
      <c r="AD272" s="4" t="str">
        <f>IF(O272="",IF(ISNUMBER(SEARCH("NOT NULL",UPPER(O$3))),"''","null"),SUBSTITUTE(VLOOKUP(O$2,convert!$A$1:$B$4,2,0),"@@@",O272))</f>
        <v>TRUE</v>
      </c>
      <c r="AE272" s="4" t="str">
        <f t="shared" si="4"/>
        <v>    ('0210N01', 'グランブル', 90, 120, 75, 60, 60, 45, '', 'fairy', null, 'g2', null, null, TRUE),</v>
      </c>
    </row>
    <row r="273" spans="1:31">
      <c r="A273" s="4" t="s">
        <v>561</v>
      </c>
      <c r="B273" s="4" t="s">
        <v>562</v>
      </c>
      <c r="C273" s="5">
        <v>65</v>
      </c>
      <c r="D273" s="5">
        <v>95</v>
      </c>
      <c r="E273" s="5">
        <v>85</v>
      </c>
      <c r="F273" s="5">
        <v>55</v>
      </c>
      <c r="G273" s="5">
        <v>55</v>
      </c>
      <c r="H273" s="5">
        <v>85</v>
      </c>
      <c r="I273" s="5"/>
      <c r="J273" s="4" t="s">
        <v>55</v>
      </c>
      <c r="K273" s="4" t="s">
        <v>31</v>
      </c>
      <c r="L273" s="4" t="s">
        <v>436</v>
      </c>
      <c r="M273" s="5"/>
      <c r="N273" s="5"/>
      <c r="O273" s="5" t="b">
        <v>1</v>
      </c>
      <c r="P273" s="4" t="str">
        <f>IF(A273="",IF(ISNUMBER(SEARCH("NOT NULL",UPPER(A$3))),"''","null"),SUBSTITUTE(VLOOKUP(A$2,convert!$A$1:$B$4,2,0),"@@@",A273))</f>
        <v>'0211N01'</v>
      </c>
      <c r="Q273" s="4" t="str">
        <f>IF(B273="",IF(ISNUMBER(SEARCH("NOT NULL",UPPER(B$3))),"''","null"),SUBSTITUTE(VLOOKUP(B$2,convert!$A$1:$B$4,2,0),"@@@",B273))</f>
        <v>'ハリーセン'</v>
      </c>
      <c r="R273" s="4" t="str">
        <f>IF(C273="",IF(ISNUMBER(SEARCH("NOT NULL",UPPER(C$3))),"''","null"),SUBSTITUTE(VLOOKUP(C$2,convert!$A$1:$B$4,2,0),"@@@",C273))</f>
        <v>65</v>
      </c>
      <c r="S273" s="4" t="str">
        <f>IF(D273="",IF(ISNUMBER(SEARCH("NOT NULL",UPPER(D$3))),"''","null"),SUBSTITUTE(VLOOKUP(D$2,convert!$A$1:$B$4,2,0),"@@@",D273))</f>
        <v>95</v>
      </c>
      <c r="T273" s="4" t="str">
        <f>IF(E273="",IF(ISNUMBER(SEARCH("NOT NULL",UPPER(E$3))),"''","null"),SUBSTITUTE(VLOOKUP(E$2,convert!$A$1:$B$4,2,0),"@@@",E273))</f>
        <v>85</v>
      </c>
      <c r="U273" s="4" t="str">
        <f>IF(F273="",IF(ISNUMBER(SEARCH("NOT NULL",UPPER(F$3))),"''","null"),SUBSTITUTE(VLOOKUP(F$2,convert!$A$1:$B$4,2,0),"@@@",F273))</f>
        <v>55</v>
      </c>
      <c r="V273" s="4" t="str">
        <f>IF(G273="",IF(ISNUMBER(SEARCH("NOT NULL",UPPER(G$3))),"''","null"),SUBSTITUTE(VLOOKUP(G$2,convert!$A$1:$B$4,2,0),"@@@",G273))</f>
        <v>55</v>
      </c>
      <c r="W273" s="4" t="str">
        <f>IF(H273="",IF(ISNUMBER(SEARCH("NOT NULL",UPPER(H$3))),"''","null"),SUBSTITUTE(VLOOKUP(H$2,convert!$A$1:$B$4,2,0),"@@@",H273))</f>
        <v>85</v>
      </c>
      <c r="X273" s="4" t="str">
        <f>IF(I273="",IF(ISNUMBER(SEARCH("NOT NULL",UPPER(I$3))),"''","null"),SUBSTITUTE(VLOOKUP(I$2,convert!$A$1:$B$4,2,0),"@@@",I273))</f>
        <v>''</v>
      </c>
      <c r="Y273" s="4" t="str">
        <f>IF(J273="",IF(ISNUMBER(SEARCH("NOT NULL",UPPER(J$3))),"''","null"),SUBSTITUTE(VLOOKUP(J$2,convert!$A$1:$B$4,2,0),"@@@",J273))</f>
        <v>'water'</v>
      </c>
      <c r="Z273" s="4" t="str">
        <f>IF(K273="",IF(ISNUMBER(SEARCH("NOT NULL",UPPER(K$3))),"''","null"),SUBSTITUTE(VLOOKUP(K$2,convert!$A$1:$B$4,2,0),"@@@",K273))</f>
        <v>'poison'</v>
      </c>
      <c r="AA273" s="4" t="str">
        <f>IF(L273="",IF(ISNUMBER(SEARCH("NOT NULL",UPPER(L$3))),"''","null"),SUBSTITUTE(VLOOKUP(L$2,convert!$A$1:$B$4,2,0),"@@@",L273))</f>
        <v>'g2'</v>
      </c>
      <c r="AB273" s="4" t="str">
        <f>IF(M273="",IF(ISNUMBER(SEARCH("NOT NULL",UPPER(M$3))),"''","null"),SUBSTITUTE(VLOOKUP(M$2,convert!$A$1:$B$4,2,0),"@@@",M273))</f>
        <v>null</v>
      </c>
      <c r="AC273" s="4" t="str">
        <f>IF(N273="",IF(ISNUMBER(SEARCH("NOT NULL",UPPER(N$3))),"''","null"),SUBSTITUTE(VLOOKUP(N$2,convert!$A$1:$B$4,2,0),"@@@",N273))</f>
        <v>null</v>
      </c>
      <c r="AD273" s="4" t="str">
        <f>IF(O273="",IF(ISNUMBER(SEARCH("NOT NULL",UPPER(O$3))),"''","null"),SUBSTITUTE(VLOOKUP(O$2,convert!$A$1:$B$4,2,0),"@@@",O273))</f>
        <v>TRUE</v>
      </c>
      <c r="AE273" s="4" t="str">
        <f t="shared" si="4"/>
        <v>    ('0211N01', 'ハリーセン', 65, 95, 85, 55, 55, 85, '', 'water', 'poison', 'g2', null, null, TRUE),</v>
      </c>
    </row>
    <row r="274" spans="1:31">
      <c r="A274" s="4" t="s">
        <v>563</v>
      </c>
      <c r="B274" s="4" t="s">
        <v>562</v>
      </c>
      <c r="C274" s="5">
        <v>65</v>
      </c>
      <c r="D274" s="5">
        <v>95</v>
      </c>
      <c r="E274" s="5">
        <v>85</v>
      </c>
      <c r="F274" s="5">
        <v>55</v>
      </c>
      <c r="G274" s="5">
        <v>55</v>
      </c>
      <c r="H274" s="5">
        <v>85</v>
      </c>
      <c r="I274" s="4" t="s">
        <v>195</v>
      </c>
      <c r="J274" s="4" t="s">
        <v>91</v>
      </c>
      <c r="K274" s="4" t="s">
        <v>31</v>
      </c>
      <c r="L274" s="4" t="s">
        <v>197</v>
      </c>
      <c r="M274" s="5"/>
      <c r="N274" s="5"/>
      <c r="O274" s="5" t="b">
        <v>1</v>
      </c>
      <c r="P274" s="4" t="str">
        <f>IF(A274="",IF(ISNUMBER(SEARCH("NOT NULL",UPPER(A$3))),"''","null"),SUBSTITUTE(VLOOKUP(A$2,convert!$A$1:$B$4,2,0),"@@@",A274))</f>
        <v>'0211H01'</v>
      </c>
      <c r="Q274" s="4" t="str">
        <f>IF(B274="",IF(ISNUMBER(SEARCH("NOT NULL",UPPER(B$3))),"''","null"),SUBSTITUTE(VLOOKUP(B$2,convert!$A$1:$B$4,2,0),"@@@",B274))</f>
        <v>'ハリーセン'</v>
      </c>
      <c r="R274" s="4" t="str">
        <f>IF(C274="",IF(ISNUMBER(SEARCH("NOT NULL",UPPER(C$3))),"''","null"),SUBSTITUTE(VLOOKUP(C$2,convert!$A$1:$B$4,2,0),"@@@",C274))</f>
        <v>65</v>
      </c>
      <c r="S274" s="4" t="str">
        <f>IF(D274="",IF(ISNUMBER(SEARCH("NOT NULL",UPPER(D$3))),"''","null"),SUBSTITUTE(VLOOKUP(D$2,convert!$A$1:$B$4,2,0),"@@@",D274))</f>
        <v>95</v>
      </c>
      <c r="T274" s="4" t="str">
        <f>IF(E274="",IF(ISNUMBER(SEARCH("NOT NULL",UPPER(E$3))),"''","null"),SUBSTITUTE(VLOOKUP(E$2,convert!$A$1:$B$4,2,0),"@@@",E274))</f>
        <v>85</v>
      </c>
      <c r="U274" s="4" t="str">
        <f>IF(F274="",IF(ISNUMBER(SEARCH("NOT NULL",UPPER(F$3))),"''","null"),SUBSTITUTE(VLOOKUP(F$2,convert!$A$1:$B$4,2,0),"@@@",F274))</f>
        <v>55</v>
      </c>
      <c r="V274" s="4" t="str">
        <f>IF(G274="",IF(ISNUMBER(SEARCH("NOT NULL",UPPER(G$3))),"''","null"),SUBSTITUTE(VLOOKUP(G$2,convert!$A$1:$B$4,2,0),"@@@",G274))</f>
        <v>55</v>
      </c>
      <c r="W274" s="4" t="str">
        <f>IF(H274="",IF(ISNUMBER(SEARCH("NOT NULL",UPPER(H$3))),"''","null"),SUBSTITUTE(VLOOKUP(H$2,convert!$A$1:$B$4,2,0),"@@@",H274))</f>
        <v>85</v>
      </c>
      <c r="X274" s="4" t="str">
        <f>IF(I274="",IF(ISNUMBER(SEARCH("NOT NULL",UPPER(I$3))),"''","null"),SUBSTITUTE(VLOOKUP(I$2,convert!$A$1:$B$4,2,0),"@@@",I274))</f>
        <v>'ヒスイのすがた'</v>
      </c>
      <c r="Y274" s="4" t="str">
        <f>IF(J274="",IF(ISNUMBER(SEARCH("NOT NULL",UPPER(J$3))),"''","null"),SUBSTITUTE(VLOOKUP(J$2,convert!$A$1:$B$4,2,0),"@@@",J274))</f>
        <v>'dark'</v>
      </c>
      <c r="Z274" s="4" t="str">
        <f>IF(K274="",IF(ISNUMBER(SEARCH("NOT NULL",UPPER(K$3))),"''","null"),SUBSTITUTE(VLOOKUP(K$2,convert!$A$1:$B$4,2,0),"@@@",K274))</f>
        <v>'poison'</v>
      </c>
      <c r="AA274" s="4" t="str">
        <f>IF(L274="",IF(ISNUMBER(SEARCH("NOT NULL",UPPER(L$3))),"''","null"),SUBSTITUTE(VLOOKUP(L$2,convert!$A$1:$B$4,2,0),"@@@",L274))</f>
        <v>'g8arceus'</v>
      </c>
      <c r="AB274" s="4" t="str">
        <f>IF(M274="",IF(ISNUMBER(SEARCH("NOT NULL",UPPER(M$3))),"''","null"),SUBSTITUTE(VLOOKUP(M$2,convert!$A$1:$B$4,2,0),"@@@",M274))</f>
        <v>null</v>
      </c>
      <c r="AC274" s="4" t="str">
        <f>IF(N274="",IF(ISNUMBER(SEARCH("NOT NULL",UPPER(N$3))),"''","null"),SUBSTITUTE(VLOOKUP(N$2,convert!$A$1:$B$4,2,0),"@@@",N274))</f>
        <v>null</v>
      </c>
      <c r="AD274" s="4" t="str">
        <f>IF(O274="",IF(ISNUMBER(SEARCH("NOT NULL",UPPER(O$3))),"''","null"),SUBSTITUTE(VLOOKUP(O$2,convert!$A$1:$B$4,2,0),"@@@",O274))</f>
        <v>TRUE</v>
      </c>
      <c r="AE274" s="4" t="str">
        <f t="shared" si="4"/>
        <v>    ('0211H01', 'ハリーセン', 65, 95, 85, 55, 55, 85, 'ヒスイのすがた', 'dark', 'poison', 'g8arceus', null, null, TRUE),</v>
      </c>
    </row>
    <row r="275" spans="1:31">
      <c r="A275" s="4" t="s">
        <v>564</v>
      </c>
      <c r="B275" s="4" t="s">
        <v>565</v>
      </c>
      <c r="C275" s="5">
        <v>70</v>
      </c>
      <c r="D275" s="5">
        <v>130</v>
      </c>
      <c r="E275" s="5">
        <v>100</v>
      </c>
      <c r="F275" s="5">
        <v>55</v>
      </c>
      <c r="G275" s="5">
        <v>80</v>
      </c>
      <c r="H275" s="5">
        <v>65</v>
      </c>
      <c r="I275" s="5"/>
      <c r="J275" s="4" t="s">
        <v>64</v>
      </c>
      <c r="K275" s="4" t="s">
        <v>119</v>
      </c>
      <c r="L275" s="4" t="s">
        <v>436</v>
      </c>
      <c r="M275" s="5"/>
      <c r="N275" s="5"/>
      <c r="O275" s="5" t="b">
        <v>1</v>
      </c>
      <c r="P275" s="4" t="str">
        <f>IF(A275="",IF(ISNUMBER(SEARCH("NOT NULL",UPPER(A$3))),"''","null"),SUBSTITUTE(VLOOKUP(A$2,convert!$A$1:$B$4,2,0),"@@@",A275))</f>
        <v>'0212N01'</v>
      </c>
      <c r="Q275" s="4" t="str">
        <f>IF(B275="",IF(ISNUMBER(SEARCH("NOT NULL",UPPER(B$3))),"''","null"),SUBSTITUTE(VLOOKUP(B$2,convert!$A$1:$B$4,2,0),"@@@",B275))</f>
        <v>'ハッサム'</v>
      </c>
      <c r="R275" s="4" t="str">
        <f>IF(C275="",IF(ISNUMBER(SEARCH("NOT NULL",UPPER(C$3))),"''","null"),SUBSTITUTE(VLOOKUP(C$2,convert!$A$1:$B$4,2,0),"@@@",C275))</f>
        <v>70</v>
      </c>
      <c r="S275" s="4" t="str">
        <f>IF(D275="",IF(ISNUMBER(SEARCH("NOT NULL",UPPER(D$3))),"''","null"),SUBSTITUTE(VLOOKUP(D$2,convert!$A$1:$B$4,2,0),"@@@",D275))</f>
        <v>130</v>
      </c>
      <c r="T275" s="4" t="str">
        <f>IF(E275="",IF(ISNUMBER(SEARCH("NOT NULL",UPPER(E$3))),"''","null"),SUBSTITUTE(VLOOKUP(E$2,convert!$A$1:$B$4,2,0),"@@@",E275))</f>
        <v>100</v>
      </c>
      <c r="U275" s="4" t="str">
        <f>IF(F275="",IF(ISNUMBER(SEARCH("NOT NULL",UPPER(F$3))),"''","null"),SUBSTITUTE(VLOOKUP(F$2,convert!$A$1:$B$4,2,0),"@@@",F275))</f>
        <v>55</v>
      </c>
      <c r="V275" s="4" t="str">
        <f>IF(G275="",IF(ISNUMBER(SEARCH("NOT NULL",UPPER(G$3))),"''","null"),SUBSTITUTE(VLOOKUP(G$2,convert!$A$1:$B$4,2,0),"@@@",G275))</f>
        <v>80</v>
      </c>
      <c r="W275" s="4" t="str">
        <f>IF(H275="",IF(ISNUMBER(SEARCH("NOT NULL",UPPER(H$3))),"''","null"),SUBSTITUTE(VLOOKUP(H$2,convert!$A$1:$B$4,2,0),"@@@",H275))</f>
        <v>65</v>
      </c>
      <c r="X275" s="4" t="str">
        <f>IF(I275="",IF(ISNUMBER(SEARCH("NOT NULL",UPPER(I$3))),"''","null"),SUBSTITUTE(VLOOKUP(I$2,convert!$A$1:$B$4,2,0),"@@@",I275))</f>
        <v>''</v>
      </c>
      <c r="Y275" s="4" t="str">
        <f>IF(J275="",IF(ISNUMBER(SEARCH("NOT NULL",UPPER(J$3))),"''","null"),SUBSTITUTE(VLOOKUP(J$2,convert!$A$1:$B$4,2,0),"@@@",J275))</f>
        <v>'bug'</v>
      </c>
      <c r="Z275" s="4" t="str">
        <f>IF(K275="",IF(ISNUMBER(SEARCH("NOT NULL",UPPER(K$3))),"''","null"),SUBSTITUTE(VLOOKUP(K$2,convert!$A$1:$B$4,2,0),"@@@",K275))</f>
        <v>'steel'</v>
      </c>
      <c r="AA275" s="4" t="str">
        <f>IF(L275="",IF(ISNUMBER(SEARCH("NOT NULL",UPPER(L$3))),"''","null"),SUBSTITUTE(VLOOKUP(L$2,convert!$A$1:$B$4,2,0),"@@@",L275))</f>
        <v>'g2'</v>
      </c>
      <c r="AB275" s="4" t="str">
        <f>IF(M275="",IF(ISNUMBER(SEARCH("NOT NULL",UPPER(M$3))),"''","null"),SUBSTITUTE(VLOOKUP(M$2,convert!$A$1:$B$4,2,0),"@@@",M275))</f>
        <v>null</v>
      </c>
      <c r="AC275" s="4" t="str">
        <f>IF(N275="",IF(ISNUMBER(SEARCH("NOT NULL",UPPER(N$3))),"''","null"),SUBSTITUTE(VLOOKUP(N$2,convert!$A$1:$B$4,2,0),"@@@",N275))</f>
        <v>null</v>
      </c>
      <c r="AD275" s="4" t="str">
        <f>IF(O275="",IF(ISNUMBER(SEARCH("NOT NULL",UPPER(O$3))),"''","null"),SUBSTITUTE(VLOOKUP(O$2,convert!$A$1:$B$4,2,0),"@@@",O275))</f>
        <v>TRUE</v>
      </c>
      <c r="AE275" s="4" t="str">
        <f t="shared" si="4"/>
        <v>    ('0212N01', 'ハッサム', 70, 130, 100, 55, 80, 65, '', 'bug', 'steel', 'g2', null, null, TRUE),</v>
      </c>
    </row>
    <row r="276" spans="1:31">
      <c r="A276" s="4" t="s">
        <v>566</v>
      </c>
      <c r="B276" s="4" t="s">
        <v>567</v>
      </c>
      <c r="C276" s="5">
        <v>70</v>
      </c>
      <c r="D276" s="5">
        <v>150</v>
      </c>
      <c r="E276" s="5">
        <v>140</v>
      </c>
      <c r="F276" s="5">
        <v>65</v>
      </c>
      <c r="G276" s="5">
        <v>100</v>
      </c>
      <c r="H276" s="5">
        <v>75</v>
      </c>
      <c r="I276" s="5"/>
      <c r="J276" s="4" t="s">
        <v>64</v>
      </c>
      <c r="K276" s="4" t="s">
        <v>119</v>
      </c>
      <c r="L276" s="4" t="s">
        <v>39</v>
      </c>
      <c r="M276" s="5"/>
      <c r="N276" s="5"/>
      <c r="O276" s="5" t="b">
        <v>1</v>
      </c>
      <c r="P276" s="4" t="str">
        <f>IF(A276="",IF(ISNUMBER(SEARCH("NOT NULL",UPPER(A$3))),"''","null"),SUBSTITUTE(VLOOKUP(A$2,convert!$A$1:$B$4,2,0),"@@@",A276))</f>
        <v>'0212M01'</v>
      </c>
      <c r="Q276" s="4" t="str">
        <f>IF(B276="",IF(ISNUMBER(SEARCH("NOT NULL",UPPER(B$3))),"''","null"),SUBSTITUTE(VLOOKUP(B$2,convert!$A$1:$B$4,2,0),"@@@",B276))</f>
        <v>'メガハッサム'</v>
      </c>
      <c r="R276" s="4" t="str">
        <f>IF(C276="",IF(ISNUMBER(SEARCH("NOT NULL",UPPER(C$3))),"''","null"),SUBSTITUTE(VLOOKUP(C$2,convert!$A$1:$B$4,2,0),"@@@",C276))</f>
        <v>70</v>
      </c>
      <c r="S276" s="4" t="str">
        <f>IF(D276="",IF(ISNUMBER(SEARCH("NOT NULL",UPPER(D$3))),"''","null"),SUBSTITUTE(VLOOKUP(D$2,convert!$A$1:$B$4,2,0),"@@@",D276))</f>
        <v>150</v>
      </c>
      <c r="T276" s="4" t="str">
        <f>IF(E276="",IF(ISNUMBER(SEARCH("NOT NULL",UPPER(E$3))),"''","null"),SUBSTITUTE(VLOOKUP(E$2,convert!$A$1:$B$4,2,0),"@@@",E276))</f>
        <v>140</v>
      </c>
      <c r="U276" s="4" t="str">
        <f>IF(F276="",IF(ISNUMBER(SEARCH("NOT NULL",UPPER(F$3))),"''","null"),SUBSTITUTE(VLOOKUP(F$2,convert!$A$1:$B$4,2,0),"@@@",F276))</f>
        <v>65</v>
      </c>
      <c r="V276" s="4" t="str">
        <f>IF(G276="",IF(ISNUMBER(SEARCH("NOT NULL",UPPER(G$3))),"''","null"),SUBSTITUTE(VLOOKUP(G$2,convert!$A$1:$B$4,2,0),"@@@",G276))</f>
        <v>100</v>
      </c>
      <c r="W276" s="4" t="str">
        <f>IF(H276="",IF(ISNUMBER(SEARCH("NOT NULL",UPPER(H$3))),"''","null"),SUBSTITUTE(VLOOKUP(H$2,convert!$A$1:$B$4,2,0),"@@@",H276))</f>
        <v>75</v>
      </c>
      <c r="X276" s="4" t="str">
        <f>IF(I276="",IF(ISNUMBER(SEARCH("NOT NULL",UPPER(I$3))),"''","null"),SUBSTITUTE(VLOOKUP(I$2,convert!$A$1:$B$4,2,0),"@@@",I276))</f>
        <v>''</v>
      </c>
      <c r="Y276" s="4" t="str">
        <f>IF(J276="",IF(ISNUMBER(SEARCH("NOT NULL",UPPER(J$3))),"''","null"),SUBSTITUTE(VLOOKUP(J$2,convert!$A$1:$B$4,2,0),"@@@",J276))</f>
        <v>'bug'</v>
      </c>
      <c r="Z276" s="4" t="str">
        <f>IF(K276="",IF(ISNUMBER(SEARCH("NOT NULL",UPPER(K$3))),"''","null"),SUBSTITUTE(VLOOKUP(K$2,convert!$A$1:$B$4,2,0),"@@@",K276))</f>
        <v>'steel'</v>
      </c>
      <c r="AA276" s="4" t="str">
        <f>IF(L276="",IF(ISNUMBER(SEARCH("NOT NULL",UPPER(L$3))),"''","null"),SUBSTITUTE(VLOOKUP(L$2,convert!$A$1:$B$4,2,0),"@@@",L276))</f>
        <v>'g6'</v>
      </c>
      <c r="AB276" s="4" t="str">
        <f>IF(M276="",IF(ISNUMBER(SEARCH("NOT NULL",UPPER(M$3))),"''","null"),SUBSTITUTE(VLOOKUP(M$2,convert!$A$1:$B$4,2,0),"@@@",M276))</f>
        <v>null</v>
      </c>
      <c r="AC276" s="4" t="str">
        <f>IF(N276="",IF(ISNUMBER(SEARCH("NOT NULL",UPPER(N$3))),"''","null"),SUBSTITUTE(VLOOKUP(N$2,convert!$A$1:$B$4,2,0),"@@@",N276))</f>
        <v>null</v>
      </c>
      <c r="AD276" s="4" t="str">
        <f>IF(O276="",IF(ISNUMBER(SEARCH("NOT NULL",UPPER(O$3))),"''","null"),SUBSTITUTE(VLOOKUP(O$2,convert!$A$1:$B$4,2,0),"@@@",O276))</f>
        <v>TRUE</v>
      </c>
      <c r="AE276" s="4" t="str">
        <f t="shared" si="4"/>
        <v>    ('0212M01', 'メガハッサム', 70, 150, 140, 65, 100, 75, '', 'bug', 'steel', 'g6', null, null, TRUE),</v>
      </c>
    </row>
    <row r="277" spans="1:31">
      <c r="A277" s="4" t="s">
        <v>568</v>
      </c>
      <c r="B277" s="4" t="s">
        <v>569</v>
      </c>
      <c r="C277" s="5">
        <v>20</v>
      </c>
      <c r="D277" s="5">
        <v>10</v>
      </c>
      <c r="E277" s="5">
        <v>230</v>
      </c>
      <c r="F277" s="5">
        <v>10</v>
      </c>
      <c r="G277" s="5">
        <v>230</v>
      </c>
      <c r="H277" s="5">
        <v>5</v>
      </c>
      <c r="I277" s="5"/>
      <c r="J277" s="4" t="s">
        <v>64</v>
      </c>
      <c r="K277" s="4" t="s">
        <v>196</v>
      </c>
      <c r="L277" s="4" t="s">
        <v>436</v>
      </c>
      <c r="M277" s="5"/>
      <c r="N277" s="5"/>
      <c r="O277" s="5" t="b">
        <v>1</v>
      </c>
      <c r="P277" s="4" t="str">
        <f>IF(A277="",IF(ISNUMBER(SEARCH("NOT NULL",UPPER(A$3))),"''","null"),SUBSTITUTE(VLOOKUP(A$2,convert!$A$1:$B$4,2,0),"@@@",A277))</f>
        <v>'0213N01'</v>
      </c>
      <c r="Q277" s="4" t="str">
        <f>IF(B277="",IF(ISNUMBER(SEARCH("NOT NULL",UPPER(B$3))),"''","null"),SUBSTITUTE(VLOOKUP(B$2,convert!$A$1:$B$4,2,0),"@@@",B277))</f>
        <v>'ツボツボ'</v>
      </c>
      <c r="R277" s="4" t="str">
        <f>IF(C277="",IF(ISNUMBER(SEARCH("NOT NULL",UPPER(C$3))),"''","null"),SUBSTITUTE(VLOOKUP(C$2,convert!$A$1:$B$4,2,0),"@@@",C277))</f>
        <v>20</v>
      </c>
      <c r="S277" s="4" t="str">
        <f>IF(D277="",IF(ISNUMBER(SEARCH("NOT NULL",UPPER(D$3))),"''","null"),SUBSTITUTE(VLOOKUP(D$2,convert!$A$1:$B$4,2,0),"@@@",D277))</f>
        <v>10</v>
      </c>
      <c r="T277" s="4" t="str">
        <f>IF(E277="",IF(ISNUMBER(SEARCH("NOT NULL",UPPER(E$3))),"''","null"),SUBSTITUTE(VLOOKUP(E$2,convert!$A$1:$B$4,2,0),"@@@",E277))</f>
        <v>230</v>
      </c>
      <c r="U277" s="4" t="str">
        <f>IF(F277="",IF(ISNUMBER(SEARCH("NOT NULL",UPPER(F$3))),"''","null"),SUBSTITUTE(VLOOKUP(F$2,convert!$A$1:$B$4,2,0),"@@@",F277))</f>
        <v>10</v>
      </c>
      <c r="V277" s="4" t="str">
        <f>IF(G277="",IF(ISNUMBER(SEARCH("NOT NULL",UPPER(G$3))),"''","null"),SUBSTITUTE(VLOOKUP(G$2,convert!$A$1:$B$4,2,0),"@@@",G277))</f>
        <v>230</v>
      </c>
      <c r="W277" s="4" t="str">
        <f>IF(H277="",IF(ISNUMBER(SEARCH("NOT NULL",UPPER(H$3))),"''","null"),SUBSTITUTE(VLOOKUP(H$2,convert!$A$1:$B$4,2,0),"@@@",H277))</f>
        <v>5</v>
      </c>
      <c r="X277" s="4" t="str">
        <f>IF(I277="",IF(ISNUMBER(SEARCH("NOT NULL",UPPER(I$3))),"''","null"),SUBSTITUTE(VLOOKUP(I$2,convert!$A$1:$B$4,2,0),"@@@",I277))</f>
        <v>''</v>
      </c>
      <c r="Y277" s="4" t="str">
        <f>IF(J277="",IF(ISNUMBER(SEARCH("NOT NULL",UPPER(J$3))),"''","null"),SUBSTITUTE(VLOOKUP(J$2,convert!$A$1:$B$4,2,0),"@@@",J277))</f>
        <v>'bug'</v>
      </c>
      <c r="Z277" s="4" t="str">
        <f>IF(K277="",IF(ISNUMBER(SEARCH("NOT NULL",UPPER(K$3))),"''","null"),SUBSTITUTE(VLOOKUP(K$2,convert!$A$1:$B$4,2,0),"@@@",K277))</f>
        <v>'rock'</v>
      </c>
      <c r="AA277" s="4" t="str">
        <f>IF(L277="",IF(ISNUMBER(SEARCH("NOT NULL",UPPER(L$3))),"''","null"),SUBSTITUTE(VLOOKUP(L$2,convert!$A$1:$B$4,2,0),"@@@",L277))</f>
        <v>'g2'</v>
      </c>
      <c r="AB277" s="4" t="str">
        <f>IF(M277="",IF(ISNUMBER(SEARCH("NOT NULL",UPPER(M$3))),"''","null"),SUBSTITUTE(VLOOKUP(M$2,convert!$A$1:$B$4,2,0),"@@@",M277))</f>
        <v>null</v>
      </c>
      <c r="AC277" s="4" t="str">
        <f>IF(N277="",IF(ISNUMBER(SEARCH("NOT NULL",UPPER(N$3))),"''","null"),SUBSTITUTE(VLOOKUP(N$2,convert!$A$1:$B$4,2,0),"@@@",N277))</f>
        <v>null</v>
      </c>
      <c r="AD277" s="4" t="str">
        <f>IF(O277="",IF(ISNUMBER(SEARCH("NOT NULL",UPPER(O$3))),"''","null"),SUBSTITUTE(VLOOKUP(O$2,convert!$A$1:$B$4,2,0),"@@@",O277))</f>
        <v>TRUE</v>
      </c>
      <c r="AE277" s="4" t="str">
        <f t="shared" si="4"/>
        <v>    ('0213N01', 'ツボツボ', 20, 10, 230, 10, 230, 5, '', 'bug', 'rock', 'g2', null, null, TRUE),</v>
      </c>
    </row>
    <row r="278" spans="1:31">
      <c r="A278" s="4" t="s">
        <v>570</v>
      </c>
      <c r="B278" s="4" t="s">
        <v>571</v>
      </c>
      <c r="C278" s="5">
        <v>80</v>
      </c>
      <c r="D278" s="5">
        <v>125</v>
      </c>
      <c r="E278" s="5">
        <v>75</v>
      </c>
      <c r="F278" s="5">
        <v>40</v>
      </c>
      <c r="G278" s="5">
        <v>95</v>
      </c>
      <c r="H278" s="5">
        <v>85</v>
      </c>
      <c r="I278" s="5"/>
      <c r="J278" s="4" t="s">
        <v>64</v>
      </c>
      <c r="K278" s="4" t="s">
        <v>189</v>
      </c>
      <c r="L278" s="4" t="s">
        <v>436</v>
      </c>
      <c r="M278" s="5"/>
      <c r="N278" s="5"/>
      <c r="O278" s="5" t="b">
        <v>1</v>
      </c>
      <c r="P278" s="4" t="str">
        <f>IF(A278="",IF(ISNUMBER(SEARCH("NOT NULL",UPPER(A$3))),"''","null"),SUBSTITUTE(VLOOKUP(A$2,convert!$A$1:$B$4,2,0),"@@@",A278))</f>
        <v>'0214N01'</v>
      </c>
      <c r="Q278" s="4" t="str">
        <f>IF(B278="",IF(ISNUMBER(SEARCH("NOT NULL",UPPER(B$3))),"''","null"),SUBSTITUTE(VLOOKUP(B$2,convert!$A$1:$B$4,2,0),"@@@",B278))</f>
        <v>'ヘラクロス'</v>
      </c>
      <c r="R278" s="4" t="str">
        <f>IF(C278="",IF(ISNUMBER(SEARCH("NOT NULL",UPPER(C$3))),"''","null"),SUBSTITUTE(VLOOKUP(C$2,convert!$A$1:$B$4,2,0),"@@@",C278))</f>
        <v>80</v>
      </c>
      <c r="S278" s="4" t="str">
        <f>IF(D278="",IF(ISNUMBER(SEARCH("NOT NULL",UPPER(D$3))),"''","null"),SUBSTITUTE(VLOOKUP(D$2,convert!$A$1:$B$4,2,0),"@@@",D278))</f>
        <v>125</v>
      </c>
      <c r="T278" s="4" t="str">
        <f>IF(E278="",IF(ISNUMBER(SEARCH("NOT NULL",UPPER(E$3))),"''","null"),SUBSTITUTE(VLOOKUP(E$2,convert!$A$1:$B$4,2,0),"@@@",E278))</f>
        <v>75</v>
      </c>
      <c r="U278" s="4" t="str">
        <f>IF(F278="",IF(ISNUMBER(SEARCH("NOT NULL",UPPER(F$3))),"''","null"),SUBSTITUTE(VLOOKUP(F$2,convert!$A$1:$B$4,2,0),"@@@",F278))</f>
        <v>40</v>
      </c>
      <c r="V278" s="4" t="str">
        <f>IF(G278="",IF(ISNUMBER(SEARCH("NOT NULL",UPPER(G$3))),"''","null"),SUBSTITUTE(VLOOKUP(G$2,convert!$A$1:$B$4,2,0),"@@@",G278))</f>
        <v>95</v>
      </c>
      <c r="W278" s="4" t="str">
        <f>IF(H278="",IF(ISNUMBER(SEARCH("NOT NULL",UPPER(H$3))),"''","null"),SUBSTITUTE(VLOOKUP(H$2,convert!$A$1:$B$4,2,0),"@@@",H278))</f>
        <v>85</v>
      </c>
      <c r="X278" s="4" t="str">
        <f>IF(I278="",IF(ISNUMBER(SEARCH("NOT NULL",UPPER(I$3))),"''","null"),SUBSTITUTE(VLOOKUP(I$2,convert!$A$1:$B$4,2,0),"@@@",I278))</f>
        <v>''</v>
      </c>
      <c r="Y278" s="4" t="str">
        <f>IF(J278="",IF(ISNUMBER(SEARCH("NOT NULL",UPPER(J$3))),"''","null"),SUBSTITUTE(VLOOKUP(J$2,convert!$A$1:$B$4,2,0),"@@@",J278))</f>
        <v>'bug'</v>
      </c>
      <c r="Z278" s="4" t="str">
        <f>IF(K278="",IF(ISNUMBER(SEARCH("NOT NULL",UPPER(K$3))),"''","null"),SUBSTITUTE(VLOOKUP(K$2,convert!$A$1:$B$4,2,0),"@@@",K278))</f>
        <v>'fighting'</v>
      </c>
      <c r="AA278" s="4" t="str">
        <f>IF(L278="",IF(ISNUMBER(SEARCH("NOT NULL",UPPER(L$3))),"''","null"),SUBSTITUTE(VLOOKUP(L$2,convert!$A$1:$B$4,2,0),"@@@",L278))</f>
        <v>'g2'</v>
      </c>
      <c r="AB278" s="4" t="str">
        <f>IF(M278="",IF(ISNUMBER(SEARCH("NOT NULL",UPPER(M$3))),"''","null"),SUBSTITUTE(VLOOKUP(M$2,convert!$A$1:$B$4,2,0),"@@@",M278))</f>
        <v>null</v>
      </c>
      <c r="AC278" s="4" t="str">
        <f>IF(N278="",IF(ISNUMBER(SEARCH("NOT NULL",UPPER(N$3))),"''","null"),SUBSTITUTE(VLOOKUP(N$2,convert!$A$1:$B$4,2,0),"@@@",N278))</f>
        <v>null</v>
      </c>
      <c r="AD278" s="4" t="str">
        <f>IF(O278="",IF(ISNUMBER(SEARCH("NOT NULL",UPPER(O$3))),"''","null"),SUBSTITUTE(VLOOKUP(O$2,convert!$A$1:$B$4,2,0),"@@@",O278))</f>
        <v>TRUE</v>
      </c>
      <c r="AE278" s="4" t="str">
        <f t="shared" si="4"/>
        <v>    ('0214N01', 'ヘラクロス', 80, 125, 75, 40, 95, 85, '', 'bug', 'fighting', 'g2', null, null, TRUE),</v>
      </c>
    </row>
    <row r="279" spans="1:31">
      <c r="A279" s="4" t="s">
        <v>572</v>
      </c>
      <c r="B279" s="4" t="s">
        <v>573</v>
      </c>
      <c r="C279" s="5">
        <v>80</v>
      </c>
      <c r="D279" s="5">
        <v>185</v>
      </c>
      <c r="E279" s="5">
        <v>115</v>
      </c>
      <c r="F279" s="5">
        <v>40</v>
      </c>
      <c r="G279" s="5">
        <v>105</v>
      </c>
      <c r="H279" s="5">
        <v>75</v>
      </c>
      <c r="I279" s="5"/>
      <c r="J279" s="4" t="s">
        <v>64</v>
      </c>
      <c r="K279" s="4" t="s">
        <v>189</v>
      </c>
      <c r="L279" s="4" t="s">
        <v>39</v>
      </c>
      <c r="M279" s="5"/>
      <c r="N279" s="5"/>
      <c r="O279" s="5" t="b">
        <v>1</v>
      </c>
      <c r="P279" s="4" t="str">
        <f>IF(A279="",IF(ISNUMBER(SEARCH("NOT NULL",UPPER(A$3))),"''","null"),SUBSTITUTE(VLOOKUP(A$2,convert!$A$1:$B$4,2,0),"@@@",A279))</f>
        <v>'0214M01'</v>
      </c>
      <c r="Q279" s="4" t="str">
        <f>IF(B279="",IF(ISNUMBER(SEARCH("NOT NULL",UPPER(B$3))),"''","null"),SUBSTITUTE(VLOOKUP(B$2,convert!$A$1:$B$4,2,0),"@@@",B279))</f>
        <v>'メガヘラクロス'</v>
      </c>
      <c r="R279" s="4" t="str">
        <f>IF(C279="",IF(ISNUMBER(SEARCH("NOT NULL",UPPER(C$3))),"''","null"),SUBSTITUTE(VLOOKUP(C$2,convert!$A$1:$B$4,2,0),"@@@",C279))</f>
        <v>80</v>
      </c>
      <c r="S279" s="4" t="str">
        <f>IF(D279="",IF(ISNUMBER(SEARCH("NOT NULL",UPPER(D$3))),"''","null"),SUBSTITUTE(VLOOKUP(D$2,convert!$A$1:$B$4,2,0),"@@@",D279))</f>
        <v>185</v>
      </c>
      <c r="T279" s="4" t="str">
        <f>IF(E279="",IF(ISNUMBER(SEARCH("NOT NULL",UPPER(E$3))),"''","null"),SUBSTITUTE(VLOOKUP(E$2,convert!$A$1:$B$4,2,0),"@@@",E279))</f>
        <v>115</v>
      </c>
      <c r="U279" s="4" t="str">
        <f>IF(F279="",IF(ISNUMBER(SEARCH("NOT NULL",UPPER(F$3))),"''","null"),SUBSTITUTE(VLOOKUP(F$2,convert!$A$1:$B$4,2,0),"@@@",F279))</f>
        <v>40</v>
      </c>
      <c r="V279" s="4" t="str">
        <f>IF(G279="",IF(ISNUMBER(SEARCH("NOT NULL",UPPER(G$3))),"''","null"),SUBSTITUTE(VLOOKUP(G$2,convert!$A$1:$B$4,2,0),"@@@",G279))</f>
        <v>105</v>
      </c>
      <c r="W279" s="4" t="str">
        <f>IF(H279="",IF(ISNUMBER(SEARCH("NOT NULL",UPPER(H$3))),"''","null"),SUBSTITUTE(VLOOKUP(H$2,convert!$A$1:$B$4,2,0),"@@@",H279))</f>
        <v>75</v>
      </c>
      <c r="X279" s="4" t="str">
        <f>IF(I279="",IF(ISNUMBER(SEARCH("NOT NULL",UPPER(I$3))),"''","null"),SUBSTITUTE(VLOOKUP(I$2,convert!$A$1:$B$4,2,0),"@@@",I279))</f>
        <v>''</v>
      </c>
      <c r="Y279" s="4" t="str">
        <f>IF(J279="",IF(ISNUMBER(SEARCH("NOT NULL",UPPER(J$3))),"''","null"),SUBSTITUTE(VLOOKUP(J$2,convert!$A$1:$B$4,2,0),"@@@",J279))</f>
        <v>'bug'</v>
      </c>
      <c r="Z279" s="4" t="str">
        <f>IF(K279="",IF(ISNUMBER(SEARCH("NOT NULL",UPPER(K$3))),"''","null"),SUBSTITUTE(VLOOKUP(K$2,convert!$A$1:$B$4,2,0),"@@@",K279))</f>
        <v>'fighting'</v>
      </c>
      <c r="AA279" s="4" t="str">
        <f>IF(L279="",IF(ISNUMBER(SEARCH("NOT NULL",UPPER(L$3))),"''","null"),SUBSTITUTE(VLOOKUP(L$2,convert!$A$1:$B$4,2,0),"@@@",L279))</f>
        <v>'g6'</v>
      </c>
      <c r="AB279" s="4" t="str">
        <f>IF(M279="",IF(ISNUMBER(SEARCH("NOT NULL",UPPER(M$3))),"''","null"),SUBSTITUTE(VLOOKUP(M$2,convert!$A$1:$B$4,2,0),"@@@",M279))</f>
        <v>null</v>
      </c>
      <c r="AC279" s="4" t="str">
        <f>IF(N279="",IF(ISNUMBER(SEARCH("NOT NULL",UPPER(N$3))),"''","null"),SUBSTITUTE(VLOOKUP(N$2,convert!$A$1:$B$4,2,0),"@@@",N279))</f>
        <v>null</v>
      </c>
      <c r="AD279" s="4" t="str">
        <f>IF(O279="",IF(ISNUMBER(SEARCH("NOT NULL",UPPER(O$3))),"''","null"),SUBSTITUTE(VLOOKUP(O$2,convert!$A$1:$B$4,2,0),"@@@",O279))</f>
        <v>TRUE</v>
      </c>
      <c r="AE279" s="4" t="str">
        <f t="shared" si="4"/>
        <v>    ('0214M01', 'メガヘラクロス', 80, 185, 115, 40, 105, 75, '', 'bug', 'fighting', 'g6', null, null, TRUE),</v>
      </c>
    </row>
    <row r="280" spans="1:31">
      <c r="A280" s="4" t="s">
        <v>574</v>
      </c>
      <c r="B280" s="4" t="s">
        <v>575</v>
      </c>
      <c r="C280" s="5">
        <v>55</v>
      </c>
      <c r="D280" s="5">
        <v>95</v>
      </c>
      <c r="E280" s="5">
        <v>55</v>
      </c>
      <c r="F280" s="5">
        <v>35</v>
      </c>
      <c r="G280" s="5">
        <v>75</v>
      </c>
      <c r="H280" s="5">
        <v>115</v>
      </c>
      <c r="I280" s="5"/>
      <c r="J280" s="4" t="s">
        <v>91</v>
      </c>
      <c r="K280" s="4" t="s">
        <v>118</v>
      </c>
      <c r="L280" s="4" t="s">
        <v>436</v>
      </c>
      <c r="M280" s="5"/>
      <c r="N280" s="5"/>
      <c r="O280" s="5" t="b">
        <v>1</v>
      </c>
      <c r="P280" s="4" t="str">
        <f>IF(A280="",IF(ISNUMBER(SEARCH("NOT NULL",UPPER(A$3))),"''","null"),SUBSTITUTE(VLOOKUP(A$2,convert!$A$1:$B$4,2,0),"@@@",A280))</f>
        <v>'0215N01'</v>
      </c>
      <c r="Q280" s="4" t="str">
        <f>IF(B280="",IF(ISNUMBER(SEARCH("NOT NULL",UPPER(B$3))),"''","null"),SUBSTITUTE(VLOOKUP(B$2,convert!$A$1:$B$4,2,0),"@@@",B280))</f>
        <v>'ニューラ'</v>
      </c>
      <c r="R280" s="4" t="str">
        <f>IF(C280="",IF(ISNUMBER(SEARCH("NOT NULL",UPPER(C$3))),"''","null"),SUBSTITUTE(VLOOKUP(C$2,convert!$A$1:$B$4,2,0),"@@@",C280))</f>
        <v>55</v>
      </c>
      <c r="S280" s="4" t="str">
        <f>IF(D280="",IF(ISNUMBER(SEARCH("NOT NULL",UPPER(D$3))),"''","null"),SUBSTITUTE(VLOOKUP(D$2,convert!$A$1:$B$4,2,0),"@@@",D280))</f>
        <v>95</v>
      </c>
      <c r="T280" s="4" t="str">
        <f>IF(E280="",IF(ISNUMBER(SEARCH("NOT NULL",UPPER(E$3))),"''","null"),SUBSTITUTE(VLOOKUP(E$2,convert!$A$1:$B$4,2,0),"@@@",E280))</f>
        <v>55</v>
      </c>
      <c r="U280" s="4" t="str">
        <f>IF(F280="",IF(ISNUMBER(SEARCH("NOT NULL",UPPER(F$3))),"''","null"),SUBSTITUTE(VLOOKUP(F$2,convert!$A$1:$B$4,2,0),"@@@",F280))</f>
        <v>35</v>
      </c>
      <c r="V280" s="4" t="str">
        <f>IF(G280="",IF(ISNUMBER(SEARCH("NOT NULL",UPPER(G$3))),"''","null"),SUBSTITUTE(VLOOKUP(G$2,convert!$A$1:$B$4,2,0),"@@@",G280))</f>
        <v>75</v>
      </c>
      <c r="W280" s="4" t="str">
        <f>IF(H280="",IF(ISNUMBER(SEARCH("NOT NULL",UPPER(H$3))),"''","null"),SUBSTITUTE(VLOOKUP(H$2,convert!$A$1:$B$4,2,0),"@@@",H280))</f>
        <v>115</v>
      </c>
      <c r="X280" s="4" t="str">
        <f>IF(I280="",IF(ISNUMBER(SEARCH("NOT NULL",UPPER(I$3))),"''","null"),SUBSTITUTE(VLOOKUP(I$2,convert!$A$1:$B$4,2,0),"@@@",I280))</f>
        <v>''</v>
      </c>
      <c r="Y280" s="4" t="str">
        <f>IF(J280="",IF(ISNUMBER(SEARCH("NOT NULL",UPPER(J$3))),"''","null"),SUBSTITUTE(VLOOKUP(J$2,convert!$A$1:$B$4,2,0),"@@@",J280))</f>
        <v>'dark'</v>
      </c>
      <c r="Z280" s="4" t="str">
        <f>IF(K280="",IF(ISNUMBER(SEARCH("NOT NULL",UPPER(K$3))),"''","null"),SUBSTITUTE(VLOOKUP(K$2,convert!$A$1:$B$4,2,0),"@@@",K280))</f>
        <v>'ice'</v>
      </c>
      <c r="AA280" s="4" t="str">
        <f>IF(L280="",IF(ISNUMBER(SEARCH("NOT NULL",UPPER(L$3))),"''","null"),SUBSTITUTE(VLOOKUP(L$2,convert!$A$1:$B$4,2,0),"@@@",L280))</f>
        <v>'g2'</v>
      </c>
      <c r="AB280" s="4" t="str">
        <f>IF(M280="",IF(ISNUMBER(SEARCH("NOT NULL",UPPER(M$3))),"''","null"),SUBSTITUTE(VLOOKUP(M$2,convert!$A$1:$B$4,2,0),"@@@",M280))</f>
        <v>null</v>
      </c>
      <c r="AC280" s="4" t="str">
        <f>IF(N280="",IF(ISNUMBER(SEARCH("NOT NULL",UPPER(N$3))),"''","null"),SUBSTITUTE(VLOOKUP(N$2,convert!$A$1:$B$4,2,0),"@@@",N280))</f>
        <v>null</v>
      </c>
      <c r="AD280" s="4" t="str">
        <f>IF(O280="",IF(ISNUMBER(SEARCH("NOT NULL",UPPER(O$3))),"''","null"),SUBSTITUTE(VLOOKUP(O$2,convert!$A$1:$B$4,2,0),"@@@",O280))</f>
        <v>TRUE</v>
      </c>
      <c r="AE280" s="4" t="str">
        <f t="shared" si="4"/>
        <v>    ('0215N01', 'ニューラ', 55, 95, 55, 35, 75, 115, '', 'dark', 'ice', 'g2', null, null, TRUE),</v>
      </c>
    </row>
    <row r="281" spans="1:31">
      <c r="A281" s="4" t="s">
        <v>576</v>
      </c>
      <c r="B281" s="4" t="s">
        <v>575</v>
      </c>
      <c r="C281" s="5">
        <v>55</v>
      </c>
      <c r="D281" s="5">
        <v>95</v>
      </c>
      <c r="E281" s="5">
        <v>55</v>
      </c>
      <c r="F281" s="5">
        <v>35</v>
      </c>
      <c r="G281" s="5">
        <v>75</v>
      </c>
      <c r="H281" s="5">
        <v>115</v>
      </c>
      <c r="I281" s="4" t="s">
        <v>195</v>
      </c>
      <c r="J281" s="4" t="s">
        <v>189</v>
      </c>
      <c r="K281" s="4" t="s">
        <v>31</v>
      </c>
      <c r="L281" s="4" t="s">
        <v>197</v>
      </c>
      <c r="M281" s="5"/>
      <c r="N281" s="5"/>
      <c r="O281" s="5" t="b">
        <v>1</v>
      </c>
      <c r="P281" s="4" t="str">
        <f>IF(A281="",IF(ISNUMBER(SEARCH("NOT NULL",UPPER(A$3))),"''","null"),SUBSTITUTE(VLOOKUP(A$2,convert!$A$1:$B$4,2,0),"@@@",A281))</f>
        <v>'0215H01'</v>
      </c>
      <c r="Q281" s="4" t="str">
        <f>IF(B281="",IF(ISNUMBER(SEARCH("NOT NULL",UPPER(B$3))),"''","null"),SUBSTITUTE(VLOOKUP(B$2,convert!$A$1:$B$4,2,0),"@@@",B281))</f>
        <v>'ニューラ'</v>
      </c>
      <c r="R281" s="4" t="str">
        <f>IF(C281="",IF(ISNUMBER(SEARCH("NOT NULL",UPPER(C$3))),"''","null"),SUBSTITUTE(VLOOKUP(C$2,convert!$A$1:$B$4,2,0),"@@@",C281))</f>
        <v>55</v>
      </c>
      <c r="S281" s="4" t="str">
        <f>IF(D281="",IF(ISNUMBER(SEARCH("NOT NULL",UPPER(D$3))),"''","null"),SUBSTITUTE(VLOOKUP(D$2,convert!$A$1:$B$4,2,0),"@@@",D281))</f>
        <v>95</v>
      </c>
      <c r="T281" s="4" t="str">
        <f>IF(E281="",IF(ISNUMBER(SEARCH("NOT NULL",UPPER(E$3))),"''","null"),SUBSTITUTE(VLOOKUP(E$2,convert!$A$1:$B$4,2,0),"@@@",E281))</f>
        <v>55</v>
      </c>
      <c r="U281" s="4" t="str">
        <f>IF(F281="",IF(ISNUMBER(SEARCH("NOT NULL",UPPER(F$3))),"''","null"),SUBSTITUTE(VLOOKUP(F$2,convert!$A$1:$B$4,2,0),"@@@",F281))</f>
        <v>35</v>
      </c>
      <c r="V281" s="4" t="str">
        <f>IF(G281="",IF(ISNUMBER(SEARCH("NOT NULL",UPPER(G$3))),"''","null"),SUBSTITUTE(VLOOKUP(G$2,convert!$A$1:$B$4,2,0),"@@@",G281))</f>
        <v>75</v>
      </c>
      <c r="W281" s="4" t="str">
        <f>IF(H281="",IF(ISNUMBER(SEARCH("NOT NULL",UPPER(H$3))),"''","null"),SUBSTITUTE(VLOOKUP(H$2,convert!$A$1:$B$4,2,0),"@@@",H281))</f>
        <v>115</v>
      </c>
      <c r="X281" s="4" t="str">
        <f>IF(I281="",IF(ISNUMBER(SEARCH("NOT NULL",UPPER(I$3))),"''","null"),SUBSTITUTE(VLOOKUP(I$2,convert!$A$1:$B$4,2,0),"@@@",I281))</f>
        <v>'ヒスイのすがた'</v>
      </c>
      <c r="Y281" s="4" t="str">
        <f>IF(J281="",IF(ISNUMBER(SEARCH("NOT NULL",UPPER(J$3))),"''","null"),SUBSTITUTE(VLOOKUP(J$2,convert!$A$1:$B$4,2,0),"@@@",J281))</f>
        <v>'fighting'</v>
      </c>
      <c r="Z281" s="4" t="str">
        <f>IF(K281="",IF(ISNUMBER(SEARCH("NOT NULL",UPPER(K$3))),"''","null"),SUBSTITUTE(VLOOKUP(K$2,convert!$A$1:$B$4,2,0),"@@@",K281))</f>
        <v>'poison'</v>
      </c>
      <c r="AA281" s="4" t="str">
        <f>IF(L281="",IF(ISNUMBER(SEARCH("NOT NULL",UPPER(L$3))),"''","null"),SUBSTITUTE(VLOOKUP(L$2,convert!$A$1:$B$4,2,0),"@@@",L281))</f>
        <v>'g8arceus'</v>
      </c>
      <c r="AB281" s="4" t="str">
        <f>IF(M281="",IF(ISNUMBER(SEARCH("NOT NULL",UPPER(M$3))),"''","null"),SUBSTITUTE(VLOOKUP(M$2,convert!$A$1:$B$4,2,0),"@@@",M281))</f>
        <v>null</v>
      </c>
      <c r="AC281" s="4" t="str">
        <f>IF(N281="",IF(ISNUMBER(SEARCH("NOT NULL",UPPER(N$3))),"''","null"),SUBSTITUTE(VLOOKUP(N$2,convert!$A$1:$B$4,2,0),"@@@",N281))</f>
        <v>null</v>
      </c>
      <c r="AD281" s="4" t="str">
        <f>IF(O281="",IF(ISNUMBER(SEARCH("NOT NULL",UPPER(O$3))),"''","null"),SUBSTITUTE(VLOOKUP(O$2,convert!$A$1:$B$4,2,0),"@@@",O281))</f>
        <v>TRUE</v>
      </c>
      <c r="AE281" s="4" t="str">
        <f t="shared" si="4"/>
        <v>    ('0215H01', 'ニューラ', 55, 95, 55, 35, 75, 115, 'ヒスイのすがた', 'fighting', 'poison', 'g8arceus', null, null, TRUE),</v>
      </c>
    </row>
    <row r="282" spans="1:31">
      <c r="A282" s="4" t="s">
        <v>577</v>
      </c>
      <c r="B282" s="4" t="s">
        <v>578</v>
      </c>
      <c r="C282" s="5">
        <v>60</v>
      </c>
      <c r="D282" s="5">
        <v>80</v>
      </c>
      <c r="E282" s="5">
        <v>50</v>
      </c>
      <c r="F282" s="5">
        <v>50</v>
      </c>
      <c r="G282" s="5">
        <v>50</v>
      </c>
      <c r="H282" s="5">
        <v>40</v>
      </c>
      <c r="I282" s="5"/>
      <c r="J282" s="4" t="s">
        <v>80</v>
      </c>
      <c r="K282" s="5"/>
      <c r="L282" s="4" t="s">
        <v>436</v>
      </c>
      <c r="M282" s="5"/>
      <c r="N282" s="5"/>
      <c r="O282" s="5" t="b">
        <v>1</v>
      </c>
      <c r="P282" s="4" t="str">
        <f>IF(A282="",IF(ISNUMBER(SEARCH("NOT NULL",UPPER(A$3))),"''","null"),SUBSTITUTE(VLOOKUP(A$2,convert!$A$1:$B$4,2,0),"@@@",A282))</f>
        <v>'0216N01'</v>
      </c>
      <c r="Q282" s="4" t="str">
        <f>IF(B282="",IF(ISNUMBER(SEARCH("NOT NULL",UPPER(B$3))),"''","null"),SUBSTITUTE(VLOOKUP(B$2,convert!$A$1:$B$4,2,0),"@@@",B282))</f>
        <v>'ヒメグマ'</v>
      </c>
      <c r="R282" s="4" t="str">
        <f>IF(C282="",IF(ISNUMBER(SEARCH("NOT NULL",UPPER(C$3))),"''","null"),SUBSTITUTE(VLOOKUP(C$2,convert!$A$1:$B$4,2,0),"@@@",C282))</f>
        <v>60</v>
      </c>
      <c r="S282" s="4" t="str">
        <f>IF(D282="",IF(ISNUMBER(SEARCH("NOT NULL",UPPER(D$3))),"''","null"),SUBSTITUTE(VLOOKUP(D$2,convert!$A$1:$B$4,2,0),"@@@",D282))</f>
        <v>80</v>
      </c>
      <c r="T282" s="4" t="str">
        <f>IF(E282="",IF(ISNUMBER(SEARCH("NOT NULL",UPPER(E$3))),"''","null"),SUBSTITUTE(VLOOKUP(E$2,convert!$A$1:$B$4,2,0),"@@@",E282))</f>
        <v>50</v>
      </c>
      <c r="U282" s="4" t="str">
        <f>IF(F282="",IF(ISNUMBER(SEARCH("NOT NULL",UPPER(F$3))),"''","null"),SUBSTITUTE(VLOOKUP(F$2,convert!$A$1:$B$4,2,0),"@@@",F282))</f>
        <v>50</v>
      </c>
      <c r="V282" s="4" t="str">
        <f>IF(G282="",IF(ISNUMBER(SEARCH("NOT NULL",UPPER(G$3))),"''","null"),SUBSTITUTE(VLOOKUP(G$2,convert!$A$1:$B$4,2,0),"@@@",G282))</f>
        <v>50</v>
      </c>
      <c r="W282" s="4" t="str">
        <f>IF(H282="",IF(ISNUMBER(SEARCH("NOT NULL",UPPER(H$3))),"''","null"),SUBSTITUTE(VLOOKUP(H$2,convert!$A$1:$B$4,2,0),"@@@",H282))</f>
        <v>40</v>
      </c>
      <c r="X282" s="4" t="str">
        <f>IF(I282="",IF(ISNUMBER(SEARCH("NOT NULL",UPPER(I$3))),"''","null"),SUBSTITUTE(VLOOKUP(I$2,convert!$A$1:$B$4,2,0),"@@@",I282))</f>
        <v>''</v>
      </c>
      <c r="Y282" s="4" t="str">
        <f>IF(J282="",IF(ISNUMBER(SEARCH("NOT NULL",UPPER(J$3))),"''","null"),SUBSTITUTE(VLOOKUP(J$2,convert!$A$1:$B$4,2,0),"@@@",J282))</f>
        <v>'normal'</v>
      </c>
      <c r="Z282" s="4" t="str">
        <f>IF(K282="",IF(ISNUMBER(SEARCH("NOT NULL",UPPER(K$3))),"''","null"),SUBSTITUTE(VLOOKUP(K$2,convert!$A$1:$B$4,2,0),"@@@",K282))</f>
        <v>null</v>
      </c>
      <c r="AA282" s="4" t="str">
        <f>IF(L282="",IF(ISNUMBER(SEARCH("NOT NULL",UPPER(L$3))),"''","null"),SUBSTITUTE(VLOOKUP(L$2,convert!$A$1:$B$4,2,0),"@@@",L282))</f>
        <v>'g2'</v>
      </c>
      <c r="AB282" s="4" t="str">
        <f>IF(M282="",IF(ISNUMBER(SEARCH("NOT NULL",UPPER(M$3))),"''","null"),SUBSTITUTE(VLOOKUP(M$2,convert!$A$1:$B$4,2,0),"@@@",M282))</f>
        <v>null</v>
      </c>
      <c r="AC282" s="4" t="str">
        <f>IF(N282="",IF(ISNUMBER(SEARCH("NOT NULL",UPPER(N$3))),"''","null"),SUBSTITUTE(VLOOKUP(N$2,convert!$A$1:$B$4,2,0),"@@@",N282))</f>
        <v>null</v>
      </c>
      <c r="AD282" s="4" t="str">
        <f>IF(O282="",IF(ISNUMBER(SEARCH("NOT NULL",UPPER(O$3))),"''","null"),SUBSTITUTE(VLOOKUP(O$2,convert!$A$1:$B$4,2,0),"@@@",O282))</f>
        <v>TRUE</v>
      </c>
      <c r="AE282" s="4" t="str">
        <f t="shared" si="4"/>
        <v>    ('0216N01', 'ヒメグマ', 60, 80, 50, 50, 50, 40, '', 'normal', null, 'g2', null, null, TRUE),</v>
      </c>
    </row>
    <row r="283" spans="1:31">
      <c r="A283" s="4" t="s">
        <v>579</v>
      </c>
      <c r="B283" s="4" t="s">
        <v>580</v>
      </c>
      <c r="C283" s="5">
        <v>90</v>
      </c>
      <c r="D283" s="5">
        <v>130</v>
      </c>
      <c r="E283" s="5">
        <v>75</v>
      </c>
      <c r="F283" s="5">
        <v>75</v>
      </c>
      <c r="G283" s="5">
        <v>75</v>
      </c>
      <c r="H283" s="5">
        <v>55</v>
      </c>
      <c r="I283" s="5"/>
      <c r="J283" s="4" t="s">
        <v>80</v>
      </c>
      <c r="K283" s="5"/>
      <c r="L283" s="4" t="s">
        <v>436</v>
      </c>
      <c r="M283" s="5"/>
      <c r="N283" s="5"/>
      <c r="O283" s="5" t="b">
        <v>1</v>
      </c>
      <c r="P283" s="4" t="str">
        <f>IF(A283="",IF(ISNUMBER(SEARCH("NOT NULL",UPPER(A$3))),"''","null"),SUBSTITUTE(VLOOKUP(A$2,convert!$A$1:$B$4,2,0),"@@@",A283))</f>
        <v>'0217N01'</v>
      </c>
      <c r="Q283" s="4" t="str">
        <f>IF(B283="",IF(ISNUMBER(SEARCH("NOT NULL",UPPER(B$3))),"''","null"),SUBSTITUTE(VLOOKUP(B$2,convert!$A$1:$B$4,2,0),"@@@",B283))</f>
        <v>'リングマ'</v>
      </c>
      <c r="R283" s="4" t="str">
        <f>IF(C283="",IF(ISNUMBER(SEARCH("NOT NULL",UPPER(C$3))),"''","null"),SUBSTITUTE(VLOOKUP(C$2,convert!$A$1:$B$4,2,0),"@@@",C283))</f>
        <v>90</v>
      </c>
      <c r="S283" s="4" t="str">
        <f>IF(D283="",IF(ISNUMBER(SEARCH("NOT NULL",UPPER(D$3))),"''","null"),SUBSTITUTE(VLOOKUP(D$2,convert!$A$1:$B$4,2,0),"@@@",D283))</f>
        <v>130</v>
      </c>
      <c r="T283" s="4" t="str">
        <f>IF(E283="",IF(ISNUMBER(SEARCH("NOT NULL",UPPER(E$3))),"''","null"),SUBSTITUTE(VLOOKUP(E$2,convert!$A$1:$B$4,2,0),"@@@",E283))</f>
        <v>75</v>
      </c>
      <c r="U283" s="4" t="str">
        <f>IF(F283="",IF(ISNUMBER(SEARCH("NOT NULL",UPPER(F$3))),"''","null"),SUBSTITUTE(VLOOKUP(F$2,convert!$A$1:$B$4,2,0),"@@@",F283))</f>
        <v>75</v>
      </c>
      <c r="V283" s="4" t="str">
        <f>IF(G283="",IF(ISNUMBER(SEARCH("NOT NULL",UPPER(G$3))),"''","null"),SUBSTITUTE(VLOOKUP(G$2,convert!$A$1:$B$4,2,0),"@@@",G283))</f>
        <v>75</v>
      </c>
      <c r="W283" s="4" t="str">
        <f>IF(H283="",IF(ISNUMBER(SEARCH("NOT NULL",UPPER(H$3))),"''","null"),SUBSTITUTE(VLOOKUP(H$2,convert!$A$1:$B$4,2,0),"@@@",H283))</f>
        <v>55</v>
      </c>
      <c r="X283" s="4" t="str">
        <f>IF(I283="",IF(ISNUMBER(SEARCH("NOT NULL",UPPER(I$3))),"''","null"),SUBSTITUTE(VLOOKUP(I$2,convert!$A$1:$B$4,2,0),"@@@",I283))</f>
        <v>''</v>
      </c>
      <c r="Y283" s="4" t="str">
        <f>IF(J283="",IF(ISNUMBER(SEARCH("NOT NULL",UPPER(J$3))),"''","null"),SUBSTITUTE(VLOOKUP(J$2,convert!$A$1:$B$4,2,0),"@@@",J283))</f>
        <v>'normal'</v>
      </c>
      <c r="Z283" s="4" t="str">
        <f>IF(K283="",IF(ISNUMBER(SEARCH("NOT NULL",UPPER(K$3))),"''","null"),SUBSTITUTE(VLOOKUP(K$2,convert!$A$1:$B$4,2,0),"@@@",K283))</f>
        <v>null</v>
      </c>
      <c r="AA283" s="4" t="str">
        <f>IF(L283="",IF(ISNUMBER(SEARCH("NOT NULL",UPPER(L$3))),"''","null"),SUBSTITUTE(VLOOKUP(L$2,convert!$A$1:$B$4,2,0),"@@@",L283))</f>
        <v>'g2'</v>
      </c>
      <c r="AB283" s="4" t="str">
        <f>IF(M283="",IF(ISNUMBER(SEARCH("NOT NULL",UPPER(M$3))),"''","null"),SUBSTITUTE(VLOOKUP(M$2,convert!$A$1:$B$4,2,0),"@@@",M283))</f>
        <v>null</v>
      </c>
      <c r="AC283" s="4" t="str">
        <f>IF(N283="",IF(ISNUMBER(SEARCH("NOT NULL",UPPER(N$3))),"''","null"),SUBSTITUTE(VLOOKUP(N$2,convert!$A$1:$B$4,2,0),"@@@",N283))</f>
        <v>null</v>
      </c>
      <c r="AD283" s="4" t="str">
        <f>IF(O283="",IF(ISNUMBER(SEARCH("NOT NULL",UPPER(O$3))),"''","null"),SUBSTITUTE(VLOOKUP(O$2,convert!$A$1:$B$4,2,0),"@@@",O283))</f>
        <v>TRUE</v>
      </c>
      <c r="AE283" s="4" t="str">
        <f t="shared" si="4"/>
        <v>    ('0217N01', 'リングマ', 90, 130, 75, 75, 75, 55, '', 'normal', null, 'g2', null, null, TRUE),</v>
      </c>
    </row>
    <row r="284" spans="1:31">
      <c r="A284" s="4" t="s">
        <v>581</v>
      </c>
      <c r="B284" s="4" t="s">
        <v>582</v>
      </c>
      <c r="C284" s="5">
        <v>40</v>
      </c>
      <c r="D284" s="5">
        <v>40</v>
      </c>
      <c r="E284" s="5">
        <v>40</v>
      </c>
      <c r="F284" s="5">
        <v>70</v>
      </c>
      <c r="G284" s="5">
        <v>40</v>
      </c>
      <c r="H284" s="5">
        <v>20</v>
      </c>
      <c r="I284" s="5"/>
      <c r="J284" s="4" t="s">
        <v>42</v>
      </c>
      <c r="K284" s="5"/>
      <c r="L284" s="4" t="s">
        <v>436</v>
      </c>
      <c r="M284" s="5"/>
      <c r="N284" s="5"/>
      <c r="O284" s="5" t="b">
        <v>1</v>
      </c>
      <c r="P284" s="4" t="str">
        <f>IF(A284="",IF(ISNUMBER(SEARCH("NOT NULL",UPPER(A$3))),"''","null"),SUBSTITUTE(VLOOKUP(A$2,convert!$A$1:$B$4,2,0),"@@@",A284))</f>
        <v>'0218N01'</v>
      </c>
      <c r="Q284" s="4" t="str">
        <f>IF(B284="",IF(ISNUMBER(SEARCH("NOT NULL",UPPER(B$3))),"''","null"),SUBSTITUTE(VLOOKUP(B$2,convert!$A$1:$B$4,2,0),"@@@",B284))</f>
        <v>'マグマッグ'</v>
      </c>
      <c r="R284" s="4" t="str">
        <f>IF(C284="",IF(ISNUMBER(SEARCH("NOT NULL",UPPER(C$3))),"''","null"),SUBSTITUTE(VLOOKUP(C$2,convert!$A$1:$B$4,2,0),"@@@",C284))</f>
        <v>40</v>
      </c>
      <c r="S284" s="4" t="str">
        <f>IF(D284="",IF(ISNUMBER(SEARCH("NOT NULL",UPPER(D$3))),"''","null"),SUBSTITUTE(VLOOKUP(D$2,convert!$A$1:$B$4,2,0),"@@@",D284))</f>
        <v>40</v>
      </c>
      <c r="T284" s="4" t="str">
        <f>IF(E284="",IF(ISNUMBER(SEARCH("NOT NULL",UPPER(E$3))),"''","null"),SUBSTITUTE(VLOOKUP(E$2,convert!$A$1:$B$4,2,0),"@@@",E284))</f>
        <v>40</v>
      </c>
      <c r="U284" s="4" t="str">
        <f>IF(F284="",IF(ISNUMBER(SEARCH("NOT NULL",UPPER(F$3))),"''","null"),SUBSTITUTE(VLOOKUP(F$2,convert!$A$1:$B$4,2,0),"@@@",F284))</f>
        <v>70</v>
      </c>
      <c r="V284" s="4" t="str">
        <f>IF(G284="",IF(ISNUMBER(SEARCH("NOT NULL",UPPER(G$3))),"''","null"),SUBSTITUTE(VLOOKUP(G$2,convert!$A$1:$B$4,2,0),"@@@",G284))</f>
        <v>40</v>
      </c>
      <c r="W284" s="4" t="str">
        <f>IF(H284="",IF(ISNUMBER(SEARCH("NOT NULL",UPPER(H$3))),"''","null"),SUBSTITUTE(VLOOKUP(H$2,convert!$A$1:$B$4,2,0),"@@@",H284))</f>
        <v>20</v>
      </c>
      <c r="X284" s="4" t="str">
        <f>IF(I284="",IF(ISNUMBER(SEARCH("NOT NULL",UPPER(I$3))),"''","null"),SUBSTITUTE(VLOOKUP(I$2,convert!$A$1:$B$4,2,0),"@@@",I284))</f>
        <v>''</v>
      </c>
      <c r="Y284" s="4" t="str">
        <f>IF(J284="",IF(ISNUMBER(SEARCH("NOT NULL",UPPER(J$3))),"''","null"),SUBSTITUTE(VLOOKUP(J$2,convert!$A$1:$B$4,2,0),"@@@",J284))</f>
        <v>'fire'</v>
      </c>
      <c r="Z284" s="4" t="str">
        <f>IF(K284="",IF(ISNUMBER(SEARCH("NOT NULL",UPPER(K$3))),"''","null"),SUBSTITUTE(VLOOKUP(K$2,convert!$A$1:$B$4,2,0),"@@@",K284))</f>
        <v>null</v>
      </c>
      <c r="AA284" s="4" t="str">
        <f>IF(L284="",IF(ISNUMBER(SEARCH("NOT NULL",UPPER(L$3))),"''","null"),SUBSTITUTE(VLOOKUP(L$2,convert!$A$1:$B$4,2,0),"@@@",L284))</f>
        <v>'g2'</v>
      </c>
      <c r="AB284" s="4" t="str">
        <f>IF(M284="",IF(ISNUMBER(SEARCH("NOT NULL",UPPER(M$3))),"''","null"),SUBSTITUTE(VLOOKUP(M$2,convert!$A$1:$B$4,2,0),"@@@",M284))</f>
        <v>null</v>
      </c>
      <c r="AC284" s="4" t="str">
        <f>IF(N284="",IF(ISNUMBER(SEARCH("NOT NULL",UPPER(N$3))),"''","null"),SUBSTITUTE(VLOOKUP(N$2,convert!$A$1:$B$4,2,0),"@@@",N284))</f>
        <v>null</v>
      </c>
      <c r="AD284" s="4" t="str">
        <f>IF(O284="",IF(ISNUMBER(SEARCH("NOT NULL",UPPER(O$3))),"''","null"),SUBSTITUTE(VLOOKUP(O$2,convert!$A$1:$B$4,2,0),"@@@",O284))</f>
        <v>TRUE</v>
      </c>
      <c r="AE284" s="4" t="str">
        <f t="shared" si="4"/>
        <v>    ('0218N01', 'マグマッグ', 40, 40, 40, 70, 40, 20, '', 'fire', null, 'g2', null, null, TRUE),</v>
      </c>
    </row>
    <row r="285" spans="1:31">
      <c r="A285" s="4" t="s">
        <v>583</v>
      </c>
      <c r="B285" s="4" t="s">
        <v>584</v>
      </c>
      <c r="C285" s="5">
        <v>60</v>
      </c>
      <c r="D285" s="5">
        <v>50</v>
      </c>
      <c r="E285" s="5">
        <v>120</v>
      </c>
      <c r="F285" s="5">
        <v>90</v>
      </c>
      <c r="G285" s="5">
        <v>80</v>
      </c>
      <c r="H285" s="5">
        <v>30</v>
      </c>
      <c r="I285" s="5"/>
      <c r="J285" s="4" t="s">
        <v>42</v>
      </c>
      <c r="K285" s="4" t="s">
        <v>196</v>
      </c>
      <c r="L285" s="4" t="s">
        <v>436</v>
      </c>
      <c r="M285" s="5"/>
      <c r="N285" s="5"/>
      <c r="O285" s="5" t="b">
        <v>1</v>
      </c>
      <c r="P285" s="4" t="str">
        <f>IF(A285="",IF(ISNUMBER(SEARCH("NOT NULL",UPPER(A$3))),"''","null"),SUBSTITUTE(VLOOKUP(A$2,convert!$A$1:$B$4,2,0),"@@@",A285))</f>
        <v>'0219N01'</v>
      </c>
      <c r="Q285" s="4" t="str">
        <f>IF(B285="",IF(ISNUMBER(SEARCH("NOT NULL",UPPER(B$3))),"''","null"),SUBSTITUTE(VLOOKUP(B$2,convert!$A$1:$B$4,2,0),"@@@",B285))</f>
        <v>'マグカルゴ'</v>
      </c>
      <c r="R285" s="4" t="str">
        <f>IF(C285="",IF(ISNUMBER(SEARCH("NOT NULL",UPPER(C$3))),"''","null"),SUBSTITUTE(VLOOKUP(C$2,convert!$A$1:$B$4,2,0),"@@@",C285))</f>
        <v>60</v>
      </c>
      <c r="S285" s="4" t="str">
        <f>IF(D285="",IF(ISNUMBER(SEARCH("NOT NULL",UPPER(D$3))),"''","null"),SUBSTITUTE(VLOOKUP(D$2,convert!$A$1:$B$4,2,0),"@@@",D285))</f>
        <v>50</v>
      </c>
      <c r="T285" s="4" t="str">
        <f>IF(E285="",IF(ISNUMBER(SEARCH("NOT NULL",UPPER(E$3))),"''","null"),SUBSTITUTE(VLOOKUP(E$2,convert!$A$1:$B$4,2,0),"@@@",E285))</f>
        <v>120</v>
      </c>
      <c r="U285" s="4" t="str">
        <f>IF(F285="",IF(ISNUMBER(SEARCH("NOT NULL",UPPER(F$3))),"''","null"),SUBSTITUTE(VLOOKUP(F$2,convert!$A$1:$B$4,2,0),"@@@",F285))</f>
        <v>90</v>
      </c>
      <c r="V285" s="4" t="str">
        <f>IF(G285="",IF(ISNUMBER(SEARCH("NOT NULL",UPPER(G$3))),"''","null"),SUBSTITUTE(VLOOKUP(G$2,convert!$A$1:$B$4,2,0),"@@@",G285))</f>
        <v>80</v>
      </c>
      <c r="W285" s="4" t="str">
        <f>IF(H285="",IF(ISNUMBER(SEARCH("NOT NULL",UPPER(H$3))),"''","null"),SUBSTITUTE(VLOOKUP(H$2,convert!$A$1:$B$4,2,0),"@@@",H285))</f>
        <v>30</v>
      </c>
      <c r="X285" s="4" t="str">
        <f>IF(I285="",IF(ISNUMBER(SEARCH("NOT NULL",UPPER(I$3))),"''","null"),SUBSTITUTE(VLOOKUP(I$2,convert!$A$1:$B$4,2,0),"@@@",I285))</f>
        <v>''</v>
      </c>
      <c r="Y285" s="4" t="str">
        <f>IF(J285="",IF(ISNUMBER(SEARCH("NOT NULL",UPPER(J$3))),"''","null"),SUBSTITUTE(VLOOKUP(J$2,convert!$A$1:$B$4,2,0),"@@@",J285))</f>
        <v>'fire'</v>
      </c>
      <c r="Z285" s="4" t="str">
        <f>IF(K285="",IF(ISNUMBER(SEARCH("NOT NULL",UPPER(K$3))),"''","null"),SUBSTITUTE(VLOOKUP(K$2,convert!$A$1:$B$4,2,0),"@@@",K285))</f>
        <v>'rock'</v>
      </c>
      <c r="AA285" s="4" t="str">
        <f>IF(L285="",IF(ISNUMBER(SEARCH("NOT NULL",UPPER(L$3))),"''","null"),SUBSTITUTE(VLOOKUP(L$2,convert!$A$1:$B$4,2,0),"@@@",L285))</f>
        <v>'g2'</v>
      </c>
      <c r="AB285" s="4" t="str">
        <f>IF(M285="",IF(ISNUMBER(SEARCH("NOT NULL",UPPER(M$3))),"''","null"),SUBSTITUTE(VLOOKUP(M$2,convert!$A$1:$B$4,2,0),"@@@",M285))</f>
        <v>null</v>
      </c>
      <c r="AC285" s="4" t="str">
        <f>IF(N285="",IF(ISNUMBER(SEARCH("NOT NULL",UPPER(N$3))),"''","null"),SUBSTITUTE(VLOOKUP(N$2,convert!$A$1:$B$4,2,0),"@@@",N285))</f>
        <v>null</v>
      </c>
      <c r="AD285" s="4" t="str">
        <f>IF(O285="",IF(ISNUMBER(SEARCH("NOT NULL",UPPER(O$3))),"''","null"),SUBSTITUTE(VLOOKUP(O$2,convert!$A$1:$B$4,2,0),"@@@",O285))</f>
        <v>TRUE</v>
      </c>
      <c r="AE285" s="4" t="str">
        <f t="shared" si="4"/>
        <v>    ('0219N01', 'マグカルゴ', 60, 50, 120, 90, 80, 30, '', 'fire', 'rock', 'g2', null, null, TRUE),</v>
      </c>
    </row>
    <row r="286" spans="1:31">
      <c r="A286" s="4" t="s">
        <v>585</v>
      </c>
      <c r="B286" s="4" t="s">
        <v>586</v>
      </c>
      <c r="C286" s="5">
        <v>50</v>
      </c>
      <c r="D286" s="5">
        <v>50</v>
      </c>
      <c r="E286" s="5">
        <v>40</v>
      </c>
      <c r="F286" s="5">
        <v>30</v>
      </c>
      <c r="G286" s="5">
        <v>30</v>
      </c>
      <c r="H286" s="5">
        <v>50</v>
      </c>
      <c r="I286" s="5"/>
      <c r="J286" s="4" t="s">
        <v>118</v>
      </c>
      <c r="K286" s="4" t="s">
        <v>116</v>
      </c>
      <c r="L286" s="4" t="s">
        <v>436</v>
      </c>
      <c r="M286" s="5"/>
      <c r="N286" s="5"/>
      <c r="O286" s="5" t="b">
        <v>1</v>
      </c>
      <c r="P286" s="4" t="str">
        <f>IF(A286="",IF(ISNUMBER(SEARCH("NOT NULL",UPPER(A$3))),"''","null"),SUBSTITUTE(VLOOKUP(A$2,convert!$A$1:$B$4,2,0),"@@@",A286))</f>
        <v>'0220N01'</v>
      </c>
      <c r="Q286" s="4" t="str">
        <f>IF(B286="",IF(ISNUMBER(SEARCH("NOT NULL",UPPER(B$3))),"''","null"),SUBSTITUTE(VLOOKUP(B$2,convert!$A$1:$B$4,2,0),"@@@",B286))</f>
        <v>'ウリムー'</v>
      </c>
      <c r="R286" s="4" t="str">
        <f>IF(C286="",IF(ISNUMBER(SEARCH("NOT NULL",UPPER(C$3))),"''","null"),SUBSTITUTE(VLOOKUP(C$2,convert!$A$1:$B$4,2,0),"@@@",C286))</f>
        <v>50</v>
      </c>
      <c r="S286" s="4" t="str">
        <f>IF(D286="",IF(ISNUMBER(SEARCH("NOT NULL",UPPER(D$3))),"''","null"),SUBSTITUTE(VLOOKUP(D$2,convert!$A$1:$B$4,2,0),"@@@",D286))</f>
        <v>50</v>
      </c>
      <c r="T286" s="4" t="str">
        <f>IF(E286="",IF(ISNUMBER(SEARCH("NOT NULL",UPPER(E$3))),"''","null"),SUBSTITUTE(VLOOKUP(E$2,convert!$A$1:$B$4,2,0),"@@@",E286))</f>
        <v>40</v>
      </c>
      <c r="U286" s="4" t="str">
        <f>IF(F286="",IF(ISNUMBER(SEARCH("NOT NULL",UPPER(F$3))),"''","null"),SUBSTITUTE(VLOOKUP(F$2,convert!$A$1:$B$4,2,0),"@@@",F286))</f>
        <v>30</v>
      </c>
      <c r="V286" s="4" t="str">
        <f>IF(G286="",IF(ISNUMBER(SEARCH("NOT NULL",UPPER(G$3))),"''","null"),SUBSTITUTE(VLOOKUP(G$2,convert!$A$1:$B$4,2,0),"@@@",G286))</f>
        <v>30</v>
      </c>
      <c r="W286" s="4" t="str">
        <f>IF(H286="",IF(ISNUMBER(SEARCH("NOT NULL",UPPER(H$3))),"''","null"),SUBSTITUTE(VLOOKUP(H$2,convert!$A$1:$B$4,2,0),"@@@",H286))</f>
        <v>50</v>
      </c>
      <c r="X286" s="4" t="str">
        <f>IF(I286="",IF(ISNUMBER(SEARCH("NOT NULL",UPPER(I$3))),"''","null"),SUBSTITUTE(VLOOKUP(I$2,convert!$A$1:$B$4,2,0),"@@@",I286))</f>
        <v>''</v>
      </c>
      <c r="Y286" s="4" t="str">
        <f>IF(J286="",IF(ISNUMBER(SEARCH("NOT NULL",UPPER(J$3))),"''","null"),SUBSTITUTE(VLOOKUP(J$2,convert!$A$1:$B$4,2,0),"@@@",J286))</f>
        <v>'ice'</v>
      </c>
      <c r="Z286" s="4" t="str">
        <f>IF(K286="",IF(ISNUMBER(SEARCH("NOT NULL",UPPER(K$3))),"''","null"),SUBSTITUTE(VLOOKUP(K$2,convert!$A$1:$B$4,2,0),"@@@",K286))</f>
        <v>'ground'</v>
      </c>
      <c r="AA286" s="4" t="str">
        <f>IF(L286="",IF(ISNUMBER(SEARCH("NOT NULL",UPPER(L$3))),"''","null"),SUBSTITUTE(VLOOKUP(L$2,convert!$A$1:$B$4,2,0),"@@@",L286))</f>
        <v>'g2'</v>
      </c>
      <c r="AB286" s="4" t="str">
        <f>IF(M286="",IF(ISNUMBER(SEARCH("NOT NULL",UPPER(M$3))),"''","null"),SUBSTITUTE(VLOOKUP(M$2,convert!$A$1:$B$4,2,0),"@@@",M286))</f>
        <v>null</v>
      </c>
      <c r="AC286" s="4" t="str">
        <f>IF(N286="",IF(ISNUMBER(SEARCH("NOT NULL",UPPER(N$3))),"''","null"),SUBSTITUTE(VLOOKUP(N$2,convert!$A$1:$B$4,2,0),"@@@",N286))</f>
        <v>null</v>
      </c>
      <c r="AD286" s="4" t="str">
        <f>IF(O286="",IF(ISNUMBER(SEARCH("NOT NULL",UPPER(O$3))),"''","null"),SUBSTITUTE(VLOOKUP(O$2,convert!$A$1:$B$4,2,0),"@@@",O286))</f>
        <v>TRUE</v>
      </c>
      <c r="AE286" s="4" t="str">
        <f t="shared" si="4"/>
        <v>    ('0220N01', 'ウリムー', 50, 50, 40, 30, 30, 50, '', 'ice', 'ground', 'g2', null, null, TRUE),</v>
      </c>
    </row>
    <row r="287" spans="1:31">
      <c r="A287" s="4" t="s">
        <v>587</v>
      </c>
      <c r="B287" s="4" t="s">
        <v>588</v>
      </c>
      <c r="C287" s="5">
        <v>100</v>
      </c>
      <c r="D287" s="5">
        <v>100</v>
      </c>
      <c r="E287" s="5">
        <v>80</v>
      </c>
      <c r="F287" s="5">
        <v>60</v>
      </c>
      <c r="G287" s="5">
        <v>60</v>
      </c>
      <c r="H287" s="5">
        <v>50</v>
      </c>
      <c r="I287" s="5"/>
      <c r="J287" s="4" t="s">
        <v>118</v>
      </c>
      <c r="K287" s="4" t="s">
        <v>116</v>
      </c>
      <c r="L287" s="4" t="s">
        <v>436</v>
      </c>
      <c r="M287" s="5"/>
      <c r="N287" s="5"/>
      <c r="O287" s="5" t="b">
        <v>1</v>
      </c>
      <c r="P287" s="4" t="str">
        <f>IF(A287="",IF(ISNUMBER(SEARCH("NOT NULL",UPPER(A$3))),"''","null"),SUBSTITUTE(VLOOKUP(A$2,convert!$A$1:$B$4,2,0),"@@@",A287))</f>
        <v>'0221N01'</v>
      </c>
      <c r="Q287" s="4" t="str">
        <f>IF(B287="",IF(ISNUMBER(SEARCH("NOT NULL",UPPER(B$3))),"''","null"),SUBSTITUTE(VLOOKUP(B$2,convert!$A$1:$B$4,2,0),"@@@",B287))</f>
        <v>'イノムー'</v>
      </c>
      <c r="R287" s="4" t="str">
        <f>IF(C287="",IF(ISNUMBER(SEARCH("NOT NULL",UPPER(C$3))),"''","null"),SUBSTITUTE(VLOOKUP(C$2,convert!$A$1:$B$4,2,0),"@@@",C287))</f>
        <v>100</v>
      </c>
      <c r="S287" s="4" t="str">
        <f>IF(D287="",IF(ISNUMBER(SEARCH("NOT NULL",UPPER(D$3))),"''","null"),SUBSTITUTE(VLOOKUP(D$2,convert!$A$1:$B$4,2,0),"@@@",D287))</f>
        <v>100</v>
      </c>
      <c r="T287" s="4" t="str">
        <f>IF(E287="",IF(ISNUMBER(SEARCH("NOT NULL",UPPER(E$3))),"''","null"),SUBSTITUTE(VLOOKUP(E$2,convert!$A$1:$B$4,2,0),"@@@",E287))</f>
        <v>80</v>
      </c>
      <c r="U287" s="4" t="str">
        <f>IF(F287="",IF(ISNUMBER(SEARCH("NOT NULL",UPPER(F$3))),"''","null"),SUBSTITUTE(VLOOKUP(F$2,convert!$A$1:$B$4,2,0),"@@@",F287))</f>
        <v>60</v>
      </c>
      <c r="V287" s="4" t="str">
        <f>IF(G287="",IF(ISNUMBER(SEARCH("NOT NULL",UPPER(G$3))),"''","null"),SUBSTITUTE(VLOOKUP(G$2,convert!$A$1:$B$4,2,0),"@@@",G287))</f>
        <v>60</v>
      </c>
      <c r="W287" s="4" t="str">
        <f>IF(H287="",IF(ISNUMBER(SEARCH("NOT NULL",UPPER(H$3))),"''","null"),SUBSTITUTE(VLOOKUP(H$2,convert!$A$1:$B$4,2,0),"@@@",H287))</f>
        <v>50</v>
      </c>
      <c r="X287" s="4" t="str">
        <f>IF(I287="",IF(ISNUMBER(SEARCH("NOT NULL",UPPER(I$3))),"''","null"),SUBSTITUTE(VLOOKUP(I$2,convert!$A$1:$B$4,2,0),"@@@",I287))</f>
        <v>''</v>
      </c>
      <c r="Y287" s="4" t="str">
        <f>IF(J287="",IF(ISNUMBER(SEARCH("NOT NULL",UPPER(J$3))),"''","null"),SUBSTITUTE(VLOOKUP(J$2,convert!$A$1:$B$4,2,0),"@@@",J287))</f>
        <v>'ice'</v>
      </c>
      <c r="Z287" s="4" t="str">
        <f>IF(K287="",IF(ISNUMBER(SEARCH("NOT NULL",UPPER(K$3))),"''","null"),SUBSTITUTE(VLOOKUP(K$2,convert!$A$1:$B$4,2,0),"@@@",K287))</f>
        <v>'ground'</v>
      </c>
      <c r="AA287" s="4" t="str">
        <f>IF(L287="",IF(ISNUMBER(SEARCH("NOT NULL",UPPER(L$3))),"''","null"),SUBSTITUTE(VLOOKUP(L$2,convert!$A$1:$B$4,2,0),"@@@",L287))</f>
        <v>'g2'</v>
      </c>
      <c r="AB287" s="4" t="str">
        <f>IF(M287="",IF(ISNUMBER(SEARCH("NOT NULL",UPPER(M$3))),"''","null"),SUBSTITUTE(VLOOKUP(M$2,convert!$A$1:$B$4,2,0),"@@@",M287))</f>
        <v>null</v>
      </c>
      <c r="AC287" s="4" t="str">
        <f>IF(N287="",IF(ISNUMBER(SEARCH("NOT NULL",UPPER(N$3))),"''","null"),SUBSTITUTE(VLOOKUP(N$2,convert!$A$1:$B$4,2,0),"@@@",N287))</f>
        <v>null</v>
      </c>
      <c r="AD287" s="4" t="str">
        <f>IF(O287="",IF(ISNUMBER(SEARCH("NOT NULL",UPPER(O$3))),"''","null"),SUBSTITUTE(VLOOKUP(O$2,convert!$A$1:$B$4,2,0),"@@@",O287))</f>
        <v>TRUE</v>
      </c>
      <c r="AE287" s="4" t="str">
        <f t="shared" si="4"/>
        <v>    ('0221N01', 'イノムー', 100, 100, 80, 60, 60, 50, '', 'ice', 'ground', 'g2', null, null, TRUE),</v>
      </c>
    </row>
    <row r="288" spans="1:31">
      <c r="A288" s="4" t="s">
        <v>589</v>
      </c>
      <c r="B288" s="4" t="s">
        <v>590</v>
      </c>
      <c r="C288" s="5">
        <v>65</v>
      </c>
      <c r="D288" s="5">
        <v>55</v>
      </c>
      <c r="E288" s="5">
        <v>95</v>
      </c>
      <c r="F288" s="5">
        <v>65</v>
      </c>
      <c r="G288" s="5">
        <v>95</v>
      </c>
      <c r="H288" s="5">
        <v>35</v>
      </c>
      <c r="I288" s="5"/>
      <c r="J288" s="4" t="s">
        <v>55</v>
      </c>
      <c r="K288" s="4" t="s">
        <v>196</v>
      </c>
      <c r="L288" s="4" t="s">
        <v>436</v>
      </c>
      <c r="M288" s="5"/>
      <c r="N288" s="5"/>
      <c r="O288" s="5" t="b">
        <v>1</v>
      </c>
      <c r="P288" s="4" t="str">
        <f>IF(A288="",IF(ISNUMBER(SEARCH("NOT NULL",UPPER(A$3))),"''","null"),SUBSTITUTE(VLOOKUP(A$2,convert!$A$1:$B$4,2,0),"@@@",A288))</f>
        <v>'0222N01'</v>
      </c>
      <c r="Q288" s="4" t="str">
        <f>IF(B288="",IF(ISNUMBER(SEARCH("NOT NULL",UPPER(B$3))),"''","null"),SUBSTITUTE(VLOOKUP(B$2,convert!$A$1:$B$4,2,0),"@@@",B288))</f>
        <v>'サニーゴ'</v>
      </c>
      <c r="R288" s="4" t="str">
        <f>IF(C288="",IF(ISNUMBER(SEARCH("NOT NULL",UPPER(C$3))),"''","null"),SUBSTITUTE(VLOOKUP(C$2,convert!$A$1:$B$4,2,0),"@@@",C288))</f>
        <v>65</v>
      </c>
      <c r="S288" s="4" t="str">
        <f>IF(D288="",IF(ISNUMBER(SEARCH("NOT NULL",UPPER(D$3))),"''","null"),SUBSTITUTE(VLOOKUP(D$2,convert!$A$1:$B$4,2,0),"@@@",D288))</f>
        <v>55</v>
      </c>
      <c r="T288" s="4" t="str">
        <f>IF(E288="",IF(ISNUMBER(SEARCH("NOT NULL",UPPER(E$3))),"''","null"),SUBSTITUTE(VLOOKUP(E$2,convert!$A$1:$B$4,2,0),"@@@",E288))</f>
        <v>95</v>
      </c>
      <c r="U288" s="4" t="str">
        <f>IF(F288="",IF(ISNUMBER(SEARCH("NOT NULL",UPPER(F$3))),"''","null"),SUBSTITUTE(VLOOKUP(F$2,convert!$A$1:$B$4,2,0),"@@@",F288))</f>
        <v>65</v>
      </c>
      <c r="V288" s="4" t="str">
        <f>IF(G288="",IF(ISNUMBER(SEARCH("NOT NULL",UPPER(G$3))),"''","null"),SUBSTITUTE(VLOOKUP(G$2,convert!$A$1:$B$4,2,0),"@@@",G288))</f>
        <v>95</v>
      </c>
      <c r="W288" s="4" t="str">
        <f>IF(H288="",IF(ISNUMBER(SEARCH("NOT NULL",UPPER(H$3))),"''","null"),SUBSTITUTE(VLOOKUP(H$2,convert!$A$1:$B$4,2,0),"@@@",H288))</f>
        <v>35</v>
      </c>
      <c r="X288" s="4" t="str">
        <f>IF(I288="",IF(ISNUMBER(SEARCH("NOT NULL",UPPER(I$3))),"''","null"),SUBSTITUTE(VLOOKUP(I$2,convert!$A$1:$B$4,2,0),"@@@",I288))</f>
        <v>''</v>
      </c>
      <c r="Y288" s="4" t="str">
        <f>IF(J288="",IF(ISNUMBER(SEARCH("NOT NULL",UPPER(J$3))),"''","null"),SUBSTITUTE(VLOOKUP(J$2,convert!$A$1:$B$4,2,0),"@@@",J288))</f>
        <v>'water'</v>
      </c>
      <c r="Z288" s="4" t="str">
        <f>IF(K288="",IF(ISNUMBER(SEARCH("NOT NULL",UPPER(K$3))),"''","null"),SUBSTITUTE(VLOOKUP(K$2,convert!$A$1:$B$4,2,0),"@@@",K288))</f>
        <v>'rock'</v>
      </c>
      <c r="AA288" s="4" t="str">
        <f>IF(L288="",IF(ISNUMBER(SEARCH("NOT NULL",UPPER(L$3))),"''","null"),SUBSTITUTE(VLOOKUP(L$2,convert!$A$1:$B$4,2,0),"@@@",L288))</f>
        <v>'g2'</v>
      </c>
      <c r="AB288" s="4" t="str">
        <f>IF(M288="",IF(ISNUMBER(SEARCH("NOT NULL",UPPER(M$3))),"''","null"),SUBSTITUTE(VLOOKUP(M$2,convert!$A$1:$B$4,2,0),"@@@",M288))</f>
        <v>null</v>
      </c>
      <c r="AC288" s="4" t="str">
        <f>IF(N288="",IF(ISNUMBER(SEARCH("NOT NULL",UPPER(N$3))),"''","null"),SUBSTITUTE(VLOOKUP(N$2,convert!$A$1:$B$4,2,0),"@@@",N288))</f>
        <v>null</v>
      </c>
      <c r="AD288" s="4" t="str">
        <f>IF(O288="",IF(ISNUMBER(SEARCH("NOT NULL",UPPER(O$3))),"''","null"),SUBSTITUTE(VLOOKUP(O$2,convert!$A$1:$B$4,2,0),"@@@",O288))</f>
        <v>TRUE</v>
      </c>
      <c r="AE288" s="4" t="str">
        <f t="shared" si="4"/>
        <v>    ('0222N01', 'サニーゴ', 65, 55, 95, 65, 95, 35, '', 'water', 'rock', 'g2', null, null, TRUE),</v>
      </c>
    </row>
    <row r="289" spans="1:31">
      <c r="A289" s="4" t="s">
        <v>591</v>
      </c>
      <c r="B289" s="4" t="s">
        <v>590</v>
      </c>
      <c r="C289" s="5">
        <v>60</v>
      </c>
      <c r="D289" s="5">
        <v>55</v>
      </c>
      <c r="E289" s="5">
        <v>100</v>
      </c>
      <c r="F289" s="5">
        <v>65</v>
      </c>
      <c r="G289" s="5">
        <v>100</v>
      </c>
      <c r="H289" s="5">
        <v>30</v>
      </c>
      <c r="I289" s="4" t="s">
        <v>178</v>
      </c>
      <c r="J289" s="4" t="s">
        <v>281</v>
      </c>
      <c r="K289" s="5"/>
      <c r="L289" s="4" t="s">
        <v>179</v>
      </c>
      <c r="M289" s="5"/>
      <c r="N289" s="5"/>
      <c r="O289" s="5" t="b">
        <v>1</v>
      </c>
      <c r="P289" s="4" t="str">
        <f>IF(A289="",IF(ISNUMBER(SEARCH("NOT NULL",UPPER(A$3))),"''","null"),SUBSTITUTE(VLOOKUP(A$2,convert!$A$1:$B$4,2,0),"@@@",A289))</f>
        <v>'0222G01'</v>
      </c>
      <c r="Q289" s="4" t="str">
        <f>IF(B289="",IF(ISNUMBER(SEARCH("NOT NULL",UPPER(B$3))),"''","null"),SUBSTITUTE(VLOOKUP(B$2,convert!$A$1:$B$4,2,0),"@@@",B289))</f>
        <v>'サニーゴ'</v>
      </c>
      <c r="R289" s="4" t="str">
        <f>IF(C289="",IF(ISNUMBER(SEARCH("NOT NULL",UPPER(C$3))),"''","null"),SUBSTITUTE(VLOOKUP(C$2,convert!$A$1:$B$4,2,0),"@@@",C289))</f>
        <v>60</v>
      </c>
      <c r="S289" s="4" t="str">
        <f>IF(D289="",IF(ISNUMBER(SEARCH("NOT NULL",UPPER(D$3))),"''","null"),SUBSTITUTE(VLOOKUP(D$2,convert!$A$1:$B$4,2,0),"@@@",D289))</f>
        <v>55</v>
      </c>
      <c r="T289" s="4" t="str">
        <f>IF(E289="",IF(ISNUMBER(SEARCH("NOT NULL",UPPER(E$3))),"''","null"),SUBSTITUTE(VLOOKUP(E$2,convert!$A$1:$B$4,2,0),"@@@",E289))</f>
        <v>100</v>
      </c>
      <c r="U289" s="4" t="str">
        <f>IF(F289="",IF(ISNUMBER(SEARCH("NOT NULL",UPPER(F$3))),"''","null"),SUBSTITUTE(VLOOKUP(F$2,convert!$A$1:$B$4,2,0),"@@@",F289))</f>
        <v>65</v>
      </c>
      <c r="V289" s="4" t="str">
        <f>IF(G289="",IF(ISNUMBER(SEARCH("NOT NULL",UPPER(G$3))),"''","null"),SUBSTITUTE(VLOOKUP(G$2,convert!$A$1:$B$4,2,0),"@@@",G289))</f>
        <v>100</v>
      </c>
      <c r="W289" s="4" t="str">
        <f>IF(H289="",IF(ISNUMBER(SEARCH("NOT NULL",UPPER(H$3))),"''","null"),SUBSTITUTE(VLOOKUP(H$2,convert!$A$1:$B$4,2,0),"@@@",H289))</f>
        <v>30</v>
      </c>
      <c r="X289" s="4" t="str">
        <f>IF(I289="",IF(ISNUMBER(SEARCH("NOT NULL",UPPER(I$3))),"''","null"),SUBSTITUTE(VLOOKUP(I$2,convert!$A$1:$B$4,2,0),"@@@",I289))</f>
        <v>'ガラルのすがた'</v>
      </c>
      <c r="Y289" s="4" t="str">
        <f>IF(J289="",IF(ISNUMBER(SEARCH("NOT NULL",UPPER(J$3))),"''","null"),SUBSTITUTE(VLOOKUP(J$2,convert!$A$1:$B$4,2,0),"@@@",J289))</f>
        <v>'ghost'</v>
      </c>
      <c r="Z289" s="4" t="str">
        <f>IF(K289="",IF(ISNUMBER(SEARCH("NOT NULL",UPPER(K$3))),"''","null"),SUBSTITUTE(VLOOKUP(K$2,convert!$A$1:$B$4,2,0),"@@@",K289))</f>
        <v>null</v>
      </c>
      <c r="AA289" s="4" t="str">
        <f>IF(L289="",IF(ISNUMBER(SEARCH("NOT NULL",UPPER(L$3))),"''","null"),SUBSTITUTE(VLOOKUP(L$2,convert!$A$1:$B$4,2,0),"@@@",L289))</f>
        <v>'g8'</v>
      </c>
      <c r="AB289" s="4" t="str">
        <f>IF(M289="",IF(ISNUMBER(SEARCH("NOT NULL",UPPER(M$3))),"''","null"),SUBSTITUTE(VLOOKUP(M$2,convert!$A$1:$B$4,2,0),"@@@",M289))</f>
        <v>null</v>
      </c>
      <c r="AC289" s="4" t="str">
        <f>IF(N289="",IF(ISNUMBER(SEARCH("NOT NULL",UPPER(N$3))),"''","null"),SUBSTITUTE(VLOOKUP(N$2,convert!$A$1:$B$4,2,0),"@@@",N289))</f>
        <v>null</v>
      </c>
      <c r="AD289" s="4" t="str">
        <f>IF(O289="",IF(ISNUMBER(SEARCH("NOT NULL",UPPER(O$3))),"''","null"),SUBSTITUTE(VLOOKUP(O$2,convert!$A$1:$B$4,2,0),"@@@",O289))</f>
        <v>TRUE</v>
      </c>
      <c r="AE289" s="4" t="str">
        <f t="shared" si="4"/>
        <v>    ('0222G01', 'サニーゴ', 60, 55, 100, 65, 100, 30, 'ガラルのすがた', 'ghost', null, 'g8', null, null, TRUE),</v>
      </c>
    </row>
    <row r="290" spans="1:31">
      <c r="A290" s="4" t="s">
        <v>592</v>
      </c>
      <c r="B290" s="4" t="s">
        <v>593</v>
      </c>
      <c r="C290" s="5">
        <v>35</v>
      </c>
      <c r="D290" s="5">
        <v>65</v>
      </c>
      <c r="E290" s="5">
        <v>35</v>
      </c>
      <c r="F290" s="5">
        <v>65</v>
      </c>
      <c r="G290" s="5">
        <v>35</v>
      </c>
      <c r="H290" s="5">
        <v>65</v>
      </c>
      <c r="I290" s="5"/>
      <c r="J290" s="4" t="s">
        <v>55</v>
      </c>
      <c r="K290" s="5"/>
      <c r="L290" s="4" t="s">
        <v>436</v>
      </c>
      <c r="M290" s="5"/>
      <c r="N290" s="5"/>
      <c r="O290" s="5" t="b">
        <v>1</v>
      </c>
      <c r="P290" s="4" t="str">
        <f>IF(A290="",IF(ISNUMBER(SEARCH("NOT NULL",UPPER(A$3))),"''","null"),SUBSTITUTE(VLOOKUP(A$2,convert!$A$1:$B$4,2,0),"@@@",A290))</f>
        <v>'0223N01'</v>
      </c>
      <c r="Q290" s="4" t="str">
        <f>IF(B290="",IF(ISNUMBER(SEARCH("NOT NULL",UPPER(B$3))),"''","null"),SUBSTITUTE(VLOOKUP(B$2,convert!$A$1:$B$4,2,0),"@@@",B290))</f>
        <v>'テッポウオ'</v>
      </c>
      <c r="R290" s="4" t="str">
        <f>IF(C290="",IF(ISNUMBER(SEARCH("NOT NULL",UPPER(C$3))),"''","null"),SUBSTITUTE(VLOOKUP(C$2,convert!$A$1:$B$4,2,0),"@@@",C290))</f>
        <v>35</v>
      </c>
      <c r="S290" s="4" t="str">
        <f>IF(D290="",IF(ISNUMBER(SEARCH("NOT NULL",UPPER(D$3))),"''","null"),SUBSTITUTE(VLOOKUP(D$2,convert!$A$1:$B$4,2,0),"@@@",D290))</f>
        <v>65</v>
      </c>
      <c r="T290" s="4" t="str">
        <f>IF(E290="",IF(ISNUMBER(SEARCH("NOT NULL",UPPER(E$3))),"''","null"),SUBSTITUTE(VLOOKUP(E$2,convert!$A$1:$B$4,2,0),"@@@",E290))</f>
        <v>35</v>
      </c>
      <c r="U290" s="4" t="str">
        <f>IF(F290="",IF(ISNUMBER(SEARCH("NOT NULL",UPPER(F$3))),"''","null"),SUBSTITUTE(VLOOKUP(F$2,convert!$A$1:$B$4,2,0),"@@@",F290))</f>
        <v>65</v>
      </c>
      <c r="V290" s="4" t="str">
        <f>IF(G290="",IF(ISNUMBER(SEARCH("NOT NULL",UPPER(G$3))),"''","null"),SUBSTITUTE(VLOOKUP(G$2,convert!$A$1:$B$4,2,0),"@@@",G290))</f>
        <v>35</v>
      </c>
      <c r="W290" s="4" t="str">
        <f>IF(H290="",IF(ISNUMBER(SEARCH("NOT NULL",UPPER(H$3))),"''","null"),SUBSTITUTE(VLOOKUP(H$2,convert!$A$1:$B$4,2,0),"@@@",H290))</f>
        <v>65</v>
      </c>
      <c r="X290" s="4" t="str">
        <f>IF(I290="",IF(ISNUMBER(SEARCH("NOT NULL",UPPER(I$3))),"''","null"),SUBSTITUTE(VLOOKUP(I$2,convert!$A$1:$B$4,2,0),"@@@",I290))</f>
        <v>''</v>
      </c>
      <c r="Y290" s="4" t="str">
        <f>IF(J290="",IF(ISNUMBER(SEARCH("NOT NULL",UPPER(J$3))),"''","null"),SUBSTITUTE(VLOOKUP(J$2,convert!$A$1:$B$4,2,0),"@@@",J290))</f>
        <v>'water'</v>
      </c>
      <c r="Z290" s="4" t="str">
        <f>IF(K290="",IF(ISNUMBER(SEARCH("NOT NULL",UPPER(K$3))),"''","null"),SUBSTITUTE(VLOOKUP(K$2,convert!$A$1:$B$4,2,0),"@@@",K290))</f>
        <v>null</v>
      </c>
      <c r="AA290" s="4" t="str">
        <f>IF(L290="",IF(ISNUMBER(SEARCH("NOT NULL",UPPER(L$3))),"''","null"),SUBSTITUTE(VLOOKUP(L$2,convert!$A$1:$B$4,2,0),"@@@",L290))</f>
        <v>'g2'</v>
      </c>
      <c r="AB290" s="4" t="str">
        <f>IF(M290="",IF(ISNUMBER(SEARCH("NOT NULL",UPPER(M$3))),"''","null"),SUBSTITUTE(VLOOKUP(M$2,convert!$A$1:$B$4,2,0),"@@@",M290))</f>
        <v>null</v>
      </c>
      <c r="AC290" s="4" t="str">
        <f>IF(N290="",IF(ISNUMBER(SEARCH("NOT NULL",UPPER(N$3))),"''","null"),SUBSTITUTE(VLOOKUP(N$2,convert!$A$1:$B$4,2,0),"@@@",N290))</f>
        <v>null</v>
      </c>
      <c r="AD290" s="4" t="str">
        <f>IF(O290="",IF(ISNUMBER(SEARCH("NOT NULL",UPPER(O$3))),"''","null"),SUBSTITUTE(VLOOKUP(O$2,convert!$A$1:$B$4,2,0),"@@@",O290))</f>
        <v>TRUE</v>
      </c>
      <c r="AE290" s="4" t="str">
        <f t="shared" si="4"/>
        <v>    ('0223N01', 'テッポウオ', 35, 65, 35, 65, 35, 65, '', 'water', null, 'g2', null, null, TRUE),</v>
      </c>
    </row>
    <row r="291" spans="1:31">
      <c r="A291" s="4" t="s">
        <v>594</v>
      </c>
      <c r="B291" s="4" t="s">
        <v>595</v>
      </c>
      <c r="C291" s="5">
        <v>75</v>
      </c>
      <c r="D291" s="5">
        <v>105</v>
      </c>
      <c r="E291" s="5">
        <v>75</v>
      </c>
      <c r="F291" s="5">
        <v>105</v>
      </c>
      <c r="G291" s="5">
        <v>75</v>
      </c>
      <c r="H291" s="5">
        <v>45</v>
      </c>
      <c r="I291" s="5"/>
      <c r="J291" s="4" t="s">
        <v>55</v>
      </c>
      <c r="K291" s="5"/>
      <c r="L291" s="4" t="s">
        <v>436</v>
      </c>
      <c r="M291" s="5"/>
      <c r="N291" s="5"/>
      <c r="O291" s="5" t="b">
        <v>1</v>
      </c>
      <c r="P291" s="4" t="str">
        <f>IF(A291="",IF(ISNUMBER(SEARCH("NOT NULL",UPPER(A$3))),"''","null"),SUBSTITUTE(VLOOKUP(A$2,convert!$A$1:$B$4,2,0),"@@@",A291))</f>
        <v>'0224N01'</v>
      </c>
      <c r="Q291" s="4" t="str">
        <f>IF(B291="",IF(ISNUMBER(SEARCH("NOT NULL",UPPER(B$3))),"''","null"),SUBSTITUTE(VLOOKUP(B$2,convert!$A$1:$B$4,2,0),"@@@",B291))</f>
        <v>'オクタン'</v>
      </c>
      <c r="R291" s="4" t="str">
        <f>IF(C291="",IF(ISNUMBER(SEARCH("NOT NULL",UPPER(C$3))),"''","null"),SUBSTITUTE(VLOOKUP(C$2,convert!$A$1:$B$4,2,0),"@@@",C291))</f>
        <v>75</v>
      </c>
      <c r="S291" s="4" t="str">
        <f>IF(D291="",IF(ISNUMBER(SEARCH("NOT NULL",UPPER(D$3))),"''","null"),SUBSTITUTE(VLOOKUP(D$2,convert!$A$1:$B$4,2,0),"@@@",D291))</f>
        <v>105</v>
      </c>
      <c r="T291" s="4" t="str">
        <f>IF(E291="",IF(ISNUMBER(SEARCH("NOT NULL",UPPER(E$3))),"''","null"),SUBSTITUTE(VLOOKUP(E$2,convert!$A$1:$B$4,2,0),"@@@",E291))</f>
        <v>75</v>
      </c>
      <c r="U291" s="4" t="str">
        <f>IF(F291="",IF(ISNUMBER(SEARCH("NOT NULL",UPPER(F$3))),"''","null"),SUBSTITUTE(VLOOKUP(F$2,convert!$A$1:$B$4,2,0),"@@@",F291))</f>
        <v>105</v>
      </c>
      <c r="V291" s="4" t="str">
        <f>IF(G291="",IF(ISNUMBER(SEARCH("NOT NULL",UPPER(G$3))),"''","null"),SUBSTITUTE(VLOOKUP(G$2,convert!$A$1:$B$4,2,0),"@@@",G291))</f>
        <v>75</v>
      </c>
      <c r="W291" s="4" t="str">
        <f>IF(H291="",IF(ISNUMBER(SEARCH("NOT NULL",UPPER(H$3))),"''","null"),SUBSTITUTE(VLOOKUP(H$2,convert!$A$1:$B$4,2,0),"@@@",H291))</f>
        <v>45</v>
      </c>
      <c r="X291" s="4" t="str">
        <f>IF(I291="",IF(ISNUMBER(SEARCH("NOT NULL",UPPER(I$3))),"''","null"),SUBSTITUTE(VLOOKUP(I$2,convert!$A$1:$B$4,2,0),"@@@",I291))</f>
        <v>''</v>
      </c>
      <c r="Y291" s="4" t="str">
        <f>IF(J291="",IF(ISNUMBER(SEARCH("NOT NULL",UPPER(J$3))),"''","null"),SUBSTITUTE(VLOOKUP(J$2,convert!$A$1:$B$4,2,0),"@@@",J291))</f>
        <v>'water'</v>
      </c>
      <c r="Z291" s="4" t="str">
        <f>IF(K291="",IF(ISNUMBER(SEARCH("NOT NULL",UPPER(K$3))),"''","null"),SUBSTITUTE(VLOOKUP(K$2,convert!$A$1:$B$4,2,0),"@@@",K291))</f>
        <v>null</v>
      </c>
      <c r="AA291" s="4" t="str">
        <f>IF(L291="",IF(ISNUMBER(SEARCH("NOT NULL",UPPER(L$3))),"''","null"),SUBSTITUTE(VLOOKUP(L$2,convert!$A$1:$B$4,2,0),"@@@",L291))</f>
        <v>'g2'</v>
      </c>
      <c r="AB291" s="4" t="str">
        <f>IF(M291="",IF(ISNUMBER(SEARCH("NOT NULL",UPPER(M$3))),"''","null"),SUBSTITUTE(VLOOKUP(M$2,convert!$A$1:$B$4,2,0),"@@@",M291))</f>
        <v>null</v>
      </c>
      <c r="AC291" s="4" t="str">
        <f>IF(N291="",IF(ISNUMBER(SEARCH("NOT NULL",UPPER(N$3))),"''","null"),SUBSTITUTE(VLOOKUP(N$2,convert!$A$1:$B$4,2,0),"@@@",N291))</f>
        <v>null</v>
      </c>
      <c r="AD291" s="4" t="str">
        <f>IF(O291="",IF(ISNUMBER(SEARCH("NOT NULL",UPPER(O$3))),"''","null"),SUBSTITUTE(VLOOKUP(O$2,convert!$A$1:$B$4,2,0),"@@@",O291))</f>
        <v>TRUE</v>
      </c>
      <c r="AE291" s="4" t="str">
        <f t="shared" si="4"/>
        <v>    ('0224N01', 'オクタン', 75, 105, 75, 105, 75, 45, '', 'water', null, 'g2', null, null, TRUE),</v>
      </c>
    </row>
    <row r="292" spans="1:31">
      <c r="A292" s="4" t="s">
        <v>596</v>
      </c>
      <c r="B292" s="4" t="s">
        <v>597</v>
      </c>
      <c r="C292" s="5">
        <v>45</v>
      </c>
      <c r="D292" s="5">
        <v>55</v>
      </c>
      <c r="E292" s="5">
        <v>45</v>
      </c>
      <c r="F292" s="5">
        <v>65</v>
      </c>
      <c r="G292" s="5">
        <v>45</v>
      </c>
      <c r="H292" s="5">
        <v>75</v>
      </c>
      <c r="I292" s="5"/>
      <c r="J292" s="4" t="s">
        <v>118</v>
      </c>
      <c r="K292" s="4" t="s">
        <v>47</v>
      </c>
      <c r="L292" s="4" t="s">
        <v>436</v>
      </c>
      <c r="M292" s="5"/>
      <c r="N292" s="5"/>
      <c r="O292" s="5" t="b">
        <v>1</v>
      </c>
      <c r="P292" s="4" t="str">
        <f>IF(A292="",IF(ISNUMBER(SEARCH("NOT NULL",UPPER(A$3))),"''","null"),SUBSTITUTE(VLOOKUP(A$2,convert!$A$1:$B$4,2,0),"@@@",A292))</f>
        <v>'0225N01'</v>
      </c>
      <c r="Q292" s="4" t="str">
        <f>IF(B292="",IF(ISNUMBER(SEARCH("NOT NULL",UPPER(B$3))),"''","null"),SUBSTITUTE(VLOOKUP(B$2,convert!$A$1:$B$4,2,0),"@@@",B292))</f>
        <v>'デリバード'</v>
      </c>
      <c r="R292" s="4" t="str">
        <f>IF(C292="",IF(ISNUMBER(SEARCH("NOT NULL",UPPER(C$3))),"''","null"),SUBSTITUTE(VLOOKUP(C$2,convert!$A$1:$B$4,2,0),"@@@",C292))</f>
        <v>45</v>
      </c>
      <c r="S292" s="4" t="str">
        <f>IF(D292="",IF(ISNUMBER(SEARCH("NOT NULL",UPPER(D$3))),"''","null"),SUBSTITUTE(VLOOKUP(D$2,convert!$A$1:$B$4,2,0),"@@@",D292))</f>
        <v>55</v>
      </c>
      <c r="T292" s="4" t="str">
        <f>IF(E292="",IF(ISNUMBER(SEARCH("NOT NULL",UPPER(E$3))),"''","null"),SUBSTITUTE(VLOOKUP(E$2,convert!$A$1:$B$4,2,0),"@@@",E292))</f>
        <v>45</v>
      </c>
      <c r="U292" s="4" t="str">
        <f>IF(F292="",IF(ISNUMBER(SEARCH("NOT NULL",UPPER(F$3))),"''","null"),SUBSTITUTE(VLOOKUP(F$2,convert!$A$1:$B$4,2,0),"@@@",F292))</f>
        <v>65</v>
      </c>
      <c r="V292" s="4" t="str">
        <f>IF(G292="",IF(ISNUMBER(SEARCH("NOT NULL",UPPER(G$3))),"''","null"),SUBSTITUTE(VLOOKUP(G$2,convert!$A$1:$B$4,2,0),"@@@",G292))</f>
        <v>45</v>
      </c>
      <c r="W292" s="4" t="str">
        <f>IF(H292="",IF(ISNUMBER(SEARCH("NOT NULL",UPPER(H$3))),"''","null"),SUBSTITUTE(VLOOKUP(H$2,convert!$A$1:$B$4,2,0),"@@@",H292))</f>
        <v>75</v>
      </c>
      <c r="X292" s="4" t="str">
        <f>IF(I292="",IF(ISNUMBER(SEARCH("NOT NULL",UPPER(I$3))),"''","null"),SUBSTITUTE(VLOOKUP(I$2,convert!$A$1:$B$4,2,0),"@@@",I292))</f>
        <v>''</v>
      </c>
      <c r="Y292" s="4" t="str">
        <f>IF(J292="",IF(ISNUMBER(SEARCH("NOT NULL",UPPER(J$3))),"''","null"),SUBSTITUTE(VLOOKUP(J$2,convert!$A$1:$B$4,2,0),"@@@",J292))</f>
        <v>'ice'</v>
      </c>
      <c r="Z292" s="4" t="str">
        <f>IF(K292="",IF(ISNUMBER(SEARCH("NOT NULL",UPPER(K$3))),"''","null"),SUBSTITUTE(VLOOKUP(K$2,convert!$A$1:$B$4,2,0),"@@@",K292))</f>
        <v>'flying'</v>
      </c>
      <c r="AA292" s="4" t="str">
        <f>IF(L292="",IF(ISNUMBER(SEARCH("NOT NULL",UPPER(L$3))),"''","null"),SUBSTITUTE(VLOOKUP(L$2,convert!$A$1:$B$4,2,0),"@@@",L292))</f>
        <v>'g2'</v>
      </c>
      <c r="AB292" s="4" t="str">
        <f>IF(M292="",IF(ISNUMBER(SEARCH("NOT NULL",UPPER(M$3))),"''","null"),SUBSTITUTE(VLOOKUP(M$2,convert!$A$1:$B$4,2,0),"@@@",M292))</f>
        <v>null</v>
      </c>
      <c r="AC292" s="4" t="str">
        <f>IF(N292="",IF(ISNUMBER(SEARCH("NOT NULL",UPPER(N$3))),"''","null"),SUBSTITUTE(VLOOKUP(N$2,convert!$A$1:$B$4,2,0),"@@@",N292))</f>
        <v>null</v>
      </c>
      <c r="AD292" s="4" t="str">
        <f>IF(O292="",IF(ISNUMBER(SEARCH("NOT NULL",UPPER(O$3))),"''","null"),SUBSTITUTE(VLOOKUP(O$2,convert!$A$1:$B$4,2,0),"@@@",O292))</f>
        <v>TRUE</v>
      </c>
      <c r="AE292" s="4" t="str">
        <f t="shared" si="4"/>
        <v>    ('0225N01', 'デリバード', 45, 55, 45, 65, 45, 75, '', 'ice', 'flying', 'g2', null, null, TRUE),</v>
      </c>
    </row>
    <row r="293" spans="1:31">
      <c r="A293" s="4" t="s">
        <v>598</v>
      </c>
      <c r="B293" s="4" t="s">
        <v>599</v>
      </c>
      <c r="C293" s="5">
        <v>85</v>
      </c>
      <c r="D293" s="5">
        <v>40</v>
      </c>
      <c r="E293" s="5">
        <v>70</v>
      </c>
      <c r="F293" s="5">
        <v>80</v>
      </c>
      <c r="G293" s="5">
        <v>140</v>
      </c>
      <c r="H293" s="5">
        <v>70</v>
      </c>
      <c r="I293" s="5"/>
      <c r="J293" s="4" t="s">
        <v>55</v>
      </c>
      <c r="K293" s="4" t="s">
        <v>47</v>
      </c>
      <c r="L293" s="4" t="s">
        <v>436</v>
      </c>
      <c r="M293" s="5"/>
      <c r="N293" s="5"/>
      <c r="O293" s="5" t="b">
        <v>1</v>
      </c>
      <c r="P293" s="4" t="str">
        <f>IF(A293="",IF(ISNUMBER(SEARCH("NOT NULL",UPPER(A$3))),"''","null"),SUBSTITUTE(VLOOKUP(A$2,convert!$A$1:$B$4,2,0),"@@@",A293))</f>
        <v>'0226N01'</v>
      </c>
      <c r="Q293" s="4" t="str">
        <f>IF(B293="",IF(ISNUMBER(SEARCH("NOT NULL",UPPER(B$3))),"''","null"),SUBSTITUTE(VLOOKUP(B$2,convert!$A$1:$B$4,2,0),"@@@",B293))</f>
        <v>'マンタイン'</v>
      </c>
      <c r="R293" s="4" t="str">
        <f>IF(C293="",IF(ISNUMBER(SEARCH("NOT NULL",UPPER(C$3))),"''","null"),SUBSTITUTE(VLOOKUP(C$2,convert!$A$1:$B$4,2,0),"@@@",C293))</f>
        <v>85</v>
      </c>
      <c r="S293" s="4" t="str">
        <f>IF(D293="",IF(ISNUMBER(SEARCH("NOT NULL",UPPER(D$3))),"''","null"),SUBSTITUTE(VLOOKUP(D$2,convert!$A$1:$B$4,2,0),"@@@",D293))</f>
        <v>40</v>
      </c>
      <c r="T293" s="4" t="str">
        <f>IF(E293="",IF(ISNUMBER(SEARCH("NOT NULL",UPPER(E$3))),"''","null"),SUBSTITUTE(VLOOKUP(E$2,convert!$A$1:$B$4,2,0),"@@@",E293))</f>
        <v>70</v>
      </c>
      <c r="U293" s="4" t="str">
        <f>IF(F293="",IF(ISNUMBER(SEARCH("NOT NULL",UPPER(F$3))),"''","null"),SUBSTITUTE(VLOOKUP(F$2,convert!$A$1:$B$4,2,0),"@@@",F293))</f>
        <v>80</v>
      </c>
      <c r="V293" s="4" t="str">
        <f>IF(G293="",IF(ISNUMBER(SEARCH("NOT NULL",UPPER(G$3))),"''","null"),SUBSTITUTE(VLOOKUP(G$2,convert!$A$1:$B$4,2,0),"@@@",G293))</f>
        <v>140</v>
      </c>
      <c r="W293" s="4" t="str">
        <f>IF(H293="",IF(ISNUMBER(SEARCH("NOT NULL",UPPER(H$3))),"''","null"),SUBSTITUTE(VLOOKUP(H$2,convert!$A$1:$B$4,2,0),"@@@",H293))</f>
        <v>70</v>
      </c>
      <c r="X293" s="4" t="str">
        <f>IF(I293="",IF(ISNUMBER(SEARCH("NOT NULL",UPPER(I$3))),"''","null"),SUBSTITUTE(VLOOKUP(I$2,convert!$A$1:$B$4,2,0),"@@@",I293))</f>
        <v>''</v>
      </c>
      <c r="Y293" s="4" t="str">
        <f>IF(J293="",IF(ISNUMBER(SEARCH("NOT NULL",UPPER(J$3))),"''","null"),SUBSTITUTE(VLOOKUP(J$2,convert!$A$1:$B$4,2,0),"@@@",J293))</f>
        <v>'water'</v>
      </c>
      <c r="Z293" s="4" t="str">
        <f>IF(K293="",IF(ISNUMBER(SEARCH("NOT NULL",UPPER(K$3))),"''","null"),SUBSTITUTE(VLOOKUP(K$2,convert!$A$1:$B$4,2,0),"@@@",K293))</f>
        <v>'flying'</v>
      </c>
      <c r="AA293" s="4" t="str">
        <f>IF(L293="",IF(ISNUMBER(SEARCH("NOT NULL",UPPER(L$3))),"''","null"),SUBSTITUTE(VLOOKUP(L$2,convert!$A$1:$B$4,2,0),"@@@",L293))</f>
        <v>'g2'</v>
      </c>
      <c r="AB293" s="4" t="str">
        <f>IF(M293="",IF(ISNUMBER(SEARCH("NOT NULL",UPPER(M$3))),"''","null"),SUBSTITUTE(VLOOKUP(M$2,convert!$A$1:$B$4,2,0),"@@@",M293))</f>
        <v>null</v>
      </c>
      <c r="AC293" s="4" t="str">
        <f>IF(N293="",IF(ISNUMBER(SEARCH("NOT NULL",UPPER(N$3))),"''","null"),SUBSTITUTE(VLOOKUP(N$2,convert!$A$1:$B$4,2,0),"@@@",N293))</f>
        <v>null</v>
      </c>
      <c r="AD293" s="4" t="str">
        <f>IF(O293="",IF(ISNUMBER(SEARCH("NOT NULL",UPPER(O$3))),"''","null"),SUBSTITUTE(VLOOKUP(O$2,convert!$A$1:$B$4,2,0),"@@@",O293))</f>
        <v>TRUE</v>
      </c>
      <c r="AE293" s="4" t="str">
        <f t="shared" si="4"/>
        <v>    ('0226N01', 'マンタイン', 85, 40, 70, 80, 140, 70, '', 'water', 'flying', 'g2', null, null, TRUE),</v>
      </c>
    </row>
    <row r="294" spans="1:31">
      <c r="A294" s="4" t="s">
        <v>600</v>
      </c>
      <c r="B294" s="4" t="s">
        <v>601</v>
      </c>
      <c r="C294" s="5">
        <v>65</v>
      </c>
      <c r="D294" s="5">
        <v>80</v>
      </c>
      <c r="E294" s="5">
        <v>140</v>
      </c>
      <c r="F294" s="5">
        <v>40</v>
      </c>
      <c r="G294" s="5">
        <v>70</v>
      </c>
      <c r="H294" s="5">
        <v>70</v>
      </c>
      <c r="I294" s="5"/>
      <c r="J294" s="4" t="s">
        <v>119</v>
      </c>
      <c r="K294" s="4" t="s">
        <v>47</v>
      </c>
      <c r="L294" s="4" t="s">
        <v>436</v>
      </c>
      <c r="M294" s="5"/>
      <c r="N294" s="5"/>
      <c r="O294" s="5" t="b">
        <v>1</v>
      </c>
      <c r="P294" s="4" t="str">
        <f>IF(A294="",IF(ISNUMBER(SEARCH("NOT NULL",UPPER(A$3))),"''","null"),SUBSTITUTE(VLOOKUP(A$2,convert!$A$1:$B$4,2,0),"@@@",A294))</f>
        <v>'0227N01'</v>
      </c>
      <c r="Q294" s="4" t="str">
        <f>IF(B294="",IF(ISNUMBER(SEARCH("NOT NULL",UPPER(B$3))),"''","null"),SUBSTITUTE(VLOOKUP(B$2,convert!$A$1:$B$4,2,0),"@@@",B294))</f>
        <v>'エアームド'</v>
      </c>
      <c r="R294" s="4" t="str">
        <f>IF(C294="",IF(ISNUMBER(SEARCH("NOT NULL",UPPER(C$3))),"''","null"),SUBSTITUTE(VLOOKUP(C$2,convert!$A$1:$B$4,2,0),"@@@",C294))</f>
        <v>65</v>
      </c>
      <c r="S294" s="4" t="str">
        <f>IF(D294="",IF(ISNUMBER(SEARCH("NOT NULL",UPPER(D$3))),"''","null"),SUBSTITUTE(VLOOKUP(D$2,convert!$A$1:$B$4,2,0),"@@@",D294))</f>
        <v>80</v>
      </c>
      <c r="T294" s="4" t="str">
        <f>IF(E294="",IF(ISNUMBER(SEARCH("NOT NULL",UPPER(E$3))),"''","null"),SUBSTITUTE(VLOOKUP(E$2,convert!$A$1:$B$4,2,0),"@@@",E294))</f>
        <v>140</v>
      </c>
      <c r="U294" s="4" t="str">
        <f>IF(F294="",IF(ISNUMBER(SEARCH("NOT NULL",UPPER(F$3))),"''","null"),SUBSTITUTE(VLOOKUP(F$2,convert!$A$1:$B$4,2,0),"@@@",F294))</f>
        <v>40</v>
      </c>
      <c r="V294" s="4" t="str">
        <f>IF(G294="",IF(ISNUMBER(SEARCH("NOT NULL",UPPER(G$3))),"''","null"),SUBSTITUTE(VLOOKUP(G$2,convert!$A$1:$B$4,2,0),"@@@",G294))</f>
        <v>70</v>
      </c>
      <c r="W294" s="4" t="str">
        <f>IF(H294="",IF(ISNUMBER(SEARCH("NOT NULL",UPPER(H$3))),"''","null"),SUBSTITUTE(VLOOKUP(H$2,convert!$A$1:$B$4,2,0),"@@@",H294))</f>
        <v>70</v>
      </c>
      <c r="X294" s="4" t="str">
        <f>IF(I294="",IF(ISNUMBER(SEARCH("NOT NULL",UPPER(I$3))),"''","null"),SUBSTITUTE(VLOOKUP(I$2,convert!$A$1:$B$4,2,0),"@@@",I294))</f>
        <v>''</v>
      </c>
      <c r="Y294" s="4" t="str">
        <f>IF(J294="",IF(ISNUMBER(SEARCH("NOT NULL",UPPER(J$3))),"''","null"),SUBSTITUTE(VLOOKUP(J$2,convert!$A$1:$B$4,2,0),"@@@",J294))</f>
        <v>'steel'</v>
      </c>
      <c r="Z294" s="4" t="str">
        <f>IF(K294="",IF(ISNUMBER(SEARCH("NOT NULL",UPPER(K$3))),"''","null"),SUBSTITUTE(VLOOKUP(K$2,convert!$A$1:$B$4,2,0),"@@@",K294))</f>
        <v>'flying'</v>
      </c>
      <c r="AA294" s="4" t="str">
        <f>IF(L294="",IF(ISNUMBER(SEARCH("NOT NULL",UPPER(L$3))),"''","null"),SUBSTITUTE(VLOOKUP(L$2,convert!$A$1:$B$4,2,0),"@@@",L294))</f>
        <v>'g2'</v>
      </c>
      <c r="AB294" s="4" t="str">
        <f>IF(M294="",IF(ISNUMBER(SEARCH("NOT NULL",UPPER(M$3))),"''","null"),SUBSTITUTE(VLOOKUP(M$2,convert!$A$1:$B$4,2,0),"@@@",M294))</f>
        <v>null</v>
      </c>
      <c r="AC294" s="4" t="str">
        <f>IF(N294="",IF(ISNUMBER(SEARCH("NOT NULL",UPPER(N$3))),"''","null"),SUBSTITUTE(VLOOKUP(N$2,convert!$A$1:$B$4,2,0),"@@@",N294))</f>
        <v>null</v>
      </c>
      <c r="AD294" s="4" t="str">
        <f>IF(O294="",IF(ISNUMBER(SEARCH("NOT NULL",UPPER(O$3))),"''","null"),SUBSTITUTE(VLOOKUP(O$2,convert!$A$1:$B$4,2,0),"@@@",O294))</f>
        <v>TRUE</v>
      </c>
      <c r="AE294" s="4" t="str">
        <f t="shared" si="4"/>
        <v>    ('0227N01', 'エアームド', 65, 80, 140, 40, 70, 70, '', 'steel', 'flying', 'g2', null, null, TRUE),</v>
      </c>
    </row>
    <row r="295" spans="1:31">
      <c r="A295" s="4" t="s">
        <v>602</v>
      </c>
      <c r="B295" s="4" t="s">
        <v>603</v>
      </c>
      <c r="C295" s="5">
        <v>45</v>
      </c>
      <c r="D295" s="5">
        <v>60</v>
      </c>
      <c r="E295" s="5">
        <v>30</v>
      </c>
      <c r="F295" s="5">
        <v>80</v>
      </c>
      <c r="G295" s="5">
        <v>50</v>
      </c>
      <c r="H295" s="5">
        <v>65</v>
      </c>
      <c r="I295" s="5"/>
      <c r="J295" s="4" t="s">
        <v>91</v>
      </c>
      <c r="K295" s="4" t="s">
        <v>42</v>
      </c>
      <c r="L295" s="4" t="s">
        <v>436</v>
      </c>
      <c r="M295" s="5"/>
      <c r="N295" s="5"/>
      <c r="O295" s="5" t="b">
        <v>1</v>
      </c>
      <c r="P295" s="4" t="str">
        <f>IF(A295="",IF(ISNUMBER(SEARCH("NOT NULL",UPPER(A$3))),"''","null"),SUBSTITUTE(VLOOKUP(A$2,convert!$A$1:$B$4,2,0),"@@@",A295))</f>
        <v>'0228N01'</v>
      </c>
      <c r="Q295" s="4" t="str">
        <f>IF(B295="",IF(ISNUMBER(SEARCH("NOT NULL",UPPER(B$3))),"''","null"),SUBSTITUTE(VLOOKUP(B$2,convert!$A$1:$B$4,2,0),"@@@",B295))</f>
        <v>'デルビル'</v>
      </c>
      <c r="R295" s="4" t="str">
        <f>IF(C295="",IF(ISNUMBER(SEARCH("NOT NULL",UPPER(C$3))),"''","null"),SUBSTITUTE(VLOOKUP(C$2,convert!$A$1:$B$4,2,0),"@@@",C295))</f>
        <v>45</v>
      </c>
      <c r="S295" s="4" t="str">
        <f>IF(D295="",IF(ISNUMBER(SEARCH("NOT NULL",UPPER(D$3))),"''","null"),SUBSTITUTE(VLOOKUP(D$2,convert!$A$1:$B$4,2,0),"@@@",D295))</f>
        <v>60</v>
      </c>
      <c r="T295" s="4" t="str">
        <f>IF(E295="",IF(ISNUMBER(SEARCH("NOT NULL",UPPER(E$3))),"''","null"),SUBSTITUTE(VLOOKUP(E$2,convert!$A$1:$B$4,2,0),"@@@",E295))</f>
        <v>30</v>
      </c>
      <c r="U295" s="4" t="str">
        <f>IF(F295="",IF(ISNUMBER(SEARCH("NOT NULL",UPPER(F$3))),"''","null"),SUBSTITUTE(VLOOKUP(F$2,convert!$A$1:$B$4,2,0),"@@@",F295))</f>
        <v>80</v>
      </c>
      <c r="V295" s="4" t="str">
        <f>IF(G295="",IF(ISNUMBER(SEARCH("NOT NULL",UPPER(G$3))),"''","null"),SUBSTITUTE(VLOOKUP(G$2,convert!$A$1:$B$4,2,0),"@@@",G295))</f>
        <v>50</v>
      </c>
      <c r="W295" s="4" t="str">
        <f>IF(H295="",IF(ISNUMBER(SEARCH("NOT NULL",UPPER(H$3))),"''","null"),SUBSTITUTE(VLOOKUP(H$2,convert!$A$1:$B$4,2,0),"@@@",H295))</f>
        <v>65</v>
      </c>
      <c r="X295" s="4" t="str">
        <f>IF(I295="",IF(ISNUMBER(SEARCH("NOT NULL",UPPER(I$3))),"''","null"),SUBSTITUTE(VLOOKUP(I$2,convert!$A$1:$B$4,2,0),"@@@",I295))</f>
        <v>''</v>
      </c>
      <c r="Y295" s="4" t="str">
        <f>IF(J295="",IF(ISNUMBER(SEARCH("NOT NULL",UPPER(J$3))),"''","null"),SUBSTITUTE(VLOOKUP(J$2,convert!$A$1:$B$4,2,0),"@@@",J295))</f>
        <v>'dark'</v>
      </c>
      <c r="Z295" s="4" t="str">
        <f>IF(K295="",IF(ISNUMBER(SEARCH("NOT NULL",UPPER(K$3))),"''","null"),SUBSTITUTE(VLOOKUP(K$2,convert!$A$1:$B$4,2,0),"@@@",K295))</f>
        <v>'fire'</v>
      </c>
      <c r="AA295" s="4" t="str">
        <f>IF(L295="",IF(ISNUMBER(SEARCH("NOT NULL",UPPER(L$3))),"''","null"),SUBSTITUTE(VLOOKUP(L$2,convert!$A$1:$B$4,2,0),"@@@",L295))</f>
        <v>'g2'</v>
      </c>
      <c r="AB295" s="4" t="str">
        <f>IF(M295="",IF(ISNUMBER(SEARCH("NOT NULL",UPPER(M$3))),"''","null"),SUBSTITUTE(VLOOKUP(M$2,convert!$A$1:$B$4,2,0),"@@@",M295))</f>
        <v>null</v>
      </c>
      <c r="AC295" s="4" t="str">
        <f>IF(N295="",IF(ISNUMBER(SEARCH("NOT NULL",UPPER(N$3))),"''","null"),SUBSTITUTE(VLOOKUP(N$2,convert!$A$1:$B$4,2,0),"@@@",N295))</f>
        <v>null</v>
      </c>
      <c r="AD295" s="4" t="str">
        <f>IF(O295="",IF(ISNUMBER(SEARCH("NOT NULL",UPPER(O$3))),"''","null"),SUBSTITUTE(VLOOKUP(O$2,convert!$A$1:$B$4,2,0),"@@@",O295))</f>
        <v>TRUE</v>
      </c>
      <c r="AE295" s="4" t="str">
        <f t="shared" si="4"/>
        <v>    ('0228N01', 'デルビル', 45, 60, 30, 80, 50, 65, '', 'dark', 'fire', 'g2', null, null, TRUE),</v>
      </c>
    </row>
    <row r="296" spans="1:31">
      <c r="A296" s="4" t="s">
        <v>604</v>
      </c>
      <c r="B296" s="4" t="s">
        <v>605</v>
      </c>
      <c r="C296" s="5">
        <v>75</v>
      </c>
      <c r="D296" s="5">
        <v>90</v>
      </c>
      <c r="E296" s="5">
        <v>50</v>
      </c>
      <c r="F296" s="5">
        <v>110</v>
      </c>
      <c r="G296" s="5">
        <v>80</v>
      </c>
      <c r="H296" s="5">
        <v>95</v>
      </c>
      <c r="I296" s="5"/>
      <c r="J296" s="4" t="s">
        <v>91</v>
      </c>
      <c r="K296" s="4" t="s">
        <v>42</v>
      </c>
      <c r="L296" s="4" t="s">
        <v>436</v>
      </c>
      <c r="M296" s="5"/>
      <c r="N296" s="5"/>
      <c r="O296" s="5" t="b">
        <v>1</v>
      </c>
      <c r="P296" s="4" t="str">
        <f>IF(A296="",IF(ISNUMBER(SEARCH("NOT NULL",UPPER(A$3))),"''","null"),SUBSTITUTE(VLOOKUP(A$2,convert!$A$1:$B$4,2,0),"@@@",A296))</f>
        <v>'0229N01'</v>
      </c>
      <c r="Q296" s="4" t="str">
        <f>IF(B296="",IF(ISNUMBER(SEARCH("NOT NULL",UPPER(B$3))),"''","null"),SUBSTITUTE(VLOOKUP(B$2,convert!$A$1:$B$4,2,0),"@@@",B296))</f>
        <v>'ヘルガー'</v>
      </c>
      <c r="R296" s="4" t="str">
        <f>IF(C296="",IF(ISNUMBER(SEARCH("NOT NULL",UPPER(C$3))),"''","null"),SUBSTITUTE(VLOOKUP(C$2,convert!$A$1:$B$4,2,0),"@@@",C296))</f>
        <v>75</v>
      </c>
      <c r="S296" s="4" t="str">
        <f>IF(D296="",IF(ISNUMBER(SEARCH("NOT NULL",UPPER(D$3))),"''","null"),SUBSTITUTE(VLOOKUP(D$2,convert!$A$1:$B$4,2,0),"@@@",D296))</f>
        <v>90</v>
      </c>
      <c r="T296" s="4" t="str">
        <f>IF(E296="",IF(ISNUMBER(SEARCH("NOT NULL",UPPER(E$3))),"''","null"),SUBSTITUTE(VLOOKUP(E$2,convert!$A$1:$B$4,2,0),"@@@",E296))</f>
        <v>50</v>
      </c>
      <c r="U296" s="4" t="str">
        <f>IF(F296="",IF(ISNUMBER(SEARCH("NOT NULL",UPPER(F$3))),"''","null"),SUBSTITUTE(VLOOKUP(F$2,convert!$A$1:$B$4,2,0),"@@@",F296))</f>
        <v>110</v>
      </c>
      <c r="V296" s="4" t="str">
        <f>IF(G296="",IF(ISNUMBER(SEARCH("NOT NULL",UPPER(G$3))),"''","null"),SUBSTITUTE(VLOOKUP(G$2,convert!$A$1:$B$4,2,0),"@@@",G296))</f>
        <v>80</v>
      </c>
      <c r="W296" s="4" t="str">
        <f>IF(H296="",IF(ISNUMBER(SEARCH("NOT NULL",UPPER(H$3))),"''","null"),SUBSTITUTE(VLOOKUP(H$2,convert!$A$1:$B$4,2,0),"@@@",H296))</f>
        <v>95</v>
      </c>
      <c r="X296" s="4" t="str">
        <f>IF(I296="",IF(ISNUMBER(SEARCH("NOT NULL",UPPER(I$3))),"''","null"),SUBSTITUTE(VLOOKUP(I$2,convert!$A$1:$B$4,2,0),"@@@",I296))</f>
        <v>''</v>
      </c>
      <c r="Y296" s="4" t="str">
        <f>IF(J296="",IF(ISNUMBER(SEARCH("NOT NULL",UPPER(J$3))),"''","null"),SUBSTITUTE(VLOOKUP(J$2,convert!$A$1:$B$4,2,0),"@@@",J296))</f>
        <v>'dark'</v>
      </c>
      <c r="Z296" s="4" t="str">
        <f>IF(K296="",IF(ISNUMBER(SEARCH("NOT NULL",UPPER(K$3))),"''","null"),SUBSTITUTE(VLOOKUP(K$2,convert!$A$1:$B$4,2,0),"@@@",K296))</f>
        <v>'fire'</v>
      </c>
      <c r="AA296" s="4" t="str">
        <f>IF(L296="",IF(ISNUMBER(SEARCH("NOT NULL",UPPER(L$3))),"''","null"),SUBSTITUTE(VLOOKUP(L$2,convert!$A$1:$B$4,2,0),"@@@",L296))</f>
        <v>'g2'</v>
      </c>
      <c r="AB296" s="4" t="str">
        <f>IF(M296="",IF(ISNUMBER(SEARCH("NOT NULL",UPPER(M$3))),"''","null"),SUBSTITUTE(VLOOKUP(M$2,convert!$A$1:$B$4,2,0),"@@@",M296))</f>
        <v>null</v>
      </c>
      <c r="AC296" s="4" t="str">
        <f>IF(N296="",IF(ISNUMBER(SEARCH("NOT NULL",UPPER(N$3))),"''","null"),SUBSTITUTE(VLOOKUP(N$2,convert!$A$1:$B$4,2,0),"@@@",N296))</f>
        <v>null</v>
      </c>
      <c r="AD296" s="4" t="str">
        <f>IF(O296="",IF(ISNUMBER(SEARCH("NOT NULL",UPPER(O$3))),"''","null"),SUBSTITUTE(VLOOKUP(O$2,convert!$A$1:$B$4,2,0),"@@@",O296))</f>
        <v>TRUE</v>
      </c>
      <c r="AE296" s="4" t="str">
        <f t="shared" si="4"/>
        <v>    ('0229N01', 'ヘルガー', 75, 90, 50, 110, 80, 95, '', 'dark', 'fire', 'g2', null, null, TRUE),</v>
      </c>
    </row>
    <row r="297" spans="1:31">
      <c r="A297" s="4" t="s">
        <v>606</v>
      </c>
      <c r="B297" s="4" t="s">
        <v>607</v>
      </c>
      <c r="C297" s="5">
        <v>75</v>
      </c>
      <c r="D297" s="5">
        <v>90</v>
      </c>
      <c r="E297" s="5">
        <v>90</v>
      </c>
      <c r="F297" s="5">
        <v>140</v>
      </c>
      <c r="G297" s="5">
        <v>90</v>
      </c>
      <c r="H297" s="5">
        <v>115</v>
      </c>
      <c r="I297" s="5"/>
      <c r="J297" s="4" t="s">
        <v>91</v>
      </c>
      <c r="K297" s="4" t="s">
        <v>42</v>
      </c>
      <c r="L297" s="4" t="s">
        <v>39</v>
      </c>
      <c r="M297" s="5"/>
      <c r="N297" s="5"/>
      <c r="O297" s="5" t="b">
        <v>1</v>
      </c>
      <c r="P297" s="4" t="str">
        <f>IF(A297="",IF(ISNUMBER(SEARCH("NOT NULL",UPPER(A$3))),"''","null"),SUBSTITUTE(VLOOKUP(A$2,convert!$A$1:$B$4,2,0),"@@@",A297))</f>
        <v>'0229M01'</v>
      </c>
      <c r="Q297" s="4" t="str">
        <f>IF(B297="",IF(ISNUMBER(SEARCH("NOT NULL",UPPER(B$3))),"''","null"),SUBSTITUTE(VLOOKUP(B$2,convert!$A$1:$B$4,2,0),"@@@",B297))</f>
        <v>'メガヘルガー'</v>
      </c>
      <c r="R297" s="4" t="str">
        <f>IF(C297="",IF(ISNUMBER(SEARCH("NOT NULL",UPPER(C$3))),"''","null"),SUBSTITUTE(VLOOKUP(C$2,convert!$A$1:$B$4,2,0),"@@@",C297))</f>
        <v>75</v>
      </c>
      <c r="S297" s="4" t="str">
        <f>IF(D297="",IF(ISNUMBER(SEARCH("NOT NULL",UPPER(D$3))),"''","null"),SUBSTITUTE(VLOOKUP(D$2,convert!$A$1:$B$4,2,0),"@@@",D297))</f>
        <v>90</v>
      </c>
      <c r="T297" s="4" t="str">
        <f>IF(E297="",IF(ISNUMBER(SEARCH("NOT NULL",UPPER(E$3))),"''","null"),SUBSTITUTE(VLOOKUP(E$2,convert!$A$1:$B$4,2,0),"@@@",E297))</f>
        <v>90</v>
      </c>
      <c r="U297" s="4" t="str">
        <f>IF(F297="",IF(ISNUMBER(SEARCH("NOT NULL",UPPER(F$3))),"''","null"),SUBSTITUTE(VLOOKUP(F$2,convert!$A$1:$B$4,2,0),"@@@",F297))</f>
        <v>140</v>
      </c>
      <c r="V297" s="4" t="str">
        <f>IF(G297="",IF(ISNUMBER(SEARCH("NOT NULL",UPPER(G$3))),"''","null"),SUBSTITUTE(VLOOKUP(G$2,convert!$A$1:$B$4,2,0),"@@@",G297))</f>
        <v>90</v>
      </c>
      <c r="W297" s="4" t="str">
        <f>IF(H297="",IF(ISNUMBER(SEARCH("NOT NULL",UPPER(H$3))),"''","null"),SUBSTITUTE(VLOOKUP(H$2,convert!$A$1:$B$4,2,0),"@@@",H297))</f>
        <v>115</v>
      </c>
      <c r="X297" s="4" t="str">
        <f>IF(I297="",IF(ISNUMBER(SEARCH("NOT NULL",UPPER(I$3))),"''","null"),SUBSTITUTE(VLOOKUP(I$2,convert!$A$1:$B$4,2,0),"@@@",I297))</f>
        <v>''</v>
      </c>
      <c r="Y297" s="4" t="str">
        <f>IF(J297="",IF(ISNUMBER(SEARCH("NOT NULL",UPPER(J$3))),"''","null"),SUBSTITUTE(VLOOKUP(J$2,convert!$A$1:$B$4,2,0),"@@@",J297))</f>
        <v>'dark'</v>
      </c>
      <c r="Z297" s="4" t="str">
        <f>IF(K297="",IF(ISNUMBER(SEARCH("NOT NULL",UPPER(K$3))),"''","null"),SUBSTITUTE(VLOOKUP(K$2,convert!$A$1:$B$4,2,0),"@@@",K297))</f>
        <v>'fire'</v>
      </c>
      <c r="AA297" s="4" t="str">
        <f>IF(L297="",IF(ISNUMBER(SEARCH("NOT NULL",UPPER(L$3))),"''","null"),SUBSTITUTE(VLOOKUP(L$2,convert!$A$1:$B$4,2,0),"@@@",L297))</f>
        <v>'g6'</v>
      </c>
      <c r="AB297" s="4" t="str">
        <f>IF(M297="",IF(ISNUMBER(SEARCH("NOT NULL",UPPER(M$3))),"''","null"),SUBSTITUTE(VLOOKUP(M$2,convert!$A$1:$B$4,2,0),"@@@",M297))</f>
        <v>null</v>
      </c>
      <c r="AC297" s="4" t="str">
        <f>IF(N297="",IF(ISNUMBER(SEARCH("NOT NULL",UPPER(N$3))),"''","null"),SUBSTITUTE(VLOOKUP(N$2,convert!$A$1:$B$4,2,0),"@@@",N297))</f>
        <v>null</v>
      </c>
      <c r="AD297" s="4" t="str">
        <f>IF(O297="",IF(ISNUMBER(SEARCH("NOT NULL",UPPER(O$3))),"''","null"),SUBSTITUTE(VLOOKUP(O$2,convert!$A$1:$B$4,2,0),"@@@",O297))</f>
        <v>TRUE</v>
      </c>
      <c r="AE297" s="4" t="str">
        <f t="shared" si="4"/>
        <v>    ('0229M01', 'メガヘルガー', 75, 90, 90, 140, 90, 115, '', 'dark', 'fire', 'g6', null, null, TRUE),</v>
      </c>
    </row>
    <row r="298" spans="1:31">
      <c r="A298" s="4" t="s">
        <v>608</v>
      </c>
      <c r="B298" s="4" t="s">
        <v>609</v>
      </c>
      <c r="C298" s="5">
        <v>75</v>
      </c>
      <c r="D298" s="5">
        <v>95</v>
      </c>
      <c r="E298" s="5">
        <v>95</v>
      </c>
      <c r="F298" s="5">
        <v>95</v>
      </c>
      <c r="G298" s="5">
        <v>95</v>
      </c>
      <c r="H298" s="5">
        <v>85</v>
      </c>
      <c r="I298" s="5"/>
      <c r="J298" s="4" t="s">
        <v>55</v>
      </c>
      <c r="K298" s="4" t="s">
        <v>50</v>
      </c>
      <c r="L298" s="4" t="s">
        <v>436</v>
      </c>
      <c r="M298" s="5"/>
      <c r="N298" s="5"/>
      <c r="O298" s="5" t="b">
        <v>1</v>
      </c>
      <c r="P298" s="4" t="str">
        <f>IF(A298="",IF(ISNUMBER(SEARCH("NOT NULL",UPPER(A$3))),"''","null"),SUBSTITUTE(VLOOKUP(A$2,convert!$A$1:$B$4,2,0),"@@@",A298))</f>
        <v>'0230N01'</v>
      </c>
      <c r="Q298" s="4" t="str">
        <f>IF(B298="",IF(ISNUMBER(SEARCH("NOT NULL",UPPER(B$3))),"''","null"),SUBSTITUTE(VLOOKUP(B$2,convert!$A$1:$B$4,2,0),"@@@",B298))</f>
        <v>'キングドラ'</v>
      </c>
      <c r="R298" s="4" t="str">
        <f>IF(C298="",IF(ISNUMBER(SEARCH("NOT NULL",UPPER(C$3))),"''","null"),SUBSTITUTE(VLOOKUP(C$2,convert!$A$1:$B$4,2,0),"@@@",C298))</f>
        <v>75</v>
      </c>
      <c r="S298" s="4" t="str">
        <f>IF(D298="",IF(ISNUMBER(SEARCH("NOT NULL",UPPER(D$3))),"''","null"),SUBSTITUTE(VLOOKUP(D$2,convert!$A$1:$B$4,2,0),"@@@",D298))</f>
        <v>95</v>
      </c>
      <c r="T298" s="4" t="str">
        <f>IF(E298="",IF(ISNUMBER(SEARCH("NOT NULL",UPPER(E$3))),"''","null"),SUBSTITUTE(VLOOKUP(E$2,convert!$A$1:$B$4,2,0),"@@@",E298))</f>
        <v>95</v>
      </c>
      <c r="U298" s="4" t="str">
        <f>IF(F298="",IF(ISNUMBER(SEARCH("NOT NULL",UPPER(F$3))),"''","null"),SUBSTITUTE(VLOOKUP(F$2,convert!$A$1:$B$4,2,0),"@@@",F298))</f>
        <v>95</v>
      </c>
      <c r="V298" s="4" t="str">
        <f>IF(G298="",IF(ISNUMBER(SEARCH("NOT NULL",UPPER(G$3))),"''","null"),SUBSTITUTE(VLOOKUP(G$2,convert!$A$1:$B$4,2,0),"@@@",G298))</f>
        <v>95</v>
      </c>
      <c r="W298" s="4" t="str">
        <f>IF(H298="",IF(ISNUMBER(SEARCH("NOT NULL",UPPER(H$3))),"''","null"),SUBSTITUTE(VLOOKUP(H$2,convert!$A$1:$B$4,2,0),"@@@",H298))</f>
        <v>85</v>
      </c>
      <c r="X298" s="4" t="str">
        <f>IF(I298="",IF(ISNUMBER(SEARCH("NOT NULL",UPPER(I$3))),"''","null"),SUBSTITUTE(VLOOKUP(I$2,convert!$A$1:$B$4,2,0),"@@@",I298))</f>
        <v>''</v>
      </c>
      <c r="Y298" s="4" t="str">
        <f>IF(J298="",IF(ISNUMBER(SEARCH("NOT NULL",UPPER(J$3))),"''","null"),SUBSTITUTE(VLOOKUP(J$2,convert!$A$1:$B$4,2,0),"@@@",J298))</f>
        <v>'water'</v>
      </c>
      <c r="Z298" s="4" t="str">
        <f>IF(K298="",IF(ISNUMBER(SEARCH("NOT NULL",UPPER(K$3))),"''","null"),SUBSTITUTE(VLOOKUP(K$2,convert!$A$1:$B$4,2,0),"@@@",K298))</f>
        <v>'dragon'</v>
      </c>
      <c r="AA298" s="4" t="str">
        <f>IF(L298="",IF(ISNUMBER(SEARCH("NOT NULL",UPPER(L$3))),"''","null"),SUBSTITUTE(VLOOKUP(L$2,convert!$A$1:$B$4,2,0),"@@@",L298))</f>
        <v>'g2'</v>
      </c>
      <c r="AB298" s="4" t="str">
        <f>IF(M298="",IF(ISNUMBER(SEARCH("NOT NULL",UPPER(M$3))),"''","null"),SUBSTITUTE(VLOOKUP(M$2,convert!$A$1:$B$4,2,0),"@@@",M298))</f>
        <v>null</v>
      </c>
      <c r="AC298" s="4" t="str">
        <f>IF(N298="",IF(ISNUMBER(SEARCH("NOT NULL",UPPER(N$3))),"''","null"),SUBSTITUTE(VLOOKUP(N$2,convert!$A$1:$B$4,2,0),"@@@",N298))</f>
        <v>null</v>
      </c>
      <c r="AD298" s="4" t="str">
        <f>IF(O298="",IF(ISNUMBER(SEARCH("NOT NULL",UPPER(O$3))),"''","null"),SUBSTITUTE(VLOOKUP(O$2,convert!$A$1:$B$4,2,0),"@@@",O298))</f>
        <v>TRUE</v>
      </c>
      <c r="AE298" s="4" t="str">
        <f t="shared" si="4"/>
        <v>    ('0230N01', 'キングドラ', 75, 95, 95, 95, 95, 85, '', 'water', 'dragon', 'g2', null, null, TRUE),</v>
      </c>
    </row>
    <row r="299" spans="1:31">
      <c r="A299" s="4" t="s">
        <v>610</v>
      </c>
      <c r="B299" s="4" t="s">
        <v>611</v>
      </c>
      <c r="C299" s="5">
        <v>90</v>
      </c>
      <c r="D299" s="5">
        <v>60</v>
      </c>
      <c r="E299" s="5">
        <v>60</v>
      </c>
      <c r="F299" s="5">
        <v>40</v>
      </c>
      <c r="G299" s="5">
        <v>40</v>
      </c>
      <c r="H299" s="5">
        <v>40</v>
      </c>
      <c r="I299" s="5"/>
      <c r="J299" s="4" t="s">
        <v>116</v>
      </c>
      <c r="K299" s="5"/>
      <c r="L299" s="4" t="s">
        <v>436</v>
      </c>
      <c r="M299" s="5"/>
      <c r="N299" s="5"/>
      <c r="O299" s="5" t="b">
        <v>1</v>
      </c>
      <c r="P299" s="4" t="str">
        <f>IF(A299="",IF(ISNUMBER(SEARCH("NOT NULL",UPPER(A$3))),"''","null"),SUBSTITUTE(VLOOKUP(A$2,convert!$A$1:$B$4,2,0),"@@@",A299))</f>
        <v>'0231N01'</v>
      </c>
      <c r="Q299" s="4" t="str">
        <f>IF(B299="",IF(ISNUMBER(SEARCH("NOT NULL",UPPER(B$3))),"''","null"),SUBSTITUTE(VLOOKUP(B$2,convert!$A$1:$B$4,2,0),"@@@",B299))</f>
        <v>'ゴマゾウ'</v>
      </c>
      <c r="R299" s="4" t="str">
        <f>IF(C299="",IF(ISNUMBER(SEARCH("NOT NULL",UPPER(C$3))),"''","null"),SUBSTITUTE(VLOOKUP(C$2,convert!$A$1:$B$4,2,0),"@@@",C299))</f>
        <v>90</v>
      </c>
      <c r="S299" s="4" t="str">
        <f>IF(D299="",IF(ISNUMBER(SEARCH("NOT NULL",UPPER(D$3))),"''","null"),SUBSTITUTE(VLOOKUP(D$2,convert!$A$1:$B$4,2,0),"@@@",D299))</f>
        <v>60</v>
      </c>
      <c r="T299" s="4" t="str">
        <f>IF(E299="",IF(ISNUMBER(SEARCH("NOT NULL",UPPER(E$3))),"''","null"),SUBSTITUTE(VLOOKUP(E$2,convert!$A$1:$B$4,2,0),"@@@",E299))</f>
        <v>60</v>
      </c>
      <c r="U299" s="4" t="str">
        <f>IF(F299="",IF(ISNUMBER(SEARCH("NOT NULL",UPPER(F$3))),"''","null"),SUBSTITUTE(VLOOKUP(F$2,convert!$A$1:$B$4,2,0),"@@@",F299))</f>
        <v>40</v>
      </c>
      <c r="V299" s="4" t="str">
        <f>IF(G299="",IF(ISNUMBER(SEARCH("NOT NULL",UPPER(G$3))),"''","null"),SUBSTITUTE(VLOOKUP(G$2,convert!$A$1:$B$4,2,0),"@@@",G299))</f>
        <v>40</v>
      </c>
      <c r="W299" s="4" t="str">
        <f>IF(H299="",IF(ISNUMBER(SEARCH("NOT NULL",UPPER(H$3))),"''","null"),SUBSTITUTE(VLOOKUP(H$2,convert!$A$1:$B$4,2,0),"@@@",H299))</f>
        <v>40</v>
      </c>
      <c r="X299" s="4" t="str">
        <f>IF(I299="",IF(ISNUMBER(SEARCH("NOT NULL",UPPER(I$3))),"''","null"),SUBSTITUTE(VLOOKUP(I$2,convert!$A$1:$B$4,2,0),"@@@",I299))</f>
        <v>''</v>
      </c>
      <c r="Y299" s="4" t="str">
        <f>IF(J299="",IF(ISNUMBER(SEARCH("NOT NULL",UPPER(J$3))),"''","null"),SUBSTITUTE(VLOOKUP(J$2,convert!$A$1:$B$4,2,0),"@@@",J299))</f>
        <v>'ground'</v>
      </c>
      <c r="Z299" s="4" t="str">
        <f>IF(K299="",IF(ISNUMBER(SEARCH("NOT NULL",UPPER(K$3))),"''","null"),SUBSTITUTE(VLOOKUP(K$2,convert!$A$1:$B$4,2,0),"@@@",K299))</f>
        <v>null</v>
      </c>
      <c r="AA299" s="4" t="str">
        <f>IF(L299="",IF(ISNUMBER(SEARCH("NOT NULL",UPPER(L$3))),"''","null"),SUBSTITUTE(VLOOKUP(L$2,convert!$A$1:$B$4,2,0),"@@@",L299))</f>
        <v>'g2'</v>
      </c>
      <c r="AB299" s="4" t="str">
        <f>IF(M299="",IF(ISNUMBER(SEARCH("NOT NULL",UPPER(M$3))),"''","null"),SUBSTITUTE(VLOOKUP(M$2,convert!$A$1:$B$4,2,0),"@@@",M299))</f>
        <v>null</v>
      </c>
      <c r="AC299" s="4" t="str">
        <f>IF(N299="",IF(ISNUMBER(SEARCH("NOT NULL",UPPER(N$3))),"''","null"),SUBSTITUTE(VLOOKUP(N$2,convert!$A$1:$B$4,2,0),"@@@",N299))</f>
        <v>null</v>
      </c>
      <c r="AD299" s="4" t="str">
        <f>IF(O299="",IF(ISNUMBER(SEARCH("NOT NULL",UPPER(O$3))),"''","null"),SUBSTITUTE(VLOOKUP(O$2,convert!$A$1:$B$4,2,0),"@@@",O299))</f>
        <v>TRUE</v>
      </c>
      <c r="AE299" s="4" t="str">
        <f t="shared" si="4"/>
        <v>    ('0231N01', 'ゴマゾウ', 90, 60, 60, 40, 40, 40, '', 'ground', null, 'g2', null, null, TRUE),</v>
      </c>
    </row>
    <row r="300" spans="1:31">
      <c r="A300" s="4" t="s">
        <v>612</v>
      </c>
      <c r="B300" s="4" t="s">
        <v>613</v>
      </c>
      <c r="C300" s="5">
        <v>90</v>
      </c>
      <c r="D300" s="5">
        <v>120</v>
      </c>
      <c r="E300" s="5">
        <v>120</v>
      </c>
      <c r="F300" s="5">
        <v>60</v>
      </c>
      <c r="G300" s="5">
        <v>60</v>
      </c>
      <c r="H300" s="5">
        <v>50</v>
      </c>
      <c r="I300" s="5"/>
      <c r="J300" s="4" t="s">
        <v>116</v>
      </c>
      <c r="K300" s="5"/>
      <c r="L300" s="4" t="s">
        <v>436</v>
      </c>
      <c r="M300" s="5"/>
      <c r="N300" s="5"/>
      <c r="O300" s="5" t="b">
        <v>1</v>
      </c>
      <c r="P300" s="4" t="str">
        <f>IF(A300="",IF(ISNUMBER(SEARCH("NOT NULL",UPPER(A$3))),"''","null"),SUBSTITUTE(VLOOKUP(A$2,convert!$A$1:$B$4,2,0),"@@@",A300))</f>
        <v>'0232N01'</v>
      </c>
      <c r="Q300" s="4" t="str">
        <f>IF(B300="",IF(ISNUMBER(SEARCH("NOT NULL",UPPER(B$3))),"''","null"),SUBSTITUTE(VLOOKUP(B$2,convert!$A$1:$B$4,2,0),"@@@",B300))</f>
        <v>'ドンファン'</v>
      </c>
      <c r="R300" s="4" t="str">
        <f>IF(C300="",IF(ISNUMBER(SEARCH("NOT NULL",UPPER(C$3))),"''","null"),SUBSTITUTE(VLOOKUP(C$2,convert!$A$1:$B$4,2,0),"@@@",C300))</f>
        <v>90</v>
      </c>
      <c r="S300" s="4" t="str">
        <f>IF(D300="",IF(ISNUMBER(SEARCH("NOT NULL",UPPER(D$3))),"''","null"),SUBSTITUTE(VLOOKUP(D$2,convert!$A$1:$B$4,2,0),"@@@",D300))</f>
        <v>120</v>
      </c>
      <c r="T300" s="4" t="str">
        <f>IF(E300="",IF(ISNUMBER(SEARCH("NOT NULL",UPPER(E$3))),"''","null"),SUBSTITUTE(VLOOKUP(E$2,convert!$A$1:$B$4,2,0),"@@@",E300))</f>
        <v>120</v>
      </c>
      <c r="U300" s="4" t="str">
        <f>IF(F300="",IF(ISNUMBER(SEARCH("NOT NULL",UPPER(F$3))),"''","null"),SUBSTITUTE(VLOOKUP(F$2,convert!$A$1:$B$4,2,0),"@@@",F300))</f>
        <v>60</v>
      </c>
      <c r="V300" s="4" t="str">
        <f>IF(G300="",IF(ISNUMBER(SEARCH("NOT NULL",UPPER(G$3))),"''","null"),SUBSTITUTE(VLOOKUP(G$2,convert!$A$1:$B$4,2,0),"@@@",G300))</f>
        <v>60</v>
      </c>
      <c r="W300" s="4" t="str">
        <f>IF(H300="",IF(ISNUMBER(SEARCH("NOT NULL",UPPER(H$3))),"''","null"),SUBSTITUTE(VLOOKUP(H$2,convert!$A$1:$B$4,2,0),"@@@",H300))</f>
        <v>50</v>
      </c>
      <c r="X300" s="4" t="str">
        <f>IF(I300="",IF(ISNUMBER(SEARCH("NOT NULL",UPPER(I$3))),"''","null"),SUBSTITUTE(VLOOKUP(I$2,convert!$A$1:$B$4,2,0),"@@@",I300))</f>
        <v>''</v>
      </c>
      <c r="Y300" s="4" t="str">
        <f>IF(J300="",IF(ISNUMBER(SEARCH("NOT NULL",UPPER(J$3))),"''","null"),SUBSTITUTE(VLOOKUP(J$2,convert!$A$1:$B$4,2,0),"@@@",J300))</f>
        <v>'ground'</v>
      </c>
      <c r="Z300" s="4" t="str">
        <f>IF(K300="",IF(ISNUMBER(SEARCH("NOT NULL",UPPER(K$3))),"''","null"),SUBSTITUTE(VLOOKUP(K$2,convert!$A$1:$B$4,2,0),"@@@",K300))</f>
        <v>null</v>
      </c>
      <c r="AA300" s="4" t="str">
        <f>IF(L300="",IF(ISNUMBER(SEARCH("NOT NULL",UPPER(L$3))),"''","null"),SUBSTITUTE(VLOOKUP(L$2,convert!$A$1:$B$4,2,0),"@@@",L300))</f>
        <v>'g2'</v>
      </c>
      <c r="AB300" s="4" t="str">
        <f>IF(M300="",IF(ISNUMBER(SEARCH("NOT NULL",UPPER(M$3))),"''","null"),SUBSTITUTE(VLOOKUP(M$2,convert!$A$1:$B$4,2,0),"@@@",M300))</f>
        <v>null</v>
      </c>
      <c r="AC300" s="4" t="str">
        <f>IF(N300="",IF(ISNUMBER(SEARCH("NOT NULL",UPPER(N$3))),"''","null"),SUBSTITUTE(VLOOKUP(N$2,convert!$A$1:$B$4,2,0),"@@@",N300))</f>
        <v>null</v>
      </c>
      <c r="AD300" s="4" t="str">
        <f>IF(O300="",IF(ISNUMBER(SEARCH("NOT NULL",UPPER(O$3))),"''","null"),SUBSTITUTE(VLOOKUP(O$2,convert!$A$1:$B$4,2,0),"@@@",O300))</f>
        <v>TRUE</v>
      </c>
      <c r="AE300" s="4" t="str">
        <f t="shared" si="4"/>
        <v>    ('0232N01', 'ドンファン', 90, 120, 120, 60, 60, 50, '', 'ground', null, 'g2', null, null, TRUE),</v>
      </c>
    </row>
    <row r="301" spans="1:31">
      <c r="A301" s="4" t="s">
        <v>614</v>
      </c>
      <c r="B301" s="4" t="s">
        <v>615</v>
      </c>
      <c r="C301" s="5">
        <v>85</v>
      </c>
      <c r="D301" s="5">
        <v>80</v>
      </c>
      <c r="E301" s="5">
        <v>90</v>
      </c>
      <c r="F301" s="5">
        <v>105</v>
      </c>
      <c r="G301" s="5">
        <v>95</v>
      </c>
      <c r="H301" s="5">
        <v>60</v>
      </c>
      <c r="I301" s="5"/>
      <c r="J301" s="4" t="s">
        <v>80</v>
      </c>
      <c r="K301" s="5"/>
      <c r="L301" s="4" t="s">
        <v>436</v>
      </c>
      <c r="M301" s="5"/>
      <c r="N301" s="5"/>
      <c r="O301" s="5" t="b">
        <v>1</v>
      </c>
      <c r="P301" s="4" t="str">
        <f>IF(A301="",IF(ISNUMBER(SEARCH("NOT NULL",UPPER(A$3))),"''","null"),SUBSTITUTE(VLOOKUP(A$2,convert!$A$1:$B$4,2,0),"@@@",A301))</f>
        <v>'0233N01'</v>
      </c>
      <c r="Q301" s="4" t="str">
        <f>IF(B301="",IF(ISNUMBER(SEARCH("NOT NULL",UPPER(B$3))),"''","null"),SUBSTITUTE(VLOOKUP(B$2,convert!$A$1:$B$4,2,0),"@@@",B301))</f>
        <v>'ポリゴン2'</v>
      </c>
      <c r="R301" s="4" t="str">
        <f>IF(C301="",IF(ISNUMBER(SEARCH("NOT NULL",UPPER(C$3))),"''","null"),SUBSTITUTE(VLOOKUP(C$2,convert!$A$1:$B$4,2,0),"@@@",C301))</f>
        <v>85</v>
      </c>
      <c r="S301" s="4" t="str">
        <f>IF(D301="",IF(ISNUMBER(SEARCH("NOT NULL",UPPER(D$3))),"''","null"),SUBSTITUTE(VLOOKUP(D$2,convert!$A$1:$B$4,2,0),"@@@",D301))</f>
        <v>80</v>
      </c>
      <c r="T301" s="4" t="str">
        <f>IF(E301="",IF(ISNUMBER(SEARCH("NOT NULL",UPPER(E$3))),"''","null"),SUBSTITUTE(VLOOKUP(E$2,convert!$A$1:$B$4,2,0),"@@@",E301))</f>
        <v>90</v>
      </c>
      <c r="U301" s="4" t="str">
        <f>IF(F301="",IF(ISNUMBER(SEARCH("NOT NULL",UPPER(F$3))),"''","null"),SUBSTITUTE(VLOOKUP(F$2,convert!$A$1:$B$4,2,0),"@@@",F301))</f>
        <v>105</v>
      </c>
      <c r="V301" s="4" t="str">
        <f>IF(G301="",IF(ISNUMBER(SEARCH("NOT NULL",UPPER(G$3))),"''","null"),SUBSTITUTE(VLOOKUP(G$2,convert!$A$1:$B$4,2,0),"@@@",G301))</f>
        <v>95</v>
      </c>
      <c r="W301" s="4" t="str">
        <f>IF(H301="",IF(ISNUMBER(SEARCH("NOT NULL",UPPER(H$3))),"''","null"),SUBSTITUTE(VLOOKUP(H$2,convert!$A$1:$B$4,2,0),"@@@",H301))</f>
        <v>60</v>
      </c>
      <c r="X301" s="4" t="str">
        <f>IF(I301="",IF(ISNUMBER(SEARCH("NOT NULL",UPPER(I$3))),"''","null"),SUBSTITUTE(VLOOKUP(I$2,convert!$A$1:$B$4,2,0),"@@@",I301))</f>
        <v>''</v>
      </c>
      <c r="Y301" s="4" t="str">
        <f>IF(J301="",IF(ISNUMBER(SEARCH("NOT NULL",UPPER(J$3))),"''","null"),SUBSTITUTE(VLOOKUP(J$2,convert!$A$1:$B$4,2,0),"@@@",J301))</f>
        <v>'normal'</v>
      </c>
      <c r="Z301" s="4" t="str">
        <f>IF(K301="",IF(ISNUMBER(SEARCH("NOT NULL",UPPER(K$3))),"''","null"),SUBSTITUTE(VLOOKUP(K$2,convert!$A$1:$B$4,2,0),"@@@",K301))</f>
        <v>null</v>
      </c>
      <c r="AA301" s="4" t="str">
        <f>IF(L301="",IF(ISNUMBER(SEARCH("NOT NULL",UPPER(L$3))),"''","null"),SUBSTITUTE(VLOOKUP(L$2,convert!$A$1:$B$4,2,0),"@@@",L301))</f>
        <v>'g2'</v>
      </c>
      <c r="AB301" s="4" t="str">
        <f>IF(M301="",IF(ISNUMBER(SEARCH("NOT NULL",UPPER(M$3))),"''","null"),SUBSTITUTE(VLOOKUP(M$2,convert!$A$1:$B$4,2,0),"@@@",M301))</f>
        <v>null</v>
      </c>
      <c r="AC301" s="4" t="str">
        <f>IF(N301="",IF(ISNUMBER(SEARCH("NOT NULL",UPPER(N$3))),"''","null"),SUBSTITUTE(VLOOKUP(N$2,convert!$A$1:$B$4,2,0),"@@@",N301))</f>
        <v>null</v>
      </c>
      <c r="AD301" s="4" t="str">
        <f>IF(O301="",IF(ISNUMBER(SEARCH("NOT NULL",UPPER(O$3))),"''","null"),SUBSTITUTE(VLOOKUP(O$2,convert!$A$1:$B$4,2,0),"@@@",O301))</f>
        <v>TRUE</v>
      </c>
      <c r="AE301" s="4" t="str">
        <f t="shared" si="4"/>
        <v>    ('0233N01', 'ポリゴン2', 85, 80, 90, 105, 95, 60, '', 'normal', null, 'g2', null, null, TRUE),</v>
      </c>
    </row>
    <row r="302" spans="1:31">
      <c r="A302" s="4" t="s">
        <v>616</v>
      </c>
      <c r="B302" s="4" t="s">
        <v>617</v>
      </c>
      <c r="C302" s="5">
        <v>73</v>
      </c>
      <c r="D302" s="5">
        <v>95</v>
      </c>
      <c r="E302" s="5">
        <v>62</v>
      </c>
      <c r="F302" s="5">
        <v>85</v>
      </c>
      <c r="G302" s="5">
        <v>65</v>
      </c>
      <c r="H302" s="5">
        <v>85</v>
      </c>
      <c r="I302" s="5"/>
      <c r="J302" s="4" t="s">
        <v>80</v>
      </c>
      <c r="K302" s="5"/>
      <c r="L302" s="4" t="s">
        <v>436</v>
      </c>
      <c r="M302" s="5"/>
      <c r="N302" s="5"/>
      <c r="O302" s="5" t="b">
        <v>1</v>
      </c>
      <c r="P302" s="4" t="str">
        <f>IF(A302="",IF(ISNUMBER(SEARCH("NOT NULL",UPPER(A$3))),"''","null"),SUBSTITUTE(VLOOKUP(A$2,convert!$A$1:$B$4,2,0),"@@@",A302))</f>
        <v>'0234N01'</v>
      </c>
      <c r="Q302" s="4" t="str">
        <f>IF(B302="",IF(ISNUMBER(SEARCH("NOT NULL",UPPER(B$3))),"''","null"),SUBSTITUTE(VLOOKUP(B$2,convert!$A$1:$B$4,2,0),"@@@",B302))</f>
        <v>'オドシシ'</v>
      </c>
      <c r="R302" s="4" t="str">
        <f>IF(C302="",IF(ISNUMBER(SEARCH("NOT NULL",UPPER(C$3))),"''","null"),SUBSTITUTE(VLOOKUP(C$2,convert!$A$1:$B$4,2,0),"@@@",C302))</f>
        <v>73</v>
      </c>
      <c r="S302" s="4" t="str">
        <f>IF(D302="",IF(ISNUMBER(SEARCH("NOT NULL",UPPER(D$3))),"''","null"),SUBSTITUTE(VLOOKUP(D$2,convert!$A$1:$B$4,2,0),"@@@",D302))</f>
        <v>95</v>
      </c>
      <c r="T302" s="4" t="str">
        <f>IF(E302="",IF(ISNUMBER(SEARCH("NOT NULL",UPPER(E$3))),"''","null"),SUBSTITUTE(VLOOKUP(E$2,convert!$A$1:$B$4,2,0),"@@@",E302))</f>
        <v>62</v>
      </c>
      <c r="U302" s="4" t="str">
        <f>IF(F302="",IF(ISNUMBER(SEARCH("NOT NULL",UPPER(F$3))),"''","null"),SUBSTITUTE(VLOOKUP(F$2,convert!$A$1:$B$4,2,0),"@@@",F302))</f>
        <v>85</v>
      </c>
      <c r="V302" s="4" t="str">
        <f>IF(G302="",IF(ISNUMBER(SEARCH("NOT NULL",UPPER(G$3))),"''","null"),SUBSTITUTE(VLOOKUP(G$2,convert!$A$1:$B$4,2,0),"@@@",G302))</f>
        <v>65</v>
      </c>
      <c r="W302" s="4" t="str">
        <f>IF(H302="",IF(ISNUMBER(SEARCH("NOT NULL",UPPER(H$3))),"''","null"),SUBSTITUTE(VLOOKUP(H$2,convert!$A$1:$B$4,2,0),"@@@",H302))</f>
        <v>85</v>
      </c>
      <c r="X302" s="4" t="str">
        <f>IF(I302="",IF(ISNUMBER(SEARCH("NOT NULL",UPPER(I$3))),"''","null"),SUBSTITUTE(VLOOKUP(I$2,convert!$A$1:$B$4,2,0),"@@@",I302))</f>
        <v>''</v>
      </c>
      <c r="Y302" s="4" t="str">
        <f>IF(J302="",IF(ISNUMBER(SEARCH("NOT NULL",UPPER(J$3))),"''","null"),SUBSTITUTE(VLOOKUP(J$2,convert!$A$1:$B$4,2,0),"@@@",J302))</f>
        <v>'normal'</v>
      </c>
      <c r="Z302" s="4" t="str">
        <f>IF(K302="",IF(ISNUMBER(SEARCH("NOT NULL",UPPER(K$3))),"''","null"),SUBSTITUTE(VLOOKUP(K$2,convert!$A$1:$B$4,2,0),"@@@",K302))</f>
        <v>null</v>
      </c>
      <c r="AA302" s="4" t="str">
        <f>IF(L302="",IF(ISNUMBER(SEARCH("NOT NULL",UPPER(L$3))),"''","null"),SUBSTITUTE(VLOOKUP(L$2,convert!$A$1:$B$4,2,0),"@@@",L302))</f>
        <v>'g2'</v>
      </c>
      <c r="AB302" s="4" t="str">
        <f>IF(M302="",IF(ISNUMBER(SEARCH("NOT NULL",UPPER(M$3))),"''","null"),SUBSTITUTE(VLOOKUP(M$2,convert!$A$1:$B$4,2,0),"@@@",M302))</f>
        <v>null</v>
      </c>
      <c r="AC302" s="4" t="str">
        <f>IF(N302="",IF(ISNUMBER(SEARCH("NOT NULL",UPPER(N$3))),"''","null"),SUBSTITUTE(VLOOKUP(N$2,convert!$A$1:$B$4,2,0),"@@@",N302))</f>
        <v>null</v>
      </c>
      <c r="AD302" s="4" t="str">
        <f>IF(O302="",IF(ISNUMBER(SEARCH("NOT NULL",UPPER(O$3))),"''","null"),SUBSTITUTE(VLOOKUP(O$2,convert!$A$1:$B$4,2,0),"@@@",O302))</f>
        <v>TRUE</v>
      </c>
      <c r="AE302" s="4" t="str">
        <f t="shared" si="4"/>
        <v>    ('0234N01', 'オドシシ', 73, 95, 62, 85, 65, 85, '', 'normal', null, 'g2', null, null, TRUE),</v>
      </c>
    </row>
    <row r="303" spans="1:31">
      <c r="A303" s="4" t="s">
        <v>618</v>
      </c>
      <c r="B303" s="4" t="s">
        <v>619</v>
      </c>
      <c r="C303" s="5">
        <v>55</v>
      </c>
      <c r="D303" s="5">
        <v>20</v>
      </c>
      <c r="E303" s="5">
        <v>35</v>
      </c>
      <c r="F303" s="5">
        <v>20</v>
      </c>
      <c r="G303" s="5">
        <v>45</v>
      </c>
      <c r="H303" s="5">
        <v>75</v>
      </c>
      <c r="I303" s="5"/>
      <c r="J303" s="4" t="s">
        <v>80</v>
      </c>
      <c r="K303" s="5"/>
      <c r="L303" s="4" t="s">
        <v>436</v>
      </c>
      <c r="M303" s="5"/>
      <c r="N303" s="5"/>
      <c r="O303" s="5" t="b">
        <v>1</v>
      </c>
      <c r="P303" s="4" t="str">
        <f>IF(A303="",IF(ISNUMBER(SEARCH("NOT NULL",UPPER(A$3))),"''","null"),SUBSTITUTE(VLOOKUP(A$2,convert!$A$1:$B$4,2,0),"@@@",A303))</f>
        <v>'0235N01'</v>
      </c>
      <c r="Q303" s="4" t="str">
        <f>IF(B303="",IF(ISNUMBER(SEARCH("NOT NULL",UPPER(B$3))),"''","null"),SUBSTITUTE(VLOOKUP(B$2,convert!$A$1:$B$4,2,0),"@@@",B303))</f>
        <v>'ドーブル'</v>
      </c>
      <c r="R303" s="4" t="str">
        <f>IF(C303="",IF(ISNUMBER(SEARCH("NOT NULL",UPPER(C$3))),"''","null"),SUBSTITUTE(VLOOKUP(C$2,convert!$A$1:$B$4,2,0),"@@@",C303))</f>
        <v>55</v>
      </c>
      <c r="S303" s="4" t="str">
        <f>IF(D303="",IF(ISNUMBER(SEARCH("NOT NULL",UPPER(D$3))),"''","null"),SUBSTITUTE(VLOOKUP(D$2,convert!$A$1:$B$4,2,0),"@@@",D303))</f>
        <v>20</v>
      </c>
      <c r="T303" s="4" t="str">
        <f>IF(E303="",IF(ISNUMBER(SEARCH("NOT NULL",UPPER(E$3))),"''","null"),SUBSTITUTE(VLOOKUP(E$2,convert!$A$1:$B$4,2,0),"@@@",E303))</f>
        <v>35</v>
      </c>
      <c r="U303" s="4" t="str">
        <f>IF(F303="",IF(ISNUMBER(SEARCH("NOT NULL",UPPER(F$3))),"''","null"),SUBSTITUTE(VLOOKUP(F$2,convert!$A$1:$B$4,2,0),"@@@",F303))</f>
        <v>20</v>
      </c>
      <c r="V303" s="4" t="str">
        <f>IF(G303="",IF(ISNUMBER(SEARCH("NOT NULL",UPPER(G$3))),"''","null"),SUBSTITUTE(VLOOKUP(G$2,convert!$A$1:$B$4,2,0),"@@@",G303))</f>
        <v>45</v>
      </c>
      <c r="W303" s="4" t="str">
        <f>IF(H303="",IF(ISNUMBER(SEARCH("NOT NULL",UPPER(H$3))),"''","null"),SUBSTITUTE(VLOOKUP(H$2,convert!$A$1:$B$4,2,0),"@@@",H303))</f>
        <v>75</v>
      </c>
      <c r="X303" s="4" t="str">
        <f>IF(I303="",IF(ISNUMBER(SEARCH("NOT NULL",UPPER(I$3))),"''","null"),SUBSTITUTE(VLOOKUP(I$2,convert!$A$1:$B$4,2,0),"@@@",I303))</f>
        <v>''</v>
      </c>
      <c r="Y303" s="4" t="str">
        <f>IF(J303="",IF(ISNUMBER(SEARCH("NOT NULL",UPPER(J$3))),"''","null"),SUBSTITUTE(VLOOKUP(J$2,convert!$A$1:$B$4,2,0),"@@@",J303))</f>
        <v>'normal'</v>
      </c>
      <c r="Z303" s="4" t="str">
        <f>IF(K303="",IF(ISNUMBER(SEARCH("NOT NULL",UPPER(K$3))),"''","null"),SUBSTITUTE(VLOOKUP(K$2,convert!$A$1:$B$4,2,0),"@@@",K303))</f>
        <v>null</v>
      </c>
      <c r="AA303" s="4" t="str">
        <f>IF(L303="",IF(ISNUMBER(SEARCH("NOT NULL",UPPER(L$3))),"''","null"),SUBSTITUTE(VLOOKUP(L$2,convert!$A$1:$B$4,2,0),"@@@",L303))</f>
        <v>'g2'</v>
      </c>
      <c r="AB303" s="4" t="str">
        <f>IF(M303="",IF(ISNUMBER(SEARCH("NOT NULL",UPPER(M$3))),"''","null"),SUBSTITUTE(VLOOKUP(M$2,convert!$A$1:$B$4,2,0),"@@@",M303))</f>
        <v>null</v>
      </c>
      <c r="AC303" s="4" t="str">
        <f>IF(N303="",IF(ISNUMBER(SEARCH("NOT NULL",UPPER(N$3))),"''","null"),SUBSTITUTE(VLOOKUP(N$2,convert!$A$1:$B$4,2,0),"@@@",N303))</f>
        <v>null</v>
      </c>
      <c r="AD303" s="4" t="str">
        <f>IF(O303="",IF(ISNUMBER(SEARCH("NOT NULL",UPPER(O$3))),"''","null"),SUBSTITUTE(VLOOKUP(O$2,convert!$A$1:$B$4,2,0),"@@@",O303))</f>
        <v>TRUE</v>
      </c>
      <c r="AE303" s="4" t="str">
        <f t="shared" si="4"/>
        <v>    ('0235N01', 'ドーブル', 55, 20, 35, 20, 45, 75, '', 'normal', null, 'g2', null, null, TRUE),</v>
      </c>
    </row>
    <row r="304" spans="1:31">
      <c r="A304" s="4" t="s">
        <v>620</v>
      </c>
      <c r="B304" s="4" t="s">
        <v>621</v>
      </c>
      <c r="C304" s="5">
        <v>35</v>
      </c>
      <c r="D304" s="5">
        <v>35</v>
      </c>
      <c r="E304" s="5">
        <v>35</v>
      </c>
      <c r="F304" s="5">
        <v>35</v>
      </c>
      <c r="G304" s="5">
        <v>35</v>
      </c>
      <c r="H304" s="5">
        <v>35</v>
      </c>
      <c r="I304" s="5"/>
      <c r="J304" s="4" t="s">
        <v>189</v>
      </c>
      <c r="K304" s="5"/>
      <c r="L304" s="4" t="s">
        <v>436</v>
      </c>
      <c r="M304" s="5"/>
      <c r="N304" s="5"/>
      <c r="O304" s="5" t="b">
        <v>1</v>
      </c>
      <c r="P304" s="4" t="str">
        <f>IF(A304="",IF(ISNUMBER(SEARCH("NOT NULL",UPPER(A$3))),"''","null"),SUBSTITUTE(VLOOKUP(A$2,convert!$A$1:$B$4,2,0),"@@@",A304))</f>
        <v>'0236N01'</v>
      </c>
      <c r="Q304" s="4" t="str">
        <f>IF(B304="",IF(ISNUMBER(SEARCH("NOT NULL",UPPER(B$3))),"''","null"),SUBSTITUTE(VLOOKUP(B$2,convert!$A$1:$B$4,2,0),"@@@",B304))</f>
        <v>'バルキー'</v>
      </c>
      <c r="R304" s="4" t="str">
        <f>IF(C304="",IF(ISNUMBER(SEARCH("NOT NULL",UPPER(C$3))),"''","null"),SUBSTITUTE(VLOOKUP(C$2,convert!$A$1:$B$4,2,0),"@@@",C304))</f>
        <v>35</v>
      </c>
      <c r="S304" s="4" t="str">
        <f>IF(D304="",IF(ISNUMBER(SEARCH("NOT NULL",UPPER(D$3))),"''","null"),SUBSTITUTE(VLOOKUP(D$2,convert!$A$1:$B$4,2,0),"@@@",D304))</f>
        <v>35</v>
      </c>
      <c r="T304" s="4" t="str">
        <f>IF(E304="",IF(ISNUMBER(SEARCH("NOT NULL",UPPER(E$3))),"''","null"),SUBSTITUTE(VLOOKUP(E$2,convert!$A$1:$B$4,2,0),"@@@",E304))</f>
        <v>35</v>
      </c>
      <c r="U304" s="4" t="str">
        <f>IF(F304="",IF(ISNUMBER(SEARCH("NOT NULL",UPPER(F$3))),"''","null"),SUBSTITUTE(VLOOKUP(F$2,convert!$A$1:$B$4,2,0),"@@@",F304))</f>
        <v>35</v>
      </c>
      <c r="V304" s="4" t="str">
        <f>IF(G304="",IF(ISNUMBER(SEARCH("NOT NULL",UPPER(G$3))),"''","null"),SUBSTITUTE(VLOOKUP(G$2,convert!$A$1:$B$4,2,0),"@@@",G304))</f>
        <v>35</v>
      </c>
      <c r="W304" s="4" t="str">
        <f>IF(H304="",IF(ISNUMBER(SEARCH("NOT NULL",UPPER(H$3))),"''","null"),SUBSTITUTE(VLOOKUP(H$2,convert!$A$1:$B$4,2,0),"@@@",H304))</f>
        <v>35</v>
      </c>
      <c r="X304" s="4" t="str">
        <f>IF(I304="",IF(ISNUMBER(SEARCH("NOT NULL",UPPER(I$3))),"''","null"),SUBSTITUTE(VLOOKUP(I$2,convert!$A$1:$B$4,2,0),"@@@",I304))</f>
        <v>''</v>
      </c>
      <c r="Y304" s="4" t="str">
        <f>IF(J304="",IF(ISNUMBER(SEARCH("NOT NULL",UPPER(J$3))),"''","null"),SUBSTITUTE(VLOOKUP(J$2,convert!$A$1:$B$4,2,0),"@@@",J304))</f>
        <v>'fighting'</v>
      </c>
      <c r="Z304" s="4" t="str">
        <f>IF(K304="",IF(ISNUMBER(SEARCH("NOT NULL",UPPER(K$3))),"''","null"),SUBSTITUTE(VLOOKUP(K$2,convert!$A$1:$B$4,2,0),"@@@",K304))</f>
        <v>null</v>
      </c>
      <c r="AA304" s="4" t="str">
        <f>IF(L304="",IF(ISNUMBER(SEARCH("NOT NULL",UPPER(L$3))),"''","null"),SUBSTITUTE(VLOOKUP(L$2,convert!$A$1:$B$4,2,0),"@@@",L304))</f>
        <v>'g2'</v>
      </c>
      <c r="AB304" s="4" t="str">
        <f>IF(M304="",IF(ISNUMBER(SEARCH("NOT NULL",UPPER(M$3))),"''","null"),SUBSTITUTE(VLOOKUP(M$2,convert!$A$1:$B$4,2,0),"@@@",M304))</f>
        <v>null</v>
      </c>
      <c r="AC304" s="4" t="str">
        <f>IF(N304="",IF(ISNUMBER(SEARCH("NOT NULL",UPPER(N$3))),"''","null"),SUBSTITUTE(VLOOKUP(N$2,convert!$A$1:$B$4,2,0),"@@@",N304))</f>
        <v>null</v>
      </c>
      <c r="AD304" s="4" t="str">
        <f>IF(O304="",IF(ISNUMBER(SEARCH("NOT NULL",UPPER(O$3))),"''","null"),SUBSTITUTE(VLOOKUP(O$2,convert!$A$1:$B$4,2,0),"@@@",O304))</f>
        <v>TRUE</v>
      </c>
      <c r="AE304" s="4" t="str">
        <f t="shared" si="4"/>
        <v>    ('0236N01', 'バルキー', 35, 35, 35, 35, 35, 35, '', 'fighting', null, 'g2', null, null, TRUE),</v>
      </c>
    </row>
    <row r="305" spans="1:31">
      <c r="A305" s="4" t="s">
        <v>622</v>
      </c>
      <c r="B305" s="4" t="s">
        <v>623</v>
      </c>
      <c r="C305" s="5">
        <v>50</v>
      </c>
      <c r="D305" s="5">
        <v>95</v>
      </c>
      <c r="E305" s="5">
        <v>95</v>
      </c>
      <c r="F305" s="5">
        <v>35</v>
      </c>
      <c r="G305" s="5">
        <v>110</v>
      </c>
      <c r="H305" s="5">
        <v>70</v>
      </c>
      <c r="I305" s="5"/>
      <c r="J305" s="4" t="s">
        <v>189</v>
      </c>
      <c r="K305" s="5"/>
      <c r="L305" s="4" t="s">
        <v>436</v>
      </c>
      <c r="M305" s="5"/>
      <c r="N305" s="5"/>
      <c r="O305" s="5" t="b">
        <v>1</v>
      </c>
      <c r="P305" s="4" t="str">
        <f>IF(A305="",IF(ISNUMBER(SEARCH("NOT NULL",UPPER(A$3))),"''","null"),SUBSTITUTE(VLOOKUP(A$2,convert!$A$1:$B$4,2,0),"@@@",A305))</f>
        <v>'0237N01'</v>
      </c>
      <c r="Q305" s="4" t="str">
        <f>IF(B305="",IF(ISNUMBER(SEARCH("NOT NULL",UPPER(B$3))),"''","null"),SUBSTITUTE(VLOOKUP(B$2,convert!$A$1:$B$4,2,0),"@@@",B305))</f>
        <v>'カポエラー'</v>
      </c>
      <c r="R305" s="4" t="str">
        <f>IF(C305="",IF(ISNUMBER(SEARCH("NOT NULL",UPPER(C$3))),"''","null"),SUBSTITUTE(VLOOKUP(C$2,convert!$A$1:$B$4,2,0),"@@@",C305))</f>
        <v>50</v>
      </c>
      <c r="S305" s="4" t="str">
        <f>IF(D305="",IF(ISNUMBER(SEARCH("NOT NULL",UPPER(D$3))),"''","null"),SUBSTITUTE(VLOOKUP(D$2,convert!$A$1:$B$4,2,0),"@@@",D305))</f>
        <v>95</v>
      </c>
      <c r="T305" s="4" t="str">
        <f>IF(E305="",IF(ISNUMBER(SEARCH("NOT NULL",UPPER(E$3))),"''","null"),SUBSTITUTE(VLOOKUP(E$2,convert!$A$1:$B$4,2,0),"@@@",E305))</f>
        <v>95</v>
      </c>
      <c r="U305" s="4" t="str">
        <f>IF(F305="",IF(ISNUMBER(SEARCH("NOT NULL",UPPER(F$3))),"''","null"),SUBSTITUTE(VLOOKUP(F$2,convert!$A$1:$B$4,2,0),"@@@",F305))</f>
        <v>35</v>
      </c>
      <c r="V305" s="4" t="str">
        <f>IF(G305="",IF(ISNUMBER(SEARCH("NOT NULL",UPPER(G$3))),"''","null"),SUBSTITUTE(VLOOKUP(G$2,convert!$A$1:$B$4,2,0),"@@@",G305))</f>
        <v>110</v>
      </c>
      <c r="W305" s="4" t="str">
        <f>IF(H305="",IF(ISNUMBER(SEARCH("NOT NULL",UPPER(H$3))),"''","null"),SUBSTITUTE(VLOOKUP(H$2,convert!$A$1:$B$4,2,0),"@@@",H305))</f>
        <v>70</v>
      </c>
      <c r="X305" s="4" t="str">
        <f>IF(I305="",IF(ISNUMBER(SEARCH("NOT NULL",UPPER(I$3))),"''","null"),SUBSTITUTE(VLOOKUP(I$2,convert!$A$1:$B$4,2,0),"@@@",I305))</f>
        <v>''</v>
      </c>
      <c r="Y305" s="4" t="str">
        <f>IF(J305="",IF(ISNUMBER(SEARCH("NOT NULL",UPPER(J$3))),"''","null"),SUBSTITUTE(VLOOKUP(J$2,convert!$A$1:$B$4,2,0),"@@@",J305))</f>
        <v>'fighting'</v>
      </c>
      <c r="Z305" s="4" t="str">
        <f>IF(K305="",IF(ISNUMBER(SEARCH("NOT NULL",UPPER(K$3))),"''","null"),SUBSTITUTE(VLOOKUP(K$2,convert!$A$1:$B$4,2,0),"@@@",K305))</f>
        <v>null</v>
      </c>
      <c r="AA305" s="4" t="str">
        <f>IF(L305="",IF(ISNUMBER(SEARCH("NOT NULL",UPPER(L$3))),"''","null"),SUBSTITUTE(VLOOKUP(L$2,convert!$A$1:$B$4,2,0),"@@@",L305))</f>
        <v>'g2'</v>
      </c>
      <c r="AB305" s="4" t="str">
        <f>IF(M305="",IF(ISNUMBER(SEARCH("NOT NULL",UPPER(M$3))),"''","null"),SUBSTITUTE(VLOOKUP(M$2,convert!$A$1:$B$4,2,0),"@@@",M305))</f>
        <v>null</v>
      </c>
      <c r="AC305" s="4" t="str">
        <f>IF(N305="",IF(ISNUMBER(SEARCH("NOT NULL",UPPER(N$3))),"''","null"),SUBSTITUTE(VLOOKUP(N$2,convert!$A$1:$B$4,2,0),"@@@",N305))</f>
        <v>null</v>
      </c>
      <c r="AD305" s="4" t="str">
        <f>IF(O305="",IF(ISNUMBER(SEARCH("NOT NULL",UPPER(O$3))),"''","null"),SUBSTITUTE(VLOOKUP(O$2,convert!$A$1:$B$4,2,0),"@@@",O305))</f>
        <v>TRUE</v>
      </c>
      <c r="AE305" s="4" t="str">
        <f t="shared" si="4"/>
        <v>    ('0237N01', 'カポエラー', 50, 95, 95, 35, 110, 70, '', 'fighting', null, 'g2', null, null, TRUE),</v>
      </c>
    </row>
    <row r="306" spans="1:31">
      <c r="A306" s="4" t="s">
        <v>624</v>
      </c>
      <c r="B306" s="4" t="s">
        <v>625</v>
      </c>
      <c r="C306" s="5">
        <v>45</v>
      </c>
      <c r="D306" s="5">
        <v>30</v>
      </c>
      <c r="E306" s="5">
        <v>15</v>
      </c>
      <c r="F306" s="5">
        <v>85</v>
      </c>
      <c r="G306" s="5">
        <v>65</v>
      </c>
      <c r="H306" s="5">
        <v>65</v>
      </c>
      <c r="I306" s="5"/>
      <c r="J306" s="4" t="s">
        <v>118</v>
      </c>
      <c r="K306" s="4" t="s">
        <v>113</v>
      </c>
      <c r="L306" s="4" t="s">
        <v>436</v>
      </c>
      <c r="M306" s="5"/>
      <c r="N306" s="5"/>
      <c r="O306" s="5" t="b">
        <v>1</v>
      </c>
      <c r="P306" s="4" t="str">
        <f>IF(A306="",IF(ISNUMBER(SEARCH("NOT NULL",UPPER(A$3))),"''","null"),SUBSTITUTE(VLOOKUP(A$2,convert!$A$1:$B$4,2,0),"@@@",A306))</f>
        <v>'0238N01'</v>
      </c>
      <c r="Q306" s="4" t="str">
        <f>IF(B306="",IF(ISNUMBER(SEARCH("NOT NULL",UPPER(B$3))),"''","null"),SUBSTITUTE(VLOOKUP(B$2,convert!$A$1:$B$4,2,0),"@@@",B306))</f>
        <v>'ムチュール'</v>
      </c>
      <c r="R306" s="4" t="str">
        <f>IF(C306="",IF(ISNUMBER(SEARCH("NOT NULL",UPPER(C$3))),"''","null"),SUBSTITUTE(VLOOKUP(C$2,convert!$A$1:$B$4,2,0),"@@@",C306))</f>
        <v>45</v>
      </c>
      <c r="S306" s="4" t="str">
        <f>IF(D306="",IF(ISNUMBER(SEARCH("NOT NULL",UPPER(D$3))),"''","null"),SUBSTITUTE(VLOOKUP(D$2,convert!$A$1:$B$4,2,0),"@@@",D306))</f>
        <v>30</v>
      </c>
      <c r="T306" s="4" t="str">
        <f>IF(E306="",IF(ISNUMBER(SEARCH("NOT NULL",UPPER(E$3))),"''","null"),SUBSTITUTE(VLOOKUP(E$2,convert!$A$1:$B$4,2,0),"@@@",E306))</f>
        <v>15</v>
      </c>
      <c r="U306" s="4" t="str">
        <f>IF(F306="",IF(ISNUMBER(SEARCH("NOT NULL",UPPER(F$3))),"''","null"),SUBSTITUTE(VLOOKUP(F$2,convert!$A$1:$B$4,2,0),"@@@",F306))</f>
        <v>85</v>
      </c>
      <c r="V306" s="4" t="str">
        <f>IF(G306="",IF(ISNUMBER(SEARCH("NOT NULL",UPPER(G$3))),"''","null"),SUBSTITUTE(VLOOKUP(G$2,convert!$A$1:$B$4,2,0),"@@@",G306))</f>
        <v>65</v>
      </c>
      <c r="W306" s="4" t="str">
        <f>IF(H306="",IF(ISNUMBER(SEARCH("NOT NULL",UPPER(H$3))),"''","null"),SUBSTITUTE(VLOOKUP(H$2,convert!$A$1:$B$4,2,0),"@@@",H306))</f>
        <v>65</v>
      </c>
      <c r="X306" s="4" t="str">
        <f>IF(I306="",IF(ISNUMBER(SEARCH("NOT NULL",UPPER(I$3))),"''","null"),SUBSTITUTE(VLOOKUP(I$2,convert!$A$1:$B$4,2,0),"@@@",I306))</f>
        <v>''</v>
      </c>
      <c r="Y306" s="4" t="str">
        <f>IF(J306="",IF(ISNUMBER(SEARCH("NOT NULL",UPPER(J$3))),"''","null"),SUBSTITUTE(VLOOKUP(J$2,convert!$A$1:$B$4,2,0),"@@@",J306))</f>
        <v>'ice'</v>
      </c>
      <c r="Z306" s="4" t="str">
        <f>IF(K306="",IF(ISNUMBER(SEARCH("NOT NULL",UPPER(K$3))),"''","null"),SUBSTITUTE(VLOOKUP(K$2,convert!$A$1:$B$4,2,0),"@@@",K306))</f>
        <v>'psychic'</v>
      </c>
      <c r="AA306" s="4" t="str">
        <f>IF(L306="",IF(ISNUMBER(SEARCH("NOT NULL",UPPER(L$3))),"''","null"),SUBSTITUTE(VLOOKUP(L$2,convert!$A$1:$B$4,2,0),"@@@",L306))</f>
        <v>'g2'</v>
      </c>
      <c r="AB306" s="4" t="str">
        <f>IF(M306="",IF(ISNUMBER(SEARCH("NOT NULL",UPPER(M$3))),"''","null"),SUBSTITUTE(VLOOKUP(M$2,convert!$A$1:$B$4,2,0),"@@@",M306))</f>
        <v>null</v>
      </c>
      <c r="AC306" s="4" t="str">
        <f>IF(N306="",IF(ISNUMBER(SEARCH("NOT NULL",UPPER(N$3))),"''","null"),SUBSTITUTE(VLOOKUP(N$2,convert!$A$1:$B$4,2,0),"@@@",N306))</f>
        <v>null</v>
      </c>
      <c r="AD306" s="4" t="str">
        <f>IF(O306="",IF(ISNUMBER(SEARCH("NOT NULL",UPPER(O$3))),"''","null"),SUBSTITUTE(VLOOKUP(O$2,convert!$A$1:$B$4,2,0),"@@@",O306))</f>
        <v>TRUE</v>
      </c>
      <c r="AE306" s="4" t="str">
        <f t="shared" si="4"/>
        <v>    ('0238N01', 'ムチュール', 45, 30, 15, 85, 65, 65, '', 'ice', 'psychic', 'g2', null, null, TRUE),</v>
      </c>
    </row>
    <row r="307" spans="1:31">
      <c r="A307" s="4" t="s">
        <v>626</v>
      </c>
      <c r="B307" s="4" t="s">
        <v>627</v>
      </c>
      <c r="C307" s="5">
        <v>45</v>
      </c>
      <c r="D307" s="5">
        <v>63</v>
      </c>
      <c r="E307" s="5">
        <v>37</v>
      </c>
      <c r="F307" s="5">
        <v>65</v>
      </c>
      <c r="G307" s="5">
        <v>55</v>
      </c>
      <c r="H307" s="5">
        <v>95</v>
      </c>
      <c r="I307" s="5"/>
      <c r="J307" s="4" t="s">
        <v>106</v>
      </c>
      <c r="K307" s="5"/>
      <c r="L307" s="4" t="s">
        <v>436</v>
      </c>
      <c r="M307" s="5"/>
      <c r="N307" s="5"/>
      <c r="O307" s="5" t="b">
        <v>1</v>
      </c>
      <c r="P307" s="4" t="str">
        <f>IF(A307="",IF(ISNUMBER(SEARCH("NOT NULL",UPPER(A$3))),"''","null"),SUBSTITUTE(VLOOKUP(A$2,convert!$A$1:$B$4,2,0),"@@@",A307))</f>
        <v>'0239N01'</v>
      </c>
      <c r="Q307" s="4" t="str">
        <f>IF(B307="",IF(ISNUMBER(SEARCH("NOT NULL",UPPER(B$3))),"''","null"),SUBSTITUTE(VLOOKUP(B$2,convert!$A$1:$B$4,2,0),"@@@",B307))</f>
        <v>'エレキッド'</v>
      </c>
      <c r="R307" s="4" t="str">
        <f>IF(C307="",IF(ISNUMBER(SEARCH("NOT NULL",UPPER(C$3))),"''","null"),SUBSTITUTE(VLOOKUP(C$2,convert!$A$1:$B$4,2,0),"@@@",C307))</f>
        <v>45</v>
      </c>
      <c r="S307" s="4" t="str">
        <f>IF(D307="",IF(ISNUMBER(SEARCH("NOT NULL",UPPER(D$3))),"''","null"),SUBSTITUTE(VLOOKUP(D$2,convert!$A$1:$B$4,2,0),"@@@",D307))</f>
        <v>63</v>
      </c>
      <c r="T307" s="4" t="str">
        <f>IF(E307="",IF(ISNUMBER(SEARCH("NOT NULL",UPPER(E$3))),"''","null"),SUBSTITUTE(VLOOKUP(E$2,convert!$A$1:$B$4,2,0),"@@@",E307))</f>
        <v>37</v>
      </c>
      <c r="U307" s="4" t="str">
        <f>IF(F307="",IF(ISNUMBER(SEARCH("NOT NULL",UPPER(F$3))),"''","null"),SUBSTITUTE(VLOOKUP(F$2,convert!$A$1:$B$4,2,0),"@@@",F307))</f>
        <v>65</v>
      </c>
      <c r="V307" s="4" t="str">
        <f>IF(G307="",IF(ISNUMBER(SEARCH("NOT NULL",UPPER(G$3))),"''","null"),SUBSTITUTE(VLOOKUP(G$2,convert!$A$1:$B$4,2,0),"@@@",G307))</f>
        <v>55</v>
      </c>
      <c r="W307" s="4" t="str">
        <f>IF(H307="",IF(ISNUMBER(SEARCH("NOT NULL",UPPER(H$3))),"''","null"),SUBSTITUTE(VLOOKUP(H$2,convert!$A$1:$B$4,2,0),"@@@",H307))</f>
        <v>95</v>
      </c>
      <c r="X307" s="4" t="str">
        <f>IF(I307="",IF(ISNUMBER(SEARCH("NOT NULL",UPPER(I$3))),"''","null"),SUBSTITUTE(VLOOKUP(I$2,convert!$A$1:$B$4,2,0),"@@@",I307))</f>
        <v>''</v>
      </c>
      <c r="Y307" s="4" t="str">
        <f>IF(J307="",IF(ISNUMBER(SEARCH("NOT NULL",UPPER(J$3))),"''","null"),SUBSTITUTE(VLOOKUP(J$2,convert!$A$1:$B$4,2,0),"@@@",J307))</f>
        <v>'electric'</v>
      </c>
      <c r="Z307" s="4" t="str">
        <f>IF(K307="",IF(ISNUMBER(SEARCH("NOT NULL",UPPER(K$3))),"''","null"),SUBSTITUTE(VLOOKUP(K$2,convert!$A$1:$B$4,2,0),"@@@",K307))</f>
        <v>null</v>
      </c>
      <c r="AA307" s="4" t="str">
        <f>IF(L307="",IF(ISNUMBER(SEARCH("NOT NULL",UPPER(L$3))),"''","null"),SUBSTITUTE(VLOOKUP(L$2,convert!$A$1:$B$4,2,0),"@@@",L307))</f>
        <v>'g2'</v>
      </c>
      <c r="AB307" s="4" t="str">
        <f>IF(M307="",IF(ISNUMBER(SEARCH("NOT NULL",UPPER(M$3))),"''","null"),SUBSTITUTE(VLOOKUP(M$2,convert!$A$1:$B$4,2,0),"@@@",M307))</f>
        <v>null</v>
      </c>
      <c r="AC307" s="4" t="str">
        <f>IF(N307="",IF(ISNUMBER(SEARCH("NOT NULL",UPPER(N$3))),"''","null"),SUBSTITUTE(VLOOKUP(N$2,convert!$A$1:$B$4,2,0),"@@@",N307))</f>
        <v>null</v>
      </c>
      <c r="AD307" s="4" t="str">
        <f>IF(O307="",IF(ISNUMBER(SEARCH("NOT NULL",UPPER(O$3))),"''","null"),SUBSTITUTE(VLOOKUP(O$2,convert!$A$1:$B$4,2,0),"@@@",O307))</f>
        <v>TRUE</v>
      </c>
      <c r="AE307" s="4" t="str">
        <f t="shared" si="4"/>
        <v>    ('0239N01', 'エレキッド', 45, 63, 37, 65, 55, 95, '', 'electric', null, 'g2', null, null, TRUE),</v>
      </c>
    </row>
    <row r="308" spans="1:31">
      <c r="A308" s="4" t="s">
        <v>628</v>
      </c>
      <c r="B308" s="4" t="s">
        <v>629</v>
      </c>
      <c r="C308" s="5">
        <v>45</v>
      </c>
      <c r="D308" s="5">
        <v>75</v>
      </c>
      <c r="E308" s="5">
        <v>37</v>
      </c>
      <c r="F308" s="5">
        <v>70</v>
      </c>
      <c r="G308" s="5">
        <v>55</v>
      </c>
      <c r="H308" s="5">
        <v>83</v>
      </c>
      <c r="I308" s="5"/>
      <c r="J308" s="4" t="s">
        <v>42</v>
      </c>
      <c r="K308" s="5"/>
      <c r="L308" s="4" t="s">
        <v>436</v>
      </c>
      <c r="M308" s="5"/>
      <c r="N308" s="5"/>
      <c r="O308" s="5" t="b">
        <v>1</v>
      </c>
      <c r="P308" s="4" t="str">
        <f>IF(A308="",IF(ISNUMBER(SEARCH("NOT NULL",UPPER(A$3))),"''","null"),SUBSTITUTE(VLOOKUP(A$2,convert!$A$1:$B$4,2,0),"@@@",A308))</f>
        <v>'0240N01'</v>
      </c>
      <c r="Q308" s="4" t="str">
        <f>IF(B308="",IF(ISNUMBER(SEARCH("NOT NULL",UPPER(B$3))),"''","null"),SUBSTITUTE(VLOOKUP(B$2,convert!$A$1:$B$4,2,0),"@@@",B308))</f>
        <v>'ブビィ'</v>
      </c>
      <c r="R308" s="4" t="str">
        <f>IF(C308="",IF(ISNUMBER(SEARCH("NOT NULL",UPPER(C$3))),"''","null"),SUBSTITUTE(VLOOKUP(C$2,convert!$A$1:$B$4,2,0),"@@@",C308))</f>
        <v>45</v>
      </c>
      <c r="S308" s="4" t="str">
        <f>IF(D308="",IF(ISNUMBER(SEARCH("NOT NULL",UPPER(D$3))),"''","null"),SUBSTITUTE(VLOOKUP(D$2,convert!$A$1:$B$4,2,0),"@@@",D308))</f>
        <v>75</v>
      </c>
      <c r="T308" s="4" t="str">
        <f>IF(E308="",IF(ISNUMBER(SEARCH("NOT NULL",UPPER(E$3))),"''","null"),SUBSTITUTE(VLOOKUP(E$2,convert!$A$1:$B$4,2,0),"@@@",E308))</f>
        <v>37</v>
      </c>
      <c r="U308" s="4" t="str">
        <f>IF(F308="",IF(ISNUMBER(SEARCH("NOT NULL",UPPER(F$3))),"''","null"),SUBSTITUTE(VLOOKUP(F$2,convert!$A$1:$B$4,2,0),"@@@",F308))</f>
        <v>70</v>
      </c>
      <c r="V308" s="4" t="str">
        <f>IF(G308="",IF(ISNUMBER(SEARCH("NOT NULL",UPPER(G$3))),"''","null"),SUBSTITUTE(VLOOKUP(G$2,convert!$A$1:$B$4,2,0),"@@@",G308))</f>
        <v>55</v>
      </c>
      <c r="W308" s="4" t="str">
        <f>IF(H308="",IF(ISNUMBER(SEARCH("NOT NULL",UPPER(H$3))),"''","null"),SUBSTITUTE(VLOOKUP(H$2,convert!$A$1:$B$4,2,0),"@@@",H308))</f>
        <v>83</v>
      </c>
      <c r="X308" s="4" t="str">
        <f>IF(I308="",IF(ISNUMBER(SEARCH("NOT NULL",UPPER(I$3))),"''","null"),SUBSTITUTE(VLOOKUP(I$2,convert!$A$1:$B$4,2,0),"@@@",I308))</f>
        <v>''</v>
      </c>
      <c r="Y308" s="4" t="str">
        <f>IF(J308="",IF(ISNUMBER(SEARCH("NOT NULL",UPPER(J$3))),"''","null"),SUBSTITUTE(VLOOKUP(J$2,convert!$A$1:$B$4,2,0),"@@@",J308))</f>
        <v>'fire'</v>
      </c>
      <c r="Z308" s="4" t="str">
        <f>IF(K308="",IF(ISNUMBER(SEARCH("NOT NULL",UPPER(K$3))),"''","null"),SUBSTITUTE(VLOOKUP(K$2,convert!$A$1:$B$4,2,0),"@@@",K308))</f>
        <v>null</v>
      </c>
      <c r="AA308" s="4" t="str">
        <f>IF(L308="",IF(ISNUMBER(SEARCH("NOT NULL",UPPER(L$3))),"''","null"),SUBSTITUTE(VLOOKUP(L$2,convert!$A$1:$B$4,2,0),"@@@",L308))</f>
        <v>'g2'</v>
      </c>
      <c r="AB308" s="4" t="str">
        <f>IF(M308="",IF(ISNUMBER(SEARCH("NOT NULL",UPPER(M$3))),"''","null"),SUBSTITUTE(VLOOKUP(M$2,convert!$A$1:$B$4,2,0),"@@@",M308))</f>
        <v>null</v>
      </c>
      <c r="AC308" s="4" t="str">
        <f>IF(N308="",IF(ISNUMBER(SEARCH("NOT NULL",UPPER(N$3))),"''","null"),SUBSTITUTE(VLOOKUP(N$2,convert!$A$1:$B$4,2,0),"@@@",N308))</f>
        <v>null</v>
      </c>
      <c r="AD308" s="4" t="str">
        <f>IF(O308="",IF(ISNUMBER(SEARCH("NOT NULL",UPPER(O$3))),"''","null"),SUBSTITUTE(VLOOKUP(O$2,convert!$A$1:$B$4,2,0),"@@@",O308))</f>
        <v>TRUE</v>
      </c>
      <c r="AE308" s="4" t="str">
        <f t="shared" si="4"/>
        <v>    ('0240N01', 'ブビィ', 45, 75, 37, 70, 55, 83, '', 'fire', null, 'g2', null, null, TRUE),</v>
      </c>
    </row>
    <row r="309" spans="1:31">
      <c r="A309" s="4" t="s">
        <v>630</v>
      </c>
      <c r="B309" s="4" t="s">
        <v>631</v>
      </c>
      <c r="C309" s="5">
        <v>95</v>
      </c>
      <c r="D309" s="5">
        <v>80</v>
      </c>
      <c r="E309" s="5">
        <v>105</v>
      </c>
      <c r="F309" s="5">
        <v>40</v>
      </c>
      <c r="G309" s="5">
        <v>70</v>
      </c>
      <c r="H309" s="5">
        <v>100</v>
      </c>
      <c r="I309" s="5"/>
      <c r="J309" s="4" t="s">
        <v>80</v>
      </c>
      <c r="K309" s="5"/>
      <c r="L309" s="4" t="s">
        <v>436</v>
      </c>
      <c r="M309" s="5"/>
      <c r="N309" s="5"/>
      <c r="O309" s="5" t="b">
        <v>1</v>
      </c>
      <c r="P309" s="4" t="str">
        <f>IF(A309="",IF(ISNUMBER(SEARCH("NOT NULL",UPPER(A$3))),"''","null"),SUBSTITUTE(VLOOKUP(A$2,convert!$A$1:$B$4,2,0),"@@@",A309))</f>
        <v>'0241N01'</v>
      </c>
      <c r="Q309" s="4" t="str">
        <f>IF(B309="",IF(ISNUMBER(SEARCH("NOT NULL",UPPER(B$3))),"''","null"),SUBSTITUTE(VLOOKUP(B$2,convert!$A$1:$B$4,2,0),"@@@",B309))</f>
        <v>'ミルタンク'</v>
      </c>
      <c r="R309" s="4" t="str">
        <f>IF(C309="",IF(ISNUMBER(SEARCH("NOT NULL",UPPER(C$3))),"''","null"),SUBSTITUTE(VLOOKUP(C$2,convert!$A$1:$B$4,2,0),"@@@",C309))</f>
        <v>95</v>
      </c>
      <c r="S309" s="4" t="str">
        <f>IF(D309="",IF(ISNUMBER(SEARCH("NOT NULL",UPPER(D$3))),"''","null"),SUBSTITUTE(VLOOKUP(D$2,convert!$A$1:$B$4,2,0),"@@@",D309))</f>
        <v>80</v>
      </c>
      <c r="T309" s="4" t="str">
        <f>IF(E309="",IF(ISNUMBER(SEARCH("NOT NULL",UPPER(E$3))),"''","null"),SUBSTITUTE(VLOOKUP(E$2,convert!$A$1:$B$4,2,0),"@@@",E309))</f>
        <v>105</v>
      </c>
      <c r="U309" s="4" t="str">
        <f>IF(F309="",IF(ISNUMBER(SEARCH("NOT NULL",UPPER(F$3))),"''","null"),SUBSTITUTE(VLOOKUP(F$2,convert!$A$1:$B$4,2,0),"@@@",F309))</f>
        <v>40</v>
      </c>
      <c r="V309" s="4" t="str">
        <f>IF(G309="",IF(ISNUMBER(SEARCH("NOT NULL",UPPER(G$3))),"''","null"),SUBSTITUTE(VLOOKUP(G$2,convert!$A$1:$B$4,2,0),"@@@",G309))</f>
        <v>70</v>
      </c>
      <c r="W309" s="4" t="str">
        <f>IF(H309="",IF(ISNUMBER(SEARCH("NOT NULL",UPPER(H$3))),"''","null"),SUBSTITUTE(VLOOKUP(H$2,convert!$A$1:$B$4,2,0),"@@@",H309))</f>
        <v>100</v>
      </c>
      <c r="X309" s="4" t="str">
        <f>IF(I309="",IF(ISNUMBER(SEARCH("NOT NULL",UPPER(I$3))),"''","null"),SUBSTITUTE(VLOOKUP(I$2,convert!$A$1:$B$4,2,0),"@@@",I309))</f>
        <v>''</v>
      </c>
      <c r="Y309" s="4" t="str">
        <f>IF(J309="",IF(ISNUMBER(SEARCH("NOT NULL",UPPER(J$3))),"''","null"),SUBSTITUTE(VLOOKUP(J$2,convert!$A$1:$B$4,2,0),"@@@",J309))</f>
        <v>'normal'</v>
      </c>
      <c r="Z309" s="4" t="str">
        <f>IF(K309="",IF(ISNUMBER(SEARCH("NOT NULL",UPPER(K$3))),"''","null"),SUBSTITUTE(VLOOKUP(K$2,convert!$A$1:$B$4,2,0),"@@@",K309))</f>
        <v>null</v>
      </c>
      <c r="AA309" s="4" t="str">
        <f>IF(L309="",IF(ISNUMBER(SEARCH("NOT NULL",UPPER(L$3))),"''","null"),SUBSTITUTE(VLOOKUP(L$2,convert!$A$1:$B$4,2,0),"@@@",L309))</f>
        <v>'g2'</v>
      </c>
      <c r="AB309" s="4" t="str">
        <f>IF(M309="",IF(ISNUMBER(SEARCH("NOT NULL",UPPER(M$3))),"''","null"),SUBSTITUTE(VLOOKUP(M$2,convert!$A$1:$B$4,2,0),"@@@",M309))</f>
        <v>null</v>
      </c>
      <c r="AC309" s="4" t="str">
        <f>IF(N309="",IF(ISNUMBER(SEARCH("NOT NULL",UPPER(N$3))),"''","null"),SUBSTITUTE(VLOOKUP(N$2,convert!$A$1:$B$4,2,0),"@@@",N309))</f>
        <v>null</v>
      </c>
      <c r="AD309" s="4" t="str">
        <f>IF(O309="",IF(ISNUMBER(SEARCH("NOT NULL",UPPER(O$3))),"''","null"),SUBSTITUTE(VLOOKUP(O$2,convert!$A$1:$B$4,2,0),"@@@",O309))</f>
        <v>TRUE</v>
      </c>
      <c r="AE309" s="4" t="str">
        <f t="shared" si="4"/>
        <v>    ('0241N01', 'ミルタンク', 95, 80, 105, 40, 70, 100, '', 'normal', null, 'g2', null, null, TRUE),</v>
      </c>
    </row>
    <row r="310" spans="1:31">
      <c r="A310" s="4" t="s">
        <v>632</v>
      </c>
      <c r="B310" s="4" t="s">
        <v>633</v>
      </c>
      <c r="C310" s="5">
        <v>255</v>
      </c>
      <c r="D310" s="5">
        <v>10</v>
      </c>
      <c r="E310" s="5">
        <v>10</v>
      </c>
      <c r="F310" s="5">
        <v>75</v>
      </c>
      <c r="G310" s="5">
        <v>135</v>
      </c>
      <c r="H310" s="5">
        <v>55</v>
      </c>
      <c r="I310" s="5"/>
      <c r="J310" s="4" t="s">
        <v>80</v>
      </c>
      <c r="K310" s="5"/>
      <c r="L310" s="4" t="s">
        <v>436</v>
      </c>
      <c r="M310" s="5"/>
      <c r="N310" s="5"/>
      <c r="O310" s="5" t="b">
        <v>1</v>
      </c>
      <c r="P310" s="4" t="str">
        <f>IF(A310="",IF(ISNUMBER(SEARCH("NOT NULL",UPPER(A$3))),"''","null"),SUBSTITUTE(VLOOKUP(A$2,convert!$A$1:$B$4,2,0),"@@@",A310))</f>
        <v>'0242N01'</v>
      </c>
      <c r="Q310" s="4" t="str">
        <f>IF(B310="",IF(ISNUMBER(SEARCH("NOT NULL",UPPER(B$3))),"''","null"),SUBSTITUTE(VLOOKUP(B$2,convert!$A$1:$B$4,2,0),"@@@",B310))</f>
        <v>'ハピナス'</v>
      </c>
      <c r="R310" s="4" t="str">
        <f>IF(C310="",IF(ISNUMBER(SEARCH("NOT NULL",UPPER(C$3))),"''","null"),SUBSTITUTE(VLOOKUP(C$2,convert!$A$1:$B$4,2,0),"@@@",C310))</f>
        <v>255</v>
      </c>
      <c r="S310" s="4" t="str">
        <f>IF(D310="",IF(ISNUMBER(SEARCH("NOT NULL",UPPER(D$3))),"''","null"),SUBSTITUTE(VLOOKUP(D$2,convert!$A$1:$B$4,2,0),"@@@",D310))</f>
        <v>10</v>
      </c>
      <c r="T310" s="4" t="str">
        <f>IF(E310="",IF(ISNUMBER(SEARCH("NOT NULL",UPPER(E$3))),"''","null"),SUBSTITUTE(VLOOKUP(E$2,convert!$A$1:$B$4,2,0),"@@@",E310))</f>
        <v>10</v>
      </c>
      <c r="U310" s="4" t="str">
        <f>IF(F310="",IF(ISNUMBER(SEARCH("NOT NULL",UPPER(F$3))),"''","null"),SUBSTITUTE(VLOOKUP(F$2,convert!$A$1:$B$4,2,0),"@@@",F310))</f>
        <v>75</v>
      </c>
      <c r="V310" s="4" t="str">
        <f>IF(G310="",IF(ISNUMBER(SEARCH("NOT NULL",UPPER(G$3))),"''","null"),SUBSTITUTE(VLOOKUP(G$2,convert!$A$1:$B$4,2,0),"@@@",G310))</f>
        <v>135</v>
      </c>
      <c r="W310" s="4" t="str">
        <f>IF(H310="",IF(ISNUMBER(SEARCH("NOT NULL",UPPER(H$3))),"''","null"),SUBSTITUTE(VLOOKUP(H$2,convert!$A$1:$B$4,2,0),"@@@",H310))</f>
        <v>55</v>
      </c>
      <c r="X310" s="4" t="str">
        <f>IF(I310="",IF(ISNUMBER(SEARCH("NOT NULL",UPPER(I$3))),"''","null"),SUBSTITUTE(VLOOKUP(I$2,convert!$A$1:$B$4,2,0),"@@@",I310))</f>
        <v>''</v>
      </c>
      <c r="Y310" s="4" t="str">
        <f>IF(J310="",IF(ISNUMBER(SEARCH("NOT NULL",UPPER(J$3))),"''","null"),SUBSTITUTE(VLOOKUP(J$2,convert!$A$1:$B$4,2,0),"@@@",J310))</f>
        <v>'normal'</v>
      </c>
      <c r="Z310" s="4" t="str">
        <f>IF(K310="",IF(ISNUMBER(SEARCH("NOT NULL",UPPER(K$3))),"''","null"),SUBSTITUTE(VLOOKUP(K$2,convert!$A$1:$B$4,2,0),"@@@",K310))</f>
        <v>null</v>
      </c>
      <c r="AA310" s="4" t="str">
        <f>IF(L310="",IF(ISNUMBER(SEARCH("NOT NULL",UPPER(L$3))),"''","null"),SUBSTITUTE(VLOOKUP(L$2,convert!$A$1:$B$4,2,0),"@@@",L310))</f>
        <v>'g2'</v>
      </c>
      <c r="AB310" s="4" t="str">
        <f>IF(M310="",IF(ISNUMBER(SEARCH("NOT NULL",UPPER(M$3))),"''","null"),SUBSTITUTE(VLOOKUP(M$2,convert!$A$1:$B$4,2,0),"@@@",M310))</f>
        <v>null</v>
      </c>
      <c r="AC310" s="4" t="str">
        <f>IF(N310="",IF(ISNUMBER(SEARCH("NOT NULL",UPPER(N$3))),"''","null"),SUBSTITUTE(VLOOKUP(N$2,convert!$A$1:$B$4,2,0),"@@@",N310))</f>
        <v>null</v>
      </c>
      <c r="AD310" s="4" t="str">
        <f>IF(O310="",IF(ISNUMBER(SEARCH("NOT NULL",UPPER(O$3))),"''","null"),SUBSTITUTE(VLOOKUP(O$2,convert!$A$1:$B$4,2,0),"@@@",O310))</f>
        <v>TRUE</v>
      </c>
      <c r="AE310" s="4" t="str">
        <f t="shared" si="4"/>
        <v>    ('0242N01', 'ハピナス', 255, 10, 10, 75, 135, 55, '', 'normal', null, 'g2', null, null, TRUE),</v>
      </c>
    </row>
    <row r="311" spans="1:31">
      <c r="A311" s="4" t="s">
        <v>634</v>
      </c>
      <c r="B311" s="4" t="s">
        <v>635</v>
      </c>
      <c r="C311" s="5">
        <v>90</v>
      </c>
      <c r="D311" s="5">
        <v>85</v>
      </c>
      <c r="E311" s="5">
        <v>75</v>
      </c>
      <c r="F311" s="5">
        <v>115</v>
      </c>
      <c r="G311" s="5">
        <v>100</v>
      </c>
      <c r="H311" s="5">
        <v>115</v>
      </c>
      <c r="I311" s="5"/>
      <c r="J311" s="4" t="s">
        <v>106</v>
      </c>
      <c r="K311" s="5"/>
      <c r="L311" s="4" t="s">
        <v>436</v>
      </c>
      <c r="M311" s="5"/>
      <c r="N311" s="5"/>
      <c r="O311" s="5" t="b">
        <v>1</v>
      </c>
      <c r="P311" s="4" t="str">
        <f>IF(A311="",IF(ISNUMBER(SEARCH("NOT NULL",UPPER(A$3))),"''","null"),SUBSTITUTE(VLOOKUP(A$2,convert!$A$1:$B$4,2,0),"@@@",A311))</f>
        <v>'0243N01'</v>
      </c>
      <c r="Q311" s="4" t="str">
        <f>IF(B311="",IF(ISNUMBER(SEARCH("NOT NULL",UPPER(B$3))),"''","null"),SUBSTITUTE(VLOOKUP(B$2,convert!$A$1:$B$4,2,0),"@@@",B311))</f>
        <v>'ライコウ'</v>
      </c>
      <c r="R311" s="4" t="str">
        <f>IF(C311="",IF(ISNUMBER(SEARCH("NOT NULL",UPPER(C$3))),"''","null"),SUBSTITUTE(VLOOKUP(C$2,convert!$A$1:$B$4,2,0),"@@@",C311))</f>
        <v>90</v>
      </c>
      <c r="S311" s="4" t="str">
        <f>IF(D311="",IF(ISNUMBER(SEARCH("NOT NULL",UPPER(D$3))),"''","null"),SUBSTITUTE(VLOOKUP(D$2,convert!$A$1:$B$4,2,0),"@@@",D311))</f>
        <v>85</v>
      </c>
      <c r="T311" s="4" t="str">
        <f>IF(E311="",IF(ISNUMBER(SEARCH("NOT NULL",UPPER(E$3))),"''","null"),SUBSTITUTE(VLOOKUP(E$2,convert!$A$1:$B$4,2,0),"@@@",E311))</f>
        <v>75</v>
      </c>
      <c r="U311" s="4" t="str">
        <f>IF(F311="",IF(ISNUMBER(SEARCH("NOT NULL",UPPER(F$3))),"''","null"),SUBSTITUTE(VLOOKUP(F$2,convert!$A$1:$B$4,2,0),"@@@",F311))</f>
        <v>115</v>
      </c>
      <c r="V311" s="4" t="str">
        <f>IF(G311="",IF(ISNUMBER(SEARCH("NOT NULL",UPPER(G$3))),"''","null"),SUBSTITUTE(VLOOKUP(G$2,convert!$A$1:$B$4,2,0),"@@@",G311))</f>
        <v>100</v>
      </c>
      <c r="W311" s="4" t="str">
        <f>IF(H311="",IF(ISNUMBER(SEARCH("NOT NULL",UPPER(H$3))),"''","null"),SUBSTITUTE(VLOOKUP(H$2,convert!$A$1:$B$4,2,0),"@@@",H311))</f>
        <v>115</v>
      </c>
      <c r="X311" s="4" t="str">
        <f>IF(I311="",IF(ISNUMBER(SEARCH("NOT NULL",UPPER(I$3))),"''","null"),SUBSTITUTE(VLOOKUP(I$2,convert!$A$1:$B$4,2,0),"@@@",I311))</f>
        <v>''</v>
      </c>
      <c r="Y311" s="4" t="str">
        <f>IF(J311="",IF(ISNUMBER(SEARCH("NOT NULL",UPPER(J$3))),"''","null"),SUBSTITUTE(VLOOKUP(J$2,convert!$A$1:$B$4,2,0),"@@@",J311))</f>
        <v>'electric'</v>
      </c>
      <c r="Z311" s="4" t="str">
        <f>IF(K311="",IF(ISNUMBER(SEARCH("NOT NULL",UPPER(K$3))),"''","null"),SUBSTITUTE(VLOOKUP(K$2,convert!$A$1:$B$4,2,0),"@@@",K311))</f>
        <v>null</v>
      </c>
      <c r="AA311" s="4" t="str">
        <f>IF(L311="",IF(ISNUMBER(SEARCH("NOT NULL",UPPER(L$3))),"''","null"),SUBSTITUTE(VLOOKUP(L$2,convert!$A$1:$B$4,2,0),"@@@",L311))</f>
        <v>'g2'</v>
      </c>
      <c r="AB311" s="4" t="str">
        <f>IF(M311="",IF(ISNUMBER(SEARCH("NOT NULL",UPPER(M$3))),"''","null"),SUBSTITUTE(VLOOKUP(M$2,convert!$A$1:$B$4,2,0),"@@@",M311))</f>
        <v>null</v>
      </c>
      <c r="AC311" s="4" t="str">
        <f>IF(N311="",IF(ISNUMBER(SEARCH("NOT NULL",UPPER(N$3))),"''","null"),SUBSTITUTE(VLOOKUP(N$2,convert!$A$1:$B$4,2,0),"@@@",N311))</f>
        <v>null</v>
      </c>
      <c r="AD311" s="4" t="str">
        <f>IF(O311="",IF(ISNUMBER(SEARCH("NOT NULL",UPPER(O$3))),"''","null"),SUBSTITUTE(VLOOKUP(O$2,convert!$A$1:$B$4,2,0),"@@@",O311))</f>
        <v>TRUE</v>
      </c>
      <c r="AE311" s="4" t="str">
        <f t="shared" si="4"/>
        <v>    ('0243N01', 'ライコウ', 90, 85, 75, 115, 100, 115, '', 'electric', null, 'g2', null, null, TRUE),</v>
      </c>
    </row>
    <row r="312" spans="1:31">
      <c r="A312" s="4" t="s">
        <v>636</v>
      </c>
      <c r="B312" s="4" t="s">
        <v>637</v>
      </c>
      <c r="C312" s="5">
        <v>115</v>
      </c>
      <c r="D312" s="5">
        <v>115</v>
      </c>
      <c r="E312" s="5">
        <v>85</v>
      </c>
      <c r="F312" s="5">
        <v>90</v>
      </c>
      <c r="G312" s="5">
        <v>75</v>
      </c>
      <c r="H312" s="5">
        <v>100</v>
      </c>
      <c r="I312" s="5"/>
      <c r="J312" s="4" t="s">
        <v>42</v>
      </c>
      <c r="K312" s="5"/>
      <c r="L312" s="4" t="s">
        <v>436</v>
      </c>
      <c r="M312" s="5"/>
      <c r="N312" s="5"/>
      <c r="O312" s="5" t="b">
        <v>1</v>
      </c>
      <c r="P312" s="4" t="str">
        <f>IF(A312="",IF(ISNUMBER(SEARCH("NOT NULL",UPPER(A$3))),"''","null"),SUBSTITUTE(VLOOKUP(A$2,convert!$A$1:$B$4,2,0),"@@@",A312))</f>
        <v>'0244N01'</v>
      </c>
      <c r="Q312" s="4" t="str">
        <f>IF(B312="",IF(ISNUMBER(SEARCH("NOT NULL",UPPER(B$3))),"''","null"),SUBSTITUTE(VLOOKUP(B$2,convert!$A$1:$B$4,2,0),"@@@",B312))</f>
        <v>'エンテイ'</v>
      </c>
      <c r="R312" s="4" t="str">
        <f>IF(C312="",IF(ISNUMBER(SEARCH("NOT NULL",UPPER(C$3))),"''","null"),SUBSTITUTE(VLOOKUP(C$2,convert!$A$1:$B$4,2,0),"@@@",C312))</f>
        <v>115</v>
      </c>
      <c r="S312" s="4" t="str">
        <f>IF(D312="",IF(ISNUMBER(SEARCH("NOT NULL",UPPER(D$3))),"''","null"),SUBSTITUTE(VLOOKUP(D$2,convert!$A$1:$B$4,2,0),"@@@",D312))</f>
        <v>115</v>
      </c>
      <c r="T312" s="4" t="str">
        <f>IF(E312="",IF(ISNUMBER(SEARCH("NOT NULL",UPPER(E$3))),"''","null"),SUBSTITUTE(VLOOKUP(E$2,convert!$A$1:$B$4,2,0),"@@@",E312))</f>
        <v>85</v>
      </c>
      <c r="U312" s="4" t="str">
        <f>IF(F312="",IF(ISNUMBER(SEARCH("NOT NULL",UPPER(F$3))),"''","null"),SUBSTITUTE(VLOOKUP(F$2,convert!$A$1:$B$4,2,0),"@@@",F312))</f>
        <v>90</v>
      </c>
      <c r="V312" s="4" t="str">
        <f>IF(G312="",IF(ISNUMBER(SEARCH("NOT NULL",UPPER(G$3))),"''","null"),SUBSTITUTE(VLOOKUP(G$2,convert!$A$1:$B$4,2,0),"@@@",G312))</f>
        <v>75</v>
      </c>
      <c r="W312" s="4" t="str">
        <f>IF(H312="",IF(ISNUMBER(SEARCH("NOT NULL",UPPER(H$3))),"''","null"),SUBSTITUTE(VLOOKUP(H$2,convert!$A$1:$B$4,2,0),"@@@",H312))</f>
        <v>100</v>
      </c>
      <c r="X312" s="4" t="str">
        <f>IF(I312="",IF(ISNUMBER(SEARCH("NOT NULL",UPPER(I$3))),"''","null"),SUBSTITUTE(VLOOKUP(I$2,convert!$A$1:$B$4,2,0),"@@@",I312))</f>
        <v>''</v>
      </c>
      <c r="Y312" s="4" t="str">
        <f>IF(J312="",IF(ISNUMBER(SEARCH("NOT NULL",UPPER(J$3))),"''","null"),SUBSTITUTE(VLOOKUP(J$2,convert!$A$1:$B$4,2,0),"@@@",J312))</f>
        <v>'fire'</v>
      </c>
      <c r="Z312" s="4" t="str">
        <f>IF(K312="",IF(ISNUMBER(SEARCH("NOT NULL",UPPER(K$3))),"''","null"),SUBSTITUTE(VLOOKUP(K$2,convert!$A$1:$B$4,2,0),"@@@",K312))</f>
        <v>null</v>
      </c>
      <c r="AA312" s="4" t="str">
        <f>IF(L312="",IF(ISNUMBER(SEARCH("NOT NULL",UPPER(L$3))),"''","null"),SUBSTITUTE(VLOOKUP(L$2,convert!$A$1:$B$4,2,0),"@@@",L312))</f>
        <v>'g2'</v>
      </c>
      <c r="AB312" s="4" t="str">
        <f>IF(M312="",IF(ISNUMBER(SEARCH("NOT NULL",UPPER(M$3))),"''","null"),SUBSTITUTE(VLOOKUP(M$2,convert!$A$1:$B$4,2,0),"@@@",M312))</f>
        <v>null</v>
      </c>
      <c r="AC312" s="4" t="str">
        <f>IF(N312="",IF(ISNUMBER(SEARCH("NOT NULL",UPPER(N$3))),"''","null"),SUBSTITUTE(VLOOKUP(N$2,convert!$A$1:$B$4,2,0),"@@@",N312))</f>
        <v>null</v>
      </c>
      <c r="AD312" s="4" t="str">
        <f>IF(O312="",IF(ISNUMBER(SEARCH("NOT NULL",UPPER(O$3))),"''","null"),SUBSTITUTE(VLOOKUP(O$2,convert!$A$1:$B$4,2,0),"@@@",O312))</f>
        <v>TRUE</v>
      </c>
      <c r="AE312" s="4" t="str">
        <f t="shared" si="4"/>
        <v>    ('0244N01', 'エンテイ', 115, 115, 85, 90, 75, 100, '', 'fire', null, 'g2', null, null, TRUE),</v>
      </c>
    </row>
    <row r="313" spans="1:31">
      <c r="A313" s="4" t="s">
        <v>638</v>
      </c>
      <c r="B313" s="4" t="s">
        <v>639</v>
      </c>
      <c r="C313" s="5">
        <v>100</v>
      </c>
      <c r="D313" s="5">
        <v>75</v>
      </c>
      <c r="E313" s="5">
        <v>115</v>
      </c>
      <c r="F313" s="5">
        <v>90</v>
      </c>
      <c r="G313" s="5">
        <v>115</v>
      </c>
      <c r="H313" s="5">
        <v>85</v>
      </c>
      <c r="I313" s="5"/>
      <c r="J313" s="4" t="s">
        <v>55</v>
      </c>
      <c r="K313" s="5"/>
      <c r="L313" s="4" t="s">
        <v>436</v>
      </c>
      <c r="M313" s="5"/>
      <c r="N313" s="5"/>
      <c r="O313" s="5" t="b">
        <v>1</v>
      </c>
      <c r="P313" s="4" t="str">
        <f>IF(A313="",IF(ISNUMBER(SEARCH("NOT NULL",UPPER(A$3))),"''","null"),SUBSTITUTE(VLOOKUP(A$2,convert!$A$1:$B$4,2,0),"@@@",A313))</f>
        <v>'0245N01'</v>
      </c>
      <c r="Q313" s="4" t="str">
        <f>IF(B313="",IF(ISNUMBER(SEARCH("NOT NULL",UPPER(B$3))),"''","null"),SUBSTITUTE(VLOOKUP(B$2,convert!$A$1:$B$4,2,0),"@@@",B313))</f>
        <v>'スイクン'</v>
      </c>
      <c r="R313" s="4" t="str">
        <f>IF(C313="",IF(ISNUMBER(SEARCH("NOT NULL",UPPER(C$3))),"''","null"),SUBSTITUTE(VLOOKUP(C$2,convert!$A$1:$B$4,2,0),"@@@",C313))</f>
        <v>100</v>
      </c>
      <c r="S313" s="4" t="str">
        <f>IF(D313="",IF(ISNUMBER(SEARCH("NOT NULL",UPPER(D$3))),"''","null"),SUBSTITUTE(VLOOKUP(D$2,convert!$A$1:$B$4,2,0),"@@@",D313))</f>
        <v>75</v>
      </c>
      <c r="T313" s="4" t="str">
        <f>IF(E313="",IF(ISNUMBER(SEARCH("NOT NULL",UPPER(E$3))),"''","null"),SUBSTITUTE(VLOOKUP(E$2,convert!$A$1:$B$4,2,0),"@@@",E313))</f>
        <v>115</v>
      </c>
      <c r="U313" s="4" t="str">
        <f>IF(F313="",IF(ISNUMBER(SEARCH("NOT NULL",UPPER(F$3))),"''","null"),SUBSTITUTE(VLOOKUP(F$2,convert!$A$1:$B$4,2,0),"@@@",F313))</f>
        <v>90</v>
      </c>
      <c r="V313" s="4" t="str">
        <f>IF(G313="",IF(ISNUMBER(SEARCH("NOT NULL",UPPER(G$3))),"''","null"),SUBSTITUTE(VLOOKUP(G$2,convert!$A$1:$B$4,2,0),"@@@",G313))</f>
        <v>115</v>
      </c>
      <c r="W313" s="4" t="str">
        <f>IF(H313="",IF(ISNUMBER(SEARCH("NOT NULL",UPPER(H$3))),"''","null"),SUBSTITUTE(VLOOKUP(H$2,convert!$A$1:$B$4,2,0),"@@@",H313))</f>
        <v>85</v>
      </c>
      <c r="X313" s="4" t="str">
        <f>IF(I313="",IF(ISNUMBER(SEARCH("NOT NULL",UPPER(I$3))),"''","null"),SUBSTITUTE(VLOOKUP(I$2,convert!$A$1:$B$4,2,0),"@@@",I313))</f>
        <v>''</v>
      </c>
      <c r="Y313" s="4" t="str">
        <f>IF(J313="",IF(ISNUMBER(SEARCH("NOT NULL",UPPER(J$3))),"''","null"),SUBSTITUTE(VLOOKUP(J$2,convert!$A$1:$B$4,2,0),"@@@",J313))</f>
        <v>'water'</v>
      </c>
      <c r="Z313" s="4" t="str">
        <f>IF(K313="",IF(ISNUMBER(SEARCH("NOT NULL",UPPER(K$3))),"''","null"),SUBSTITUTE(VLOOKUP(K$2,convert!$A$1:$B$4,2,0),"@@@",K313))</f>
        <v>null</v>
      </c>
      <c r="AA313" s="4" t="str">
        <f>IF(L313="",IF(ISNUMBER(SEARCH("NOT NULL",UPPER(L$3))),"''","null"),SUBSTITUTE(VLOOKUP(L$2,convert!$A$1:$B$4,2,0),"@@@",L313))</f>
        <v>'g2'</v>
      </c>
      <c r="AB313" s="4" t="str">
        <f>IF(M313="",IF(ISNUMBER(SEARCH("NOT NULL",UPPER(M$3))),"''","null"),SUBSTITUTE(VLOOKUP(M$2,convert!$A$1:$B$4,2,0),"@@@",M313))</f>
        <v>null</v>
      </c>
      <c r="AC313" s="4" t="str">
        <f>IF(N313="",IF(ISNUMBER(SEARCH("NOT NULL",UPPER(N$3))),"''","null"),SUBSTITUTE(VLOOKUP(N$2,convert!$A$1:$B$4,2,0),"@@@",N313))</f>
        <v>null</v>
      </c>
      <c r="AD313" s="4" t="str">
        <f>IF(O313="",IF(ISNUMBER(SEARCH("NOT NULL",UPPER(O$3))),"''","null"),SUBSTITUTE(VLOOKUP(O$2,convert!$A$1:$B$4,2,0),"@@@",O313))</f>
        <v>TRUE</v>
      </c>
      <c r="AE313" s="4" t="str">
        <f t="shared" si="4"/>
        <v>    ('0245N01', 'スイクン', 100, 75, 115, 90, 115, 85, '', 'water', null, 'g2', null, null, TRUE),</v>
      </c>
    </row>
    <row r="314" spans="1:31">
      <c r="A314" s="4" t="s">
        <v>640</v>
      </c>
      <c r="B314" s="4" t="s">
        <v>641</v>
      </c>
      <c r="C314" s="5">
        <v>50</v>
      </c>
      <c r="D314" s="5">
        <v>64</v>
      </c>
      <c r="E314" s="5">
        <v>50</v>
      </c>
      <c r="F314" s="5">
        <v>45</v>
      </c>
      <c r="G314" s="5">
        <v>50</v>
      </c>
      <c r="H314" s="5">
        <v>41</v>
      </c>
      <c r="I314" s="5"/>
      <c r="J314" s="4" t="s">
        <v>196</v>
      </c>
      <c r="K314" s="4" t="s">
        <v>116</v>
      </c>
      <c r="L314" s="4" t="s">
        <v>436</v>
      </c>
      <c r="M314" s="5"/>
      <c r="N314" s="5"/>
      <c r="O314" s="5" t="b">
        <v>1</v>
      </c>
      <c r="P314" s="4" t="str">
        <f>IF(A314="",IF(ISNUMBER(SEARCH("NOT NULL",UPPER(A$3))),"''","null"),SUBSTITUTE(VLOOKUP(A$2,convert!$A$1:$B$4,2,0),"@@@",A314))</f>
        <v>'0246N01'</v>
      </c>
      <c r="Q314" s="4" t="str">
        <f>IF(B314="",IF(ISNUMBER(SEARCH("NOT NULL",UPPER(B$3))),"''","null"),SUBSTITUTE(VLOOKUP(B$2,convert!$A$1:$B$4,2,0),"@@@",B314))</f>
        <v>'ヨーギラス'</v>
      </c>
      <c r="R314" s="4" t="str">
        <f>IF(C314="",IF(ISNUMBER(SEARCH("NOT NULL",UPPER(C$3))),"''","null"),SUBSTITUTE(VLOOKUP(C$2,convert!$A$1:$B$4,2,0),"@@@",C314))</f>
        <v>50</v>
      </c>
      <c r="S314" s="4" t="str">
        <f>IF(D314="",IF(ISNUMBER(SEARCH("NOT NULL",UPPER(D$3))),"''","null"),SUBSTITUTE(VLOOKUP(D$2,convert!$A$1:$B$4,2,0),"@@@",D314))</f>
        <v>64</v>
      </c>
      <c r="T314" s="4" t="str">
        <f>IF(E314="",IF(ISNUMBER(SEARCH("NOT NULL",UPPER(E$3))),"''","null"),SUBSTITUTE(VLOOKUP(E$2,convert!$A$1:$B$4,2,0),"@@@",E314))</f>
        <v>50</v>
      </c>
      <c r="U314" s="4" t="str">
        <f>IF(F314="",IF(ISNUMBER(SEARCH("NOT NULL",UPPER(F$3))),"''","null"),SUBSTITUTE(VLOOKUP(F$2,convert!$A$1:$B$4,2,0),"@@@",F314))</f>
        <v>45</v>
      </c>
      <c r="V314" s="4" t="str">
        <f>IF(G314="",IF(ISNUMBER(SEARCH("NOT NULL",UPPER(G$3))),"''","null"),SUBSTITUTE(VLOOKUP(G$2,convert!$A$1:$B$4,2,0),"@@@",G314))</f>
        <v>50</v>
      </c>
      <c r="W314" s="4" t="str">
        <f>IF(H314="",IF(ISNUMBER(SEARCH("NOT NULL",UPPER(H$3))),"''","null"),SUBSTITUTE(VLOOKUP(H$2,convert!$A$1:$B$4,2,0),"@@@",H314))</f>
        <v>41</v>
      </c>
      <c r="X314" s="4" t="str">
        <f>IF(I314="",IF(ISNUMBER(SEARCH("NOT NULL",UPPER(I$3))),"''","null"),SUBSTITUTE(VLOOKUP(I$2,convert!$A$1:$B$4,2,0),"@@@",I314))</f>
        <v>''</v>
      </c>
      <c r="Y314" s="4" t="str">
        <f>IF(J314="",IF(ISNUMBER(SEARCH("NOT NULL",UPPER(J$3))),"''","null"),SUBSTITUTE(VLOOKUP(J$2,convert!$A$1:$B$4,2,0),"@@@",J314))</f>
        <v>'rock'</v>
      </c>
      <c r="Z314" s="4" t="str">
        <f>IF(K314="",IF(ISNUMBER(SEARCH("NOT NULL",UPPER(K$3))),"''","null"),SUBSTITUTE(VLOOKUP(K$2,convert!$A$1:$B$4,2,0),"@@@",K314))</f>
        <v>'ground'</v>
      </c>
      <c r="AA314" s="4" t="str">
        <f>IF(L314="",IF(ISNUMBER(SEARCH("NOT NULL",UPPER(L$3))),"''","null"),SUBSTITUTE(VLOOKUP(L$2,convert!$A$1:$B$4,2,0),"@@@",L314))</f>
        <v>'g2'</v>
      </c>
      <c r="AB314" s="4" t="str">
        <f>IF(M314="",IF(ISNUMBER(SEARCH("NOT NULL",UPPER(M$3))),"''","null"),SUBSTITUTE(VLOOKUP(M$2,convert!$A$1:$B$4,2,0),"@@@",M314))</f>
        <v>null</v>
      </c>
      <c r="AC314" s="4" t="str">
        <f>IF(N314="",IF(ISNUMBER(SEARCH("NOT NULL",UPPER(N$3))),"''","null"),SUBSTITUTE(VLOOKUP(N$2,convert!$A$1:$B$4,2,0),"@@@",N314))</f>
        <v>null</v>
      </c>
      <c r="AD314" s="4" t="str">
        <f>IF(O314="",IF(ISNUMBER(SEARCH("NOT NULL",UPPER(O$3))),"''","null"),SUBSTITUTE(VLOOKUP(O$2,convert!$A$1:$B$4,2,0),"@@@",O314))</f>
        <v>TRUE</v>
      </c>
      <c r="AE314" s="4" t="str">
        <f t="shared" si="4"/>
        <v>    ('0246N01', 'ヨーギラス', 50, 64, 50, 45, 50, 41, '', 'rock', 'ground', 'g2', null, null, TRUE),</v>
      </c>
    </row>
    <row r="315" spans="1:31">
      <c r="A315" s="4" t="s">
        <v>642</v>
      </c>
      <c r="B315" s="4" t="s">
        <v>643</v>
      </c>
      <c r="C315" s="5">
        <v>70</v>
      </c>
      <c r="D315" s="5">
        <v>84</v>
      </c>
      <c r="E315" s="5">
        <v>70</v>
      </c>
      <c r="F315" s="5">
        <v>65</v>
      </c>
      <c r="G315" s="5">
        <v>70</v>
      </c>
      <c r="H315" s="5">
        <v>51</v>
      </c>
      <c r="I315" s="5"/>
      <c r="J315" s="4" t="s">
        <v>196</v>
      </c>
      <c r="K315" s="4" t="s">
        <v>116</v>
      </c>
      <c r="L315" s="4" t="s">
        <v>436</v>
      </c>
      <c r="M315" s="5"/>
      <c r="N315" s="5"/>
      <c r="O315" s="5" t="b">
        <v>1</v>
      </c>
      <c r="P315" s="4" t="str">
        <f>IF(A315="",IF(ISNUMBER(SEARCH("NOT NULL",UPPER(A$3))),"''","null"),SUBSTITUTE(VLOOKUP(A$2,convert!$A$1:$B$4,2,0),"@@@",A315))</f>
        <v>'0247N01'</v>
      </c>
      <c r="Q315" s="4" t="str">
        <f>IF(B315="",IF(ISNUMBER(SEARCH("NOT NULL",UPPER(B$3))),"''","null"),SUBSTITUTE(VLOOKUP(B$2,convert!$A$1:$B$4,2,0),"@@@",B315))</f>
        <v>'サナギラス'</v>
      </c>
      <c r="R315" s="4" t="str">
        <f>IF(C315="",IF(ISNUMBER(SEARCH("NOT NULL",UPPER(C$3))),"''","null"),SUBSTITUTE(VLOOKUP(C$2,convert!$A$1:$B$4,2,0),"@@@",C315))</f>
        <v>70</v>
      </c>
      <c r="S315" s="4" t="str">
        <f>IF(D315="",IF(ISNUMBER(SEARCH("NOT NULL",UPPER(D$3))),"''","null"),SUBSTITUTE(VLOOKUP(D$2,convert!$A$1:$B$4,2,0),"@@@",D315))</f>
        <v>84</v>
      </c>
      <c r="T315" s="4" t="str">
        <f>IF(E315="",IF(ISNUMBER(SEARCH("NOT NULL",UPPER(E$3))),"''","null"),SUBSTITUTE(VLOOKUP(E$2,convert!$A$1:$B$4,2,0),"@@@",E315))</f>
        <v>70</v>
      </c>
      <c r="U315" s="4" t="str">
        <f>IF(F315="",IF(ISNUMBER(SEARCH("NOT NULL",UPPER(F$3))),"''","null"),SUBSTITUTE(VLOOKUP(F$2,convert!$A$1:$B$4,2,0),"@@@",F315))</f>
        <v>65</v>
      </c>
      <c r="V315" s="4" t="str">
        <f>IF(G315="",IF(ISNUMBER(SEARCH("NOT NULL",UPPER(G$3))),"''","null"),SUBSTITUTE(VLOOKUP(G$2,convert!$A$1:$B$4,2,0),"@@@",G315))</f>
        <v>70</v>
      </c>
      <c r="W315" s="4" t="str">
        <f>IF(H315="",IF(ISNUMBER(SEARCH("NOT NULL",UPPER(H$3))),"''","null"),SUBSTITUTE(VLOOKUP(H$2,convert!$A$1:$B$4,2,0),"@@@",H315))</f>
        <v>51</v>
      </c>
      <c r="X315" s="4" t="str">
        <f>IF(I315="",IF(ISNUMBER(SEARCH("NOT NULL",UPPER(I$3))),"''","null"),SUBSTITUTE(VLOOKUP(I$2,convert!$A$1:$B$4,2,0),"@@@",I315))</f>
        <v>''</v>
      </c>
      <c r="Y315" s="4" t="str">
        <f>IF(J315="",IF(ISNUMBER(SEARCH("NOT NULL",UPPER(J$3))),"''","null"),SUBSTITUTE(VLOOKUP(J$2,convert!$A$1:$B$4,2,0),"@@@",J315))</f>
        <v>'rock'</v>
      </c>
      <c r="Z315" s="4" t="str">
        <f>IF(K315="",IF(ISNUMBER(SEARCH("NOT NULL",UPPER(K$3))),"''","null"),SUBSTITUTE(VLOOKUP(K$2,convert!$A$1:$B$4,2,0),"@@@",K315))</f>
        <v>'ground'</v>
      </c>
      <c r="AA315" s="4" t="str">
        <f>IF(L315="",IF(ISNUMBER(SEARCH("NOT NULL",UPPER(L$3))),"''","null"),SUBSTITUTE(VLOOKUP(L$2,convert!$A$1:$B$4,2,0),"@@@",L315))</f>
        <v>'g2'</v>
      </c>
      <c r="AB315" s="4" t="str">
        <f>IF(M315="",IF(ISNUMBER(SEARCH("NOT NULL",UPPER(M$3))),"''","null"),SUBSTITUTE(VLOOKUP(M$2,convert!$A$1:$B$4,2,0),"@@@",M315))</f>
        <v>null</v>
      </c>
      <c r="AC315" s="4" t="str">
        <f>IF(N315="",IF(ISNUMBER(SEARCH("NOT NULL",UPPER(N$3))),"''","null"),SUBSTITUTE(VLOOKUP(N$2,convert!$A$1:$B$4,2,0),"@@@",N315))</f>
        <v>null</v>
      </c>
      <c r="AD315" s="4" t="str">
        <f>IF(O315="",IF(ISNUMBER(SEARCH("NOT NULL",UPPER(O$3))),"''","null"),SUBSTITUTE(VLOOKUP(O$2,convert!$A$1:$B$4,2,0),"@@@",O315))</f>
        <v>TRUE</v>
      </c>
      <c r="AE315" s="4" t="str">
        <f t="shared" si="4"/>
        <v>    ('0247N01', 'サナギラス', 70, 84, 70, 65, 70, 51, '', 'rock', 'ground', 'g2', null, null, TRUE),</v>
      </c>
    </row>
    <row r="316" spans="1:31">
      <c r="A316" s="4" t="s">
        <v>644</v>
      </c>
      <c r="B316" s="4" t="s">
        <v>645</v>
      </c>
      <c r="C316" s="5">
        <v>100</v>
      </c>
      <c r="D316" s="5">
        <v>134</v>
      </c>
      <c r="E316" s="5">
        <v>110</v>
      </c>
      <c r="F316" s="5">
        <v>95</v>
      </c>
      <c r="G316" s="5">
        <v>100</v>
      </c>
      <c r="H316" s="5">
        <v>61</v>
      </c>
      <c r="I316" s="5"/>
      <c r="J316" s="4" t="s">
        <v>196</v>
      </c>
      <c r="K316" s="4" t="s">
        <v>91</v>
      </c>
      <c r="L316" s="4" t="s">
        <v>436</v>
      </c>
      <c r="M316" s="5"/>
      <c r="N316" s="5"/>
      <c r="O316" s="5" t="b">
        <v>1</v>
      </c>
      <c r="P316" s="4" t="str">
        <f>IF(A316="",IF(ISNUMBER(SEARCH("NOT NULL",UPPER(A$3))),"''","null"),SUBSTITUTE(VLOOKUP(A$2,convert!$A$1:$B$4,2,0),"@@@",A316))</f>
        <v>'0248N01'</v>
      </c>
      <c r="Q316" s="4" t="str">
        <f>IF(B316="",IF(ISNUMBER(SEARCH("NOT NULL",UPPER(B$3))),"''","null"),SUBSTITUTE(VLOOKUP(B$2,convert!$A$1:$B$4,2,0),"@@@",B316))</f>
        <v>'バンギラス'</v>
      </c>
      <c r="R316" s="4" t="str">
        <f>IF(C316="",IF(ISNUMBER(SEARCH("NOT NULL",UPPER(C$3))),"''","null"),SUBSTITUTE(VLOOKUP(C$2,convert!$A$1:$B$4,2,0),"@@@",C316))</f>
        <v>100</v>
      </c>
      <c r="S316" s="4" t="str">
        <f>IF(D316="",IF(ISNUMBER(SEARCH("NOT NULL",UPPER(D$3))),"''","null"),SUBSTITUTE(VLOOKUP(D$2,convert!$A$1:$B$4,2,0),"@@@",D316))</f>
        <v>134</v>
      </c>
      <c r="T316" s="4" t="str">
        <f>IF(E316="",IF(ISNUMBER(SEARCH("NOT NULL",UPPER(E$3))),"''","null"),SUBSTITUTE(VLOOKUP(E$2,convert!$A$1:$B$4,2,0),"@@@",E316))</f>
        <v>110</v>
      </c>
      <c r="U316" s="4" t="str">
        <f>IF(F316="",IF(ISNUMBER(SEARCH("NOT NULL",UPPER(F$3))),"''","null"),SUBSTITUTE(VLOOKUP(F$2,convert!$A$1:$B$4,2,0),"@@@",F316))</f>
        <v>95</v>
      </c>
      <c r="V316" s="4" t="str">
        <f>IF(G316="",IF(ISNUMBER(SEARCH("NOT NULL",UPPER(G$3))),"''","null"),SUBSTITUTE(VLOOKUP(G$2,convert!$A$1:$B$4,2,0),"@@@",G316))</f>
        <v>100</v>
      </c>
      <c r="W316" s="4" t="str">
        <f>IF(H316="",IF(ISNUMBER(SEARCH("NOT NULL",UPPER(H$3))),"''","null"),SUBSTITUTE(VLOOKUP(H$2,convert!$A$1:$B$4,2,0),"@@@",H316))</f>
        <v>61</v>
      </c>
      <c r="X316" s="4" t="str">
        <f>IF(I316="",IF(ISNUMBER(SEARCH("NOT NULL",UPPER(I$3))),"''","null"),SUBSTITUTE(VLOOKUP(I$2,convert!$A$1:$B$4,2,0),"@@@",I316))</f>
        <v>''</v>
      </c>
      <c r="Y316" s="4" t="str">
        <f>IF(J316="",IF(ISNUMBER(SEARCH("NOT NULL",UPPER(J$3))),"''","null"),SUBSTITUTE(VLOOKUP(J$2,convert!$A$1:$B$4,2,0),"@@@",J316))</f>
        <v>'rock'</v>
      </c>
      <c r="Z316" s="4" t="str">
        <f>IF(K316="",IF(ISNUMBER(SEARCH("NOT NULL",UPPER(K$3))),"''","null"),SUBSTITUTE(VLOOKUP(K$2,convert!$A$1:$B$4,2,0),"@@@",K316))</f>
        <v>'dark'</v>
      </c>
      <c r="AA316" s="4" t="str">
        <f>IF(L316="",IF(ISNUMBER(SEARCH("NOT NULL",UPPER(L$3))),"''","null"),SUBSTITUTE(VLOOKUP(L$2,convert!$A$1:$B$4,2,0),"@@@",L316))</f>
        <v>'g2'</v>
      </c>
      <c r="AB316" s="4" t="str">
        <f>IF(M316="",IF(ISNUMBER(SEARCH("NOT NULL",UPPER(M$3))),"''","null"),SUBSTITUTE(VLOOKUP(M$2,convert!$A$1:$B$4,2,0),"@@@",M316))</f>
        <v>null</v>
      </c>
      <c r="AC316" s="4" t="str">
        <f>IF(N316="",IF(ISNUMBER(SEARCH("NOT NULL",UPPER(N$3))),"''","null"),SUBSTITUTE(VLOOKUP(N$2,convert!$A$1:$B$4,2,0),"@@@",N316))</f>
        <v>null</v>
      </c>
      <c r="AD316" s="4" t="str">
        <f>IF(O316="",IF(ISNUMBER(SEARCH("NOT NULL",UPPER(O$3))),"''","null"),SUBSTITUTE(VLOOKUP(O$2,convert!$A$1:$B$4,2,0),"@@@",O316))</f>
        <v>TRUE</v>
      </c>
      <c r="AE316" s="4" t="str">
        <f t="shared" si="4"/>
        <v>    ('0248N01', 'バンギラス', 100, 134, 110, 95, 100, 61, '', 'rock', 'dark', 'g2', null, null, TRUE),</v>
      </c>
    </row>
    <row r="317" spans="1:31">
      <c r="A317" s="4" t="s">
        <v>646</v>
      </c>
      <c r="B317" s="4" t="s">
        <v>647</v>
      </c>
      <c r="C317" s="5">
        <v>100</v>
      </c>
      <c r="D317" s="5">
        <v>164</v>
      </c>
      <c r="E317" s="5">
        <v>150</v>
      </c>
      <c r="F317" s="5">
        <v>95</v>
      </c>
      <c r="G317" s="5">
        <v>120</v>
      </c>
      <c r="H317" s="5">
        <v>71</v>
      </c>
      <c r="I317" s="5"/>
      <c r="J317" s="4" t="s">
        <v>196</v>
      </c>
      <c r="K317" s="4" t="s">
        <v>91</v>
      </c>
      <c r="L317" s="4" t="s">
        <v>39</v>
      </c>
      <c r="M317" s="5"/>
      <c r="N317" s="5"/>
      <c r="O317" s="5" t="b">
        <v>1</v>
      </c>
      <c r="P317" s="4" t="str">
        <f>IF(A317="",IF(ISNUMBER(SEARCH("NOT NULL",UPPER(A$3))),"''","null"),SUBSTITUTE(VLOOKUP(A$2,convert!$A$1:$B$4,2,0),"@@@",A317))</f>
        <v>'0248M01'</v>
      </c>
      <c r="Q317" s="4" t="str">
        <f>IF(B317="",IF(ISNUMBER(SEARCH("NOT NULL",UPPER(B$3))),"''","null"),SUBSTITUTE(VLOOKUP(B$2,convert!$A$1:$B$4,2,0),"@@@",B317))</f>
        <v>'メガバンギラス'</v>
      </c>
      <c r="R317" s="4" t="str">
        <f>IF(C317="",IF(ISNUMBER(SEARCH("NOT NULL",UPPER(C$3))),"''","null"),SUBSTITUTE(VLOOKUP(C$2,convert!$A$1:$B$4,2,0),"@@@",C317))</f>
        <v>100</v>
      </c>
      <c r="S317" s="4" t="str">
        <f>IF(D317="",IF(ISNUMBER(SEARCH("NOT NULL",UPPER(D$3))),"''","null"),SUBSTITUTE(VLOOKUP(D$2,convert!$A$1:$B$4,2,0),"@@@",D317))</f>
        <v>164</v>
      </c>
      <c r="T317" s="4" t="str">
        <f>IF(E317="",IF(ISNUMBER(SEARCH("NOT NULL",UPPER(E$3))),"''","null"),SUBSTITUTE(VLOOKUP(E$2,convert!$A$1:$B$4,2,0),"@@@",E317))</f>
        <v>150</v>
      </c>
      <c r="U317" s="4" t="str">
        <f>IF(F317="",IF(ISNUMBER(SEARCH("NOT NULL",UPPER(F$3))),"''","null"),SUBSTITUTE(VLOOKUP(F$2,convert!$A$1:$B$4,2,0),"@@@",F317))</f>
        <v>95</v>
      </c>
      <c r="V317" s="4" t="str">
        <f>IF(G317="",IF(ISNUMBER(SEARCH("NOT NULL",UPPER(G$3))),"''","null"),SUBSTITUTE(VLOOKUP(G$2,convert!$A$1:$B$4,2,0),"@@@",G317))</f>
        <v>120</v>
      </c>
      <c r="W317" s="4" t="str">
        <f>IF(H317="",IF(ISNUMBER(SEARCH("NOT NULL",UPPER(H$3))),"''","null"),SUBSTITUTE(VLOOKUP(H$2,convert!$A$1:$B$4,2,0),"@@@",H317))</f>
        <v>71</v>
      </c>
      <c r="X317" s="4" t="str">
        <f>IF(I317="",IF(ISNUMBER(SEARCH("NOT NULL",UPPER(I$3))),"''","null"),SUBSTITUTE(VLOOKUP(I$2,convert!$A$1:$B$4,2,0),"@@@",I317))</f>
        <v>''</v>
      </c>
      <c r="Y317" s="4" t="str">
        <f>IF(J317="",IF(ISNUMBER(SEARCH("NOT NULL",UPPER(J$3))),"''","null"),SUBSTITUTE(VLOOKUP(J$2,convert!$A$1:$B$4,2,0),"@@@",J317))</f>
        <v>'rock'</v>
      </c>
      <c r="Z317" s="4" t="str">
        <f>IF(K317="",IF(ISNUMBER(SEARCH("NOT NULL",UPPER(K$3))),"''","null"),SUBSTITUTE(VLOOKUP(K$2,convert!$A$1:$B$4,2,0),"@@@",K317))</f>
        <v>'dark'</v>
      </c>
      <c r="AA317" s="4" t="str">
        <f>IF(L317="",IF(ISNUMBER(SEARCH("NOT NULL",UPPER(L$3))),"''","null"),SUBSTITUTE(VLOOKUP(L$2,convert!$A$1:$B$4,2,0),"@@@",L317))</f>
        <v>'g6'</v>
      </c>
      <c r="AB317" s="4" t="str">
        <f>IF(M317="",IF(ISNUMBER(SEARCH("NOT NULL",UPPER(M$3))),"''","null"),SUBSTITUTE(VLOOKUP(M$2,convert!$A$1:$B$4,2,0),"@@@",M317))</f>
        <v>null</v>
      </c>
      <c r="AC317" s="4" t="str">
        <f>IF(N317="",IF(ISNUMBER(SEARCH("NOT NULL",UPPER(N$3))),"''","null"),SUBSTITUTE(VLOOKUP(N$2,convert!$A$1:$B$4,2,0),"@@@",N317))</f>
        <v>null</v>
      </c>
      <c r="AD317" s="4" t="str">
        <f>IF(O317="",IF(ISNUMBER(SEARCH("NOT NULL",UPPER(O$3))),"''","null"),SUBSTITUTE(VLOOKUP(O$2,convert!$A$1:$B$4,2,0),"@@@",O317))</f>
        <v>TRUE</v>
      </c>
      <c r="AE317" s="4" t="str">
        <f t="shared" si="4"/>
        <v>    ('0248M01', 'メガバンギラス', 100, 164, 150, 95, 120, 71, '', 'rock', 'dark', 'g6', null, null, TRUE),</v>
      </c>
    </row>
    <row r="318" spans="1:31">
      <c r="A318" s="4" t="s">
        <v>648</v>
      </c>
      <c r="B318" s="4" t="s">
        <v>649</v>
      </c>
      <c r="C318" s="5">
        <v>106</v>
      </c>
      <c r="D318" s="5">
        <v>90</v>
      </c>
      <c r="E318" s="5">
        <v>130</v>
      </c>
      <c r="F318" s="5">
        <v>90</v>
      </c>
      <c r="G318" s="5">
        <v>154</v>
      </c>
      <c r="H318" s="5">
        <v>110</v>
      </c>
      <c r="I318" s="5"/>
      <c r="J318" s="4" t="s">
        <v>113</v>
      </c>
      <c r="K318" s="4" t="s">
        <v>47</v>
      </c>
      <c r="L318" s="4" t="s">
        <v>436</v>
      </c>
      <c r="M318" s="5"/>
      <c r="N318" s="5"/>
      <c r="O318" s="5" t="b">
        <v>1</v>
      </c>
      <c r="P318" s="4" t="str">
        <f>IF(A318="",IF(ISNUMBER(SEARCH("NOT NULL",UPPER(A$3))),"''","null"),SUBSTITUTE(VLOOKUP(A$2,convert!$A$1:$B$4,2,0),"@@@",A318))</f>
        <v>'0249N01'</v>
      </c>
      <c r="Q318" s="4" t="str">
        <f>IF(B318="",IF(ISNUMBER(SEARCH("NOT NULL",UPPER(B$3))),"''","null"),SUBSTITUTE(VLOOKUP(B$2,convert!$A$1:$B$4,2,0),"@@@",B318))</f>
        <v>'ルギア'</v>
      </c>
      <c r="R318" s="4" t="str">
        <f>IF(C318="",IF(ISNUMBER(SEARCH("NOT NULL",UPPER(C$3))),"''","null"),SUBSTITUTE(VLOOKUP(C$2,convert!$A$1:$B$4,2,0),"@@@",C318))</f>
        <v>106</v>
      </c>
      <c r="S318" s="4" t="str">
        <f>IF(D318="",IF(ISNUMBER(SEARCH("NOT NULL",UPPER(D$3))),"''","null"),SUBSTITUTE(VLOOKUP(D$2,convert!$A$1:$B$4,2,0),"@@@",D318))</f>
        <v>90</v>
      </c>
      <c r="T318" s="4" t="str">
        <f>IF(E318="",IF(ISNUMBER(SEARCH("NOT NULL",UPPER(E$3))),"''","null"),SUBSTITUTE(VLOOKUP(E$2,convert!$A$1:$B$4,2,0),"@@@",E318))</f>
        <v>130</v>
      </c>
      <c r="U318" s="4" t="str">
        <f>IF(F318="",IF(ISNUMBER(SEARCH("NOT NULL",UPPER(F$3))),"''","null"),SUBSTITUTE(VLOOKUP(F$2,convert!$A$1:$B$4,2,0),"@@@",F318))</f>
        <v>90</v>
      </c>
      <c r="V318" s="4" t="str">
        <f>IF(G318="",IF(ISNUMBER(SEARCH("NOT NULL",UPPER(G$3))),"''","null"),SUBSTITUTE(VLOOKUP(G$2,convert!$A$1:$B$4,2,0),"@@@",G318))</f>
        <v>154</v>
      </c>
      <c r="W318" s="4" t="str">
        <f>IF(H318="",IF(ISNUMBER(SEARCH("NOT NULL",UPPER(H$3))),"''","null"),SUBSTITUTE(VLOOKUP(H$2,convert!$A$1:$B$4,2,0),"@@@",H318))</f>
        <v>110</v>
      </c>
      <c r="X318" s="4" t="str">
        <f>IF(I318="",IF(ISNUMBER(SEARCH("NOT NULL",UPPER(I$3))),"''","null"),SUBSTITUTE(VLOOKUP(I$2,convert!$A$1:$B$4,2,0),"@@@",I318))</f>
        <v>''</v>
      </c>
      <c r="Y318" s="4" t="str">
        <f>IF(J318="",IF(ISNUMBER(SEARCH("NOT NULL",UPPER(J$3))),"''","null"),SUBSTITUTE(VLOOKUP(J$2,convert!$A$1:$B$4,2,0),"@@@",J318))</f>
        <v>'psychic'</v>
      </c>
      <c r="Z318" s="4" t="str">
        <f>IF(K318="",IF(ISNUMBER(SEARCH("NOT NULL",UPPER(K$3))),"''","null"),SUBSTITUTE(VLOOKUP(K$2,convert!$A$1:$B$4,2,0),"@@@",K318))</f>
        <v>'flying'</v>
      </c>
      <c r="AA318" s="4" t="str">
        <f>IF(L318="",IF(ISNUMBER(SEARCH("NOT NULL",UPPER(L$3))),"''","null"),SUBSTITUTE(VLOOKUP(L$2,convert!$A$1:$B$4,2,0),"@@@",L318))</f>
        <v>'g2'</v>
      </c>
      <c r="AB318" s="4" t="str">
        <f>IF(M318="",IF(ISNUMBER(SEARCH("NOT NULL",UPPER(M$3))),"''","null"),SUBSTITUTE(VLOOKUP(M$2,convert!$A$1:$B$4,2,0),"@@@",M318))</f>
        <v>null</v>
      </c>
      <c r="AC318" s="4" t="str">
        <f>IF(N318="",IF(ISNUMBER(SEARCH("NOT NULL",UPPER(N$3))),"''","null"),SUBSTITUTE(VLOOKUP(N$2,convert!$A$1:$B$4,2,0),"@@@",N318))</f>
        <v>null</v>
      </c>
      <c r="AD318" s="4" t="str">
        <f>IF(O318="",IF(ISNUMBER(SEARCH("NOT NULL",UPPER(O$3))),"''","null"),SUBSTITUTE(VLOOKUP(O$2,convert!$A$1:$B$4,2,0),"@@@",O318))</f>
        <v>TRUE</v>
      </c>
      <c r="AE318" s="4" t="str">
        <f t="shared" si="4"/>
        <v>    ('0249N01', 'ルギア', 106, 90, 130, 90, 154, 110, '', 'psychic', 'flying', 'g2', null, null, TRUE),</v>
      </c>
    </row>
    <row r="319" spans="1:31">
      <c r="A319" s="4" t="s">
        <v>650</v>
      </c>
      <c r="B319" s="4" t="s">
        <v>651</v>
      </c>
      <c r="C319" s="5">
        <v>106</v>
      </c>
      <c r="D319" s="5">
        <v>130</v>
      </c>
      <c r="E319" s="5">
        <v>90</v>
      </c>
      <c r="F319" s="5">
        <v>110</v>
      </c>
      <c r="G319" s="5">
        <v>154</v>
      </c>
      <c r="H319" s="5">
        <v>90</v>
      </c>
      <c r="I319" s="5"/>
      <c r="J319" s="4" t="s">
        <v>42</v>
      </c>
      <c r="K319" s="4" t="s">
        <v>47</v>
      </c>
      <c r="L319" s="4" t="s">
        <v>436</v>
      </c>
      <c r="M319" s="5"/>
      <c r="N319" s="5"/>
      <c r="O319" s="5" t="b">
        <v>1</v>
      </c>
      <c r="P319" s="4" t="str">
        <f>IF(A319="",IF(ISNUMBER(SEARCH("NOT NULL",UPPER(A$3))),"''","null"),SUBSTITUTE(VLOOKUP(A$2,convert!$A$1:$B$4,2,0),"@@@",A319))</f>
        <v>'0250N01'</v>
      </c>
      <c r="Q319" s="4" t="str">
        <f>IF(B319="",IF(ISNUMBER(SEARCH("NOT NULL",UPPER(B$3))),"''","null"),SUBSTITUTE(VLOOKUP(B$2,convert!$A$1:$B$4,2,0),"@@@",B319))</f>
        <v>'ホウオウ'</v>
      </c>
      <c r="R319" s="4" t="str">
        <f>IF(C319="",IF(ISNUMBER(SEARCH("NOT NULL",UPPER(C$3))),"''","null"),SUBSTITUTE(VLOOKUP(C$2,convert!$A$1:$B$4,2,0),"@@@",C319))</f>
        <v>106</v>
      </c>
      <c r="S319" s="4" t="str">
        <f>IF(D319="",IF(ISNUMBER(SEARCH("NOT NULL",UPPER(D$3))),"''","null"),SUBSTITUTE(VLOOKUP(D$2,convert!$A$1:$B$4,2,0),"@@@",D319))</f>
        <v>130</v>
      </c>
      <c r="T319" s="4" t="str">
        <f>IF(E319="",IF(ISNUMBER(SEARCH("NOT NULL",UPPER(E$3))),"''","null"),SUBSTITUTE(VLOOKUP(E$2,convert!$A$1:$B$4,2,0),"@@@",E319))</f>
        <v>90</v>
      </c>
      <c r="U319" s="4" t="str">
        <f>IF(F319="",IF(ISNUMBER(SEARCH("NOT NULL",UPPER(F$3))),"''","null"),SUBSTITUTE(VLOOKUP(F$2,convert!$A$1:$B$4,2,0),"@@@",F319))</f>
        <v>110</v>
      </c>
      <c r="V319" s="4" t="str">
        <f>IF(G319="",IF(ISNUMBER(SEARCH("NOT NULL",UPPER(G$3))),"''","null"),SUBSTITUTE(VLOOKUP(G$2,convert!$A$1:$B$4,2,0),"@@@",G319))</f>
        <v>154</v>
      </c>
      <c r="W319" s="4" t="str">
        <f>IF(H319="",IF(ISNUMBER(SEARCH("NOT NULL",UPPER(H$3))),"''","null"),SUBSTITUTE(VLOOKUP(H$2,convert!$A$1:$B$4,2,0),"@@@",H319))</f>
        <v>90</v>
      </c>
      <c r="X319" s="4" t="str">
        <f>IF(I319="",IF(ISNUMBER(SEARCH("NOT NULL",UPPER(I$3))),"''","null"),SUBSTITUTE(VLOOKUP(I$2,convert!$A$1:$B$4,2,0),"@@@",I319))</f>
        <v>''</v>
      </c>
      <c r="Y319" s="4" t="str">
        <f>IF(J319="",IF(ISNUMBER(SEARCH("NOT NULL",UPPER(J$3))),"''","null"),SUBSTITUTE(VLOOKUP(J$2,convert!$A$1:$B$4,2,0),"@@@",J319))</f>
        <v>'fire'</v>
      </c>
      <c r="Z319" s="4" t="str">
        <f>IF(K319="",IF(ISNUMBER(SEARCH("NOT NULL",UPPER(K$3))),"''","null"),SUBSTITUTE(VLOOKUP(K$2,convert!$A$1:$B$4,2,0),"@@@",K319))</f>
        <v>'flying'</v>
      </c>
      <c r="AA319" s="4" t="str">
        <f>IF(L319="",IF(ISNUMBER(SEARCH("NOT NULL",UPPER(L$3))),"''","null"),SUBSTITUTE(VLOOKUP(L$2,convert!$A$1:$B$4,2,0),"@@@",L319))</f>
        <v>'g2'</v>
      </c>
      <c r="AB319" s="4" t="str">
        <f>IF(M319="",IF(ISNUMBER(SEARCH("NOT NULL",UPPER(M$3))),"''","null"),SUBSTITUTE(VLOOKUP(M$2,convert!$A$1:$B$4,2,0),"@@@",M319))</f>
        <v>null</v>
      </c>
      <c r="AC319" s="4" t="str">
        <f>IF(N319="",IF(ISNUMBER(SEARCH("NOT NULL",UPPER(N$3))),"''","null"),SUBSTITUTE(VLOOKUP(N$2,convert!$A$1:$B$4,2,0),"@@@",N319))</f>
        <v>null</v>
      </c>
      <c r="AD319" s="4" t="str">
        <f>IF(O319="",IF(ISNUMBER(SEARCH("NOT NULL",UPPER(O$3))),"''","null"),SUBSTITUTE(VLOOKUP(O$2,convert!$A$1:$B$4,2,0),"@@@",O319))</f>
        <v>TRUE</v>
      </c>
      <c r="AE319" s="4" t="str">
        <f t="shared" si="4"/>
        <v>    ('0250N01', 'ホウオウ', 106, 130, 90, 110, 154, 90, '', 'fire', 'flying', 'g2', null, null, TRUE),</v>
      </c>
    </row>
    <row r="320" spans="1:31">
      <c r="A320" s="4" t="s">
        <v>652</v>
      </c>
      <c r="B320" s="4" t="s">
        <v>653</v>
      </c>
      <c r="C320" s="5">
        <v>100</v>
      </c>
      <c r="D320" s="5">
        <v>100</v>
      </c>
      <c r="E320" s="5">
        <v>100</v>
      </c>
      <c r="F320" s="5">
        <v>100</v>
      </c>
      <c r="G320" s="5">
        <v>100</v>
      </c>
      <c r="H320" s="5">
        <v>100</v>
      </c>
      <c r="I320" s="5"/>
      <c r="J320" s="4" t="s">
        <v>113</v>
      </c>
      <c r="K320" s="4" t="s">
        <v>30</v>
      </c>
      <c r="L320" s="4" t="s">
        <v>436</v>
      </c>
      <c r="M320" s="5"/>
      <c r="N320" s="5"/>
      <c r="O320" s="5" t="b">
        <v>1</v>
      </c>
      <c r="P320" s="4" t="str">
        <f>IF(A320="",IF(ISNUMBER(SEARCH("NOT NULL",UPPER(A$3))),"''","null"),SUBSTITUTE(VLOOKUP(A$2,convert!$A$1:$B$4,2,0),"@@@",A320))</f>
        <v>'0251N01'</v>
      </c>
      <c r="Q320" s="4" t="str">
        <f>IF(B320="",IF(ISNUMBER(SEARCH("NOT NULL",UPPER(B$3))),"''","null"),SUBSTITUTE(VLOOKUP(B$2,convert!$A$1:$B$4,2,0),"@@@",B320))</f>
        <v>'セレビィ'</v>
      </c>
      <c r="R320" s="4" t="str">
        <f>IF(C320="",IF(ISNUMBER(SEARCH("NOT NULL",UPPER(C$3))),"''","null"),SUBSTITUTE(VLOOKUP(C$2,convert!$A$1:$B$4,2,0),"@@@",C320))</f>
        <v>100</v>
      </c>
      <c r="S320" s="4" t="str">
        <f>IF(D320="",IF(ISNUMBER(SEARCH("NOT NULL",UPPER(D$3))),"''","null"),SUBSTITUTE(VLOOKUP(D$2,convert!$A$1:$B$4,2,0),"@@@",D320))</f>
        <v>100</v>
      </c>
      <c r="T320" s="4" t="str">
        <f>IF(E320="",IF(ISNUMBER(SEARCH("NOT NULL",UPPER(E$3))),"''","null"),SUBSTITUTE(VLOOKUP(E$2,convert!$A$1:$B$4,2,0),"@@@",E320))</f>
        <v>100</v>
      </c>
      <c r="U320" s="4" t="str">
        <f>IF(F320="",IF(ISNUMBER(SEARCH("NOT NULL",UPPER(F$3))),"''","null"),SUBSTITUTE(VLOOKUP(F$2,convert!$A$1:$B$4,2,0),"@@@",F320))</f>
        <v>100</v>
      </c>
      <c r="V320" s="4" t="str">
        <f>IF(G320="",IF(ISNUMBER(SEARCH("NOT NULL",UPPER(G$3))),"''","null"),SUBSTITUTE(VLOOKUP(G$2,convert!$A$1:$B$4,2,0),"@@@",G320))</f>
        <v>100</v>
      </c>
      <c r="W320" s="4" t="str">
        <f>IF(H320="",IF(ISNUMBER(SEARCH("NOT NULL",UPPER(H$3))),"''","null"),SUBSTITUTE(VLOOKUP(H$2,convert!$A$1:$B$4,2,0),"@@@",H320))</f>
        <v>100</v>
      </c>
      <c r="X320" s="4" t="str">
        <f>IF(I320="",IF(ISNUMBER(SEARCH("NOT NULL",UPPER(I$3))),"''","null"),SUBSTITUTE(VLOOKUP(I$2,convert!$A$1:$B$4,2,0),"@@@",I320))</f>
        <v>''</v>
      </c>
      <c r="Y320" s="4" t="str">
        <f>IF(J320="",IF(ISNUMBER(SEARCH("NOT NULL",UPPER(J$3))),"''","null"),SUBSTITUTE(VLOOKUP(J$2,convert!$A$1:$B$4,2,0),"@@@",J320))</f>
        <v>'psychic'</v>
      </c>
      <c r="Z320" s="4" t="str">
        <f>IF(K320="",IF(ISNUMBER(SEARCH("NOT NULL",UPPER(K$3))),"''","null"),SUBSTITUTE(VLOOKUP(K$2,convert!$A$1:$B$4,2,0),"@@@",K320))</f>
        <v>'grass'</v>
      </c>
      <c r="AA320" s="4" t="str">
        <f>IF(L320="",IF(ISNUMBER(SEARCH("NOT NULL",UPPER(L$3))),"''","null"),SUBSTITUTE(VLOOKUP(L$2,convert!$A$1:$B$4,2,0),"@@@",L320))</f>
        <v>'g2'</v>
      </c>
      <c r="AB320" s="4" t="str">
        <f>IF(M320="",IF(ISNUMBER(SEARCH("NOT NULL",UPPER(M$3))),"''","null"),SUBSTITUTE(VLOOKUP(M$2,convert!$A$1:$B$4,2,0),"@@@",M320))</f>
        <v>null</v>
      </c>
      <c r="AC320" s="4" t="str">
        <f>IF(N320="",IF(ISNUMBER(SEARCH("NOT NULL",UPPER(N$3))),"''","null"),SUBSTITUTE(VLOOKUP(N$2,convert!$A$1:$B$4,2,0),"@@@",N320))</f>
        <v>null</v>
      </c>
      <c r="AD320" s="4" t="str">
        <f>IF(O320="",IF(ISNUMBER(SEARCH("NOT NULL",UPPER(O$3))),"''","null"),SUBSTITUTE(VLOOKUP(O$2,convert!$A$1:$B$4,2,0),"@@@",O320))</f>
        <v>TRUE</v>
      </c>
      <c r="AE320" s="4" t="str">
        <f t="shared" si="4"/>
        <v>    ('0251N01', 'セレビィ', 100, 100, 100, 100, 100, 100, '', 'psychic', 'grass', 'g2', null, null, TRUE),</v>
      </c>
    </row>
    <row r="321" spans="1:31">
      <c r="A321" s="4" t="s">
        <v>654</v>
      </c>
      <c r="B321" s="4" t="s">
        <v>655</v>
      </c>
      <c r="C321" s="5">
        <v>40</v>
      </c>
      <c r="D321" s="5">
        <v>45</v>
      </c>
      <c r="E321" s="5">
        <v>35</v>
      </c>
      <c r="F321" s="5">
        <v>65</v>
      </c>
      <c r="G321" s="5">
        <v>55</v>
      </c>
      <c r="H321" s="5">
        <v>70</v>
      </c>
      <c r="I321" s="5"/>
      <c r="J321" s="4" t="s">
        <v>30</v>
      </c>
      <c r="K321" s="5"/>
      <c r="L321" s="4" t="s">
        <v>656</v>
      </c>
      <c r="M321" s="5"/>
      <c r="N321" s="5"/>
      <c r="O321" s="5" t="b">
        <v>1</v>
      </c>
      <c r="P321" s="4" t="str">
        <f>IF(A321="",IF(ISNUMBER(SEARCH("NOT NULL",UPPER(A$3))),"''","null"),SUBSTITUTE(VLOOKUP(A$2,convert!$A$1:$B$4,2,0),"@@@",A321))</f>
        <v>'0252N01'</v>
      </c>
      <c r="Q321" s="4" t="str">
        <f>IF(B321="",IF(ISNUMBER(SEARCH("NOT NULL",UPPER(B$3))),"''","null"),SUBSTITUTE(VLOOKUP(B$2,convert!$A$1:$B$4,2,0),"@@@",B321))</f>
        <v>'キモリ'</v>
      </c>
      <c r="R321" s="4" t="str">
        <f>IF(C321="",IF(ISNUMBER(SEARCH("NOT NULL",UPPER(C$3))),"''","null"),SUBSTITUTE(VLOOKUP(C$2,convert!$A$1:$B$4,2,0),"@@@",C321))</f>
        <v>40</v>
      </c>
      <c r="S321" s="4" t="str">
        <f>IF(D321="",IF(ISNUMBER(SEARCH("NOT NULL",UPPER(D$3))),"''","null"),SUBSTITUTE(VLOOKUP(D$2,convert!$A$1:$B$4,2,0),"@@@",D321))</f>
        <v>45</v>
      </c>
      <c r="T321" s="4" t="str">
        <f>IF(E321="",IF(ISNUMBER(SEARCH("NOT NULL",UPPER(E$3))),"''","null"),SUBSTITUTE(VLOOKUP(E$2,convert!$A$1:$B$4,2,0),"@@@",E321))</f>
        <v>35</v>
      </c>
      <c r="U321" s="4" t="str">
        <f>IF(F321="",IF(ISNUMBER(SEARCH("NOT NULL",UPPER(F$3))),"''","null"),SUBSTITUTE(VLOOKUP(F$2,convert!$A$1:$B$4,2,0),"@@@",F321))</f>
        <v>65</v>
      </c>
      <c r="V321" s="4" t="str">
        <f>IF(G321="",IF(ISNUMBER(SEARCH("NOT NULL",UPPER(G$3))),"''","null"),SUBSTITUTE(VLOOKUP(G$2,convert!$A$1:$B$4,2,0),"@@@",G321))</f>
        <v>55</v>
      </c>
      <c r="W321" s="4" t="str">
        <f>IF(H321="",IF(ISNUMBER(SEARCH("NOT NULL",UPPER(H$3))),"''","null"),SUBSTITUTE(VLOOKUP(H$2,convert!$A$1:$B$4,2,0),"@@@",H321))</f>
        <v>70</v>
      </c>
      <c r="X321" s="4" t="str">
        <f>IF(I321="",IF(ISNUMBER(SEARCH("NOT NULL",UPPER(I$3))),"''","null"),SUBSTITUTE(VLOOKUP(I$2,convert!$A$1:$B$4,2,0),"@@@",I321))</f>
        <v>''</v>
      </c>
      <c r="Y321" s="4" t="str">
        <f>IF(J321="",IF(ISNUMBER(SEARCH("NOT NULL",UPPER(J$3))),"''","null"),SUBSTITUTE(VLOOKUP(J$2,convert!$A$1:$B$4,2,0),"@@@",J321))</f>
        <v>'grass'</v>
      </c>
      <c r="Z321" s="4" t="str">
        <f>IF(K321="",IF(ISNUMBER(SEARCH("NOT NULL",UPPER(K$3))),"''","null"),SUBSTITUTE(VLOOKUP(K$2,convert!$A$1:$B$4,2,0),"@@@",K321))</f>
        <v>null</v>
      </c>
      <c r="AA321" s="4" t="str">
        <f>IF(L321="",IF(ISNUMBER(SEARCH("NOT NULL",UPPER(L$3))),"''","null"),SUBSTITUTE(VLOOKUP(L$2,convert!$A$1:$B$4,2,0),"@@@",L321))</f>
        <v>'g3'</v>
      </c>
      <c r="AB321" s="4" t="str">
        <f>IF(M321="",IF(ISNUMBER(SEARCH("NOT NULL",UPPER(M$3))),"''","null"),SUBSTITUTE(VLOOKUP(M$2,convert!$A$1:$B$4,2,0),"@@@",M321))</f>
        <v>null</v>
      </c>
      <c r="AC321" s="4" t="str">
        <f>IF(N321="",IF(ISNUMBER(SEARCH("NOT NULL",UPPER(N$3))),"''","null"),SUBSTITUTE(VLOOKUP(N$2,convert!$A$1:$B$4,2,0),"@@@",N321))</f>
        <v>null</v>
      </c>
      <c r="AD321" s="4" t="str">
        <f>IF(O321="",IF(ISNUMBER(SEARCH("NOT NULL",UPPER(O$3))),"''","null"),SUBSTITUTE(VLOOKUP(O$2,convert!$A$1:$B$4,2,0),"@@@",O321))</f>
        <v>TRUE</v>
      </c>
      <c r="AE321" s="4" t="str">
        <f t="shared" si="4"/>
        <v>    ('0252N01', 'キモリ', 40, 45, 35, 65, 55, 70, '', 'grass', null, 'g3', null, null, TRUE),</v>
      </c>
    </row>
    <row r="322" spans="1:31">
      <c r="A322" s="4" t="s">
        <v>657</v>
      </c>
      <c r="B322" s="4" t="s">
        <v>658</v>
      </c>
      <c r="C322" s="5">
        <v>50</v>
      </c>
      <c r="D322" s="5">
        <v>65</v>
      </c>
      <c r="E322" s="5">
        <v>45</v>
      </c>
      <c r="F322" s="5">
        <v>85</v>
      </c>
      <c r="G322" s="5">
        <v>65</v>
      </c>
      <c r="H322" s="5">
        <v>95</v>
      </c>
      <c r="I322" s="5"/>
      <c r="J322" s="4" t="s">
        <v>30</v>
      </c>
      <c r="K322" s="5"/>
      <c r="L322" s="4" t="s">
        <v>656</v>
      </c>
      <c r="M322" s="5"/>
      <c r="N322" s="5"/>
      <c r="O322" s="5" t="b">
        <v>1</v>
      </c>
      <c r="P322" s="4" t="str">
        <f>IF(A322="",IF(ISNUMBER(SEARCH("NOT NULL",UPPER(A$3))),"''","null"),SUBSTITUTE(VLOOKUP(A$2,convert!$A$1:$B$4,2,0),"@@@",A322))</f>
        <v>'0253N01'</v>
      </c>
      <c r="Q322" s="4" t="str">
        <f>IF(B322="",IF(ISNUMBER(SEARCH("NOT NULL",UPPER(B$3))),"''","null"),SUBSTITUTE(VLOOKUP(B$2,convert!$A$1:$B$4,2,0),"@@@",B322))</f>
        <v>'ジュプトル'</v>
      </c>
      <c r="R322" s="4" t="str">
        <f>IF(C322="",IF(ISNUMBER(SEARCH("NOT NULL",UPPER(C$3))),"''","null"),SUBSTITUTE(VLOOKUP(C$2,convert!$A$1:$B$4,2,0),"@@@",C322))</f>
        <v>50</v>
      </c>
      <c r="S322" s="4" t="str">
        <f>IF(D322="",IF(ISNUMBER(SEARCH("NOT NULL",UPPER(D$3))),"''","null"),SUBSTITUTE(VLOOKUP(D$2,convert!$A$1:$B$4,2,0),"@@@",D322))</f>
        <v>65</v>
      </c>
      <c r="T322" s="4" t="str">
        <f>IF(E322="",IF(ISNUMBER(SEARCH("NOT NULL",UPPER(E$3))),"''","null"),SUBSTITUTE(VLOOKUP(E$2,convert!$A$1:$B$4,2,0),"@@@",E322))</f>
        <v>45</v>
      </c>
      <c r="U322" s="4" t="str">
        <f>IF(F322="",IF(ISNUMBER(SEARCH("NOT NULL",UPPER(F$3))),"''","null"),SUBSTITUTE(VLOOKUP(F$2,convert!$A$1:$B$4,2,0),"@@@",F322))</f>
        <v>85</v>
      </c>
      <c r="V322" s="4" t="str">
        <f>IF(G322="",IF(ISNUMBER(SEARCH("NOT NULL",UPPER(G$3))),"''","null"),SUBSTITUTE(VLOOKUP(G$2,convert!$A$1:$B$4,2,0),"@@@",G322))</f>
        <v>65</v>
      </c>
      <c r="W322" s="4" t="str">
        <f>IF(H322="",IF(ISNUMBER(SEARCH("NOT NULL",UPPER(H$3))),"''","null"),SUBSTITUTE(VLOOKUP(H$2,convert!$A$1:$B$4,2,0),"@@@",H322))</f>
        <v>95</v>
      </c>
      <c r="X322" s="4" t="str">
        <f>IF(I322="",IF(ISNUMBER(SEARCH("NOT NULL",UPPER(I$3))),"''","null"),SUBSTITUTE(VLOOKUP(I$2,convert!$A$1:$B$4,2,0),"@@@",I322))</f>
        <v>''</v>
      </c>
      <c r="Y322" s="4" t="str">
        <f>IF(J322="",IF(ISNUMBER(SEARCH("NOT NULL",UPPER(J$3))),"''","null"),SUBSTITUTE(VLOOKUP(J$2,convert!$A$1:$B$4,2,0),"@@@",J322))</f>
        <v>'grass'</v>
      </c>
      <c r="Z322" s="4" t="str">
        <f>IF(K322="",IF(ISNUMBER(SEARCH("NOT NULL",UPPER(K$3))),"''","null"),SUBSTITUTE(VLOOKUP(K$2,convert!$A$1:$B$4,2,0),"@@@",K322))</f>
        <v>null</v>
      </c>
      <c r="AA322" s="4" t="str">
        <f>IF(L322="",IF(ISNUMBER(SEARCH("NOT NULL",UPPER(L$3))),"''","null"),SUBSTITUTE(VLOOKUP(L$2,convert!$A$1:$B$4,2,0),"@@@",L322))</f>
        <v>'g3'</v>
      </c>
      <c r="AB322" s="4" t="str">
        <f>IF(M322="",IF(ISNUMBER(SEARCH("NOT NULL",UPPER(M$3))),"''","null"),SUBSTITUTE(VLOOKUP(M$2,convert!$A$1:$B$4,2,0),"@@@",M322))</f>
        <v>null</v>
      </c>
      <c r="AC322" s="4" t="str">
        <f>IF(N322="",IF(ISNUMBER(SEARCH("NOT NULL",UPPER(N$3))),"''","null"),SUBSTITUTE(VLOOKUP(N$2,convert!$A$1:$B$4,2,0),"@@@",N322))</f>
        <v>null</v>
      </c>
      <c r="AD322" s="4" t="str">
        <f>IF(O322="",IF(ISNUMBER(SEARCH("NOT NULL",UPPER(O$3))),"''","null"),SUBSTITUTE(VLOOKUP(O$2,convert!$A$1:$B$4,2,0),"@@@",O322))</f>
        <v>TRUE</v>
      </c>
      <c r="AE322" s="4" t="str">
        <f t="shared" si="4"/>
        <v>    ('0253N01', 'ジュプトル', 50, 65, 45, 85, 65, 95, '', 'grass', null, 'g3', null, null, TRUE),</v>
      </c>
    </row>
    <row r="323" spans="1:31">
      <c r="A323" s="4" t="s">
        <v>659</v>
      </c>
      <c r="B323" s="4" t="s">
        <v>660</v>
      </c>
      <c r="C323" s="5">
        <v>70</v>
      </c>
      <c r="D323" s="5">
        <v>85</v>
      </c>
      <c r="E323" s="5">
        <v>65</v>
      </c>
      <c r="F323" s="5">
        <v>105</v>
      </c>
      <c r="G323" s="5">
        <v>85</v>
      </c>
      <c r="H323" s="5">
        <v>120</v>
      </c>
      <c r="I323" s="5"/>
      <c r="J323" s="4" t="s">
        <v>30</v>
      </c>
      <c r="K323" s="5"/>
      <c r="L323" s="4" t="s">
        <v>656</v>
      </c>
      <c r="M323" s="5"/>
      <c r="N323" s="5"/>
      <c r="O323" s="5" t="b">
        <v>1</v>
      </c>
      <c r="P323" s="4" t="str">
        <f>IF(A323="",IF(ISNUMBER(SEARCH("NOT NULL",UPPER(A$3))),"''","null"),SUBSTITUTE(VLOOKUP(A$2,convert!$A$1:$B$4,2,0),"@@@",A323))</f>
        <v>'0254N01'</v>
      </c>
      <c r="Q323" s="4" t="str">
        <f>IF(B323="",IF(ISNUMBER(SEARCH("NOT NULL",UPPER(B$3))),"''","null"),SUBSTITUTE(VLOOKUP(B$2,convert!$A$1:$B$4,2,0),"@@@",B323))</f>
        <v>'ジュカイン'</v>
      </c>
      <c r="R323" s="4" t="str">
        <f>IF(C323="",IF(ISNUMBER(SEARCH("NOT NULL",UPPER(C$3))),"''","null"),SUBSTITUTE(VLOOKUP(C$2,convert!$A$1:$B$4,2,0),"@@@",C323))</f>
        <v>70</v>
      </c>
      <c r="S323" s="4" t="str">
        <f>IF(D323="",IF(ISNUMBER(SEARCH("NOT NULL",UPPER(D$3))),"''","null"),SUBSTITUTE(VLOOKUP(D$2,convert!$A$1:$B$4,2,0),"@@@",D323))</f>
        <v>85</v>
      </c>
      <c r="T323" s="4" t="str">
        <f>IF(E323="",IF(ISNUMBER(SEARCH("NOT NULL",UPPER(E$3))),"''","null"),SUBSTITUTE(VLOOKUP(E$2,convert!$A$1:$B$4,2,0),"@@@",E323))</f>
        <v>65</v>
      </c>
      <c r="U323" s="4" t="str">
        <f>IF(F323="",IF(ISNUMBER(SEARCH("NOT NULL",UPPER(F$3))),"''","null"),SUBSTITUTE(VLOOKUP(F$2,convert!$A$1:$B$4,2,0),"@@@",F323))</f>
        <v>105</v>
      </c>
      <c r="V323" s="4" t="str">
        <f>IF(G323="",IF(ISNUMBER(SEARCH("NOT NULL",UPPER(G$3))),"''","null"),SUBSTITUTE(VLOOKUP(G$2,convert!$A$1:$B$4,2,0),"@@@",G323))</f>
        <v>85</v>
      </c>
      <c r="W323" s="4" t="str">
        <f>IF(H323="",IF(ISNUMBER(SEARCH("NOT NULL",UPPER(H$3))),"''","null"),SUBSTITUTE(VLOOKUP(H$2,convert!$A$1:$B$4,2,0),"@@@",H323))</f>
        <v>120</v>
      </c>
      <c r="X323" s="4" t="str">
        <f>IF(I323="",IF(ISNUMBER(SEARCH("NOT NULL",UPPER(I$3))),"''","null"),SUBSTITUTE(VLOOKUP(I$2,convert!$A$1:$B$4,2,0),"@@@",I323))</f>
        <v>''</v>
      </c>
      <c r="Y323" s="4" t="str">
        <f>IF(J323="",IF(ISNUMBER(SEARCH("NOT NULL",UPPER(J$3))),"''","null"),SUBSTITUTE(VLOOKUP(J$2,convert!$A$1:$B$4,2,0),"@@@",J323))</f>
        <v>'grass'</v>
      </c>
      <c r="Z323" s="4" t="str">
        <f>IF(K323="",IF(ISNUMBER(SEARCH("NOT NULL",UPPER(K$3))),"''","null"),SUBSTITUTE(VLOOKUP(K$2,convert!$A$1:$B$4,2,0),"@@@",K323))</f>
        <v>null</v>
      </c>
      <c r="AA323" s="4" t="str">
        <f>IF(L323="",IF(ISNUMBER(SEARCH("NOT NULL",UPPER(L$3))),"''","null"),SUBSTITUTE(VLOOKUP(L$2,convert!$A$1:$B$4,2,0),"@@@",L323))</f>
        <v>'g3'</v>
      </c>
      <c r="AB323" s="4" t="str">
        <f>IF(M323="",IF(ISNUMBER(SEARCH("NOT NULL",UPPER(M$3))),"''","null"),SUBSTITUTE(VLOOKUP(M$2,convert!$A$1:$B$4,2,0),"@@@",M323))</f>
        <v>null</v>
      </c>
      <c r="AC323" s="4" t="str">
        <f>IF(N323="",IF(ISNUMBER(SEARCH("NOT NULL",UPPER(N$3))),"''","null"),SUBSTITUTE(VLOOKUP(N$2,convert!$A$1:$B$4,2,0),"@@@",N323))</f>
        <v>null</v>
      </c>
      <c r="AD323" s="4" t="str">
        <f>IF(O323="",IF(ISNUMBER(SEARCH("NOT NULL",UPPER(O$3))),"''","null"),SUBSTITUTE(VLOOKUP(O$2,convert!$A$1:$B$4,2,0),"@@@",O323))</f>
        <v>TRUE</v>
      </c>
      <c r="AE323" s="4" t="str">
        <f t="shared" si="4"/>
        <v>    ('0254N01', 'ジュカイン', 70, 85, 65, 105, 85, 120, '', 'grass', null, 'g3', null, null, TRUE),</v>
      </c>
    </row>
    <row r="324" spans="1:31">
      <c r="A324" s="4" t="s">
        <v>661</v>
      </c>
      <c r="B324" s="4" t="s">
        <v>662</v>
      </c>
      <c r="C324" s="5">
        <v>70</v>
      </c>
      <c r="D324" s="5">
        <v>110</v>
      </c>
      <c r="E324" s="5">
        <v>75</v>
      </c>
      <c r="F324" s="5">
        <v>145</v>
      </c>
      <c r="G324" s="5">
        <v>85</v>
      </c>
      <c r="H324" s="5">
        <v>145</v>
      </c>
      <c r="I324" s="5"/>
      <c r="J324" s="4" t="s">
        <v>30</v>
      </c>
      <c r="K324" s="4" t="s">
        <v>50</v>
      </c>
      <c r="L324" s="4" t="s">
        <v>77</v>
      </c>
      <c r="M324" s="5"/>
      <c r="N324" s="5"/>
      <c r="O324" s="5" t="b">
        <v>1</v>
      </c>
      <c r="P324" s="4" t="str">
        <f>IF(A324="",IF(ISNUMBER(SEARCH("NOT NULL",UPPER(A$3))),"''","null"),SUBSTITUTE(VLOOKUP(A$2,convert!$A$1:$B$4,2,0),"@@@",A324))</f>
        <v>'0254M01'</v>
      </c>
      <c r="Q324" s="4" t="str">
        <f>IF(B324="",IF(ISNUMBER(SEARCH("NOT NULL",UPPER(B$3))),"''","null"),SUBSTITUTE(VLOOKUP(B$2,convert!$A$1:$B$4,2,0),"@@@",B324))</f>
        <v>'メガジュカイン'</v>
      </c>
      <c r="R324" s="4" t="str">
        <f>IF(C324="",IF(ISNUMBER(SEARCH("NOT NULL",UPPER(C$3))),"''","null"),SUBSTITUTE(VLOOKUP(C$2,convert!$A$1:$B$4,2,0),"@@@",C324))</f>
        <v>70</v>
      </c>
      <c r="S324" s="4" t="str">
        <f>IF(D324="",IF(ISNUMBER(SEARCH("NOT NULL",UPPER(D$3))),"''","null"),SUBSTITUTE(VLOOKUP(D$2,convert!$A$1:$B$4,2,0),"@@@",D324))</f>
        <v>110</v>
      </c>
      <c r="T324" s="4" t="str">
        <f>IF(E324="",IF(ISNUMBER(SEARCH("NOT NULL",UPPER(E$3))),"''","null"),SUBSTITUTE(VLOOKUP(E$2,convert!$A$1:$B$4,2,0),"@@@",E324))</f>
        <v>75</v>
      </c>
      <c r="U324" s="4" t="str">
        <f>IF(F324="",IF(ISNUMBER(SEARCH("NOT NULL",UPPER(F$3))),"''","null"),SUBSTITUTE(VLOOKUP(F$2,convert!$A$1:$B$4,2,0),"@@@",F324))</f>
        <v>145</v>
      </c>
      <c r="V324" s="4" t="str">
        <f>IF(G324="",IF(ISNUMBER(SEARCH("NOT NULL",UPPER(G$3))),"''","null"),SUBSTITUTE(VLOOKUP(G$2,convert!$A$1:$B$4,2,0),"@@@",G324))</f>
        <v>85</v>
      </c>
      <c r="W324" s="4" t="str">
        <f>IF(H324="",IF(ISNUMBER(SEARCH("NOT NULL",UPPER(H$3))),"''","null"),SUBSTITUTE(VLOOKUP(H$2,convert!$A$1:$B$4,2,0),"@@@",H324))</f>
        <v>145</v>
      </c>
      <c r="X324" s="4" t="str">
        <f>IF(I324="",IF(ISNUMBER(SEARCH("NOT NULL",UPPER(I$3))),"''","null"),SUBSTITUTE(VLOOKUP(I$2,convert!$A$1:$B$4,2,0),"@@@",I324))</f>
        <v>''</v>
      </c>
      <c r="Y324" s="4" t="str">
        <f>IF(J324="",IF(ISNUMBER(SEARCH("NOT NULL",UPPER(J$3))),"''","null"),SUBSTITUTE(VLOOKUP(J$2,convert!$A$1:$B$4,2,0),"@@@",J324))</f>
        <v>'grass'</v>
      </c>
      <c r="Z324" s="4" t="str">
        <f>IF(K324="",IF(ISNUMBER(SEARCH("NOT NULL",UPPER(K$3))),"''","null"),SUBSTITUTE(VLOOKUP(K$2,convert!$A$1:$B$4,2,0),"@@@",K324))</f>
        <v>'dragon'</v>
      </c>
      <c r="AA324" s="4" t="str">
        <f>IF(L324="",IF(ISNUMBER(SEARCH("NOT NULL",UPPER(L$3))),"''","null"),SUBSTITUTE(VLOOKUP(L$2,convert!$A$1:$B$4,2,0),"@@@",L324))</f>
        <v>'g6oras'</v>
      </c>
      <c r="AB324" s="4" t="str">
        <f>IF(M324="",IF(ISNUMBER(SEARCH("NOT NULL",UPPER(M$3))),"''","null"),SUBSTITUTE(VLOOKUP(M$2,convert!$A$1:$B$4,2,0),"@@@",M324))</f>
        <v>null</v>
      </c>
      <c r="AC324" s="4" t="str">
        <f>IF(N324="",IF(ISNUMBER(SEARCH("NOT NULL",UPPER(N$3))),"''","null"),SUBSTITUTE(VLOOKUP(N$2,convert!$A$1:$B$4,2,0),"@@@",N324))</f>
        <v>null</v>
      </c>
      <c r="AD324" s="4" t="str">
        <f>IF(O324="",IF(ISNUMBER(SEARCH("NOT NULL",UPPER(O$3))),"''","null"),SUBSTITUTE(VLOOKUP(O$2,convert!$A$1:$B$4,2,0),"@@@",O324))</f>
        <v>TRUE</v>
      </c>
      <c r="AE324" s="4" t="str">
        <f t="shared" si="4"/>
        <v>    ('0254M01', 'メガジュカイン', 70, 110, 75, 145, 85, 145, '', 'grass', 'dragon', 'g6oras', null, null, TRUE),</v>
      </c>
    </row>
    <row r="325" spans="1:31">
      <c r="A325" s="4" t="s">
        <v>663</v>
      </c>
      <c r="B325" s="4" t="s">
        <v>664</v>
      </c>
      <c r="C325" s="5">
        <v>45</v>
      </c>
      <c r="D325" s="5">
        <v>60</v>
      </c>
      <c r="E325" s="5">
        <v>40</v>
      </c>
      <c r="F325" s="5">
        <v>70</v>
      </c>
      <c r="G325" s="5">
        <v>50</v>
      </c>
      <c r="H325" s="5">
        <v>45</v>
      </c>
      <c r="I325" s="5"/>
      <c r="J325" s="4" t="s">
        <v>42</v>
      </c>
      <c r="K325" s="5"/>
      <c r="L325" s="4" t="s">
        <v>656</v>
      </c>
      <c r="M325" s="5"/>
      <c r="N325" s="5"/>
      <c r="O325" s="5" t="b">
        <v>1</v>
      </c>
      <c r="P325" s="4" t="str">
        <f>IF(A325="",IF(ISNUMBER(SEARCH("NOT NULL",UPPER(A$3))),"''","null"),SUBSTITUTE(VLOOKUP(A$2,convert!$A$1:$B$4,2,0),"@@@",A325))</f>
        <v>'0255N01'</v>
      </c>
      <c r="Q325" s="4" t="str">
        <f>IF(B325="",IF(ISNUMBER(SEARCH("NOT NULL",UPPER(B$3))),"''","null"),SUBSTITUTE(VLOOKUP(B$2,convert!$A$1:$B$4,2,0),"@@@",B325))</f>
        <v>'アチャモ'</v>
      </c>
      <c r="R325" s="4" t="str">
        <f>IF(C325="",IF(ISNUMBER(SEARCH("NOT NULL",UPPER(C$3))),"''","null"),SUBSTITUTE(VLOOKUP(C$2,convert!$A$1:$B$4,2,0),"@@@",C325))</f>
        <v>45</v>
      </c>
      <c r="S325" s="4" t="str">
        <f>IF(D325="",IF(ISNUMBER(SEARCH("NOT NULL",UPPER(D$3))),"''","null"),SUBSTITUTE(VLOOKUP(D$2,convert!$A$1:$B$4,2,0),"@@@",D325))</f>
        <v>60</v>
      </c>
      <c r="T325" s="4" t="str">
        <f>IF(E325="",IF(ISNUMBER(SEARCH("NOT NULL",UPPER(E$3))),"''","null"),SUBSTITUTE(VLOOKUP(E$2,convert!$A$1:$B$4,2,0),"@@@",E325))</f>
        <v>40</v>
      </c>
      <c r="U325" s="4" t="str">
        <f>IF(F325="",IF(ISNUMBER(SEARCH("NOT NULL",UPPER(F$3))),"''","null"),SUBSTITUTE(VLOOKUP(F$2,convert!$A$1:$B$4,2,0),"@@@",F325))</f>
        <v>70</v>
      </c>
      <c r="V325" s="4" t="str">
        <f>IF(G325="",IF(ISNUMBER(SEARCH("NOT NULL",UPPER(G$3))),"''","null"),SUBSTITUTE(VLOOKUP(G$2,convert!$A$1:$B$4,2,0),"@@@",G325))</f>
        <v>50</v>
      </c>
      <c r="W325" s="4" t="str">
        <f>IF(H325="",IF(ISNUMBER(SEARCH("NOT NULL",UPPER(H$3))),"''","null"),SUBSTITUTE(VLOOKUP(H$2,convert!$A$1:$B$4,2,0),"@@@",H325))</f>
        <v>45</v>
      </c>
      <c r="X325" s="4" t="str">
        <f>IF(I325="",IF(ISNUMBER(SEARCH("NOT NULL",UPPER(I$3))),"''","null"),SUBSTITUTE(VLOOKUP(I$2,convert!$A$1:$B$4,2,0),"@@@",I325))</f>
        <v>''</v>
      </c>
      <c r="Y325" s="4" t="str">
        <f>IF(J325="",IF(ISNUMBER(SEARCH("NOT NULL",UPPER(J$3))),"''","null"),SUBSTITUTE(VLOOKUP(J$2,convert!$A$1:$B$4,2,0),"@@@",J325))</f>
        <v>'fire'</v>
      </c>
      <c r="Z325" s="4" t="str">
        <f>IF(K325="",IF(ISNUMBER(SEARCH("NOT NULL",UPPER(K$3))),"''","null"),SUBSTITUTE(VLOOKUP(K$2,convert!$A$1:$B$4,2,0),"@@@",K325))</f>
        <v>null</v>
      </c>
      <c r="AA325" s="4" t="str">
        <f>IF(L325="",IF(ISNUMBER(SEARCH("NOT NULL",UPPER(L$3))),"''","null"),SUBSTITUTE(VLOOKUP(L$2,convert!$A$1:$B$4,2,0),"@@@",L325))</f>
        <v>'g3'</v>
      </c>
      <c r="AB325" s="4" t="str">
        <f>IF(M325="",IF(ISNUMBER(SEARCH("NOT NULL",UPPER(M$3))),"''","null"),SUBSTITUTE(VLOOKUP(M$2,convert!$A$1:$B$4,2,0),"@@@",M325))</f>
        <v>null</v>
      </c>
      <c r="AC325" s="4" t="str">
        <f>IF(N325="",IF(ISNUMBER(SEARCH("NOT NULL",UPPER(N$3))),"''","null"),SUBSTITUTE(VLOOKUP(N$2,convert!$A$1:$B$4,2,0),"@@@",N325))</f>
        <v>null</v>
      </c>
      <c r="AD325" s="4" t="str">
        <f>IF(O325="",IF(ISNUMBER(SEARCH("NOT NULL",UPPER(O$3))),"''","null"),SUBSTITUTE(VLOOKUP(O$2,convert!$A$1:$B$4,2,0),"@@@",O325))</f>
        <v>TRUE</v>
      </c>
      <c r="AE325" s="4" t="str">
        <f t="shared" ref="AE325:AE388" si="5">"    ("&amp;_xlfn.TEXTJOIN(", ",FALSE,P325:AD325)&amp;"),"</f>
        <v>    ('0255N01', 'アチャモ', 45, 60, 40, 70, 50, 45, '', 'fire', null, 'g3', null, null, TRUE),</v>
      </c>
    </row>
    <row r="326" spans="1:31">
      <c r="A326" s="4" t="s">
        <v>665</v>
      </c>
      <c r="B326" s="4" t="s">
        <v>666</v>
      </c>
      <c r="C326" s="5">
        <v>60</v>
      </c>
      <c r="D326" s="5">
        <v>85</v>
      </c>
      <c r="E326" s="5">
        <v>60</v>
      </c>
      <c r="F326" s="5">
        <v>85</v>
      </c>
      <c r="G326" s="5">
        <v>60</v>
      </c>
      <c r="H326" s="5">
        <v>55</v>
      </c>
      <c r="I326" s="5"/>
      <c r="J326" s="4" t="s">
        <v>42</v>
      </c>
      <c r="K326" s="4" t="s">
        <v>189</v>
      </c>
      <c r="L326" s="4" t="s">
        <v>656</v>
      </c>
      <c r="M326" s="5"/>
      <c r="N326" s="5"/>
      <c r="O326" s="5" t="b">
        <v>1</v>
      </c>
      <c r="P326" s="4" t="str">
        <f>IF(A326="",IF(ISNUMBER(SEARCH("NOT NULL",UPPER(A$3))),"''","null"),SUBSTITUTE(VLOOKUP(A$2,convert!$A$1:$B$4,2,0),"@@@",A326))</f>
        <v>'0256N01'</v>
      </c>
      <c r="Q326" s="4" t="str">
        <f>IF(B326="",IF(ISNUMBER(SEARCH("NOT NULL",UPPER(B$3))),"''","null"),SUBSTITUTE(VLOOKUP(B$2,convert!$A$1:$B$4,2,0),"@@@",B326))</f>
        <v>'ワカシャモ'</v>
      </c>
      <c r="R326" s="4" t="str">
        <f>IF(C326="",IF(ISNUMBER(SEARCH("NOT NULL",UPPER(C$3))),"''","null"),SUBSTITUTE(VLOOKUP(C$2,convert!$A$1:$B$4,2,0),"@@@",C326))</f>
        <v>60</v>
      </c>
      <c r="S326" s="4" t="str">
        <f>IF(D326="",IF(ISNUMBER(SEARCH("NOT NULL",UPPER(D$3))),"''","null"),SUBSTITUTE(VLOOKUP(D$2,convert!$A$1:$B$4,2,0),"@@@",D326))</f>
        <v>85</v>
      </c>
      <c r="T326" s="4" t="str">
        <f>IF(E326="",IF(ISNUMBER(SEARCH("NOT NULL",UPPER(E$3))),"''","null"),SUBSTITUTE(VLOOKUP(E$2,convert!$A$1:$B$4,2,0),"@@@",E326))</f>
        <v>60</v>
      </c>
      <c r="U326" s="4" t="str">
        <f>IF(F326="",IF(ISNUMBER(SEARCH("NOT NULL",UPPER(F$3))),"''","null"),SUBSTITUTE(VLOOKUP(F$2,convert!$A$1:$B$4,2,0),"@@@",F326))</f>
        <v>85</v>
      </c>
      <c r="V326" s="4" t="str">
        <f>IF(G326="",IF(ISNUMBER(SEARCH("NOT NULL",UPPER(G$3))),"''","null"),SUBSTITUTE(VLOOKUP(G$2,convert!$A$1:$B$4,2,0),"@@@",G326))</f>
        <v>60</v>
      </c>
      <c r="W326" s="4" t="str">
        <f>IF(H326="",IF(ISNUMBER(SEARCH("NOT NULL",UPPER(H$3))),"''","null"),SUBSTITUTE(VLOOKUP(H$2,convert!$A$1:$B$4,2,0),"@@@",H326))</f>
        <v>55</v>
      </c>
      <c r="X326" s="4" t="str">
        <f>IF(I326="",IF(ISNUMBER(SEARCH("NOT NULL",UPPER(I$3))),"''","null"),SUBSTITUTE(VLOOKUP(I$2,convert!$A$1:$B$4,2,0),"@@@",I326))</f>
        <v>''</v>
      </c>
      <c r="Y326" s="4" t="str">
        <f>IF(J326="",IF(ISNUMBER(SEARCH("NOT NULL",UPPER(J$3))),"''","null"),SUBSTITUTE(VLOOKUP(J$2,convert!$A$1:$B$4,2,0),"@@@",J326))</f>
        <v>'fire'</v>
      </c>
      <c r="Z326" s="4" t="str">
        <f>IF(K326="",IF(ISNUMBER(SEARCH("NOT NULL",UPPER(K$3))),"''","null"),SUBSTITUTE(VLOOKUP(K$2,convert!$A$1:$B$4,2,0),"@@@",K326))</f>
        <v>'fighting'</v>
      </c>
      <c r="AA326" s="4" t="str">
        <f>IF(L326="",IF(ISNUMBER(SEARCH("NOT NULL",UPPER(L$3))),"''","null"),SUBSTITUTE(VLOOKUP(L$2,convert!$A$1:$B$4,2,0),"@@@",L326))</f>
        <v>'g3'</v>
      </c>
      <c r="AB326" s="4" t="str">
        <f>IF(M326="",IF(ISNUMBER(SEARCH("NOT NULL",UPPER(M$3))),"''","null"),SUBSTITUTE(VLOOKUP(M$2,convert!$A$1:$B$4,2,0),"@@@",M326))</f>
        <v>null</v>
      </c>
      <c r="AC326" s="4" t="str">
        <f>IF(N326="",IF(ISNUMBER(SEARCH("NOT NULL",UPPER(N$3))),"''","null"),SUBSTITUTE(VLOOKUP(N$2,convert!$A$1:$B$4,2,0),"@@@",N326))</f>
        <v>null</v>
      </c>
      <c r="AD326" s="4" t="str">
        <f>IF(O326="",IF(ISNUMBER(SEARCH("NOT NULL",UPPER(O$3))),"''","null"),SUBSTITUTE(VLOOKUP(O$2,convert!$A$1:$B$4,2,0),"@@@",O326))</f>
        <v>TRUE</v>
      </c>
      <c r="AE326" s="4" t="str">
        <f t="shared" si="5"/>
        <v>    ('0256N01', 'ワカシャモ', 60, 85, 60, 85, 60, 55, '', 'fire', 'fighting', 'g3', null, null, TRUE),</v>
      </c>
    </row>
    <row r="327" spans="1:31">
      <c r="A327" s="4" t="s">
        <v>667</v>
      </c>
      <c r="B327" s="4" t="s">
        <v>668</v>
      </c>
      <c r="C327" s="5">
        <v>80</v>
      </c>
      <c r="D327" s="5">
        <v>120</v>
      </c>
      <c r="E327" s="5">
        <v>70</v>
      </c>
      <c r="F327" s="5">
        <v>110</v>
      </c>
      <c r="G327" s="5">
        <v>70</v>
      </c>
      <c r="H327" s="5">
        <v>80</v>
      </c>
      <c r="I327" s="5"/>
      <c r="J327" s="4" t="s">
        <v>42</v>
      </c>
      <c r="K327" s="4" t="s">
        <v>189</v>
      </c>
      <c r="L327" s="4" t="s">
        <v>656</v>
      </c>
      <c r="M327" s="5"/>
      <c r="N327" s="5"/>
      <c r="O327" s="5" t="b">
        <v>1</v>
      </c>
      <c r="P327" s="4" t="str">
        <f>IF(A327="",IF(ISNUMBER(SEARCH("NOT NULL",UPPER(A$3))),"''","null"),SUBSTITUTE(VLOOKUP(A$2,convert!$A$1:$B$4,2,0),"@@@",A327))</f>
        <v>'0257N01'</v>
      </c>
      <c r="Q327" s="4" t="str">
        <f>IF(B327="",IF(ISNUMBER(SEARCH("NOT NULL",UPPER(B$3))),"''","null"),SUBSTITUTE(VLOOKUP(B$2,convert!$A$1:$B$4,2,0),"@@@",B327))</f>
        <v>'バシャーモ'</v>
      </c>
      <c r="R327" s="4" t="str">
        <f>IF(C327="",IF(ISNUMBER(SEARCH("NOT NULL",UPPER(C$3))),"''","null"),SUBSTITUTE(VLOOKUP(C$2,convert!$A$1:$B$4,2,0),"@@@",C327))</f>
        <v>80</v>
      </c>
      <c r="S327" s="4" t="str">
        <f>IF(D327="",IF(ISNUMBER(SEARCH("NOT NULL",UPPER(D$3))),"''","null"),SUBSTITUTE(VLOOKUP(D$2,convert!$A$1:$B$4,2,0),"@@@",D327))</f>
        <v>120</v>
      </c>
      <c r="T327" s="4" t="str">
        <f>IF(E327="",IF(ISNUMBER(SEARCH("NOT NULL",UPPER(E$3))),"''","null"),SUBSTITUTE(VLOOKUP(E$2,convert!$A$1:$B$4,2,0),"@@@",E327))</f>
        <v>70</v>
      </c>
      <c r="U327" s="4" t="str">
        <f>IF(F327="",IF(ISNUMBER(SEARCH("NOT NULL",UPPER(F$3))),"''","null"),SUBSTITUTE(VLOOKUP(F$2,convert!$A$1:$B$4,2,0),"@@@",F327))</f>
        <v>110</v>
      </c>
      <c r="V327" s="4" t="str">
        <f>IF(G327="",IF(ISNUMBER(SEARCH("NOT NULL",UPPER(G$3))),"''","null"),SUBSTITUTE(VLOOKUP(G$2,convert!$A$1:$B$4,2,0),"@@@",G327))</f>
        <v>70</v>
      </c>
      <c r="W327" s="4" t="str">
        <f>IF(H327="",IF(ISNUMBER(SEARCH("NOT NULL",UPPER(H$3))),"''","null"),SUBSTITUTE(VLOOKUP(H$2,convert!$A$1:$B$4,2,0),"@@@",H327))</f>
        <v>80</v>
      </c>
      <c r="X327" s="4" t="str">
        <f>IF(I327="",IF(ISNUMBER(SEARCH("NOT NULL",UPPER(I$3))),"''","null"),SUBSTITUTE(VLOOKUP(I$2,convert!$A$1:$B$4,2,0),"@@@",I327))</f>
        <v>''</v>
      </c>
      <c r="Y327" s="4" t="str">
        <f>IF(J327="",IF(ISNUMBER(SEARCH("NOT NULL",UPPER(J$3))),"''","null"),SUBSTITUTE(VLOOKUP(J$2,convert!$A$1:$B$4,2,0),"@@@",J327))</f>
        <v>'fire'</v>
      </c>
      <c r="Z327" s="4" t="str">
        <f>IF(K327="",IF(ISNUMBER(SEARCH("NOT NULL",UPPER(K$3))),"''","null"),SUBSTITUTE(VLOOKUP(K$2,convert!$A$1:$B$4,2,0),"@@@",K327))</f>
        <v>'fighting'</v>
      </c>
      <c r="AA327" s="4" t="str">
        <f>IF(L327="",IF(ISNUMBER(SEARCH("NOT NULL",UPPER(L$3))),"''","null"),SUBSTITUTE(VLOOKUP(L$2,convert!$A$1:$B$4,2,0),"@@@",L327))</f>
        <v>'g3'</v>
      </c>
      <c r="AB327" s="4" t="str">
        <f>IF(M327="",IF(ISNUMBER(SEARCH("NOT NULL",UPPER(M$3))),"''","null"),SUBSTITUTE(VLOOKUP(M$2,convert!$A$1:$B$4,2,0),"@@@",M327))</f>
        <v>null</v>
      </c>
      <c r="AC327" s="4" t="str">
        <f>IF(N327="",IF(ISNUMBER(SEARCH("NOT NULL",UPPER(N$3))),"''","null"),SUBSTITUTE(VLOOKUP(N$2,convert!$A$1:$B$4,2,0),"@@@",N327))</f>
        <v>null</v>
      </c>
      <c r="AD327" s="4" t="str">
        <f>IF(O327="",IF(ISNUMBER(SEARCH("NOT NULL",UPPER(O$3))),"''","null"),SUBSTITUTE(VLOOKUP(O$2,convert!$A$1:$B$4,2,0),"@@@",O327))</f>
        <v>TRUE</v>
      </c>
      <c r="AE327" s="4" t="str">
        <f t="shared" si="5"/>
        <v>    ('0257N01', 'バシャーモ', 80, 120, 70, 110, 70, 80, '', 'fire', 'fighting', 'g3', null, null, TRUE),</v>
      </c>
    </row>
    <row r="328" spans="1:31">
      <c r="A328" s="4" t="s">
        <v>669</v>
      </c>
      <c r="B328" s="4" t="s">
        <v>670</v>
      </c>
      <c r="C328" s="5">
        <v>80</v>
      </c>
      <c r="D328" s="5">
        <v>160</v>
      </c>
      <c r="E328" s="5">
        <v>80</v>
      </c>
      <c r="F328" s="5">
        <v>130</v>
      </c>
      <c r="G328" s="5">
        <v>80</v>
      </c>
      <c r="H328" s="5">
        <v>100</v>
      </c>
      <c r="I328" s="5"/>
      <c r="J328" s="4" t="s">
        <v>42</v>
      </c>
      <c r="K328" s="4" t="s">
        <v>189</v>
      </c>
      <c r="L328" s="4" t="s">
        <v>39</v>
      </c>
      <c r="M328" s="5"/>
      <c r="N328" s="5"/>
      <c r="O328" s="5" t="b">
        <v>1</v>
      </c>
      <c r="P328" s="4" t="str">
        <f>IF(A328="",IF(ISNUMBER(SEARCH("NOT NULL",UPPER(A$3))),"''","null"),SUBSTITUTE(VLOOKUP(A$2,convert!$A$1:$B$4,2,0),"@@@",A328))</f>
        <v>'0257M01'</v>
      </c>
      <c r="Q328" s="4" t="str">
        <f>IF(B328="",IF(ISNUMBER(SEARCH("NOT NULL",UPPER(B$3))),"''","null"),SUBSTITUTE(VLOOKUP(B$2,convert!$A$1:$B$4,2,0),"@@@",B328))</f>
        <v>'メガバシャーモ'</v>
      </c>
      <c r="R328" s="4" t="str">
        <f>IF(C328="",IF(ISNUMBER(SEARCH("NOT NULL",UPPER(C$3))),"''","null"),SUBSTITUTE(VLOOKUP(C$2,convert!$A$1:$B$4,2,0),"@@@",C328))</f>
        <v>80</v>
      </c>
      <c r="S328" s="4" t="str">
        <f>IF(D328="",IF(ISNUMBER(SEARCH("NOT NULL",UPPER(D$3))),"''","null"),SUBSTITUTE(VLOOKUP(D$2,convert!$A$1:$B$4,2,0),"@@@",D328))</f>
        <v>160</v>
      </c>
      <c r="T328" s="4" t="str">
        <f>IF(E328="",IF(ISNUMBER(SEARCH("NOT NULL",UPPER(E$3))),"''","null"),SUBSTITUTE(VLOOKUP(E$2,convert!$A$1:$B$4,2,0),"@@@",E328))</f>
        <v>80</v>
      </c>
      <c r="U328" s="4" t="str">
        <f>IF(F328="",IF(ISNUMBER(SEARCH("NOT NULL",UPPER(F$3))),"''","null"),SUBSTITUTE(VLOOKUP(F$2,convert!$A$1:$B$4,2,0),"@@@",F328))</f>
        <v>130</v>
      </c>
      <c r="V328" s="4" t="str">
        <f>IF(G328="",IF(ISNUMBER(SEARCH("NOT NULL",UPPER(G$3))),"''","null"),SUBSTITUTE(VLOOKUP(G$2,convert!$A$1:$B$4,2,0),"@@@",G328))</f>
        <v>80</v>
      </c>
      <c r="W328" s="4" t="str">
        <f>IF(H328="",IF(ISNUMBER(SEARCH("NOT NULL",UPPER(H$3))),"''","null"),SUBSTITUTE(VLOOKUP(H$2,convert!$A$1:$B$4,2,0),"@@@",H328))</f>
        <v>100</v>
      </c>
      <c r="X328" s="4" t="str">
        <f>IF(I328="",IF(ISNUMBER(SEARCH("NOT NULL",UPPER(I$3))),"''","null"),SUBSTITUTE(VLOOKUP(I$2,convert!$A$1:$B$4,2,0),"@@@",I328))</f>
        <v>''</v>
      </c>
      <c r="Y328" s="4" t="str">
        <f>IF(J328="",IF(ISNUMBER(SEARCH("NOT NULL",UPPER(J$3))),"''","null"),SUBSTITUTE(VLOOKUP(J$2,convert!$A$1:$B$4,2,0),"@@@",J328))</f>
        <v>'fire'</v>
      </c>
      <c r="Z328" s="4" t="str">
        <f>IF(K328="",IF(ISNUMBER(SEARCH("NOT NULL",UPPER(K$3))),"''","null"),SUBSTITUTE(VLOOKUP(K$2,convert!$A$1:$B$4,2,0),"@@@",K328))</f>
        <v>'fighting'</v>
      </c>
      <c r="AA328" s="4" t="str">
        <f>IF(L328="",IF(ISNUMBER(SEARCH("NOT NULL",UPPER(L$3))),"''","null"),SUBSTITUTE(VLOOKUP(L$2,convert!$A$1:$B$4,2,0),"@@@",L328))</f>
        <v>'g6'</v>
      </c>
      <c r="AB328" s="4" t="str">
        <f>IF(M328="",IF(ISNUMBER(SEARCH("NOT NULL",UPPER(M$3))),"''","null"),SUBSTITUTE(VLOOKUP(M$2,convert!$A$1:$B$4,2,0),"@@@",M328))</f>
        <v>null</v>
      </c>
      <c r="AC328" s="4" t="str">
        <f>IF(N328="",IF(ISNUMBER(SEARCH("NOT NULL",UPPER(N$3))),"''","null"),SUBSTITUTE(VLOOKUP(N$2,convert!$A$1:$B$4,2,0),"@@@",N328))</f>
        <v>null</v>
      </c>
      <c r="AD328" s="4" t="str">
        <f>IF(O328="",IF(ISNUMBER(SEARCH("NOT NULL",UPPER(O$3))),"''","null"),SUBSTITUTE(VLOOKUP(O$2,convert!$A$1:$B$4,2,0),"@@@",O328))</f>
        <v>TRUE</v>
      </c>
      <c r="AE328" s="4" t="str">
        <f t="shared" si="5"/>
        <v>    ('0257M01', 'メガバシャーモ', 80, 160, 80, 130, 80, 100, '', 'fire', 'fighting', 'g6', null, null, TRUE),</v>
      </c>
    </row>
    <row r="329" spans="1:31">
      <c r="A329" s="4" t="s">
        <v>671</v>
      </c>
      <c r="B329" s="4" t="s">
        <v>672</v>
      </c>
      <c r="C329" s="5">
        <v>50</v>
      </c>
      <c r="D329" s="5">
        <v>70</v>
      </c>
      <c r="E329" s="5">
        <v>50</v>
      </c>
      <c r="F329" s="5">
        <v>50</v>
      </c>
      <c r="G329" s="5">
        <v>50</v>
      </c>
      <c r="H329" s="5">
        <v>40</v>
      </c>
      <c r="I329" s="5"/>
      <c r="J329" s="4" t="s">
        <v>55</v>
      </c>
      <c r="K329" s="5"/>
      <c r="L329" s="4" t="s">
        <v>656</v>
      </c>
      <c r="M329" s="5"/>
      <c r="N329" s="5"/>
      <c r="O329" s="5" t="b">
        <v>1</v>
      </c>
      <c r="P329" s="4" t="str">
        <f>IF(A329="",IF(ISNUMBER(SEARCH("NOT NULL",UPPER(A$3))),"''","null"),SUBSTITUTE(VLOOKUP(A$2,convert!$A$1:$B$4,2,0),"@@@",A329))</f>
        <v>'0258N01'</v>
      </c>
      <c r="Q329" s="4" t="str">
        <f>IF(B329="",IF(ISNUMBER(SEARCH("NOT NULL",UPPER(B$3))),"''","null"),SUBSTITUTE(VLOOKUP(B$2,convert!$A$1:$B$4,2,0),"@@@",B329))</f>
        <v>'ミズゴロウ'</v>
      </c>
      <c r="R329" s="4" t="str">
        <f>IF(C329="",IF(ISNUMBER(SEARCH("NOT NULL",UPPER(C$3))),"''","null"),SUBSTITUTE(VLOOKUP(C$2,convert!$A$1:$B$4,2,0),"@@@",C329))</f>
        <v>50</v>
      </c>
      <c r="S329" s="4" t="str">
        <f>IF(D329="",IF(ISNUMBER(SEARCH("NOT NULL",UPPER(D$3))),"''","null"),SUBSTITUTE(VLOOKUP(D$2,convert!$A$1:$B$4,2,0),"@@@",D329))</f>
        <v>70</v>
      </c>
      <c r="T329" s="4" t="str">
        <f>IF(E329="",IF(ISNUMBER(SEARCH("NOT NULL",UPPER(E$3))),"''","null"),SUBSTITUTE(VLOOKUP(E$2,convert!$A$1:$B$4,2,0),"@@@",E329))</f>
        <v>50</v>
      </c>
      <c r="U329" s="4" t="str">
        <f>IF(F329="",IF(ISNUMBER(SEARCH("NOT NULL",UPPER(F$3))),"''","null"),SUBSTITUTE(VLOOKUP(F$2,convert!$A$1:$B$4,2,0),"@@@",F329))</f>
        <v>50</v>
      </c>
      <c r="V329" s="4" t="str">
        <f>IF(G329="",IF(ISNUMBER(SEARCH("NOT NULL",UPPER(G$3))),"''","null"),SUBSTITUTE(VLOOKUP(G$2,convert!$A$1:$B$4,2,0),"@@@",G329))</f>
        <v>50</v>
      </c>
      <c r="W329" s="4" t="str">
        <f>IF(H329="",IF(ISNUMBER(SEARCH("NOT NULL",UPPER(H$3))),"''","null"),SUBSTITUTE(VLOOKUP(H$2,convert!$A$1:$B$4,2,0),"@@@",H329))</f>
        <v>40</v>
      </c>
      <c r="X329" s="4" t="str">
        <f>IF(I329="",IF(ISNUMBER(SEARCH("NOT NULL",UPPER(I$3))),"''","null"),SUBSTITUTE(VLOOKUP(I$2,convert!$A$1:$B$4,2,0),"@@@",I329))</f>
        <v>''</v>
      </c>
      <c r="Y329" s="4" t="str">
        <f>IF(J329="",IF(ISNUMBER(SEARCH("NOT NULL",UPPER(J$3))),"''","null"),SUBSTITUTE(VLOOKUP(J$2,convert!$A$1:$B$4,2,0),"@@@",J329))</f>
        <v>'water'</v>
      </c>
      <c r="Z329" s="4" t="str">
        <f>IF(K329="",IF(ISNUMBER(SEARCH("NOT NULL",UPPER(K$3))),"''","null"),SUBSTITUTE(VLOOKUP(K$2,convert!$A$1:$B$4,2,0),"@@@",K329))</f>
        <v>null</v>
      </c>
      <c r="AA329" s="4" t="str">
        <f>IF(L329="",IF(ISNUMBER(SEARCH("NOT NULL",UPPER(L$3))),"''","null"),SUBSTITUTE(VLOOKUP(L$2,convert!$A$1:$B$4,2,0),"@@@",L329))</f>
        <v>'g3'</v>
      </c>
      <c r="AB329" s="4" t="str">
        <f>IF(M329="",IF(ISNUMBER(SEARCH("NOT NULL",UPPER(M$3))),"''","null"),SUBSTITUTE(VLOOKUP(M$2,convert!$A$1:$B$4,2,0),"@@@",M329))</f>
        <v>null</v>
      </c>
      <c r="AC329" s="4" t="str">
        <f>IF(N329="",IF(ISNUMBER(SEARCH("NOT NULL",UPPER(N$3))),"''","null"),SUBSTITUTE(VLOOKUP(N$2,convert!$A$1:$B$4,2,0),"@@@",N329))</f>
        <v>null</v>
      </c>
      <c r="AD329" s="4" t="str">
        <f>IF(O329="",IF(ISNUMBER(SEARCH("NOT NULL",UPPER(O$3))),"''","null"),SUBSTITUTE(VLOOKUP(O$2,convert!$A$1:$B$4,2,0),"@@@",O329))</f>
        <v>TRUE</v>
      </c>
      <c r="AE329" s="4" t="str">
        <f t="shared" si="5"/>
        <v>    ('0258N01', 'ミズゴロウ', 50, 70, 50, 50, 50, 40, '', 'water', null, 'g3', null, null, TRUE),</v>
      </c>
    </row>
    <row r="330" spans="1:31">
      <c r="A330" s="4" t="s">
        <v>673</v>
      </c>
      <c r="B330" s="4" t="s">
        <v>674</v>
      </c>
      <c r="C330" s="5">
        <v>70</v>
      </c>
      <c r="D330" s="5">
        <v>85</v>
      </c>
      <c r="E330" s="5">
        <v>70</v>
      </c>
      <c r="F330" s="5">
        <v>60</v>
      </c>
      <c r="G330" s="5">
        <v>70</v>
      </c>
      <c r="H330" s="5">
        <v>50</v>
      </c>
      <c r="I330" s="5"/>
      <c r="J330" s="4" t="s">
        <v>55</v>
      </c>
      <c r="K330" s="4" t="s">
        <v>116</v>
      </c>
      <c r="L330" s="4" t="s">
        <v>656</v>
      </c>
      <c r="M330" s="5"/>
      <c r="N330" s="5"/>
      <c r="O330" s="5" t="b">
        <v>1</v>
      </c>
      <c r="P330" s="4" t="str">
        <f>IF(A330="",IF(ISNUMBER(SEARCH("NOT NULL",UPPER(A$3))),"''","null"),SUBSTITUTE(VLOOKUP(A$2,convert!$A$1:$B$4,2,0),"@@@",A330))</f>
        <v>'0259N01'</v>
      </c>
      <c r="Q330" s="4" t="str">
        <f>IF(B330="",IF(ISNUMBER(SEARCH("NOT NULL",UPPER(B$3))),"''","null"),SUBSTITUTE(VLOOKUP(B$2,convert!$A$1:$B$4,2,0),"@@@",B330))</f>
        <v>'ヌマクロー'</v>
      </c>
      <c r="R330" s="4" t="str">
        <f>IF(C330="",IF(ISNUMBER(SEARCH("NOT NULL",UPPER(C$3))),"''","null"),SUBSTITUTE(VLOOKUP(C$2,convert!$A$1:$B$4,2,0),"@@@",C330))</f>
        <v>70</v>
      </c>
      <c r="S330" s="4" t="str">
        <f>IF(D330="",IF(ISNUMBER(SEARCH("NOT NULL",UPPER(D$3))),"''","null"),SUBSTITUTE(VLOOKUP(D$2,convert!$A$1:$B$4,2,0),"@@@",D330))</f>
        <v>85</v>
      </c>
      <c r="T330" s="4" t="str">
        <f>IF(E330="",IF(ISNUMBER(SEARCH("NOT NULL",UPPER(E$3))),"''","null"),SUBSTITUTE(VLOOKUP(E$2,convert!$A$1:$B$4,2,0),"@@@",E330))</f>
        <v>70</v>
      </c>
      <c r="U330" s="4" t="str">
        <f>IF(F330="",IF(ISNUMBER(SEARCH("NOT NULL",UPPER(F$3))),"''","null"),SUBSTITUTE(VLOOKUP(F$2,convert!$A$1:$B$4,2,0),"@@@",F330))</f>
        <v>60</v>
      </c>
      <c r="V330" s="4" t="str">
        <f>IF(G330="",IF(ISNUMBER(SEARCH("NOT NULL",UPPER(G$3))),"''","null"),SUBSTITUTE(VLOOKUP(G$2,convert!$A$1:$B$4,2,0),"@@@",G330))</f>
        <v>70</v>
      </c>
      <c r="W330" s="4" t="str">
        <f>IF(H330="",IF(ISNUMBER(SEARCH("NOT NULL",UPPER(H$3))),"''","null"),SUBSTITUTE(VLOOKUP(H$2,convert!$A$1:$B$4,2,0),"@@@",H330))</f>
        <v>50</v>
      </c>
      <c r="X330" s="4" t="str">
        <f>IF(I330="",IF(ISNUMBER(SEARCH("NOT NULL",UPPER(I$3))),"''","null"),SUBSTITUTE(VLOOKUP(I$2,convert!$A$1:$B$4,2,0),"@@@",I330))</f>
        <v>''</v>
      </c>
      <c r="Y330" s="4" t="str">
        <f>IF(J330="",IF(ISNUMBER(SEARCH("NOT NULL",UPPER(J$3))),"''","null"),SUBSTITUTE(VLOOKUP(J$2,convert!$A$1:$B$4,2,0),"@@@",J330))</f>
        <v>'water'</v>
      </c>
      <c r="Z330" s="4" t="str">
        <f>IF(K330="",IF(ISNUMBER(SEARCH("NOT NULL",UPPER(K$3))),"''","null"),SUBSTITUTE(VLOOKUP(K$2,convert!$A$1:$B$4,2,0),"@@@",K330))</f>
        <v>'ground'</v>
      </c>
      <c r="AA330" s="4" t="str">
        <f>IF(L330="",IF(ISNUMBER(SEARCH("NOT NULL",UPPER(L$3))),"''","null"),SUBSTITUTE(VLOOKUP(L$2,convert!$A$1:$B$4,2,0),"@@@",L330))</f>
        <v>'g3'</v>
      </c>
      <c r="AB330" s="4" t="str">
        <f>IF(M330="",IF(ISNUMBER(SEARCH("NOT NULL",UPPER(M$3))),"''","null"),SUBSTITUTE(VLOOKUP(M$2,convert!$A$1:$B$4,2,0),"@@@",M330))</f>
        <v>null</v>
      </c>
      <c r="AC330" s="4" t="str">
        <f>IF(N330="",IF(ISNUMBER(SEARCH("NOT NULL",UPPER(N$3))),"''","null"),SUBSTITUTE(VLOOKUP(N$2,convert!$A$1:$B$4,2,0),"@@@",N330))</f>
        <v>null</v>
      </c>
      <c r="AD330" s="4" t="str">
        <f>IF(O330="",IF(ISNUMBER(SEARCH("NOT NULL",UPPER(O$3))),"''","null"),SUBSTITUTE(VLOOKUP(O$2,convert!$A$1:$B$4,2,0),"@@@",O330))</f>
        <v>TRUE</v>
      </c>
      <c r="AE330" s="4" t="str">
        <f t="shared" si="5"/>
        <v>    ('0259N01', 'ヌマクロー', 70, 85, 70, 60, 70, 50, '', 'water', 'ground', 'g3', null, null, TRUE),</v>
      </c>
    </row>
    <row r="331" spans="1:31">
      <c r="A331" s="4" t="s">
        <v>675</v>
      </c>
      <c r="B331" s="4" t="s">
        <v>676</v>
      </c>
      <c r="C331" s="5">
        <v>100</v>
      </c>
      <c r="D331" s="5">
        <v>110</v>
      </c>
      <c r="E331" s="5">
        <v>90</v>
      </c>
      <c r="F331" s="5">
        <v>85</v>
      </c>
      <c r="G331" s="5">
        <v>90</v>
      </c>
      <c r="H331" s="5">
        <v>60</v>
      </c>
      <c r="I331" s="5"/>
      <c r="J331" s="4" t="s">
        <v>55</v>
      </c>
      <c r="K331" s="4" t="s">
        <v>116</v>
      </c>
      <c r="L331" s="4" t="s">
        <v>656</v>
      </c>
      <c r="M331" s="5"/>
      <c r="N331" s="5"/>
      <c r="O331" s="5" t="b">
        <v>1</v>
      </c>
      <c r="P331" s="4" t="str">
        <f>IF(A331="",IF(ISNUMBER(SEARCH("NOT NULL",UPPER(A$3))),"''","null"),SUBSTITUTE(VLOOKUP(A$2,convert!$A$1:$B$4,2,0),"@@@",A331))</f>
        <v>'0260N01'</v>
      </c>
      <c r="Q331" s="4" t="str">
        <f>IF(B331="",IF(ISNUMBER(SEARCH("NOT NULL",UPPER(B$3))),"''","null"),SUBSTITUTE(VLOOKUP(B$2,convert!$A$1:$B$4,2,0),"@@@",B331))</f>
        <v>'ラグラージ'</v>
      </c>
      <c r="R331" s="4" t="str">
        <f>IF(C331="",IF(ISNUMBER(SEARCH("NOT NULL",UPPER(C$3))),"''","null"),SUBSTITUTE(VLOOKUP(C$2,convert!$A$1:$B$4,2,0),"@@@",C331))</f>
        <v>100</v>
      </c>
      <c r="S331" s="4" t="str">
        <f>IF(D331="",IF(ISNUMBER(SEARCH("NOT NULL",UPPER(D$3))),"''","null"),SUBSTITUTE(VLOOKUP(D$2,convert!$A$1:$B$4,2,0),"@@@",D331))</f>
        <v>110</v>
      </c>
      <c r="T331" s="4" t="str">
        <f>IF(E331="",IF(ISNUMBER(SEARCH("NOT NULL",UPPER(E$3))),"''","null"),SUBSTITUTE(VLOOKUP(E$2,convert!$A$1:$B$4,2,0),"@@@",E331))</f>
        <v>90</v>
      </c>
      <c r="U331" s="4" t="str">
        <f>IF(F331="",IF(ISNUMBER(SEARCH("NOT NULL",UPPER(F$3))),"''","null"),SUBSTITUTE(VLOOKUP(F$2,convert!$A$1:$B$4,2,0),"@@@",F331))</f>
        <v>85</v>
      </c>
      <c r="V331" s="4" t="str">
        <f>IF(G331="",IF(ISNUMBER(SEARCH("NOT NULL",UPPER(G$3))),"''","null"),SUBSTITUTE(VLOOKUP(G$2,convert!$A$1:$B$4,2,0),"@@@",G331))</f>
        <v>90</v>
      </c>
      <c r="W331" s="4" t="str">
        <f>IF(H331="",IF(ISNUMBER(SEARCH("NOT NULL",UPPER(H$3))),"''","null"),SUBSTITUTE(VLOOKUP(H$2,convert!$A$1:$B$4,2,0),"@@@",H331))</f>
        <v>60</v>
      </c>
      <c r="X331" s="4" t="str">
        <f>IF(I331="",IF(ISNUMBER(SEARCH("NOT NULL",UPPER(I$3))),"''","null"),SUBSTITUTE(VLOOKUP(I$2,convert!$A$1:$B$4,2,0),"@@@",I331))</f>
        <v>''</v>
      </c>
      <c r="Y331" s="4" t="str">
        <f>IF(J331="",IF(ISNUMBER(SEARCH("NOT NULL",UPPER(J$3))),"''","null"),SUBSTITUTE(VLOOKUP(J$2,convert!$A$1:$B$4,2,0),"@@@",J331))</f>
        <v>'water'</v>
      </c>
      <c r="Z331" s="4" t="str">
        <f>IF(K331="",IF(ISNUMBER(SEARCH("NOT NULL",UPPER(K$3))),"''","null"),SUBSTITUTE(VLOOKUP(K$2,convert!$A$1:$B$4,2,0),"@@@",K331))</f>
        <v>'ground'</v>
      </c>
      <c r="AA331" s="4" t="str">
        <f>IF(L331="",IF(ISNUMBER(SEARCH("NOT NULL",UPPER(L$3))),"''","null"),SUBSTITUTE(VLOOKUP(L$2,convert!$A$1:$B$4,2,0),"@@@",L331))</f>
        <v>'g3'</v>
      </c>
      <c r="AB331" s="4" t="str">
        <f>IF(M331="",IF(ISNUMBER(SEARCH("NOT NULL",UPPER(M$3))),"''","null"),SUBSTITUTE(VLOOKUP(M$2,convert!$A$1:$B$4,2,0),"@@@",M331))</f>
        <v>null</v>
      </c>
      <c r="AC331" s="4" t="str">
        <f>IF(N331="",IF(ISNUMBER(SEARCH("NOT NULL",UPPER(N$3))),"''","null"),SUBSTITUTE(VLOOKUP(N$2,convert!$A$1:$B$4,2,0),"@@@",N331))</f>
        <v>null</v>
      </c>
      <c r="AD331" s="4" t="str">
        <f>IF(O331="",IF(ISNUMBER(SEARCH("NOT NULL",UPPER(O$3))),"''","null"),SUBSTITUTE(VLOOKUP(O$2,convert!$A$1:$B$4,2,0),"@@@",O331))</f>
        <v>TRUE</v>
      </c>
      <c r="AE331" s="4" t="str">
        <f t="shared" si="5"/>
        <v>    ('0260N01', 'ラグラージ', 100, 110, 90, 85, 90, 60, '', 'water', 'ground', 'g3', null, null, TRUE),</v>
      </c>
    </row>
    <row r="332" spans="1:31">
      <c r="A332" s="4" t="s">
        <v>677</v>
      </c>
      <c r="B332" s="4" t="s">
        <v>678</v>
      </c>
      <c r="C332" s="5">
        <v>100</v>
      </c>
      <c r="D332" s="5">
        <v>150</v>
      </c>
      <c r="E332" s="5">
        <v>110</v>
      </c>
      <c r="F332" s="5">
        <v>95</v>
      </c>
      <c r="G332" s="5">
        <v>110</v>
      </c>
      <c r="H332" s="5">
        <v>70</v>
      </c>
      <c r="I332" s="5"/>
      <c r="J332" s="4" t="s">
        <v>55</v>
      </c>
      <c r="K332" s="4" t="s">
        <v>116</v>
      </c>
      <c r="L332" s="4" t="s">
        <v>77</v>
      </c>
      <c r="M332" s="5"/>
      <c r="N332" s="5"/>
      <c r="O332" s="5" t="b">
        <v>1</v>
      </c>
      <c r="P332" s="4" t="str">
        <f>IF(A332="",IF(ISNUMBER(SEARCH("NOT NULL",UPPER(A$3))),"''","null"),SUBSTITUTE(VLOOKUP(A$2,convert!$A$1:$B$4,2,0),"@@@",A332))</f>
        <v>'0260M01'</v>
      </c>
      <c r="Q332" s="4" t="str">
        <f>IF(B332="",IF(ISNUMBER(SEARCH("NOT NULL",UPPER(B$3))),"''","null"),SUBSTITUTE(VLOOKUP(B$2,convert!$A$1:$B$4,2,0),"@@@",B332))</f>
        <v>'メガラグラージ'</v>
      </c>
      <c r="R332" s="4" t="str">
        <f>IF(C332="",IF(ISNUMBER(SEARCH("NOT NULL",UPPER(C$3))),"''","null"),SUBSTITUTE(VLOOKUP(C$2,convert!$A$1:$B$4,2,0),"@@@",C332))</f>
        <v>100</v>
      </c>
      <c r="S332" s="4" t="str">
        <f>IF(D332="",IF(ISNUMBER(SEARCH("NOT NULL",UPPER(D$3))),"''","null"),SUBSTITUTE(VLOOKUP(D$2,convert!$A$1:$B$4,2,0),"@@@",D332))</f>
        <v>150</v>
      </c>
      <c r="T332" s="4" t="str">
        <f>IF(E332="",IF(ISNUMBER(SEARCH("NOT NULL",UPPER(E$3))),"''","null"),SUBSTITUTE(VLOOKUP(E$2,convert!$A$1:$B$4,2,0),"@@@",E332))</f>
        <v>110</v>
      </c>
      <c r="U332" s="4" t="str">
        <f>IF(F332="",IF(ISNUMBER(SEARCH("NOT NULL",UPPER(F$3))),"''","null"),SUBSTITUTE(VLOOKUP(F$2,convert!$A$1:$B$4,2,0),"@@@",F332))</f>
        <v>95</v>
      </c>
      <c r="V332" s="4" t="str">
        <f>IF(G332="",IF(ISNUMBER(SEARCH("NOT NULL",UPPER(G$3))),"''","null"),SUBSTITUTE(VLOOKUP(G$2,convert!$A$1:$B$4,2,0),"@@@",G332))</f>
        <v>110</v>
      </c>
      <c r="W332" s="4" t="str">
        <f>IF(H332="",IF(ISNUMBER(SEARCH("NOT NULL",UPPER(H$3))),"''","null"),SUBSTITUTE(VLOOKUP(H$2,convert!$A$1:$B$4,2,0),"@@@",H332))</f>
        <v>70</v>
      </c>
      <c r="X332" s="4" t="str">
        <f>IF(I332="",IF(ISNUMBER(SEARCH("NOT NULL",UPPER(I$3))),"''","null"),SUBSTITUTE(VLOOKUP(I$2,convert!$A$1:$B$4,2,0),"@@@",I332))</f>
        <v>''</v>
      </c>
      <c r="Y332" s="4" t="str">
        <f>IF(J332="",IF(ISNUMBER(SEARCH("NOT NULL",UPPER(J$3))),"''","null"),SUBSTITUTE(VLOOKUP(J$2,convert!$A$1:$B$4,2,0),"@@@",J332))</f>
        <v>'water'</v>
      </c>
      <c r="Z332" s="4" t="str">
        <f>IF(K332="",IF(ISNUMBER(SEARCH("NOT NULL",UPPER(K$3))),"''","null"),SUBSTITUTE(VLOOKUP(K$2,convert!$A$1:$B$4,2,0),"@@@",K332))</f>
        <v>'ground'</v>
      </c>
      <c r="AA332" s="4" t="str">
        <f>IF(L332="",IF(ISNUMBER(SEARCH("NOT NULL",UPPER(L$3))),"''","null"),SUBSTITUTE(VLOOKUP(L$2,convert!$A$1:$B$4,2,0),"@@@",L332))</f>
        <v>'g6oras'</v>
      </c>
      <c r="AB332" s="4" t="str">
        <f>IF(M332="",IF(ISNUMBER(SEARCH("NOT NULL",UPPER(M$3))),"''","null"),SUBSTITUTE(VLOOKUP(M$2,convert!$A$1:$B$4,2,0),"@@@",M332))</f>
        <v>null</v>
      </c>
      <c r="AC332" s="4" t="str">
        <f>IF(N332="",IF(ISNUMBER(SEARCH("NOT NULL",UPPER(N$3))),"''","null"),SUBSTITUTE(VLOOKUP(N$2,convert!$A$1:$B$4,2,0),"@@@",N332))</f>
        <v>null</v>
      </c>
      <c r="AD332" s="4" t="str">
        <f>IF(O332="",IF(ISNUMBER(SEARCH("NOT NULL",UPPER(O$3))),"''","null"),SUBSTITUTE(VLOOKUP(O$2,convert!$A$1:$B$4,2,0),"@@@",O332))</f>
        <v>TRUE</v>
      </c>
      <c r="AE332" s="4" t="str">
        <f t="shared" si="5"/>
        <v>    ('0260M01', 'メガラグラージ', 100, 150, 110, 95, 110, 70, '', 'water', 'ground', 'g6oras', null, null, TRUE),</v>
      </c>
    </row>
    <row r="333" spans="1:31">
      <c r="A333" s="4" t="s">
        <v>679</v>
      </c>
      <c r="B333" s="4" t="s">
        <v>680</v>
      </c>
      <c r="C333" s="5">
        <v>35</v>
      </c>
      <c r="D333" s="5">
        <v>55</v>
      </c>
      <c r="E333" s="5">
        <v>35</v>
      </c>
      <c r="F333" s="5">
        <v>30</v>
      </c>
      <c r="G333" s="5">
        <v>30</v>
      </c>
      <c r="H333" s="5">
        <v>35</v>
      </c>
      <c r="I333" s="5"/>
      <c r="J333" s="4" t="s">
        <v>91</v>
      </c>
      <c r="K333" s="5"/>
      <c r="L333" s="4" t="s">
        <v>656</v>
      </c>
      <c r="M333" s="5"/>
      <c r="N333" s="5"/>
      <c r="O333" s="5" t="b">
        <v>1</v>
      </c>
      <c r="P333" s="4" t="str">
        <f>IF(A333="",IF(ISNUMBER(SEARCH("NOT NULL",UPPER(A$3))),"''","null"),SUBSTITUTE(VLOOKUP(A$2,convert!$A$1:$B$4,2,0),"@@@",A333))</f>
        <v>'0261N01'</v>
      </c>
      <c r="Q333" s="4" t="str">
        <f>IF(B333="",IF(ISNUMBER(SEARCH("NOT NULL",UPPER(B$3))),"''","null"),SUBSTITUTE(VLOOKUP(B$2,convert!$A$1:$B$4,2,0),"@@@",B333))</f>
        <v>'ポチエナ'</v>
      </c>
      <c r="R333" s="4" t="str">
        <f>IF(C333="",IF(ISNUMBER(SEARCH("NOT NULL",UPPER(C$3))),"''","null"),SUBSTITUTE(VLOOKUP(C$2,convert!$A$1:$B$4,2,0),"@@@",C333))</f>
        <v>35</v>
      </c>
      <c r="S333" s="4" t="str">
        <f>IF(D333="",IF(ISNUMBER(SEARCH("NOT NULL",UPPER(D$3))),"''","null"),SUBSTITUTE(VLOOKUP(D$2,convert!$A$1:$B$4,2,0),"@@@",D333))</f>
        <v>55</v>
      </c>
      <c r="T333" s="4" t="str">
        <f>IF(E333="",IF(ISNUMBER(SEARCH("NOT NULL",UPPER(E$3))),"''","null"),SUBSTITUTE(VLOOKUP(E$2,convert!$A$1:$B$4,2,0),"@@@",E333))</f>
        <v>35</v>
      </c>
      <c r="U333" s="4" t="str">
        <f>IF(F333="",IF(ISNUMBER(SEARCH("NOT NULL",UPPER(F$3))),"''","null"),SUBSTITUTE(VLOOKUP(F$2,convert!$A$1:$B$4,2,0),"@@@",F333))</f>
        <v>30</v>
      </c>
      <c r="V333" s="4" t="str">
        <f>IF(G333="",IF(ISNUMBER(SEARCH("NOT NULL",UPPER(G$3))),"''","null"),SUBSTITUTE(VLOOKUP(G$2,convert!$A$1:$B$4,2,0),"@@@",G333))</f>
        <v>30</v>
      </c>
      <c r="W333" s="4" t="str">
        <f>IF(H333="",IF(ISNUMBER(SEARCH("NOT NULL",UPPER(H$3))),"''","null"),SUBSTITUTE(VLOOKUP(H$2,convert!$A$1:$B$4,2,0),"@@@",H333))</f>
        <v>35</v>
      </c>
      <c r="X333" s="4" t="str">
        <f>IF(I333="",IF(ISNUMBER(SEARCH("NOT NULL",UPPER(I$3))),"''","null"),SUBSTITUTE(VLOOKUP(I$2,convert!$A$1:$B$4,2,0),"@@@",I333))</f>
        <v>''</v>
      </c>
      <c r="Y333" s="4" t="str">
        <f>IF(J333="",IF(ISNUMBER(SEARCH("NOT NULL",UPPER(J$3))),"''","null"),SUBSTITUTE(VLOOKUP(J$2,convert!$A$1:$B$4,2,0),"@@@",J333))</f>
        <v>'dark'</v>
      </c>
      <c r="Z333" s="4" t="str">
        <f>IF(K333="",IF(ISNUMBER(SEARCH("NOT NULL",UPPER(K$3))),"''","null"),SUBSTITUTE(VLOOKUP(K$2,convert!$A$1:$B$4,2,0),"@@@",K333))</f>
        <v>null</v>
      </c>
      <c r="AA333" s="4" t="str">
        <f>IF(L333="",IF(ISNUMBER(SEARCH("NOT NULL",UPPER(L$3))),"''","null"),SUBSTITUTE(VLOOKUP(L$2,convert!$A$1:$B$4,2,0),"@@@",L333))</f>
        <v>'g3'</v>
      </c>
      <c r="AB333" s="4" t="str">
        <f>IF(M333="",IF(ISNUMBER(SEARCH("NOT NULL",UPPER(M$3))),"''","null"),SUBSTITUTE(VLOOKUP(M$2,convert!$A$1:$B$4,2,0),"@@@",M333))</f>
        <v>null</v>
      </c>
      <c r="AC333" s="4" t="str">
        <f>IF(N333="",IF(ISNUMBER(SEARCH("NOT NULL",UPPER(N$3))),"''","null"),SUBSTITUTE(VLOOKUP(N$2,convert!$A$1:$B$4,2,0),"@@@",N333))</f>
        <v>null</v>
      </c>
      <c r="AD333" s="4" t="str">
        <f>IF(O333="",IF(ISNUMBER(SEARCH("NOT NULL",UPPER(O$3))),"''","null"),SUBSTITUTE(VLOOKUP(O$2,convert!$A$1:$B$4,2,0),"@@@",O333))</f>
        <v>TRUE</v>
      </c>
      <c r="AE333" s="4" t="str">
        <f t="shared" si="5"/>
        <v>    ('0261N01', 'ポチエナ', 35, 55, 35, 30, 30, 35, '', 'dark', null, 'g3', null, null, TRUE),</v>
      </c>
    </row>
    <row r="334" spans="1:31">
      <c r="A334" s="4" t="s">
        <v>681</v>
      </c>
      <c r="B334" s="4" t="s">
        <v>682</v>
      </c>
      <c r="C334" s="5">
        <v>70</v>
      </c>
      <c r="D334" s="5">
        <v>90</v>
      </c>
      <c r="E334" s="5">
        <v>70</v>
      </c>
      <c r="F334" s="5">
        <v>60</v>
      </c>
      <c r="G334" s="5">
        <v>60</v>
      </c>
      <c r="H334" s="5">
        <v>70</v>
      </c>
      <c r="I334" s="5"/>
      <c r="J334" s="4" t="s">
        <v>91</v>
      </c>
      <c r="K334" s="5"/>
      <c r="L334" s="4" t="s">
        <v>656</v>
      </c>
      <c r="M334" s="5"/>
      <c r="N334" s="5"/>
      <c r="O334" s="5" t="b">
        <v>1</v>
      </c>
      <c r="P334" s="4" t="str">
        <f>IF(A334="",IF(ISNUMBER(SEARCH("NOT NULL",UPPER(A$3))),"''","null"),SUBSTITUTE(VLOOKUP(A$2,convert!$A$1:$B$4,2,0),"@@@",A334))</f>
        <v>'0262N01'</v>
      </c>
      <c r="Q334" s="4" t="str">
        <f>IF(B334="",IF(ISNUMBER(SEARCH("NOT NULL",UPPER(B$3))),"''","null"),SUBSTITUTE(VLOOKUP(B$2,convert!$A$1:$B$4,2,0),"@@@",B334))</f>
        <v>'グラエナ'</v>
      </c>
      <c r="R334" s="4" t="str">
        <f>IF(C334="",IF(ISNUMBER(SEARCH("NOT NULL",UPPER(C$3))),"''","null"),SUBSTITUTE(VLOOKUP(C$2,convert!$A$1:$B$4,2,0),"@@@",C334))</f>
        <v>70</v>
      </c>
      <c r="S334" s="4" t="str">
        <f>IF(D334="",IF(ISNUMBER(SEARCH("NOT NULL",UPPER(D$3))),"''","null"),SUBSTITUTE(VLOOKUP(D$2,convert!$A$1:$B$4,2,0),"@@@",D334))</f>
        <v>90</v>
      </c>
      <c r="T334" s="4" t="str">
        <f>IF(E334="",IF(ISNUMBER(SEARCH("NOT NULL",UPPER(E$3))),"''","null"),SUBSTITUTE(VLOOKUP(E$2,convert!$A$1:$B$4,2,0),"@@@",E334))</f>
        <v>70</v>
      </c>
      <c r="U334" s="4" t="str">
        <f>IF(F334="",IF(ISNUMBER(SEARCH("NOT NULL",UPPER(F$3))),"''","null"),SUBSTITUTE(VLOOKUP(F$2,convert!$A$1:$B$4,2,0),"@@@",F334))</f>
        <v>60</v>
      </c>
      <c r="V334" s="4" t="str">
        <f>IF(G334="",IF(ISNUMBER(SEARCH("NOT NULL",UPPER(G$3))),"''","null"),SUBSTITUTE(VLOOKUP(G$2,convert!$A$1:$B$4,2,0),"@@@",G334))</f>
        <v>60</v>
      </c>
      <c r="W334" s="4" t="str">
        <f>IF(H334="",IF(ISNUMBER(SEARCH("NOT NULL",UPPER(H$3))),"''","null"),SUBSTITUTE(VLOOKUP(H$2,convert!$A$1:$B$4,2,0),"@@@",H334))</f>
        <v>70</v>
      </c>
      <c r="X334" s="4" t="str">
        <f>IF(I334="",IF(ISNUMBER(SEARCH("NOT NULL",UPPER(I$3))),"''","null"),SUBSTITUTE(VLOOKUP(I$2,convert!$A$1:$B$4,2,0),"@@@",I334))</f>
        <v>''</v>
      </c>
      <c r="Y334" s="4" t="str">
        <f>IF(J334="",IF(ISNUMBER(SEARCH("NOT NULL",UPPER(J$3))),"''","null"),SUBSTITUTE(VLOOKUP(J$2,convert!$A$1:$B$4,2,0),"@@@",J334))</f>
        <v>'dark'</v>
      </c>
      <c r="Z334" s="4" t="str">
        <f>IF(K334="",IF(ISNUMBER(SEARCH("NOT NULL",UPPER(K$3))),"''","null"),SUBSTITUTE(VLOOKUP(K$2,convert!$A$1:$B$4,2,0),"@@@",K334))</f>
        <v>null</v>
      </c>
      <c r="AA334" s="4" t="str">
        <f>IF(L334="",IF(ISNUMBER(SEARCH("NOT NULL",UPPER(L$3))),"''","null"),SUBSTITUTE(VLOOKUP(L$2,convert!$A$1:$B$4,2,0),"@@@",L334))</f>
        <v>'g3'</v>
      </c>
      <c r="AB334" s="4" t="str">
        <f>IF(M334="",IF(ISNUMBER(SEARCH("NOT NULL",UPPER(M$3))),"''","null"),SUBSTITUTE(VLOOKUP(M$2,convert!$A$1:$B$4,2,0),"@@@",M334))</f>
        <v>null</v>
      </c>
      <c r="AC334" s="4" t="str">
        <f>IF(N334="",IF(ISNUMBER(SEARCH("NOT NULL",UPPER(N$3))),"''","null"),SUBSTITUTE(VLOOKUP(N$2,convert!$A$1:$B$4,2,0),"@@@",N334))</f>
        <v>null</v>
      </c>
      <c r="AD334" s="4" t="str">
        <f>IF(O334="",IF(ISNUMBER(SEARCH("NOT NULL",UPPER(O$3))),"''","null"),SUBSTITUTE(VLOOKUP(O$2,convert!$A$1:$B$4,2,0),"@@@",O334))</f>
        <v>TRUE</v>
      </c>
      <c r="AE334" s="4" t="str">
        <f t="shared" si="5"/>
        <v>    ('0262N01', 'グラエナ', 70, 90, 70, 60, 60, 70, '', 'dark', null, 'g3', null, null, TRUE),</v>
      </c>
    </row>
    <row r="335" spans="1:31">
      <c r="A335" s="4" t="s">
        <v>683</v>
      </c>
      <c r="B335" s="4" t="s">
        <v>684</v>
      </c>
      <c r="C335" s="5">
        <v>38</v>
      </c>
      <c r="D335" s="5">
        <v>30</v>
      </c>
      <c r="E335" s="5">
        <v>41</v>
      </c>
      <c r="F335" s="5">
        <v>30</v>
      </c>
      <c r="G335" s="5">
        <v>41</v>
      </c>
      <c r="H335" s="5">
        <v>60</v>
      </c>
      <c r="I335" s="5"/>
      <c r="J335" s="4" t="s">
        <v>80</v>
      </c>
      <c r="K335" s="5"/>
      <c r="L335" s="4" t="s">
        <v>656</v>
      </c>
      <c r="M335" s="5"/>
      <c r="N335" s="5"/>
      <c r="O335" s="5" t="b">
        <v>1</v>
      </c>
      <c r="P335" s="4" t="str">
        <f>IF(A335="",IF(ISNUMBER(SEARCH("NOT NULL",UPPER(A$3))),"''","null"),SUBSTITUTE(VLOOKUP(A$2,convert!$A$1:$B$4,2,0),"@@@",A335))</f>
        <v>'0263N01'</v>
      </c>
      <c r="Q335" s="4" t="str">
        <f>IF(B335="",IF(ISNUMBER(SEARCH("NOT NULL",UPPER(B$3))),"''","null"),SUBSTITUTE(VLOOKUP(B$2,convert!$A$1:$B$4,2,0),"@@@",B335))</f>
        <v>'ジグザグマ'</v>
      </c>
      <c r="R335" s="4" t="str">
        <f>IF(C335="",IF(ISNUMBER(SEARCH("NOT NULL",UPPER(C$3))),"''","null"),SUBSTITUTE(VLOOKUP(C$2,convert!$A$1:$B$4,2,0),"@@@",C335))</f>
        <v>38</v>
      </c>
      <c r="S335" s="4" t="str">
        <f>IF(D335="",IF(ISNUMBER(SEARCH("NOT NULL",UPPER(D$3))),"''","null"),SUBSTITUTE(VLOOKUP(D$2,convert!$A$1:$B$4,2,0),"@@@",D335))</f>
        <v>30</v>
      </c>
      <c r="T335" s="4" t="str">
        <f>IF(E335="",IF(ISNUMBER(SEARCH("NOT NULL",UPPER(E$3))),"''","null"),SUBSTITUTE(VLOOKUP(E$2,convert!$A$1:$B$4,2,0),"@@@",E335))</f>
        <v>41</v>
      </c>
      <c r="U335" s="4" t="str">
        <f>IF(F335="",IF(ISNUMBER(SEARCH("NOT NULL",UPPER(F$3))),"''","null"),SUBSTITUTE(VLOOKUP(F$2,convert!$A$1:$B$4,2,0),"@@@",F335))</f>
        <v>30</v>
      </c>
      <c r="V335" s="4" t="str">
        <f>IF(G335="",IF(ISNUMBER(SEARCH("NOT NULL",UPPER(G$3))),"''","null"),SUBSTITUTE(VLOOKUP(G$2,convert!$A$1:$B$4,2,0),"@@@",G335))</f>
        <v>41</v>
      </c>
      <c r="W335" s="4" t="str">
        <f>IF(H335="",IF(ISNUMBER(SEARCH("NOT NULL",UPPER(H$3))),"''","null"),SUBSTITUTE(VLOOKUP(H$2,convert!$A$1:$B$4,2,0),"@@@",H335))</f>
        <v>60</v>
      </c>
      <c r="X335" s="4" t="str">
        <f>IF(I335="",IF(ISNUMBER(SEARCH("NOT NULL",UPPER(I$3))),"''","null"),SUBSTITUTE(VLOOKUP(I$2,convert!$A$1:$B$4,2,0),"@@@",I335))</f>
        <v>''</v>
      </c>
      <c r="Y335" s="4" t="str">
        <f>IF(J335="",IF(ISNUMBER(SEARCH("NOT NULL",UPPER(J$3))),"''","null"),SUBSTITUTE(VLOOKUP(J$2,convert!$A$1:$B$4,2,0),"@@@",J335))</f>
        <v>'normal'</v>
      </c>
      <c r="Z335" s="4" t="str">
        <f>IF(K335="",IF(ISNUMBER(SEARCH("NOT NULL",UPPER(K$3))),"''","null"),SUBSTITUTE(VLOOKUP(K$2,convert!$A$1:$B$4,2,0),"@@@",K335))</f>
        <v>null</v>
      </c>
      <c r="AA335" s="4" t="str">
        <f>IF(L335="",IF(ISNUMBER(SEARCH("NOT NULL",UPPER(L$3))),"''","null"),SUBSTITUTE(VLOOKUP(L$2,convert!$A$1:$B$4,2,0),"@@@",L335))</f>
        <v>'g3'</v>
      </c>
      <c r="AB335" s="4" t="str">
        <f>IF(M335="",IF(ISNUMBER(SEARCH("NOT NULL",UPPER(M$3))),"''","null"),SUBSTITUTE(VLOOKUP(M$2,convert!$A$1:$B$4,2,0),"@@@",M335))</f>
        <v>null</v>
      </c>
      <c r="AC335" s="4" t="str">
        <f>IF(N335="",IF(ISNUMBER(SEARCH("NOT NULL",UPPER(N$3))),"''","null"),SUBSTITUTE(VLOOKUP(N$2,convert!$A$1:$B$4,2,0),"@@@",N335))</f>
        <v>null</v>
      </c>
      <c r="AD335" s="4" t="str">
        <f>IF(O335="",IF(ISNUMBER(SEARCH("NOT NULL",UPPER(O$3))),"''","null"),SUBSTITUTE(VLOOKUP(O$2,convert!$A$1:$B$4,2,0),"@@@",O335))</f>
        <v>TRUE</v>
      </c>
      <c r="AE335" s="4" t="str">
        <f t="shared" si="5"/>
        <v>    ('0263N01', 'ジグザグマ', 38, 30, 41, 30, 41, 60, '', 'normal', null, 'g3', null, null, TRUE),</v>
      </c>
    </row>
    <row r="336" spans="1:31">
      <c r="A336" s="4" t="s">
        <v>685</v>
      </c>
      <c r="B336" s="4" t="s">
        <v>684</v>
      </c>
      <c r="C336" s="5">
        <v>38</v>
      </c>
      <c r="D336" s="5">
        <v>30</v>
      </c>
      <c r="E336" s="5">
        <v>41</v>
      </c>
      <c r="F336" s="5">
        <v>30</v>
      </c>
      <c r="G336" s="5">
        <v>41</v>
      </c>
      <c r="H336" s="5">
        <v>60</v>
      </c>
      <c r="I336" s="4" t="s">
        <v>178</v>
      </c>
      <c r="J336" s="4" t="s">
        <v>91</v>
      </c>
      <c r="K336" s="4" t="s">
        <v>80</v>
      </c>
      <c r="L336" s="4" t="s">
        <v>179</v>
      </c>
      <c r="M336" s="5"/>
      <c r="N336" s="5"/>
      <c r="O336" s="5" t="b">
        <v>1</v>
      </c>
      <c r="P336" s="4" t="str">
        <f>IF(A336="",IF(ISNUMBER(SEARCH("NOT NULL",UPPER(A$3))),"''","null"),SUBSTITUTE(VLOOKUP(A$2,convert!$A$1:$B$4,2,0),"@@@",A336))</f>
        <v>'0263G01'</v>
      </c>
      <c r="Q336" s="4" t="str">
        <f>IF(B336="",IF(ISNUMBER(SEARCH("NOT NULL",UPPER(B$3))),"''","null"),SUBSTITUTE(VLOOKUP(B$2,convert!$A$1:$B$4,2,0),"@@@",B336))</f>
        <v>'ジグザグマ'</v>
      </c>
      <c r="R336" s="4" t="str">
        <f>IF(C336="",IF(ISNUMBER(SEARCH("NOT NULL",UPPER(C$3))),"''","null"),SUBSTITUTE(VLOOKUP(C$2,convert!$A$1:$B$4,2,0),"@@@",C336))</f>
        <v>38</v>
      </c>
      <c r="S336" s="4" t="str">
        <f>IF(D336="",IF(ISNUMBER(SEARCH("NOT NULL",UPPER(D$3))),"''","null"),SUBSTITUTE(VLOOKUP(D$2,convert!$A$1:$B$4,2,0),"@@@",D336))</f>
        <v>30</v>
      </c>
      <c r="T336" s="4" t="str">
        <f>IF(E336="",IF(ISNUMBER(SEARCH("NOT NULL",UPPER(E$3))),"''","null"),SUBSTITUTE(VLOOKUP(E$2,convert!$A$1:$B$4,2,0),"@@@",E336))</f>
        <v>41</v>
      </c>
      <c r="U336" s="4" t="str">
        <f>IF(F336="",IF(ISNUMBER(SEARCH("NOT NULL",UPPER(F$3))),"''","null"),SUBSTITUTE(VLOOKUP(F$2,convert!$A$1:$B$4,2,0),"@@@",F336))</f>
        <v>30</v>
      </c>
      <c r="V336" s="4" t="str">
        <f>IF(G336="",IF(ISNUMBER(SEARCH("NOT NULL",UPPER(G$3))),"''","null"),SUBSTITUTE(VLOOKUP(G$2,convert!$A$1:$B$4,2,0),"@@@",G336))</f>
        <v>41</v>
      </c>
      <c r="W336" s="4" t="str">
        <f>IF(H336="",IF(ISNUMBER(SEARCH("NOT NULL",UPPER(H$3))),"''","null"),SUBSTITUTE(VLOOKUP(H$2,convert!$A$1:$B$4,2,0),"@@@",H336))</f>
        <v>60</v>
      </c>
      <c r="X336" s="4" t="str">
        <f>IF(I336="",IF(ISNUMBER(SEARCH("NOT NULL",UPPER(I$3))),"''","null"),SUBSTITUTE(VLOOKUP(I$2,convert!$A$1:$B$4,2,0),"@@@",I336))</f>
        <v>'ガラルのすがた'</v>
      </c>
      <c r="Y336" s="4" t="str">
        <f>IF(J336="",IF(ISNUMBER(SEARCH("NOT NULL",UPPER(J$3))),"''","null"),SUBSTITUTE(VLOOKUP(J$2,convert!$A$1:$B$4,2,0),"@@@",J336))</f>
        <v>'dark'</v>
      </c>
      <c r="Z336" s="4" t="str">
        <f>IF(K336="",IF(ISNUMBER(SEARCH("NOT NULL",UPPER(K$3))),"''","null"),SUBSTITUTE(VLOOKUP(K$2,convert!$A$1:$B$4,2,0),"@@@",K336))</f>
        <v>'normal'</v>
      </c>
      <c r="AA336" s="4" t="str">
        <f>IF(L336="",IF(ISNUMBER(SEARCH("NOT NULL",UPPER(L$3))),"''","null"),SUBSTITUTE(VLOOKUP(L$2,convert!$A$1:$B$4,2,0),"@@@",L336))</f>
        <v>'g8'</v>
      </c>
      <c r="AB336" s="4" t="str">
        <f>IF(M336="",IF(ISNUMBER(SEARCH("NOT NULL",UPPER(M$3))),"''","null"),SUBSTITUTE(VLOOKUP(M$2,convert!$A$1:$B$4,2,0),"@@@",M336))</f>
        <v>null</v>
      </c>
      <c r="AC336" s="4" t="str">
        <f>IF(N336="",IF(ISNUMBER(SEARCH("NOT NULL",UPPER(N$3))),"''","null"),SUBSTITUTE(VLOOKUP(N$2,convert!$A$1:$B$4,2,0),"@@@",N336))</f>
        <v>null</v>
      </c>
      <c r="AD336" s="4" t="str">
        <f>IF(O336="",IF(ISNUMBER(SEARCH("NOT NULL",UPPER(O$3))),"''","null"),SUBSTITUTE(VLOOKUP(O$2,convert!$A$1:$B$4,2,0),"@@@",O336))</f>
        <v>TRUE</v>
      </c>
      <c r="AE336" s="4" t="str">
        <f t="shared" si="5"/>
        <v>    ('0263G01', 'ジグザグマ', 38, 30, 41, 30, 41, 60, 'ガラルのすがた', 'dark', 'normal', 'g8', null, null, TRUE),</v>
      </c>
    </row>
    <row r="337" spans="1:31">
      <c r="A337" s="4" t="s">
        <v>686</v>
      </c>
      <c r="B337" s="4" t="s">
        <v>687</v>
      </c>
      <c r="C337" s="5">
        <v>78</v>
      </c>
      <c r="D337" s="5">
        <v>70</v>
      </c>
      <c r="E337" s="5">
        <v>61</v>
      </c>
      <c r="F337" s="5">
        <v>50</v>
      </c>
      <c r="G337" s="5">
        <v>61</v>
      </c>
      <c r="H337" s="5">
        <v>100</v>
      </c>
      <c r="I337" s="5"/>
      <c r="J337" s="4" t="s">
        <v>80</v>
      </c>
      <c r="K337" s="5"/>
      <c r="L337" s="4" t="s">
        <v>656</v>
      </c>
      <c r="M337" s="5"/>
      <c r="N337" s="5"/>
      <c r="O337" s="5" t="b">
        <v>1</v>
      </c>
      <c r="P337" s="4" t="str">
        <f>IF(A337="",IF(ISNUMBER(SEARCH("NOT NULL",UPPER(A$3))),"''","null"),SUBSTITUTE(VLOOKUP(A$2,convert!$A$1:$B$4,2,0),"@@@",A337))</f>
        <v>'0264N01'</v>
      </c>
      <c r="Q337" s="4" t="str">
        <f>IF(B337="",IF(ISNUMBER(SEARCH("NOT NULL",UPPER(B$3))),"''","null"),SUBSTITUTE(VLOOKUP(B$2,convert!$A$1:$B$4,2,0),"@@@",B337))</f>
        <v>'マッスグマ'</v>
      </c>
      <c r="R337" s="4" t="str">
        <f>IF(C337="",IF(ISNUMBER(SEARCH("NOT NULL",UPPER(C$3))),"''","null"),SUBSTITUTE(VLOOKUP(C$2,convert!$A$1:$B$4,2,0),"@@@",C337))</f>
        <v>78</v>
      </c>
      <c r="S337" s="4" t="str">
        <f>IF(D337="",IF(ISNUMBER(SEARCH("NOT NULL",UPPER(D$3))),"''","null"),SUBSTITUTE(VLOOKUP(D$2,convert!$A$1:$B$4,2,0),"@@@",D337))</f>
        <v>70</v>
      </c>
      <c r="T337" s="4" t="str">
        <f>IF(E337="",IF(ISNUMBER(SEARCH("NOT NULL",UPPER(E$3))),"''","null"),SUBSTITUTE(VLOOKUP(E$2,convert!$A$1:$B$4,2,0),"@@@",E337))</f>
        <v>61</v>
      </c>
      <c r="U337" s="4" t="str">
        <f>IF(F337="",IF(ISNUMBER(SEARCH("NOT NULL",UPPER(F$3))),"''","null"),SUBSTITUTE(VLOOKUP(F$2,convert!$A$1:$B$4,2,0),"@@@",F337))</f>
        <v>50</v>
      </c>
      <c r="V337" s="4" t="str">
        <f>IF(G337="",IF(ISNUMBER(SEARCH("NOT NULL",UPPER(G$3))),"''","null"),SUBSTITUTE(VLOOKUP(G$2,convert!$A$1:$B$4,2,0),"@@@",G337))</f>
        <v>61</v>
      </c>
      <c r="W337" s="4" t="str">
        <f>IF(H337="",IF(ISNUMBER(SEARCH("NOT NULL",UPPER(H$3))),"''","null"),SUBSTITUTE(VLOOKUP(H$2,convert!$A$1:$B$4,2,0),"@@@",H337))</f>
        <v>100</v>
      </c>
      <c r="X337" s="4" t="str">
        <f>IF(I337="",IF(ISNUMBER(SEARCH("NOT NULL",UPPER(I$3))),"''","null"),SUBSTITUTE(VLOOKUP(I$2,convert!$A$1:$B$4,2,0),"@@@",I337))</f>
        <v>''</v>
      </c>
      <c r="Y337" s="4" t="str">
        <f>IF(J337="",IF(ISNUMBER(SEARCH("NOT NULL",UPPER(J$3))),"''","null"),SUBSTITUTE(VLOOKUP(J$2,convert!$A$1:$B$4,2,0),"@@@",J337))</f>
        <v>'normal'</v>
      </c>
      <c r="Z337" s="4" t="str">
        <f>IF(K337="",IF(ISNUMBER(SEARCH("NOT NULL",UPPER(K$3))),"''","null"),SUBSTITUTE(VLOOKUP(K$2,convert!$A$1:$B$4,2,0),"@@@",K337))</f>
        <v>null</v>
      </c>
      <c r="AA337" s="4" t="str">
        <f>IF(L337="",IF(ISNUMBER(SEARCH("NOT NULL",UPPER(L$3))),"''","null"),SUBSTITUTE(VLOOKUP(L$2,convert!$A$1:$B$4,2,0),"@@@",L337))</f>
        <v>'g3'</v>
      </c>
      <c r="AB337" s="4" t="str">
        <f>IF(M337="",IF(ISNUMBER(SEARCH("NOT NULL",UPPER(M$3))),"''","null"),SUBSTITUTE(VLOOKUP(M$2,convert!$A$1:$B$4,2,0),"@@@",M337))</f>
        <v>null</v>
      </c>
      <c r="AC337" s="4" t="str">
        <f>IF(N337="",IF(ISNUMBER(SEARCH("NOT NULL",UPPER(N$3))),"''","null"),SUBSTITUTE(VLOOKUP(N$2,convert!$A$1:$B$4,2,0),"@@@",N337))</f>
        <v>null</v>
      </c>
      <c r="AD337" s="4" t="str">
        <f>IF(O337="",IF(ISNUMBER(SEARCH("NOT NULL",UPPER(O$3))),"''","null"),SUBSTITUTE(VLOOKUP(O$2,convert!$A$1:$B$4,2,0),"@@@",O337))</f>
        <v>TRUE</v>
      </c>
      <c r="AE337" s="4" t="str">
        <f t="shared" si="5"/>
        <v>    ('0264N01', 'マッスグマ', 78, 70, 61, 50, 61, 100, '', 'normal', null, 'g3', null, null, TRUE),</v>
      </c>
    </row>
    <row r="338" spans="1:31">
      <c r="A338" s="4" t="s">
        <v>688</v>
      </c>
      <c r="B338" s="4" t="s">
        <v>687</v>
      </c>
      <c r="C338" s="5">
        <v>78</v>
      </c>
      <c r="D338" s="5">
        <v>70</v>
      </c>
      <c r="E338" s="5">
        <v>61</v>
      </c>
      <c r="F338" s="5">
        <v>50</v>
      </c>
      <c r="G338" s="5">
        <v>61</v>
      </c>
      <c r="H338" s="5">
        <v>100</v>
      </c>
      <c r="I338" s="4" t="s">
        <v>178</v>
      </c>
      <c r="J338" s="4" t="s">
        <v>91</v>
      </c>
      <c r="K338" s="4" t="s">
        <v>80</v>
      </c>
      <c r="L338" s="4" t="s">
        <v>179</v>
      </c>
      <c r="M338" s="5"/>
      <c r="N338" s="5"/>
      <c r="O338" s="5" t="b">
        <v>1</v>
      </c>
      <c r="P338" s="4" t="str">
        <f>IF(A338="",IF(ISNUMBER(SEARCH("NOT NULL",UPPER(A$3))),"''","null"),SUBSTITUTE(VLOOKUP(A$2,convert!$A$1:$B$4,2,0),"@@@",A338))</f>
        <v>'0264G01'</v>
      </c>
      <c r="Q338" s="4" t="str">
        <f>IF(B338="",IF(ISNUMBER(SEARCH("NOT NULL",UPPER(B$3))),"''","null"),SUBSTITUTE(VLOOKUP(B$2,convert!$A$1:$B$4,2,0),"@@@",B338))</f>
        <v>'マッスグマ'</v>
      </c>
      <c r="R338" s="4" t="str">
        <f>IF(C338="",IF(ISNUMBER(SEARCH("NOT NULL",UPPER(C$3))),"''","null"),SUBSTITUTE(VLOOKUP(C$2,convert!$A$1:$B$4,2,0),"@@@",C338))</f>
        <v>78</v>
      </c>
      <c r="S338" s="4" t="str">
        <f>IF(D338="",IF(ISNUMBER(SEARCH("NOT NULL",UPPER(D$3))),"''","null"),SUBSTITUTE(VLOOKUP(D$2,convert!$A$1:$B$4,2,0),"@@@",D338))</f>
        <v>70</v>
      </c>
      <c r="T338" s="4" t="str">
        <f>IF(E338="",IF(ISNUMBER(SEARCH("NOT NULL",UPPER(E$3))),"''","null"),SUBSTITUTE(VLOOKUP(E$2,convert!$A$1:$B$4,2,0),"@@@",E338))</f>
        <v>61</v>
      </c>
      <c r="U338" s="4" t="str">
        <f>IF(F338="",IF(ISNUMBER(SEARCH("NOT NULL",UPPER(F$3))),"''","null"),SUBSTITUTE(VLOOKUP(F$2,convert!$A$1:$B$4,2,0),"@@@",F338))</f>
        <v>50</v>
      </c>
      <c r="V338" s="4" t="str">
        <f>IF(G338="",IF(ISNUMBER(SEARCH("NOT NULL",UPPER(G$3))),"''","null"),SUBSTITUTE(VLOOKUP(G$2,convert!$A$1:$B$4,2,0),"@@@",G338))</f>
        <v>61</v>
      </c>
      <c r="W338" s="4" t="str">
        <f>IF(H338="",IF(ISNUMBER(SEARCH("NOT NULL",UPPER(H$3))),"''","null"),SUBSTITUTE(VLOOKUP(H$2,convert!$A$1:$B$4,2,0),"@@@",H338))</f>
        <v>100</v>
      </c>
      <c r="X338" s="4" t="str">
        <f>IF(I338="",IF(ISNUMBER(SEARCH("NOT NULL",UPPER(I$3))),"''","null"),SUBSTITUTE(VLOOKUP(I$2,convert!$A$1:$B$4,2,0),"@@@",I338))</f>
        <v>'ガラルのすがた'</v>
      </c>
      <c r="Y338" s="4" t="str">
        <f>IF(J338="",IF(ISNUMBER(SEARCH("NOT NULL",UPPER(J$3))),"''","null"),SUBSTITUTE(VLOOKUP(J$2,convert!$A$1:$B$4,2,0),"@@@",J338))</f>
        <v>'dark'</v>
      </c>
      <c r="Z338" s="4" t="str">
        <f>IF(K338="",IF(ISNUMBER(SEARCH("NOT NULL",UPPER(K$3))),"''","null"),SUBSTITUTE(VLOOKUP(K$2,convert!$A$1:$B$4,2,0),"@@@",K338))</f>
        <v>'normal'</v>
      </c>
      <c r="AA338" s="4" t="str">
        <f>IF(L338="",IF(ISNUMBER(SEARCH("NOT NULL",UPPER(L$3))),"''","null"),SUBSTITUTE(VLOOKUP(L$2,convert!$A$1:$B$4,2,0),"@@@",L338))</f>
        <v>'g8'</v>
      </c>
      <c r="AB338" s="4" t="str">
        <f>IF(M338="",IF(ISNUMBER(SEARCH("NOT NULL",UPPER(M$3))),"''","null"),SUBSTITUTE(VLOOKUP(M$2,convert!$A$1:$B$4,2,0),"@@@",M338))</f>
        <v>null</v>
      </c>
      <c r="AC338" s="4" t="str">
        <f>IF(N338="",IF(ISNUMBER(SEARCH("NOT NULL",UPPER(N$3))),"''","null"),SUBSTITUTE(VLOOKUP(N$2,convert!$A$1:$B$4,2,0),"@@@",N338))</f>
        <v>null</v>
      </c>
      <c r="AD338" s="4" t="str">
        <f>IF(O338="",IF(ISNUMBER(SEARCH("NOT NULL",UPPER(O$3))),"''","null"),SUBSTITUTE(VLOOKUP(O$2,convert!$A$1:$B$4,2,0),"@@@",O338))</f>
        <v>TRUE</v>
      </c>
      <c r="AE338" s="4" t="str">
        <f t="shared" si="5"/>
        <v>    ('0264G01', 'マッスグマ', 78, 70, 61, 50, 61, 100, 'ガラルのすがた', 'dark', 'normal', 'g8', null, null, TRUE),</v>
      </c>
    </row>
    <row r="339" spans="1:31">
      <c r="A339" s="4" t="s">
        <v>689</v>
      </c>
      <c r="B339" s="4" t="s">
        <v>690</v>
      </c>
      <c r="C339" s="5">
        <v>45</v>
      </c>
      <c r="D339" s="5">
        <v>45</v>
      </c>
      <c r="E339" s="5">
        <v>35</v>
      </c>
      <c r="F339" s="5">
        <v>20</v>
      </c>
      <c r="G339" s="5">
        <v>30</v>
      </c>
      <c r="H339" s="5">
        <v>20</v>
      </c>
      <c r="I339" s="5"/>
      <c r="J339" s="4" t="s">
        <v>64</v>
      </c>
      <c r="K339" s="5"/>
      <c r="L339" s="4" t="s">
        <v>656</v>
      </c>
      <c r="M339" s="5"/>
      <c r="N339" s="5"/>
      <c r="O339" s="5" t="b">
        <v>1</v>
      </c>
      <c r="P339" s="4" t="str">
        <f>IF(A339="",IF(ISNUMBER(SEARCH("NOT NULL",UPPER(A$3))),"''","null"),SUBSTITUTE(VLOOKUP(A$2,convert!$A$1:$B$4,2,0),"@@@",A339))</f>
        <v>'0265N01'</v>
      </c>
      <c r="Q339" s="4" t="str">
        <f>IF(B339="",IF(ISNUMBER(SEARCH("NOT NULL",UPPER(B$3))),"''","null"),SUBSTITUTE(VLOOKUP(B$2,convert!$A$1:$B$4,2,0),"@@@",B339))</f>
        <v>'ケムッソ'</v>
      </c>
      <c r="R339" s="4" t="str">
        <f>IF(C339="",IF(ISNUMBER(SEARCH("NOT NULL",UPPER(C$3))),"''","null"),SUBSTITUTE(VLOOKUP(C$2,convert!$A$1:$B$4,2,0),"@@@",C339))</f>
        <v>45</v>
      </c>
      <c r="S339" s="4" t="str">
        <f>IF(D339="",IF(ISNUMBER(SEARCH("NOT NULL",UPPER(D$3))),"''","null"),SUBSTITUTE(VLOOKUP(D$2,convert!$A$1:$B$4,2,0),"@@@",D339))</f>
        <v>45</v>
      </c>
      <c r="T339" s="4" t="str">
        <f>IF(E339="",IF(ISNUMBER(SEARCH("NOT NULL",UPPER(E$3))),"''","null"),SUBSTITUTE(VLOOKUP(E$2,convert!$A$1:$B$4,2,0),"@@@",E339))</f>
        <v>35</v>
      </c>
      <c r="U339" s="4" t="str">
        <f>IF(F339="",IF(ISNUMBER(SEARCH("NOT NULL",UPPER(F$3))),"''","null"),SUBSTITUTE(VLOOKUP(F$2,convert!$A$1:$B$4,2,0),"@@@",F339))</f>
        <v>20</v>
      </c>
      <c r="V339" s="4" t="str">
        <f>IF(G339="",IF(ISNUMBER(SEARCH("NOT NULL",UPPER(G$3))),"''","null"),SUBSTITUTE(VLOOKUP(G$2,convert!$A$1:$B$4,2,0),"@@@",G339))</f>
        <v>30</v>
      </c>
      <c r="W339" s="4" t="str">
        <f>IF(H339="",IF(ISNUMBER(SEARCH("NOT NULL",UPPER(H$3))),"''","null"),SUBSTITUTE(VLOOKUP(H$2,convert!$A$1:$B$4,2,0),"@@@",H339))</f>
        <v>20</v>
      </c>
      <c r="X339" s="4" t="str">
        <f>IF(I339="",IF(ISNUMBER(SEARCH("NOT NULL",UPPER(I$3))),"''","null"),SUBSTITUTE(VLOOKUP(I$2,convert!$A$1:$B$4,2,0),"@@@",I339))</f>
        <v>''</v>
      </c>
      <c r="Y339" s="4" t="str">
        <f>IF(J339="",IF(ISNUMBER(SEARCH("NOT NULL",UPPER(J$3))),"''","null"),SUBSTITUTE(VLOOKUP(J$2,convert!$A$1:$B$4,2,0),"@@@",J339))</f>
        <v>'bug'</v>
      </c>
      <c r="Z339" s="4" t="str">
        <f>IF(K339="",IF(ISNUMBER(SEARCH("NOT NULL",UPPER(K$3))),"''","null"),SUBSTITUTE(VLOOKUP(K$2,convert!$A$1:$B$4,2,0),"@@@",K339))</f>
        <v>null</v>
      </c>
      <c r="AA339" s="4" t="str">
        <f>IF(L339="",IF(ISNUMBER(SEARCH("NOT NULL",UPPER(L$3))),"''","null"),SUBSTITUTE(VLOOKUP(L$2,convert!$A$1:$B$4,2,0),"@@@",L339))</f>
        <v>'g3'</v>
      </c>
      <c r="AB339" s="4" t="str">
        <f>IF(M339="",IF(ISNUMBER(SEARCH("NOT NULL",UPPER(M$3))),"''","null"),SUBSTITUTE(VLOOKUP(M$2,convert!$A$1:$B$4,2,0),"@@@",M339))</f>
        <v>null</v>
      </c>
      <c r="AC339" s="4" t="str">
        <f>IF(N339="",IF(ISNUMBER(SEARCH("NOT NULL",UPPER(N$3))),"''","null"),SUBSTITUTE(VLOOKUP(N$2,convert!$A$1:$B$4,2,0),"@@@",N339))</f>
        <v>null</v>
      </c>
      <c r="AD339" s="4" t="str">
        <f>IF(O339="",IF(ISNUMBER(SEARCH("NOT NULL",UPPER(O$3))),"''","null"),SUBSTITUTE(VLOOKUP(O$2,convert!$A$1:$B$4,2,0),"@@@",O339))</f>
        <v>TRUE</v>
      </c>
      <c r="AE339" s="4" t="str">
        <f t="shared" si="5"/>
        <v>    ('0265N01', 'ケムッソ', 45, 45, 35, 20, 30, 20, '', 'bug', null, 'g3', null, null, TRUE),</v>
      </c>
    </row>
    <row r="340" spans="1:31">
      <c r="A340" s="4" t="s">
        <v>691</v>
      </c>
      <c r="B340" s="4" t="s">
        <v>692</v>
      </c>
      <c r="C340" s="5">
        <v>50</v>
      </c>
      <c r="D340" s="5">
        <v>35</v>
      </c>
      <c r="E340" s="5">
        <v>55</v>
      </c>
      <c r="F340" s="5">
        <v>25</v>
      </c>
      <c r="G340" s="5">
        <v>25</v>
      </c>
      <c r="H340" s="5">
        <v>15</v>
      </c>
      <c r="I340" s="5"/>
      <c r="J340" s="4" t="s">
        <v>64</v>
      </c>
      <c r="K340" s="5"/>
      <c r="L340" s="4" t="s">
        <v>656</v>
      </c>
      <c r="M340" s="5"/>
      <c r="N340" s="5"/>
      <c r="O340" s="5" t="b">
        <v>1</v>
      </c>
      <c r="P340" s="4" t="str">
        <f>IF(A340="",IF(ISNUMBER(SEARCH("NOT NULL",UPPER(A$3))),"''","null"),SUBSTITUTE(VLOOKUP(A$2,convert!$A$1:$B$4,2,0),"@@@",A340))</f>
        <v>'0266N01'</v>
      </c>
      <c r="Q340" s="4" t="str">
        <f>IF(B340="",IF(ISNUMBER(SEARCH("NOT NULL",UPPER(B$3))),"''","null"),SUBSTITUTE(VLOOKUP(B$2,convert!$A$1:$B$4,2,0),"@@@",B340))</f>
        <v>'カラサリス'</v>
      </c>
      <c r="R340" s="4" t="str">
        <f>IF(C340="",IF(ISNUMBER(SEARCH("NOT NULL",UPPER(C$3))),"''","null"),SUBSTITUTE(VLOOKUP(C$2,convert!$A$1:$B$4,2,0),"@@@",C340))</f>
        <v>50</v>
      </c>
      <c r="S340" s="4" t="str">
        <f>IF(D340="",IF(ISNUMBER(SEARCH("NOT NULL",UPPER(D$3))),"''","null"),SUBSTITUTE(VLOOKUP(D$2,convert!$A$1:$B$4,2,0),"@@@",D340))</f>
        <v>35</v>
      </c>
      <c r="T340" s="4" t="str">
        <f>IF(E340="",IF(ISNUMBER(SEARCH("NOT NULL",UPPER(E$3))),"''","null"),SUBSTITUTE(VLOOKUP(E$2,convert!$A$1:$B$4,2,0),"@@@",E340))</f>
        <v>55</v>
      </c>
      <c r="U340" s="4" t="str">
        <f>IF(F340="",IF(ISNUMBER(SEARCH("NOT NULL",UPPER(F$3))),"''","null"),SUBSTITUTE(VLOOKUP(F$2,convert!$A$1:$B$4,2,0),"@@@",F340))</f>
        <v>25</v>
      </c>
      <c r="V340" s="4" t="str">
        <f>IF(G340="",IF(ISNUMBER(SEARCH("NOT NULL",UPPER(G$3))),"''","null"),SUBSTITUTE(VLOOKUP(G$2,convert!$A$1:$B$4,2,0),"@@@",G340))</f>
        <v>25</v>
      </c>
      <c r="W340" s="4" t="str">
        <f>IF(H340="",IF(ISNUMBER(SEARCH("NOT NULL",UPPER(H$3))),"''","null"),SUBSTITUTE(VLOOKUP(H$2,convert!$A$1:$B$4,2,0),"@@@",H340))</f>
        <v>15</v>
      </c>
      <c r="X340" s="4" t="str">
        <f>IF(I340="",IF(ISNUMBER(SEARCH("NOT NULL",UPPER(I$3))),"''","null"),SUBSTITUTE(VLOOKUP(I$2,convert!$A$1:$B$4,2,0),"@@@",I340))</f>
        <v>''</v>
      </c>
      <c r="Y340" s="4" t="str">
        <f>IF(J340="",IF(ISNUMBER(SEARCH("NOT NULL",UPPER(J$3))),"''","null"),SUBSTITUTE(VLOOKUP(J$2,convert!$A$1:$B$4,2,0),"@@@",J340))</f>
        <v>'bug'</v>
      </c>
      <c r="Z340" s="4" t="str">
        <f>IF(K340="",IF(ISNUMBER(SEARCH("NOT NULL",UPPER(K$3))),"''","null"),SUBSTITUTE(VLOOKUP(K$2,convert!$A$1:$B$4,2,0),"@@@",K340))</f>
        <v>null</v>
      </c>
      <c r="AA340" s="4" t="str">
        <f>IF(L340="",IF(ISNUMBER(SEARCH("NOT NULL",UPPER(L$3))),"''","null"),SUBSTITUTE(VLOOKUP(L$2,convert!$A$1:$B$4,2,0),"@@@",L340))</f>
        <v>'g3'</v>
      </c>
      <c r="AB340" s="4" t="str">
        <f>IF(M340="",IF(ISNUMBER(SEARCH("NOT NULL",UPPER(M$3))),"''","null"),SUBSTITUTE(VLOOKUP(M$2,convert!$A$1:$B$4,2,0),"@@@",M340))</f>
        <v>null</v>
      </c>
      <c r="AC340" s="4" t="str">
        <f>IF(N340="",IF(ISNUMBER(SEARCH("NOT NULL",UPPER(N$3))),"''","null"),SUBSTITUTE(VLOOKUP(N$2,convert!$A$1:$B$4,2,0),"@@@",N340))</f>
        <v>null</v>
      </c>
      <c r="AD340" s="4" t="str">
        <f>IF(O340="",IF(ISNUMBER(SEARCH("NOT NULL",UPPER(O$3))),"''","null"),SUBSTITUTE(VLOOKUP(O$2,convert!$A$1:$B$4,2,0),"@@@",O340))</f>
        <v>TRUE</v>
      </c>
      <c r="AE340" s="4" t="str">
        <f t="shared" si="5"/>
        <v>    ('0266N01', 'カラサリス', 50, 35, 55, 25, 25, 15, '', 'bug', null, 'g3', null, null, TRUE),</v>
      </c>
    </row>
    <row r="341" spans="1:31">
      <c r="A341" s="4" t="s">
        <v>693</v>
      </c>
      <c r="B341" s="4" t="s">
        <v>694</v>
      </c>
      <c r="C341" s="5">
        <v>60</v>
      </c>
      <c r="D341" s="5">
        <v>70</v>
      </c>
      <c r="E341" s="5">
        <v>50</v>
      </c>
      <c r="F341" s="5">
        <v>100</v>
      </c>
      <c r="G341" s="5">
        <v>50</v>
      </c>
      <c r="H341" s="5">
        <v>65</v>
      </c>
      <c r="I341" s="5"/>
      <c r="J341" s="4" t="s">
        <v>64</v>
      </c>
      <c r="K341" s="4" t="s">
        <v>47</v>
      </c>
      <c r="L341" s="4" t="s">
        <v>656</v>
      </c>
      <c r="M341" s="5"/>
      <c r="N341" s="5"/>
      <c r="O341" s="5" t="b">
        <v>1</v>
      </c>
      <c r="P341" s="4" t="str">
        <f>IF(A341="",IF(ISNUMBER(SEARCH("NOT NULL",UPPER(A$3))),"''","null"),SUBSTITUTE(VLOOKUP(A$2,convert!$A$1:$B$4,2,0),"@@@",A341))</f>
        <v>'0267N01'</v>
      </c>
      <c r="Q341" s="4" t="str">
        <f>IF(B341="",IF(ISNUMBER(SEARCH("NOT NULL",UPPER(B$3))),"''","null"),SUBSTITUTE(VLOOKUP(B$2,convert!$A$1:$B$4,2,0),"@@@",B341))</f>
        <v>'アゲハント'</v>
      </c>
      <c r="R341" s="4" t="str">
        <f>IF(C341="",IF(ISNUMBER(SEARCH("NOT NULL",UPPER(C$3))),"''","null"),SUBSTITUTE(VLOOKUP(C$2,convert!$A$1:$B$4,2,0),"@@@",C341))</f>
        <v>60</v>
      </c>
      <c r="S341" s="4" t="str">
        <f>IF(D341="",IF(ISNUMBER(SEARCH("NOT NULL",UPPER(D$3))),"''","null"),SUBSTITUTE(VLOOKUP(D$2,convert!$A$1:$B$4,2,0),"@@@",D341))</f>
        <v>70</v>
      </c>
      <c r="T341" s="4" t="str">
        <f>IF(E341="",IF(ISNUMBER(SEARCH("NOT NULL",UPPER(E$3))),"''","null"),SUBSTITUTE(VLOOKUP(E$2,convert!$A$1:$B$4,2,0),"@@@",E341))</f>
        <v>50</v>
      </c>
      <c r="U341" s="4" t="str">
        <f>IF(F341="",IF(ISNUMBER(SEARCH("NOT NULL",UPPER(F$3))),"''","null"),SUBSTITUTE(VLOOKUP(F$2,convert!$A$1:$B$4,2,0),"@@@",F341))</f>
        <v>100</v>
      </c>
      <c r="V341" s="4" t="str">
        <f>IF(G341="",IF(ISNUMBER(SEARCH("NOT NULL",UPPER(G$3))),"''","null"),SUBSTITUTE(VLOOKUP(G$2,convert!$A$1:$B$4,2,0),"@@@",G341))</f>
        <v>50</v>
      </c>
      <c r="W341" s="4" t="str">
        <f>IF(H341="",IF(ISNUMBER(SEARCH("NOT NULL",UPPER(H$3))),"''","null"),SUBSTITUTE(VLOOKUP(H$2,convert!$A$1:$B$4,2,0),"@@@",H341))</f>
        <v>65</v>
      </c>
      <c r="X341" s="4" t="str">
        <f>IF(I341="",IF(ISNUMBER(SEARCH("NOT NULL",UPPER(I$3))),"''","null"),SUBSTITUTE(VLOOKUP(I$2,convert!$A$1:$B$4,2,0),"@@@",I341))</f>
        <v>''</v>
      </c>
      <c r="Y341" s="4" t="str">
        <f>IF(J341="",IF(ISNUMBER(SEARCH("NOT NULL",UPPER(J$3))),"''","null"),SUBSTITUTE(VLOOKUP(J$2,convert!$A$1:$B$4,2,0),"@@@",J341))</f>
        <v>'bug'</v>
      </c>
      <c r="Z341" s="4" t="str">
        <f>IF(K341="",IF(ISNUMBER(SEARCH("NOT NULL",UPPER(K$3))),"''","null"),SUBSTITUTE(VLOOKUP(K$2,convert!$A$1:$B$4,2,0),"@@@",K341))</f>
        <v>'flying'</v>
      </c>
      <c r="AA341" s="4" t="str">
        <f>IF(L341="",IF(ISNUMBER(SEARCH("NOT NULL",UPPER(L$3))),"''","null"),SUBSTITUTE(VLOOKUP(L$2,convert!$A$1:$B$4,2,0),"@@@",L341))</f>
        <v>'g3'</v>
      </c>
      <c r="AB341" s="4" t="str">
        <f>IF(M341="",IF(ISNUMBER(SEARCH("NOT NULL",UPPER(M$3))),"''","null"),SUBSTITUTE(VLOOKUP(M$2,convert!$A$1:$B$4,2,0),"@@@",M341))</f>
        <v>null</v>
      </c>
      <c r="AC341" s="4" t="str">
        <f>IF(N341="",IF(ISNUMBER(SEARCH("NOT NULL",UPPER(N$3))),"''","null"),SUBSTITUTE(VLOOKUP(N$2,convert!$A$1:$B$4,2,0),"@@@",N341))</f>
        <v>null</v>
      </c>
      <c r="AD341" s="4" t="str">
        <f>IF(O341="",IF(ISNUMBER(SEARCH("NOT NULL",UPPER(O$3))),"''","null"),SUBSTITUTE(VLOOKUP(O$2,convert!$A$1:$B$4,2,0),"@@@",O341))</f>
        <v>TRUE</v>
      </c>
      <c r="AE341" s="4" t="str">
        <f t="shared" si="5"/>
        <v>    ('0267N01', 'アゲハント', 60, 70, 50, 100, 50, 65, '', 'bug', 'flying', 'g3', null, null, TRUE),</v>
      </c>
    </row>
    <row r="342" spans="1:31">
      <c r="A342" s="4" t="s">
        <v>695</v>
      </c>
      <c r="B342" s="4" t="s">
        <v>696</v>
      </c>
      <c r="C342" s="5">
        <v>50</v>
      </c>
      <c r="D342" s="5">
        <v>35</v>
      </c>
      <c r="E342" s="5">
        <v>55</v>
      </c>
      <c r="F342" s="5">
        <v>25</v>
      </c>
      <c r="G342" s="5">
        <v>25</v>
      </c>
      <c r="H342" s="5">
        <v>15</v>
      </c>
      <c r="I342" s="5"/>
      <c r="J342" s="4" t="s">
        <v>64</v>
      </c>
      <c r="K342" s="5"/>
      <c r="L342" s="4" t="s">
        <v>656</v>
      </c>
      <c r="M342" s="5"/>
      <c r="N342" s="5"/>
      <c r="O342" s="5" t="b">
        <v>1</v>
      </c>
      <c r="P342" s="4" t="str">
        <f>IF(A342="",IF(ISNUMBER(SEARCH("NOT NULL",UPPER(A$3))),"''","null"),SUBSTITUTE(VLOOKUP(A$2,convert!$A$1:$B$4,2,0),"@@@",A342))</f>
        <v>'0268N01'</v>
      </c>
      <c r="Q342" s="4" t="str">
        <f>IF(B342="",IF(ISNUMBER(SEARCH("NOT NULL",UPPER(B$3))),"''","null"),SUBSTITUTE(VLOOKUP(B$2,convert!$A$1:$B$4,2,0),"@@@",B342))</f>
        <v>'マユルド'</v>
      </c>
      <c r="R342" s="4" t="str">
        <f>IF(C342="",IF(ISNUMBER(SEARCH("NOT NULL",UPPER(C$3))),"''","null"),SUBSTITUTE(VLOOKUP(C$2,convert!$A$1:$B$4,2,0),"@@@",C342))</f>
        <v>50</v>
      </c>
      <c r="S342" s="4" t="str">
        <f>IF(D342="",IF(ISNUMBER(SEARCH("NOT NULL",UPPER(D$3))),"''","null"),SUBSTITUTE(VLOOKUP(D$2,convert!$A$1:$B$4,2,0),"@@@",D342))</f>
        <v>35</v>
      </c>
      <c r="T342" s="4" t="str">
        <f>IF(E342="",IF(ISNUMBER(SEARCH("NOT NULL",UPPER(E$3))),"''","null"),SUBSTITUTE(VLOOKUP(E$2,convert!$A$1:$B$4,2,0),"@@@",E342))</f>
        <v>55</v>
      </c>
      <c r="U342" s="4" t="str">
        <f>IF(F342="",IF(ISNUMBER(SEARCH("NOT NULL",UPPER(F$3))),"''","null"),SUBSTITUTE(VLOOKUP(F$2,convert!$A$1:$B$4,2,0),"@@@",F342))</f>
        <v>25</v>
      </c>
      <c r="V342" s="4" t="str">
        <f>IF(G342="",IF(ISNUMBER(SEARCH("NOT NULL",UPPER(G$3))),"''","null"),SUBSTITUTE(VLOOKUP(G$2,convert!$A$1:$B$4,2,0),"@@@",G342))</f>
        <v>25</v>
      </c>
      <c r="W342" s="4" t="str">
        <f>IF(H342="",IF(ISNUMBER(SEARCH("NOT NULL",UPPER(H$3))),"''","null"),SUBSTITUTE(VLOOKUP(H$2,convert!$A$1:$B$4,2,0),"@@@",H342))</f>
        <v>15</v>
      </c>
      <c r="X342" s="4" t="str">
        <f>IF(I342="",IF(ISNUMBER(SEARCH("NOT NULL",UPPER(I$3))),"''","null"),SUBSTITUTE(VLOOKUP(I$2,convert!$A$1:$B$4,2,0),"@@@",I342))</f>
        <v>''</v>
      </c>
      <c r="Y342" s="4" t="str">
        <f>IF(J342="",IF(ISNUMBER(SEARCH("NOT NULL",UPPER(J$3))),"''","null"),SUBSTITUTE(VLOOKUP(J$2,convert!$A$1:$B$4,2,0),"@@@",J342))</f>
        <v>'bug'</v>
      </c>
      <c r="Z342" s="4" t="str">
        <f>IF(K342="",IF(ISNUMBER(SEARCH("NOT NULL",UPPER(K$3))),"''","null"),SUBSTITUTE(VLOOKUP(K$2,convert!$A$1:$B$4,2,0),"@@@",K342))</f>
        <v>null</v>
      </c>
      <c r="AA342" s="4" t="str">
        <f>IF(L342="",IF(ISNUMBER(SEARCH("NOT NULL",UPPER(L$3))),"''","null"),SUBSTITUTE(VLOOKUP(L$2,convert!$A$1:$B$4,2,0),"@@@",L342))</f>
        <v>'g3'</v>
      </c>
      <c r="AB342" s="4" t="str">
        <f>IF(M342="",IF(ISNUMBER(SEARCH("NOT NULL",UPPER(M$3))),"''","null"),SUBSTITUTE(VLOOKUP(M$2,convert!$A$1:$B$4,2,0),"@@@",M342))</f>
        <v>null</v>
      </c>
      <c r="AC342" s="4" t="str">
        <f>IF(N342="",IF(ISNUMBER(SEARCH("NOT NULL",UPPER(N$3))),"''","null"),SUBSTITUTE(VLOOKUP(N$2,convert!$A$1:$B$4,2,0),"@@@",N342))</f>
        <v>null</v>
      </c>
      <c r="AD342" s="4" t="str">
        <f>IF(O342="",IF(ISNUMBER(SEARCH("NOT NULL",UPPER(O$3))),"''","null"),SUBSTITUTE(VLOOKUP(O$2,convert!$A$1:$B$4,2,0),"@@@",O342))</f>
        <v>TRUE</v>
      </c>
      <c r="AE342" s="4" t="str">
        <f t="shared" si="5"/>
        <v>    ('0268N01', 'マユルド', 50, 35, 55, 25, 25, 15, '', 'bug', null, 'g3', null, null, TRUE),</v>
      </c>
    </row>
    <row r="343" spans="1:31">
      <c r="A343" s="4" t="s">
        <v>697</v>
      </c>
      <c r="B343" s="4" t="s">
        <v>698</v>
      </c>
      <c r="C343" s="5">
        <v>60</v>
      </c>
      <c r="D343" s="5">
        <v>50</v>
      </c>
      <c r="E343" s="5">
        <v>70</v>
      </c>
      <c r="F343" s="5">
        <v>50</v>
      </c>
      <c r="G343" s="5">
        <v>90</v>
      </c>
      <c r="H343" s="5">
        <v>65</v>
      </c>
      <c r="I343" s="5"/>
      <c r="J343" s="4" t="s">
        <v>64</v>
      </c>
      <c r="K343" s="4" t="s">
        <v>31</v>
      </c>
      <c r="L343" s="4" t="s">
        <v>656</v>
      </c>
      <c r="M343" s="5"/>
      <c r="N343" s="5"/>
      <c r="O343" s="5" t="b">
        <v>1</v>
      </c>
      <c r="P343" s="4" t="str">
        <f>IF(A343="",IF(ISNUMBER(SEARCH("NOT NULL",UPPER(A$3))),"''","null"),SUBSTITUTE(VLOOKUP(A$2,convert!$A$1:$B$4,2,0),"@@@",A343))</f>
        <v>'0269N01'</v>
      </c>
      <c r="Q343" s="4" t="str">
        <f>IF(B343="",IF(ISNUMBER(SEARCH("NOT NULL",UPPER(B$3))),"''","null"),SUBSTITUTE(VLOOKUP(B$2,convert!$A$1:$B$4,2,0),"@@@",B343))</f>
        <v>'ドクケイル'</v>
      </c>
      <c r="R343" s="4" t="str">
        <f>IF(C343="",IF(ISNUMBER(SEARCH("NOT NULL",UPPER(C$3))),"''","null"),SUBSTITUTE(VLOOKUP(C$2,convert!$A$1:$B$4,2,0),"@@@",C343))</f>
        <v>60</v>
      </c>
      <c r="S343" s="4" t="str">
        <f>IF(D343="",IF(ISNUMBER(SEARCH("NOT NULL",UPPER(D$3))),"''","null"),SUBSTITUTE(VLOOKUP(D$2,convert!$A$1:$B$4,2,0),"@@@",D343))</f>
        <v>50</v>
      </c>
      <c r="T343" s="4" t="str">
        <f>IF(E343="",IF(ISNUMBER(SEARCH("NOT NULL",UPPER(E$3))),"''","null"),SUBSTITUTE(VLOOKUP(E$2,convert!$A$1:$B$4,2,0),"@@@",E343))</f>
        <v>70</v>
      </c>
      <c r="U343" s="4" t="str">
        <f>IF(F343="",IF(ISNUMBER(SEARCH("NOT NULL",UPPER(F$3))),"''","null"),SUBSTITUTE(VLOOKUP(F$2,convert!$A$1:$B$4,2,0),"@@@",F343))</f>
        <v>50</v>
      </c>
      <c r="V343" s="4" t="str">
        <f>IF(G343="",IF(ISNUMBER(SEARCH("NOT NULL",UPPER(G$3))),"''","null"),SUBSTITUTE(VLOOKUP(G$2,convert!$A$1:$B$4,2,0),"@@@",G343))</f>
        <v>90</v>
      </c>
      <c r="W343" s="4" t="str">
        <f>IF(H343="",IF(ISNUMBER(SEARCH("NOT NULL",UPPER(H$3))),"''","null"),SUBSTITUTE(VLOOKUP(H$2,convert!$A$1:$B$4,2,0),"@@@",H343))</f>
        <v>65</v>
      </c>
      <c r="X343" s="4" t="str">
        <f>IF(I343="",IF(ISNUMBER(SEARCH("NOT NULL",UPPER(I$3))),"''","null"),SUBSTITUTE(VLOOKUP(I$2,convert!$A$1:$B$4,2,0),"@@@",I343))</f>
        <v>''</v>
      </c>
      <c r="Y343" s="4" t="str">
        <f>IF(J343="",IF(ISNUMBER(SEARCH("NOT NULL",UPPER(J$3))),"''","null"),SUBSTITUTE(VLOOKUP(J$2,convert!$A$1:$B$4,2,0),"@@@",J343))</f>
        <v>'bug'</v>
      </c>
      <c r="Z343" s="4" t="str">
        <f>IF(K343="",IF(ISNUMBER(SEARCH("NOT NULL",UPPER(K$3))),"''","null"),SUBSTITUTE(VLOOKUP(K$2,convert!$A$1:$B$4,2,0),"@@@",K343))</f>
        <v>'poison'</v>
      </c>
      <c r="AA343" s="4" t="str">
        <f>IF(L343="",IF(ISNUMBER(SEARCH("NOT NULL",UPPER(L$3))),"''","null"),SUBSTITUTE(VLOOKUP(L$2,convert!$A$1:$B$4,2,0),"@@@",L343))</f>
        <v>'g3'</v>
      </c>
      <c r="AB343" s="4" t="str">
        <f>IF(M343="",IF(ISNUMBER(SEARCH("NOT NULL",UPPER(M$3))),"''","null"),SUBSTITUTE(VLOOKUP(M$2,convert!$A$1:$B$4,2,0),"@@@",M343))</f>
        <v>null</v>
      </c>
      <c r="AC343" s="4" t="str">
        <f>IF(N343="",IF(ISNUMBER(SEARCH("NOT NULL",UPPER(N$3))),"''","null"),SUBSTITUTE(VLOOKUP(N$2,convert!$A$1:$B$4,2,0),"@@@",N343))</f>
        <v>null</v>
      </c>
      <c r="AD343" s="4" t="str">
        <f>IF(O343="",IF(ISNUMBER(SEARCH("NOT NULL",UPPER(O$3))),"''","null"),SUBSTITUTE(VLOOKUP(O$2,convert!$A$1:$B$4,2,0),"@@@",O343))</f>
        <v>TRUE</v>
      </c>
      <c r="AE343" s="4" t="str">
        <f t="shared" si="5"/>
        <v>    ('0269N01', 'ドクケイル', 60, 50, 70, 50, 90, 65, '', 'bug', 'poison', 'g3', null, null, TRUE),</v>
      </c>
    </row>
    <row r="344" spans="1:31">
      <c r="A344" s="4" t="s">
        <v>699</v>
      </c>
      <c r="B344" s="4" t="s">
        <v>700</v>
      </c>
      <c r="C344" s="5">
        <v>40</v>
      </c>
      <c r="D344" s="5">
        <v>30</v>
      </c>
      <c r="E344" s="5">
        <v>30</v>
      </c>
      <c r="F344" s="5">
        <v>40</v>
      </c>
      <c r="G344" s="5">
        <v>50</v>
      </c>
      <c r="H344" s="5">
        <v>30</v>
      </c>
      <c r="I344" s="5"/>
      <c r="J344" s="4" t="s">
        <v>55</v>
      </c>
      <c r="K344" s="4" t="s">
        <v>30</v>
      </c>
      <c r="L344" s="4" t="s">
        <v>656</v>
      </c>
      <c r="M344" s="5"/>
      <c r="N344" s="5"/>
      <c r="O344" s="5" t="b">
        <v>1</v>
      </c>
      <c r="P344" s="4" t="str">
        <f>IF(A344="",IF(ISNUMBER(SEARCH("NOT NULL",UPPER(A$3))),"''","null"),SUBSTITUTE(VLOOKUP(A$2,convert!$A$1:$B$4,2,0),"@@@",A344))</f>
        <v>'0270N01'</v>
      </c>
      <c r="Q344" s="4" t="str">
        <f>IF(B344="",IF(ISNUMBER(SEARCH("NOT NULL",UPPER(B$3))),"''","null"),SUBSTITUTE(VLOOKUP(B$2,convert!$A$1:$B$4,2,0),"@@@",B344))</f>
        <v>'ハスボー'</v>
      </c>
      <c r="R344" s="4" t="str">
        <f>IF(C344="",IF(ISNUMBER(SEARCH("NOT NULL",UPPER(C$3))),"''","null"),SUBSTITUTE(VLOOKUP(C$2,convert!$A$1:$B$4,2,0),"@@@",C344))</f>
        <v>40</v>
      </c>
      <c r="S344" s="4" t="str">
        <f>IF(D344="",IF(ISNUMBER(SEARCH("NOT NULL",UPPER(D$3))),"''","null"),SUBSTITUTE(VLOOKUP(D$2,convert!$A$1:$B$4,2,0),"@@@",D344))</f>
        <v>30</v>
      </c>
      <c r="T344" s="4" t="str">
        <f>IF(E344="",IF(ISNUMBER(SEARCH("NOT NULL",UPPER(E$3))),"''","null"),SUBSTITUTE(VLOOKUP(E$2,convert!$A$1:$B$4,2,0),"@@@",E344))</f>
        <v>30</v>
      </c>
      <c r="U344" s="4" t="str">
        <f>IF(F344="",IF(ISNUMBER(SEARCH("NOT NULL",UPPER(F$3))),"''","null"),SUBSTITUTE(VLOOKUP(F$2,convert!$A$1:$B$4,2,0),"@@@",F344))</f>
        <v>40</v>
      </c>
      <c r="V344" s="4" t="str">
        <f>IF(G344="",IF(ISNUMBER(SEARCH("NOT NULL",UPPER(G$3))),"''","null"),SUBSTITUTE(VLOOKUP(G$2,convert!$A$1:$B$4,2,0),"@@@",G344))</f>
        <v>50</v>
      </c>
      <c r="W344" s="4" t="str">
        <f>IF(H344="",IF(ISNUMBER(SEARCH("NOT NULL",UPPER(H$3))),"''","null"),SUBSTITUTE(VLOOKUP(H$2,convert!$A$1:$B$4,2,0),"@@@",H344))</f>
        <v>30</v>
      </c>
      <c r="X344" s="4" t="str">
        <f>IF(I344="",IF(ISNUMBER(SEARCH("NOT NULL",UPPER(I$3))),"''","null"),SUBSTITUTE(VLOOKUP(I$2,convert!$A$1:$B$4,2,0),"@@@",I344))</f>
        <v>''</v>
      </c>
      <c r="Y344" s="4" t="str">
        <f>IF(J344="",IF(ISNUMBER(SEARCH("NOT NULL",UPPER(J$3))),"''","null"),SUBSTITUTE(VLOOKUP(J$2,convert!$A$1:$B$4,2,0),"@@@",J344))</f>
        <v>'water'</v>
      </c>
      <c r="Z344" s="4" t="str">
        <f>IF(K344="",IF(ISNUMBER(SEARCH("NOT NULL",UPPER(K$3))),"''","null"),SUBSTITUTE(VLOOKUP(K$2,convert!$A$1:$B$4,2,0),"@@@",K344))</f>
        <v>'grass'</v>
      </c>
      <c r="AA344" s="4" t="str">
        <f>IF(L344="",IF(ISNUMBER(SEARCH("NOT NULL",UPPER(L$3))),"''","null"),SUBSTITUTE(VLOOKUP(L$2,convert!$A$1:$B$4,2,0),"@@@",L344))</f>
        <v>'g3'</v>
      </c>
      <c r="AB344" s="4" t="str">
        <f>IF(M344="",IF(ISNUMBER(SEARCH("NOT NULL",UPPER(M$3))),"''","null"),SUBSTITUTE(VLOOKUP(M$2,convert!$A$1:$B$4,2,0),"@@@",M344))</f>
        <v>null</v>
      </c>
      <c r="AC344" s="4" t="str">
        <f>IF(N344="",IF(ISNUMBER(SEARCH("NOT NULL",UPPER(N$3))),"''","null"),SUBSTITUTE(VLOOKUP(N$2,convert!$A$1:$B$4,2,0),"@@@",N344))</f>
        <v>null</v>
      </c>
      <c r="AD344" s="4" t="str">
        <f>IF(O344="",IF(ISNUMBER(SEARCH("NOT NULL",UPPER(O$3))),"''","null"),SUBSTITUTE(VLOOKUP(O$2,convert!$A$1:$B$4,2,0),"@@@",O344))</f>
        <v>TRUE</v>
      </c>
      <c r="AE344" s="4" t="str">
        <f t="shared" si="5"/>
        <v>    ('0270N01', 'ハスボー', 40, 30, 30, 40, 50, 30, '', 'water', 'grass', 'g3', null, null, TRUE),</v>
      </c>
    </row>
    <row r="345" spans="1:31">
      <c r="A345" s="4" t="s">
        <v>701</v>
      </c>
      <c r="B345" s="4" t="s">
        <v>702</v>
      </c>
      <c r="C345" s="5">
        <v>60</v>
      </c>
      <c r="D345" s="5">
        <v>50</v>
      </c>
      <c r="E345" s="5">
        <v>50</v>
      </c>
      <c r="F345" s="5">
        <v>60</v>
      </c>
      <c r="G345" s="5">
        <v>70</v>
      </c>
      <c r="H345" s="5">
        <v>50</v>
      </c>
      <c r="I345" s="5"/>
      <c r="J345" s="4" t="s">
        <v>55</v>
      </c>
      <c r="K345" s="4" t="s">
        <v>30</v>
      </c>
      <c r="L345" s="4" t="s">
        <v>656</v>
      </c>
      <c r="M345" s="5"/>
      <c r="N345" s="5"/>
      <c r="O345" s="5" t="b">
        <v>1</v>
      </c>
      <c r="P345" s="4" t="str">
        <f>IF(A345="",IF(ISNUMBER(SEARCH("NOT NULL",UPPER(A$3))),"''","null"),SUBSTITUTE(VLOOKUP(A$2,convert!$A$1:$B$4,2,0),"@@@",A345))</f>
        <v>'0271N01'</v>
      </c>
      <c r="Q345" s="4" t="str">
        <f>IF(B345="",IF(ISNUMBER(SEARCH("NOT NULL",UPPER(B$3))),"''","null"),SUBSTITUTE(VLOOKUP(B$2,convert!$A$1:$B$4,2,0),"@@@",B345))</f>
        <v>'ハスブレロ'</v>
      </c>
      <c r="R345" s="4" t="str">
        <f>IF(C345="",IF(ISNUMBER(SEARCH("NOT NULL",UPPER(C$3))),"''","null"),SUBSTITUTE(VLOOKUP(C$2,convert!$A$1:$B$4,2,0),"@@@",C345))</f>
        <v>60</v>
      </c>
      <c r="S345" s="4" t="str">
        <f>IF(D345="",IF(ISNUMBER(SEARCH("NOT NULL",UPPER(D$3))),"''","null"),SUBSTITUTE(VLOOKUP(D$2,convert!$A$1:$B$4,2,0),"@@@",D345))</f>
        <v>50</v>
      </c>
      <c r="T345" s="4" t="str">
        <f>IF(E345="",IF(ISNUMBER(SEARCH("NOT NULL",UPPER(E$3))),"''","null"),SUBSTITUTE(VLOOKUP(E$2,convert!$A$1:$B$4,2,0),"@@@",E345))</f>
        <v>50</v>
      </c>
      <c r="U345" s="4" t="str">
        <f>IF(F345="",IF(ISNUMBER(SEARCH("NOT NULL",UPPER(F$3))),"''","null"),SUBSTITUTE(VLOOKUP(F$2,convert!$A$1:$B$4,2,0),"@@@",F345))</f>
        <v>60</v>
      </c>
      <c r="V345" s="4" t="str">
        <f>IF(G345="",IF(ISNUMBER(SEARCH("NOT NULL",UPPER(G$3))),"''","null"),SUBSTITUTE(VLOOKUP(G$2,convert!$A$1:$B$4,2,0),"@@@",G345))</f>
        <v>70</v>
      </c>
      <c r="W345" s="4" t="str">
        <f>IF(H345="",IF(ISNUMBER(SEARCH("NOT NULL",UPPER(H$3))),"''","null"),SUBSTITUTE(VLOOKUP(H$2,convert!$A$1:$B$4,2,0),"@@@",H345))</f>
        <v>50</v>
      </c>
      <c r="X345" s="4" t="str">
        <f>IF(I345="",IF(ISNUMBER(SEARCH("NOT NULL",UPPER(I$3))),"''","null"),SUBSTITUTE(VLOOKUP(I$2,convert!$A$1:$B$4,2,0),"@@@",I345))</f>
        <v>''</v>
      </c>
      <c r="Y345" s="4" t="str">
        <f>IF(J345="",IF(ISNUMBER(SEARCH("NOT NULL",UPPER(J$3))),"''","null"),SUBSTITUTE(VLOOKUP(J$2,convert!$A$1:$B$4,2,0),"@@@",J345))</f>
        <v>'water'</v>
      </c>
      <c r="Z345" s="4" t="str">
        <f>IF(K345="",IF(ISNUMBER(SEARCH("NOT NULL",UPPER(K$3))),"''","null"),SUBSTITUTE(VLOOKUP(K$2,convert!$A$1:$B$4,2,0),"@@@",K345))</f>
        <v>'grass'</v>
      </c>
      <c r="AA345" s="4" t="str">
        <f>IF(L345="",IF(ISNUMBER(SEARCH("NOT NULL",UPPER(L$3))),"''","null"),SUBSTITUTE(VLOOKUP(L$2,convert!$A$1:$B$4,2,0),"@@@",L345))</f>
        <v>'g3'</v>
      </c>
      <c r="AB345" s="4" t="str">
        <f>IF(M345="",IF(ISNUMBER(SEARCH("NOT NULL",UPPER(M$3))),"''","null"),SUBSTITUTE(VLOOKUP(M$2,convert!$A$1:$B$4,2,0),"@@@",M345))</f>
        <v>null</v>
      </c>
      <c r="AC345" s="4" t="str">
        <f>IF(N345="",IF(ISNUMBER(SEARCH("NOT NULL",UPPER(N$3))),"''","null"),SUBSTITUTE(VLOOKUP(N$2,convert!$A$1:$B$4,2,0),"@@@",N345))</f>
        <v>null</v>
      </c>
      <c r="AD345" s="4" t="str">
        <f>IF(O345="",IF(ISNUMBER(SEARCH("NOT NULL",UPPER(O$3))),"''","null"),SUBSTITUTE(VLOOKUP(O$2,convert!$A$1:$B$4,2,0),"@@@",O345))</f>
        <v>TRUE</v>
      </c>
      <c r="AE345" s="4" t="str">
        <f t="shared" si="5"/>
        <v>    ('0271N01', 'ハスブレロ', 60, 50, 50, 60, 70, 50, '', 'water', 'grass', 'g3', null, null, TRUE),</v>
      </c>
    </row>
    <row r="346" spans="1:31">
      <c r="A346" s="4" t="s">
        <v>703</v>
      </c>
      <c r="B346" s="4" t="s">
        <v>704</v>
      </c>
      <c r="C346" s="5">
        <v>80</v>
      </c>
      <c r="D346" s="5">
        <v>70</v>
      </c>
      <c r="E346" s="5">
        <v>70</v>
      </c>
      <c r="F346" s="5">
        <v>90</v>
      </c>
      <c r="G346" s="5">
        <v>100</v>
      </c>
      <c r="H346" s="5">
        <v>70</v>
      </c>
      <c r="I346" s="5"/>
      <c r="J346" s="4" t="s">
        <v>55</v>
      </c>
      <c r="K346" s="4" t="s">
        <v>30</v>
      </c>
      <c r="L346" s="4" t="s">
        <v>656</v>
      </c>
      <c r="M346" s="5"/>
      <c r="N346" s="5"/>
      <c r="O346" s="5" t="b">
        <v>1</v>
      </c>
      <c r="P346" s="4" t="str">
        <f>IF(A346="",IF(ISNUMBER(SEARCH("NOT NULL",UPPER(A$3))),"''","null"),SUBSTITUTE(VLOOKUP(A$2,convert!$A$1:$B$4,2,0),"@@@",A346))</f>
        <v>'0272N01'</v>
      </c>
      <c r="Q346" s="4" t="str">
        <f>IF(B346="",IF(ISNUMBER(SEARCH("NOT NULL",UPPER(B$3))),"''","null"),SUBSTITUTE(VLOOKUP(B$2,convert!$A$1:$B$4,2,0),"@@@",B346))</f>
        <v>'ルンパッパ'</v>
      </c>
      <c r="R346" s="4" t="str">
        <f>IF(C346="",IF(ISNUMBER(SEARCH("NOT NULL",UPPER(C$3))),"''","null"),SUBSTITUTE(VLOOKUP(C$2,convert!$A$1:$B$4,2,0),"@@@",C346))</f>
        <v>80</v>
      </c>
      <c r="S346" s="4" t="str">
        <f>IF(D346="",IF(ISNUMBER(SEARCH("NOT NULL",UPPER(D$3))),"''","null"),SUBSTITUTE(VLOOKUP(D$2,convert!$A$1:$B$4,2,0),"@@@",D346))</f>
        <v>70</v>
      </c>
      <c r="T346" s="4" t="str">
        <f>IF(E346="",IF(ISNUMBER(SEARCH("NOT NULL",UPPER(E$3))),"''","null"),SUBSTITUTE(VLOOKUP(E$2,convert!$A$1:$B$4,2,0),"@@@",E346))</f>
        <v>70</v>
      </c>
      <c r="U346" s="4" t="str">
        <f>IF(F346="",IF(ISNUMBER(SEARCH("NOT NULL",UPPER(F$3))),"''","null"),SUBSTITUTE(VLOOKUP(F$2,convert!$A$1:$B$4,2,0),"@@@",F346))</f>
        <v>90</v>
      </c>
      <c r="V346" s="4" t="str">
        <f>IF(G346="",IF(ISNUMBER(SEARCH("NOT NULL",UPPER(G$3))),"''","null"),SUBSTITUTE(VLOOKUP(G$2,convert!$A$1:$B$4,2,0),"@@@",G346))</f>
        <v>100</v>
      </c>
      <c r="W346" s="4" t="str">
        <f>IF(H346="",IF(ISNUMBER(SEARCH("NOT NULL",UPPER(H$3))),"''","null"),SUBSTITUTE(VLOOKUP(H$2,convert!$A$1:$B$4,2,0),"@@@",H346))</f>
        <v>70</v>
      </c>
      <c r="X346" s="4" t="str">
        <f>IF(I346="",IF(ISNUMBER(SEARCH("NOT NULL",UPPER(I$3))),"''","null"),SUBSTITUTE(VLOOKUP(I$2,convert!$A$1:$B$4,2,0),"@@@",I346))</f>
        <v>''</v>
      </c>
      <c r="Y346" s="4" t="str">
        <f>IF(J346="",IF(ISNUMBER(SEARCH("NOT NULL",UPPER(J$3))),"''","null"),SUBSTITUTE(VLOOKUP(J$2,convert!$A$1:$B$4,2,0),"@@@",J346))</f>
        <v>'water'</v>
      </c>
      <c r="Z346" s="4" t="str">
        <f>IF(K346="",IF(ISNUMBER(SEARCH("NOT NULL",UPPER(K$3))),"''","null"),SUBSTITUTE(VLOOKUP(K$2,convert!$A$1:$B$4,2,0),"@@@",K346))</f>
        <v>'grass'</v>
      </c>
      <c r="AA346" s="4" t="str">
        <f>IF(L346="",IF(ISNUMBER(SEARCH("NOT NULL",UPPER(L$3))),"''","null"),SUBSTITUTE(VLOOKUP(L$2,convert!$A$1:$B$4,2,0),"@@@",L346))</f>
        <v>'g3'</v>
      </c>
      <c r="AB346" s="4" t="str">
        <f>IF(M346="",IF(ISNUMBER(SEARCH("NOT NULL",UPPER(M$3))),"''","null"),SUBSTITUTE(VLOOKUP(M$2,convert!$A$1:$B$4,2,0),"@@@",M346))</f>
        <v>null</v>
      </c>
      <c r="AC346" s="4" t="str">
        <f>IF(N346="",IF(ISNUMBER(SEARCH("NOT NULL",UPPER(N$3))),"''","null"),SUBSTITUTE(VLOOKUP(N$2,convert!$A$1:$B$4,2,0),"@@@",N346))</f>
        <v>null</v>
      </c>
      <c r="AD346" s="4" t="str">
        <f>IF(O346="",IF(ISNUMBER(SEARCH("NOT NULL",UPPER(O$3))),"''","null"),SUBSTITUTE(VLOOKUP(O$2,convert!$A$1:$B$4,2,0),"@@@",O346))</f>
        <v>TRUE</v>
      </c>
      <c r="AE346" s="4" t="str">
        <f t="shared" si="5"/>
        <v>    ('0272N01', 'ルンパッパ', 80, 70, 70, 90, 100, 70, '', 'water', 'grass', 'g3', null, null, TRUE),</v>
      </c>
    </row>
    <row r="347" spans="1:31">
      <c r="A347" s="4" t="s">
        <v>705</v>
      </c>
      <c r="B347" s="4" t="s">
        <v>706</v>
      </c>
      <c r="C347" s="5">
        <v>40</v>
      </c>
      <c r="D347" s="5">
        <v>40</v>
      </c>
      <c r="E347" s="5">
        <v>50</v>
      </c>
      <c r="F347" s="5">
        <v>30</v>
      </c>
      <c r="G347" s="5">
        <v>30</v>
      </c>
      <c r="H347" s="5">
        <v>30</v>
      </c>
      <c r="I347" s="5"/>
      <c r="J347" s="4" t="s">
        <v>30</v>
      </c>
      <c r="K347" s="5"/>
      <c r="L347" s="4" t="s">
        <v>656</v>
      </c>
      <c r="M347" s="5"/>
      <c r="N347" s="5"/>
      <c r="O347" s="5" t="b">
        <v>1</v>
      </c>
      <c r="P347" s="4" t="str">
        <f>IF(A347="",IF(ISNUMBER(SEARCH("NOT NULL",UPPER(A$3))),"''","null"),SUBSTITUTE(VLOOKUP(A$2,convert!$A$1:$B$4,2,0),"@@@",A347))</f>
        <v>'0273N01'</v>
      </c>
      <c r="Q347" s="4" t="str">
        <f>IF(B347="",IF(ISNUMBER(SEARCH("NOT NULL",UPPER(B$3))),"''","null"),SUBSTITUTE(VLOOKUP(B$2,convert!$A$1:$B$4,2,0),"@@@",B347))</f>
        <v>'タネボー'</v>
      </c>
      <c r="R347" s="4" t="str">
        <f>IF(C347="",IF(ISNUMBER(SEARCH("NOT NULL",UPPER(C$3))),"''","null"),SUBSTITUTE(VLOOKUP(C$2,convert!$A$1:$B$4,2,0),"@@@",C347))</f>
        <v>40</v>
      </c>
      <c r="S347" s="4" t="str">
        <f>IF(D347="",IF(ISNUMBER(SEARCH("NOT NULL",UPPER(D$3))),"''","null"),SUBSTITUTE(VLOOKUP(D$2,convert!$A$1:$B$4,2,0),"@@@",D347))</f>
        <v>40</v>
      </c>
      <c r="T347" s="4" t="str">
        <f>IF(E347="",IF(ISNUMBER(SEARCH("NOT NULL",UPPER(E$3))),"''","null"),SUBSTITUTE(VLOOKUP(E$2,convert!$A$1:$B$4,2,0),"@@@",E347))</f>
        <v>50</v>
      </c>
      <c r="U347" s="4" t="str">
        <f>IF(F347="",IF(ISNUMBER(SEARCH("NOT NULL",UPPER(F$3))),"''","null"),SUBSTITUTE(VLOOKUP(F$2,convert!$A$1:$B$4,2,0),"@@@",F347))</f>
        <v>30</v>
      </c>
      <c r="V347" s="4" t="str">
        <f>IF(G347="",IF(ISNUMBER(SEARCH("NOT NULL",UPPER(G$3))),"''","null"),SUBSTITUTE(VLOOKUP(G$2,convert!$A$1:$B$4,2,0),"@@@",G347))</f>
        <v>30</v>
      </c>
      <c r="W347" s="4" t="str">
        <f>IF(H347="",IF(ISNUMBER(SEARCH("NOT NULL",UPPER(H$3))),"''","null"),SUBSTITUTE(VLOOKUP(H$2,convert!$A$1:$B$4,2,0),"@@@",H347))</f>
        <v>30</v>
      </c>
      <c r="X347" s="4" t="str">
        <f>IF(I347="",IF(ISNUMBER(SEARCH("NOT NULL",UPPER(I$3))),"''","null"),SUBSTITUTE(VLOOKUP(I$2,convert!$A$1:$B$4,2,0),"@@@",I347))</f>
        <v>''</v>
      </c>
      <c r="Y347" s="4" t="str">
        <f>IF(J347="",IF(ISNUMBER(SEARCH("NOT NULL",UPPER(J$3))),"''","null"),SUBSTITUTE(VLOOKUP(J$2,convert!$A$1:$B$4,2,0),"@@@",J347))</f>
        <v>'grass'</v>
      </c>
      <c r="Z347" s="4" t="str">
        <f>IF(K347="",IF(ISNUMBER(SEARCH("NOT NULL",UPPER(K$3))),"''","null"),SUBSTITUTE(VLOOKUP(K$2,convert!$A$1:$B$4,2,0),"@@@",K347))</f>
        <v>null</v>
      </c>
      <c r="AA347" s="4" t="str">
        <f>IF(L347="",IF(ISNUMBER(SEARCH("NOT NULL",UPPER(L$3))),"''","null"),SUBSTITUTE(VLOOKUP(L$2,convert!$A$1:$B$4,2,0),"@@@",L347))</f>
        <v>'g3'</v>
      </c>
      <c r="AB347" s="4" t="str">
        <f>IF(M347="",IF(ISNUMBER(SEARCH("NOT NULL",UPPER(M$3))),"''","null"),SUBSTITUTE(VLOOKUP(M$2,convert!$A$1:$B$4,2,0),"@@@",M347))</f>
        <v>null</v>
      </c>
      <c r="AC347" s="4" t="str">
        <f>IF(N347="",IF(ISNUMBER(SEARCH("NOT NULL",UPPER(N$3))),"''","null"),SUBSTITUTE(VLOOKUP(N$2,convert!$A$1:$B$4,2,0),"@@@",N347))</f>
        <v>null</v>
      </c>
      <c r="AD347" s="4" t="str">
        <f>IF(O347="",IF(ISNUMBER(SEARCH("NOT NULL",UPPER(O$3))),"''","null"),SUBSTITUTE(VLOOKUP(O$2,convert!$A$1:$B$4,2,0),"@@@",O347))</f>
        <v>TRUE</v>
      </c>
      <c r="AE347" s="4" t="str">
        <f t="shared" si="5"/>
        <v>    ('0273N01', 'タネボー', 40, 40, 50, 30, 30, 30, '', 'grass', null, 'g3', null, null, TRUE),</v>
      </c>
    </row>
    <row r="348" spans="1:31">
      <c r="A348" s="4" t="s">
        <v>707</v>
      </c>
      <c r="B348" s="4" t="s">
        <v>708</v>
      </c>
      <c r="C348" s="5">
        <v>70</v>
      </c>
      <c r="D348" s="5">
        <v>70</v>
      </c>
      <c r="E348" s="5">
        <v>40</v>
      </c>
      <c r="F348" s="5">
        <v>60</v>
      </c>
      <c r="G348" s="5">
        <v>40</v>
      </c>
      <c r="H348" s="5">
        <v>60</v>
      </c>
      <c r="I348" s="5"/>
      <c r="J348" s="4" t="s">
        <v>30</v>
      </c>
      <c r="K348" s="4" t="s">
        <v>91</v>
      </c>
      <c r="L348" s="4" t="s">
        <v>656</v>
      </c>
      <c r="M348" s="5"/>
      <c r="N348" s="5"/>
      <c r="O348" s="5" t="b">
        <v>1</v>
      </c>
      <c r="P348" s="4" t="str">
        <f>IF(A348="",IF(ISNUMBER(SEARCH("NOT NULL",UPPER(A$3))),"''","null"),SUBSTITUTE(VLOOKUP(A$2,convert!$A$1:$B$4,2,0),"@@@",A348))</f>
        <v>'0274N01'</v>
      </c>
      <c r="Q348" s="4" t="str">
        <f>IF(B348="",IF(ISNUMBER(SEARCH("NOT NULL",UPPER(B$3))),"''","null"),SUBSTITUTE(VLOOKUP(B$2,convert!$A$1:$B$4,2,0),"@@@",B348))</f>
        <v>'コノハナ'</v>
      </c>
      <c r="R348" s="4" t="str">
        <f>IF(C348="",IF(ISNUMBER(SEARCH("NOT NULL",UPPER(C$3))),"''","null"),SUBSTITUTE(VLOOKUP(C$2,convert!$A$1:$B$4,2,0),"@@@",C348))</f>
        <v>70</v>
      </c>
      <c r="S348" s="4" t="str">
        <f>IF(D348="",IF(ISNUMBER(SEARCH("NOT NULL",UPPER(D$3))),"''","null"),SUBSTITUTE(VLOOKUP(D$2,convert!$A$1:$B$4,2,0),"@@@",D348))</f>
        <v>70</v>
      </c>
      <c r="T348" s="4" t="str">
        <f>IF(E348="",IF(ISNUMBER(SEARCH("NOT NULL",UPPER(E$3))),"''","null"),SUBSTITUTE(VLOOKUP(E$2,convert!$A$1:$B$4,2,0),"@@@",E348))</f>
        <v>40</v>
      </c>
      <c r="U348" s="4" t="str">
        <f>IF(F348="",IF(ISNUMBER(SEARCH("NOT NULL",UPPER(F$3))),"''","null"),SUBSTITUTE(VLOOKUP(F$2,convert!$A$1:$B$4,2,0),"@@@",F348))</f>
        <v>60</v>
      </c>
      <c r="V348" s="4" t="str">
        <f>IF(G348="",IF(ISNUMBER(SEARCH("NOT NULL",UPPER(G$3))),"''","null"),SUBSTITUTE(VLOOKUP(G$2,convert!$A$1:$B$4,2,0),"@@@",G348))</f>
        <v>40</v>
      </c>
      <c r="W348" s="4" t="str">
        <f>IF(H348="",IF(ISNUMBER(SEARCH("NOT NULL",UPPER(H$3))),"''","null"),SUBSTITUTE(VLOOKUP(H$2,convert!$A$1:$B$4,2,0),"@@@",H348))</f>
        <v>60</v>
      </c>
      <c r="X348" s="4" t="str">
        <f>IF(I348="",IF(ISNUMBER(SEARCH("NOT NULL",UPPER(I$3))),"''","null"),SUBSTITUTE(VLOOKUP(I$2,convert!$A$1:$B$4,2,0),"@@@",I348))</f>
        <v>''</v>
      </c>
      <c r="Y348" s="4" t="str">
        <f>IF(J348="",IF(ISNUMBER(SEARCH("NOT NULL",UPPER(J$3))),"''","null"),SUBSTITUTE(VLOOKUP(J$2,convert!$A$1:$B$4,2,0),"@@@",J348))</f>
        <v>'grass'</v>
      </c>
      <c r="Z348" s="4" t="str">
        <f>IF(K348="",IF(ISNUMBER(SEARCH("NOT NULL",UPPER(K$3))),"''","null"),SUBSTITUTE(VLOOKUP(K$2,convert!$A$1:$B$4,2,0),"@@@",K348))</f>
        <v>'dark'</v>
      </c>
      <c r="AA348" s="4" t="str">
        <f>IF(L348="",IF(ISNUMBER(SEARCH("NOT NULL",UPPER(L$3))),"''","null"),SUBSTITUTE(VLOOKUP(L$2,convert!$A$1:$B$4,2,0),"@@@",L348))</f>
        <v>'g3'</v>
      </c>
      <c r="AB348" s="4" t="str">
        <f>IF(M348="",IF(ISNUMBER(SEARCH("NOT NULL",UPPER(M$3))),"''","null"),SUBSTITUTE(VLOOKUP(M$2,convert!$A$1:$B$4,2,0),"@@@",M348))</f>
        <v>null</v>
      </c>
      <c r="AC348" s="4" t="str">
        <f>IF(N348="",IF(ISNUMBER(SEARCH("NOT NULL",UPPER(N$3))),"''","null"),SUBSTITUTE(VLOOKUP(N$2,convert!$A$1:$B$4,2,0),"@@@",N348))</f>
        <v>null</v>
      </c>
      <c r="AD348" s="4" t="str">
        <f>IF(O348="",IF(ISNUMBER(SEARCH("NOT NULL",UPPER(O$3))),"''","null"),SUBSTITUTE(VLOOKUP(O$2,convert!$A$1:$B$4,2,0),"@@@",O348))</f>
        <v>TRUE</v>
      </c>
      <c r="AE348" s="4" t="str">
        <f t="shared" si="5"/>
        <v>    ('0274N01', 'コノハナ', 70, 70, 40, 60, 40, 60, '', 'grass', 'dark', 'g3', null, null, TRUE),</v>
      </c>
    </row>
    <row r="349" spans="1:31">
      <c r="A349" s="4" t="s">
        <v>709</v>
      </c>
      <c r="B349" s="4" t="s">
        <v>710</v>
      </c>
      <c r="C349" s="5">
        <v>90</v>
      </c>
      <c r="D349" s="5">
        <v>100</v>
      </c>
      <c r="E349" s="5">
        <v>60</v>
      </c>
      <c r="F349" s="5">
        <v>90</v>
      </c>
      <c r="G349" s="5">
        <v>60</v>
      </c>
      <c r="H349" s="5">
        <v>80</v>
      </c>
      <c r="I349" s="5"/>
      <c r="J349" s="4" t="s">
        <v>30</v>
      </c>
      <c r="K349" s="4" t="s">
        <v>91</v>
      </c>
      <c r="L349" s="4" t="s">
        <v>656</v>
      </c>
      <c r="M349" s="5"/>
      <c r="N349" s="5"/>
      <c r="O349" s="5" t="b">
        <v>1</v>
      </c>
      <c r="P349" s="4" t="str">
        <f>IF(A349="",IF(ISNUMBER(SEARCH("NOT NULL",UPPER(A$3))),"''","null"),SUBSTITUTE(VLOOKUP(A$2,convert!$A$1:$B$4,2,0),"@@@",A349))</f>
        <v>'0275N01'</v>
      </c>
      <c r="Q349" s="4" t="str">
        <f>IF(B349="",IF(ISNUMBER(SEARCH("NOT NULL",UPPER(B$3))),"''","null"),SUBSTITUTE(VLOOKUP(B$2,convert!$A$1:$B$4,2,0),"@@@",B349))</f>
        <v>'ダーテング'</v>
      </c>
      <c r="R349" s="4" t="str">
        <f>IF(C349="",IF(ISNUMBER(SEARCH("NOT NULL",UPPER(C$3))),"''","null"),SUBSTITUTE(VLOOKUP(C$2,convert!$A$1:$B$4,2,0),"@@@",C349))</f>
        <v>90</v>
      </c>
      <c r="S349" s="4" t="str">
        <f>IF(D349="",IF(ISNUMBER(SEARCH("NOT NULL",UPPER(D$3))),"''","null"),SUBSTITUTE(VLOOKUP(D$2,convert!$A$1:$B$4,2,0),"@@@",D349))</f>
        <v>100</v>
      </c>
      <c r="T349" s="4" t="str">
        <f>IF(E349="",IF(ISNUMBER(SEARCH("NOT NULL",UPPER(E$3))),"''","null"),SUBSTITUTE(VLOOKUP(E$2,convert!$A$1:$B$4,2,0),"@@@",E349))</f>
        <v>60</v>
      </c>
      <c r="U349" s="4" t="str">
        <f>IF(F349="",IF(ISNUMBER(SEARCH("NOT NULL",UPPER(F$3))),"''","null"),SUBSTITUTE(VLOOKUP(F$2,convert!$A$1:$B$4,2,0),"@@@",F349))</f>
        <v>90</v>
      </c>
      <c r="V349" s="4" t="str">
        <f>IF(G349="",IF(ISNUMBER(SEARCH("NOT NULL",UPPER(G$3))),"''","null"),SUBSTITUTE(VLOOKUP(G$2,convert!$A$1:$B$4,2,0),"@@@",G349))</f>
        <v>60</v>
      </c>
      <c r="W349" s="4" t="str">
        <f>IF(H349="",IF(ISNUMBER(SEARCH("NOT NULL",UPPER(H$3))),"''","null"),SUBSTITUTE(VLOOKUP(H$2,convert!$A$1:$B$4,2,0),"@@@",H349))</f>
        <v>80</v>
      </c>
      <c r="X349" s="4" t="str">
        <f>IF(I349="",IF(ISNUMBER(SEARCH("NOT NULL",UPPER(I$3))),"''","null"),SUBSTITUTE(VLOOKUP(I$2,convert!$A$1:$B$4,2,0),"@@@",I349))</f>
        <v>''</v>
      </c>
      <c r="Y349" s="4" t="str">
        <f>IF(J349="",IF(ISNUMBER(SEARCH("NOT NULL",UPPER(J$3))),"''","null"),SUBSTITUTE(VLOOKUP(J$2,convert!$A$1:$B$4,2,0),"@@@",J349))</f>
        <v>'grass'</v>
      </c>
      <c r="Z349" s="4" t="str">
        <f>IF(K349="",IF(ISNUMBER(SEARCH("NOT NULL",UPPER(K$3))),"''","null"),SUBSTITUTE(VLOOKUP(K$2,convert!$A$1:$B$4,2,0),"@@@",K349))</f>
        <v>'dark'</v>
      </c>
      <c r="AA349" s="4" t="str">
        <f>IF(L349="",IF(ISNUMBER(SEARCH("NOT NULL",UPPER(L$3))),"''","null"),SUBSTITUTE(VLOOKUP(L$2,convert!$A$1:$B$4,2,0),"@@@",L349))</f>
        <v>'g3'</v>
      </c>
      <c r="AB349" s="4" t="str">
        <f>IF(M349="",IF(ISNUMBER(SEARCH("NOT NULL",UPPER(M$3))),"''","null"),SUBSTITUTE(VLOOKUP(M$2,convert!$A$1:$B$4,2,0),"@@@",M349))</f>
        <v>null</v>
      </c>
      <c r="AC349" s="4" t="str">
        <f>IF(N349="",IF(ISNUMBER(SEARCH("NOT NULL",UPPER(N$3))),"''","null"),SUBSTITUTE(VLOOKUP(N$2,convert!$A$1:$B$4,2,0),"@@@",N349))</f>
        <v>null</v>
      </c>
      <c r="AD349" s="4" t="str">
        <f>IF(O349="",IF(ISNUMBER(SEARCH("NOT NULL",UPPER(O$3))),"''","null"),SUBSTITUTE(VLOOKUP(O$2,convert!$A$1:$B$4,2,0),"@@@",O349))</f>
        <v>TRUE</v>
      </c>
      <c r="AE349" s="4" t="str">
        <f t="shared" si="5"/>
        <v>    ('0275N01', 'ダーテング', 90, 100, 60, 90, 60, 80, '', 'grass', 'dark', 'g3', null, null, TRUE),</v>
      </c>
    </row>
    <row r="350" spans="1:31">
      <c r="A350" s="4" t="s">
        <v>711</v>
      </c>
      <c r="B350" s="4" t="s">
        <v>712</v>
      </c>
      <c r="C350" s="5">
        <v>40</v>
      </c>
      <c r="D350" s="5">
        <v>55</v>
      </c>
      <c r="E350" s="5">
        <v>30</v>
      </c>
      <c r="F350" s="5">
        <v>30</v>
      </c>
      <c r="G350" s="5">
        <v>30</v>
      </c>
      <c r="H350" s="5">
        <v>85</v>
      </c>
      <c r="I350" s="5"/>
      <c r="J350" s="4" t="s">
        <v>80</v>
      </c>
      <c r="K350" s="4" t="s">
        <v>47</v>
      </c>
      <c r="L350" s="4" t="s">
        <v>656</v>
      </c>
      <c r="M350" s="5"/>
      <c r="N350" s="5"/>
      <c r="O350" s="5" t="b">
        <v>1</v>
      </c>
      <c r="P350" s="4" t="str">
        <f>IF(A350="",IF(ISNUMBER(SEARCH("NOT NULL",UPPER(A$3))),"''","null"),SUBSTITUTE(VLOOKUP(A$2,convert!$A$1:$B$4,2,0),"@@@",A350))</f>
        <v>'0276N01'</v>
      </c>
      <c r="Q350" s="4" t="str">
        <f>IF(B350="",IF(ISNUMBER(SEARCH("NOT NULL",UPPER(B$3))),"''","null"),SUBSTITUTE(VLOOKUP(B$2,convert!$A$1:$B$4,2,0),"@@@",B350))</f>
        <v>'スバメ'</v>
      </c>
      <c r="R350" s="4" t="str">
        <f>IF(C350="",IF(ISNUMBER(SEARCH("NOT NULL",UPPER(C$3))),"''","null"),SUBSTITUTE(VLOOKUP(C$2,convert!$A$1:$B$4,2,0),"@@@",C350))</f>
        <v>40</v>
      </c>
      <c r="S350" s="4" t="str">
        <f>IF(D350="",IF(ISNUMBER(SEARCH("NOT NULL",UPPER(D$3))),"''","null"),SUBSTITUTE(VLOOKUP(D$2,convert!$A$1:$B$4,2,0),"@@@",D350))</f>
        <v>55</v>
      </c>
      <c r="T350" s="4" t="str">
        <f>IF(E350="",IF(ISNUMBER(SEARCH("NOT NULL",UPPER(E$3))),"''","null"),SUBSTITUTE(VLOOKUP(E$2,convert!$A$1:$B$4,2,0),"@@@",E350))</f>
        <v>30</v>
      </c>
      <c r="U350" s="4" t="str">
        <f>IF(F350="",IF(ISNUMBER(SEARCH("NOT NULL",UPPER(F$3))),"''","null"),SUBSTITUTE(VLOOKUP(F$2,convert!$A$1:$B$4,2,0),"@@@",F350))</f>
        <v>30</v>
      </c>
      <c r="V350" s="4" t="str">
        <f>IF(G350="",IF(ISNUMBER(SEARCH("NOT NULL",UPPER(G$3))),"''","null"),SUBSTITUTE(VLOOKUP(G$2,convert!$A$1:$B$4,2,0),"@@@",G350))</f>
        <v>30</v>
      </c>
      <c r="W350" s="4" t="str">
        <f>IF(H350="",IF(ISNUMBER(SEARCH("NOT NULL",UPPER(H$3))),"''","null"),SUBSTITUTE(VLOOKUP(H$2,convert!$A$1:$B$4,2,0),"@@@",H350))</f>
        <v>85</v>
      </c>
      <c r="X350" s="4" t="str">
        <f>IF(I350="",IF(ISNUMBER(SEARCH("NOT NULL",UPPER(I$3))),"''","null"),SUBSTITUTE(VLOOKUP(I$2,convert!$A$1:$B$4,2,0),"@@@",I350))</f>
        <v>''</v>
      </c>
      <c r="Y350" s="4" t="str">
        <f>IF(J350="",IF(ISNUMBER(SEARCH("NOT NULL",UPPER(J$3))),"''","null"),SUBSTITUTE(VLOOKUP(J$2,convert!$A$1:$B$4,2,0),"@@@",J350))</f>
        <v>'normal'</v>
      </c>
      <c r="Z350" s="4" t="str">
        <f>IF(K350="",IF(ISNUMBER(SEARCH("NOT NULL",UPPER(K$3))),"''","null"),SUBSTITUTE(VLOOKUP(K$2,convert!$A$1:$B$4,2,0),"@@@",K350))</f>
        <v>'flying'</v>
      </c>
      <c r="AA350" s="4" t="str">
        <f>IF(L350="",IF(ISNUMBER(SEARCH("NOT NULL",UPPER(L$3))),"''","null"),SUBSTITUTE(VLOOKUP(L$2,convert!$A$1:$B$4,2,0),"@@@",L350))</f>
        <v>'g3'</v>
      </c>
      <c r="AB350" s="4" t="str">
        <f>IF(M350="",IF(ISNUMBER(SEARCH("NOT NULL",UPPER(M$3))),"''","null"),SUBSTITUTE(VLOOKUP(M$2,convert!$A$1:$B$4,2,0),"@@@",M350))</f>
        <v>null</v>
      </c>
      <c r="AC350" s="4" t="str">
        <f>IF(N350="",IF(ISNUMBER(SEARCH("NOT NULL",UPPER(N$3))),"''","null"),SUBSTITUTE(VLOOKUP(N$2,convert!$A$1:$B$4,2,0),"@@@",N350))</f>
        <v>null</v>
      </c>
      <c r="AD350" s="4" t="str">
        <f>IF(O350="",IF(ISNUMBER(SEARCH("NOT NULL",UPPER(O$3))),"''","null"),SUBSTITUTE(VLOOKUP(O$2,convert!$A$1:$B$4,2,0),"@@@",O350))</f>
        <v>TRUE</v>
      </c>
      <c r="AE350" s="4" t="str">
        <f t="shared" si="5"/>
        <v>    ('0276N01', 'スバメ', 40, 55, 30, 30, 30, 85, '', 'normal', 'flying', 'g3', null, null, TRUE),</v>
      </c>
    </row>
    <row r="351" spans="1:31">
      <c r="A351" s="4" t="s">
        <v>713</v>
      </c>
      <c r="B351" s="4" t="s">
        <v>714</v>
      </c>
      <c r="C351" s="5">
        <v>60</v>
      </c>
      <c r="D351" s="5">
        <v>85</v>
      </c>
      <c r="E351" s="5">
        <v>60</v>
      </c>
      <c r="F351" s="5">
        <v>75</v>
      </c>
      <c r="G351" s="5">
        <v>50</v>
      </c>
      <c r="H351" s="5">
        <v>125</v>
      </c>
      <c r="I351" s="5"/>
      <c r="J351" s="4" t="s">
        <v>80</v>
      </c>
      <c r="K351" s="4" t="s">
        <v>47</v>
      </c>
      <c r="L351" s="4" t="s">
        <v>656</v>
      </c>
      <c r="M351" s="5"/>
      <c r="N351" s="5"/>
      <c r="O351" s="5" t="b">
        <v>1</v>
      </c>
      <c r="P351" s="4" t="str">
        <f>IF(A351="",IF(ISNUMBER(SEARCH("NOT NULL",UPPER(A$3))),"''","null"),SUBSTITUTE(VLOOKUP(A$2,convert!$A$1:$B$4,2,0),"@@@",A351))</f>
        <v>'0277N01'</v>
      </c>
      <c r="Q351" s="4" t="str">
        <f>IF(B351="",IF(ISNUMBER(SEARCH("NOT NULL",UPPER(B$3))),"''","null"),SUBSTITUTE(VLOOKUP(B$2,convert!$A$1:$B$4,2,0),"@@@",B351))</f>
        <v>'オオスバメ'</v>
      </c>
      <c r="R351" s="4" t="str">
        <f>IF(C351="",IF(ISNUMBER(SEARCH("NOT NULL",UPPER(C$3))),"''","null"),SUBSTITUTE(VLOOKUP(C$2,convert!$A$1:$B$4,2,0),"@@@",C351))</f>
        <v>60</v>
      </c>
      <c r="S351" s="4" t="str">
        <f>IF(D351="",IF(ISNUMBER(SEARCH("NOT NULL",UPPER(D$3))),"''","null"),SUBSTITUTE(VLOOKUP(D$2,convert!$A$1:$B$4,2,0),"@@@",D351))</f>
        <v>85</v>
      </c>
      <c r="T351" s="4" t="str">
        <f>IF(E351="",IF(ISNUMBER(SEARCH("NOT NULL",UPPER(E$3))),"''","null"),SUBSTITUTE(VLOOKUP(E$2,convert!$A$1:$B$4,2,0),"@@@",E351))</f>
        <v>60</v>
      </c>
      <c r="U351" s="4" t="str">
        <f>IF(F351="",IF(ISNUMBER(SEARCH("NOT NULL",UPPER(F$3))),"''","null"),SUBSTITUTE(VLOOKUP(F$2,convert!$A$1:$B$4,2,0),"@@@",F351))</f>
        <v>75</v>
      </c>
      <c r="V351" s="4" t="str">
        <f>IF(G351="",IF(ISNUMBER(SEARCH("NOT NULL",UPPER(G$3))),"''","null"),SUBSTITUTE(VLOOKUP(G$2,convert!$A$1:$B$4,2,0),"@@@",G351))</f>
        <v>50</v>
      </c>
      <c r="W351" s="4" t="str">
        <f>IF(H351="",IF(ISNUMBER(SEARCH("NOT NULL",UPPER(H$3))),"''","null"),SUBSTITUTE(VLOOKUP(H$2,convert!$A$1:$B$4,2,0),"@@@",H351))</f>
        <v>125</v>
      </c>
      <c r="X351" s="4" t="str">
        <f>IF(I351="",IF(ISNUMBER(SEARCH("NOT NULL",UPPER(I$3))),"''","null"),SUBSTITUTE(VLOOKUP(I$2,convert!$A$1:$B$4,2,0),"@@@",I351))</f>
        <v>''</v>
      </c>
      <c r="Y351" s="4" t="str">
        <f>IF(J351="",IF(ISNUMBER(SEARCH("NOT NULL",UPPER(J$3))),"''","null"),SUBSTITUTE(VLOOKUP(J$2,convert!$A$1:$B$4,2,0),"@@@",J351))</f>
        <v>'normal'</v>
      </c>
      <c r="Z351" s="4" t="str">
        <f>IF(K351="",IF(ISNUMBER(SEARCH("NOT NULL",UPPER(K$3))),"''","null"),SUBSTITUTE(VLOOKUP(K$2,convert!$A$1:$B$4,2,0),"@@@",K351))</f>
        <v>'flying'</v>
      </c>
      <c r="AA351" s="4" t="str">
        <f>IF(L351="",IF(ISNUMBER(SEARCH("NOT NULL",UPPER(L$3))),"''","null"),SUBSTITUTE(VLOOKUP(L$2,convert!$A$1:$B$4,2,0),"@@@",L351))</f>
        <v>'g3'</v>
      </c>
      <c r="AB351" s="4" t="str">
        <f>IF(M351="",IF(ISNUMBER(SEARCH("NOT NULL",UPPER(M$3))),"''","null"),SUBSTITUTE(VLOOKUP(M$2,convert!$A$1:$B$4,2,0),"@@@",M351))</f>
        <v>null</v>
      </c>
      <c r="AC351" s="4" t="str">
        <f>IF(N351="",IF(ISNUMBER(SEARCH("NOT NULL",UPPER(N$3))),"''","null"),SUBSTITUTE(VLOOKUP(N$2,convert!$A$1:$B$4,2,0),"@@@",N351))</f>
        <v>null</v>
      </c>
      <c r="AD351" s="4" t="str">
        <f>IF(O351="",IF(ISNUMBER(SEARCH("NOT NULL",UPPER(O$3))),"''","null"),SUBSTITUTE(VLOOKUP(O$2,convert!$A$1:$B$4,2,0),"@@@",O351))</f>
        <v>TRUE</v>
      </c>
      <c r="AE351" s="4" t="str">
        <f t="shared" si="5"/>
        <v>    ('0277N01', 'オオスバメ', 60, 85, 60, 75, 50, 125, '', 'normal', 'flying', 'g3', null, null, TRUE),</v>
      </c>
    </row>
    <row r="352" spans="1:31">
      <c r="A352" s="4" t="s">
        <v>715</v>
      </c>
      <c r="B352" s="4" t="s">
        <v>716</v>
      </c>
      <c r="C352" s="5">
        <v>40</v>
      </c>
      <c r="D352" s="5">
        <v>30</v>
      </c>
      <c r="E352" s="5">
        <v>30</v>
      </c>
      <c r="F352" s="5">
        <v>55</v>
      </c>
      <c r="G352" s="5">
        <v>30</v>
      </c>
      <c r="H352" s="5">
        <v>85</v>
      </c>
      <c r="I352" s="5"/>
      <c r="J352" s="4" t="s">
        <v>55</v>
      </c>
      <c r="K352" s="4" t="s">
        <v>47</v>
      </c>
      <c r="L352" s="4" t="s">
        <v>656</v>
      </c>
      <c r="M352" s="5"/>
      <c r="N352" s="5"/>
      <c r="O352" s="5" t="b">
        <v>1</v>
      </c>
      <c r="P352" s="4" t="str">
        <f>IF(A352="",IF(ISNUMBER(SEARCH("NOT NULL",UPPER(A$3))),"''","null"),SUBSTITUTE(VLOOKUP(A$2,convert!$A$1:$B$4,2,0),"@@@",A352))</f>
        <v>'0278N01'</v>
      </c>
      <c r="Q352" s="4" t="str">
        <f>IF(B352="",IF(ISNUMBER(SEARCH("NOT NULL",UPPER(B$3))),"''","null"),SUBSTITUTE(VLOOKUP(B$2,convert!$A$1:$B$4,2,0),"@@@",B352))</f>
        <v>'キャモメ'</v>
      </c>
      <c r="R352" s="4" t="str">
        <f>IF(C352="",IF(ISNUMBER(SEARCH("NOT NULL",UPPER(C$3))),"''","null"),SUBSTITUTE(VLOOKUP(C$2,convert!$A$1:$B$4,2,0),"@@@",C352))</f>
        <v>40</v>
      </c>
      <c r="S352" s="4" t="str">
        <f>IF(D352="",IF(ISNUMBER(SEARCH("NOT NULL",UPPER(D$3))),"''","null"),SUBSTITUTE(VLOOKUP(D$2,convert!$A$1:$B$4,2,0),"@@@",D352))</f>
        <v>30</v>
      </c>
      <c r="T352" s="4" t="str">
        <f>IF(E352="",IF(ISNUMBER(SEARCH("NOT NULL",UPPER(E$3))),"''","null"),SUBSTITUTE(VLOOKUP(E$2,convert!$A$1:$B$4,2,0),"@@@",E352))</f>
        <v>30</v>
      </c>
      <c r="U352" s="4" t="str">
        <f>IF(F352="",IF(ISNUMBER(SEARCH("NOT NULL",UPPER(F$3))),"''","null"),SUBSTITUTE(VLOOKUP(F$2,convert!$A$1:$B$4,2,0),"@@@",F352))</f>
        <v>55</v>
      </c>
      <c r="V352" s="4" t="str">
        <f>IF(G352="",IF(ISNUMBER(SEARCH("NOT NULL",UPPER(G$3))),"''","null"),SUBSTITUTE(VLOOKUP(G$2,convert!$A$1:$B$4,2,0),"@@@",G352))</f>
        <v>30</v>
      </c>
      <c r="W352" s="4" t="str">
        <f>IF(H352="",IF(ISNUMBER(SEARCH("NOT NULL",UPPER(H$3))),"''","null"),SUBSTITUTE(VLOOKUP(H$2,convert!$A$1:$B$4,2,0),"@@@",H352))</f>
        <v>85</v>
      </c>
      <c r="X352" s="4" t="str">
        <f>IF(I352="",IF(ISNUMBER(SEARCH("NOT NULL",UPPER(I$3))),"''","null"),SUBSTITUTE(VLOOKUP(I$2,convert!$A$1:$B$4,2,0),"@@@",I352))</f>
        <v>''</v>
      </c>
      <c r="Y352" s="4" t="str">
        <f>IF(J352="",IF(ISNUMBER(SEARCH("NOT NULL",UPPER(J$3))),"''","null"),SUBSTITUTE(VLOOKUP(J$2,convert!$A$1:$B$4,2,0),"@@@",J352))</f>
        <v>'water'</v>
      </c>
      <c r="Z352" s="4" t="str">
        <f>IF(K352="",IF(ISNUMBER(SEARCH("NOT NULL",UPPER(K$3))),"''","null"),SUBSTITUTE(VLOOKUP(K$2,convert!$A$1:$B$4,2,0),"@@@",K352))</f>
        <v>'flying'</v>
      </c>
      <c r="AA352" s="4" t="str">
        <f>IF(L352="",IF(ISNUMBER(SEARCH("NOT NULL",UPPER(L$3))),"''","null"),SUBSTITUTE(VLOOKUP(L$2,convert!$A$1:$B$4,2,0),"@@@",L352))</f>
        <v>'g3'</v>
      </c>
      <c r="AB352" s="4" t="str">
        <f>IF(M352="",IF(ISNUMBER(SEARCH("NOT NULL",UPPER(M$3))),"''","null"),SUBSTITUTE(VLOOKUP(M$2,convert!$A$1:$B$4,2,0),"@@@",M352))</f>
        <v>null</v>
      </c>
      <c r="AC352" s="4" t="str">
        <f>IF(N352="",IF(ISNUMBER(SEARCH("NOT NULL",UPPER(N$3))),"''","null"),SUBSTITUTE(VLOOKUP(N$2,convert!$A$1:$B$4,2,0),"@@@",N352))</f>
        <v>null</v>
      </c>
      <c r="AD352" s="4" t="str">
        <f>IF(O352="",IF(ISNUMBER(SEARCH("NOT NULL",UPPER(O$3))),"''","null"),SUBSTITUTE(VLOOKUP(O$2,convert!$A$1:$B$4,2,0),"@@@",O352))</f>
        <v>TRUE</v>
      </c>
      <c r="AE352" s="4" t="str">
        <f t="shared" si="5"/>
        <v>    ('0278N01', 'キャモメ', 40, 30, 30, 55, 30, 85, '', 'water', 'flying', 'g3', null, null, TRUE),</v>
      </c>
    </row>
    <row r="353" spans="1:31">
      <c r="A353" s="4" t="s">
        <v>717</v>
      </c>
      <c r="B353" s="4" t="s">
        <v>718</v>
      </c>
      <c r="C353" s="5">
        <v>60</v>
      </c>
      <c r="D353" s="5">
        <v>50</v>
      </c>
      <c r="E353" s="5">
        <v>100</v>
      </c>
      <c r="F353" s="5">
        <v>95</v>
      </c>
      <c r="G353" s="5">
        <v>70</v>
      </c>
      <c r="H353" s="5">
        <v>65</v>
      </c>
      <c r="I353" s="5"/>
      <c r="J353" s="4" t="s">
        <v>55</v>
      </c>
      <c r="K353" s="4" t="s">
        <v>47</v>
      </c>
      <c r="L353" s="4" t="s">
        <v>656</v>
      </c>
      <c r="M353" s="5"/>
      <c r="N353" s="5"/>
      <c r="O353" s="5" t="b">
        <v>1</v>
      </c>
      <c r="P353" s="4" t="str">
        <f>IF(A353="",IF(ISNUMBER(SEARCH("NOT NULL",UPPER(A$3))),"''","null"),SUBSTITUTE(VLOOKUP(A$2,convert!$A$1:$B$4,2,0),"@@@",A353))</f>
        <v>'0279N01'</v>
      </c>
      <c r="Q353" s="4" t="str">
        <f>IF(B353="",IF(ISNUMBER(SEARCH("NOT NULL",UPPER(B$3))),"''","null"),SUBSTITUTE(VLOOKUP(B$2,convert!$A$1:$B$4,2,0),"@@@",B353))</f>
        <v>'ペリッパー'</v>
      </c>
      <c r="R353" s="4" t="str">
        <f>IF(C353="",IF(ISNUMBER(SEARCH("NOT NULL",UPPER(C$3))),"''","null"),SUBSTITUTE(VLOOKUP(C$2,convert!$A$1:$B$4,2,0),"@@@",C353))</f>
        <v>60</v>
      </c>
      <c r="S353" s="4" t="str">
        <f>IF(D353="",IF(ISNUMBER(SEARCH("NOT NULL",UPPER(D$3))),"''","null"),SUBSTITUTE(VLOOKUP(D$2,convert!$A$1:$B$4,2,0),"@@@",D353))</f>
        <v>50</v>
      </c>
      <c r="T353" s="4" t="str">
        <f>IF(E353="",IF(ISNUMBER(SEARCH("NOT NULL",UPPER(E$3))),"''","null"),SUBSTITUTE(VLOOKUP(E$2,convert!$A$1:$B$4,2,0),"@@@",E353))</f>
        <v>100</v>
      </c>
      <c r="U353" s="4" t="str">
        <f>IF(F353="",IF(ISNUMBER(SEARCH("NOT NULL",UPPER(F$3))),"''","null"),SUBSTITUTE(VLOOKUP(F$2,convert!$A$1:$B$4,2,0),"@@@",F353))</f>
        <v>95</v>
      </c>
      <c r="V353" s="4" t="str">
        <f>IF(G353="",IF(ISNUMBER(SEARCH("NOT NULL",UPPER(G$3))),"''","null"),SUBSTITUTE(VLOOKUP(G$2,convert!$A$1:$B$4,2,0),"@@@",G353))</f>
        <v>70</v>
      </c>
      <c r="W353" s="4" t="str">
        <f>IF(H353="",IF(ISNUMBER(SEARCH("NOT NULL",UPPER(H$3))),"''","null"),SUBSTITUTE(VLOOKUP(H$2,convert!$A$1:$B$4,2,0),"@@@",H353))</f>
        <v>65</v>
      </c>
      <c r="X353" s="4" t="str">
        <f>IF(I353="",IF(ISNUMBER(SEARCH("NOT NULL",UPPER(I$3))),"''","null"),SUBSTITUTE(VLOOKUP(I$2,convert!$A$1:$B$4,2,0),"@@@",I353))</f>
        <v>''</v>
      </c>
      <c r="Y353" s="4" t="str">
        <f>IF(J353="",IF(ISNUMBER(SEARCH("NOT NULL",UPPER(J$3))),"''","null"),SUBSTITUTE(VLOOKUP(J$2,convert!$A$1:$B$4,2,0),"@@@",J353))</f>
        <v>'water'</v>
      </c>
      <c r="Z353" s="4" t="str">
        <f>IF(K353="",IF(ISNUMBER(SEARCH("NOT NULL",UPPER(K$3))),"''","null"),SUBSTITUTE(VLOOKUP(K$2,convert!$A$1:$B$4,2,0),"@@@",K353))</f>
        <v>'flying'</v>
      </c>
      <c r="AA353" s="4" t="str">
        <f>IF(L353="",IF(ISNUMBER(SEARCH("NOT NULL",UPPER(L$3))),"''","null"),SUBSTITUTE(VLOOKUP(L$2,convert!$A$1:$B$4,2,0),"@@@",L353))</f>
        <v>'g3'</v>
      </c>
      <c r="AB353" s="4" t="str">
        <f>IF(M353="",IF(ISNUMBER(SEARCH("NOT NULL",UPPER(M$3))),"''","null"),SUBSTITUTE(VLOOKUP(M$2,convert!$A$1:$B$4,2,0),"@@@",M353))</f>
        <v>null</v>
      </c>
      <c r="AC353" s="4" t="str">
        <f>IF(N353="",IF(ISNUMBER(SEARCH("NOT NULL",UPPER(N$3))),"''","null"),SUBSTITUTE(VLOOKUP(N$2,convert!$A$1:$B$4,2,0),"@@@",N353))</f>
        <v>null</v>
      </c>
      <c r="AD353" s="4" t="str">
        <f>IF(O353="",IF(ISNUMBER(SEARCH("NOT NULL",UPPER(O$3))),"''","null"),SUBSTITUTE(VLOOKUP(O$2,convert!$A$1:$B$4,2,0),"@@@",O353))</f>
        <v>TRUE</v>
      </c>
      <c r="AE353" s="4" t="str">
        <f t="shared" si="5"/>
        <v>    ('0279N01', 'ペリッパー', 60, 50, 100, 95, 70, 65, '', 'water', 'flying', 'g3', null, null, TRUE),</v>
      </c>
    </row>
    <row r="354" spans="1:31">
      <c r="A354" s="4" t="s">
        <v>719</v>
      </c>
      <c r="B354" s="4" t="s">
        <v>720</v>
      </c>
      <c r="C354" s="5">
        <v>28</v>
      </c>
      <c r="D354" s="5">
        <v>25</v>
      </c>
      <c r="E354" s="5">
        <v>25</v>
      </c>
      <c r="F354" s="5">
        <v>45</v>
      </c>
      <c r="G354" s="5">
        <v>35</v>
      </c>
      <c r="H354" s="5">
        <v>40</v>
      </c>
      <c r="I354" s="5"/>
      <c r="J354" s="4" t="s">
        <v>113</v>
      </c>
      <c r="K354" s="4" t="s">
        <v>137</v>
      </c>
      <c r="L354" s="4" t="s">
        <v>656</v>
      </c>
      <c r="M354" s="5"/>
      <c r="N354" s="5"/>
      <c r="O354" s="5" t="b">
        <v>1</v>
      </c>
      <c r="P354" s="4" t="str">
        <f>IF(A354="",IF(ISNUMBER(SEARCH("NOT NULL",UPPER(A$3))),"''","null"),SUBSTITUTE(VLOOKUP(A$2,convert!$A$1:$B$4,2,0),"@@@",A354))</f>
        <v>'0280N01'</v>
      </c>
      <c r="Q354" s="4" t="str">
        <f>IF(B354="",IF(ISNUMBER(SEARCH("NOT NULL",UPPER(B$3))),"''","null"),SUBSTITUTE(VLOOKUP(B$2,convert!$A$1:$B$4,2,0),"@@@",B354))</f>
        <v>'ラルトス'</v>
      </c>
      <c r="R354" s="4" t="str">
        <f>IF(C354="",IF(ISNUMBER(SEARCH("NOT NULL",UPPER(C$3))),"''","null"),SUBSTITUTE(VLOOKUP(C$2,convert!$A$1:$B$4,2,0),"@@@",C354))</f>
        <v>28</v>
      </c>
      <c r="S354" s="4" t="str">
        <f>IF(D354="",IF(ISNUMBER(SEARCH("NOT NULL",UPPER(D$3))),"''","null"),SUBSTITUTE(VLOOKUP(D$2,convert!$A$1:$B$4,2,0),"@@@",D354))</f>
        <v>25</v>
      </c>
      <c r="T354" s="4" t="str">
        <f>IF(E354="",IF(ISNUMBER(SEARCH("NOT NULL",UPPER(E$3))),"''","null"),SUBSTITUTE(VLOOKUP(E$2,convert!$A$1:$B$4,2,0),"@@@",E354))</f>
        <v>25</v>
      </c>
      <c r="U354" s="4" t="str">
        <f>IF(F354="",IF(ISNUMBER(SEARCH("NOT NULL",UPPER(F$3))),"''","null"),SUBSTITUTE(VLOOKUP(F$2,convert!$A$1:$B$4,2,0),"@@@",F354))</f>
        <v>45</v>
      </c>
      <c r="V354" s="4" t="str">
        <f>IF(G354="",IF(ISNUMBER(SEARCH("NOT NULL",UPPER(G$3))),"''","null"),SUBSTITUTE(VLOOKUP(G$2,convert!$A$1:$B$4,2,0),"@@@",G354))</f>
        <v>35</v>
      </c>
      <c r="W354" s="4" t="str">
        <f>IF(H354="",IF(ISNUMBER(SEARCH("NOT NULL",UPPER(H$3))),"''","null"),SUBSTITUTE(VLOOKUP(H$2,convert!$A$1:$B$4,2,0),"@@@",H354))</f>
        <v>40</v>
      </c>
      <c r="X354" s="4" t="str">
        <f>IF(I354="",IF(ISNUMBER(SEARCH("NOT NULL",UPPER(I$3))),"''","null"),SUBSTITUTE(VLOOKUP(I$2,convert!$A$1:$B$4,2,0),"@@@",I354))</f>
        <v>''</v>
      </c>
      <c r="Y354" s="4" t="str">
        <f>IF(J354="",IF(ISNUMBER(SEARCH("NOT NULL",UPPER(J$3))),"''","null"),SUBSTITUTE(VLOOKUP(J$2,convert!$A$1:$B$4,2,0),"@@@",J354))</f>
        <v>'psychic'</v>
      </c>
      <c r="Z354" s="4" t="str">
        <f>IF(K354="",IF(ISNUMBER(SEARCH("NOT NULL",UPPER(K$3))),"''","null"),SUBSTITUTE(VLOOKUP(K$2,convert!$A$1:$B$4,2,0),"@@@",K354))</f>
        <v>'fairy'</v>
      </c>
      <c r="AA354" s="4" t="str">
        <f>IF(L354="",IF(ISNUMBER(SEARCH("NOT NULL",UPPER(L$3))),"''","null"),SUBSTITUTE(VLOOKUP(L$2,convert!$A$1:$B$4,2,0),"@@@",L354))</f>
        <v>'g3'</v>
      </c>
      <c r="AB354" s="4" t="str">
        <f>IF(M354="",IF(ISNUMBER(SEARCH("NOT NULL",UPPER(M$3))),"''","null"),SUBSTITUTE(VLOOKUP(M$2,convert!$A$1:$B$4,2,0),"@@@",M354))</f>
        <v>null</v>
      </c>
      <c r="AC354" s="4" t="str">
        <f>IF(N354="",IF(ISNUMBER(SEARCH("NOT NULL",UPPER(N$3))),"''","null"),SUBSTITUTE(VLOOKUP(N$2,convert!$A$1:$B$4,2,0),"@@@",N354))</f>
        <v>null</v>
      </c>
      <c r="AD354" s="4" t="str">
        <f>IF(O354="",IF(ISNUMBER(SEARCH("NOT NULL",UPPER(O$3))),"''","null"),SUBSTITUTE(VLOOKUP(O$2,convert!$A$1:$B$4,2,0),"@@@",O354))</f>
        <v>TRUE</v>
      </c>
      <c r="AE354" s="4" t="str">
        <f t="shared" si="5"/>
        <v>    ('0280N01', 'ラルトス', 28, 25, 25, 45, 35, 40, '', 'psychic', 'fairy', 'g3', null, null, TRUE),</v>
      </c>
    </row>
    <row r="355" spans="1:31">
      <c r="A355" s="4" t="s">
        <v>721</v>
      </c>
      <c r="B355" s="4" t="s">
        <v>722</v>
      </c>
      <c r="C355" s="5">
        <v>38</v>
      </c>
      <c r="D355" s="5">
        <v>35</v>
      </c>
      <c r="E355" s="5">
        <v>35</v>
      </c>
      <c r="F355" s="5">
        <v>65</v>
      </c>
      <c r="G355" s="5">
        <v>55</v>
      </c>
      <c r="H355" s="5">
        <v>50</v>
      </c>
      <c r="I355" s="5"/>
      <c r="J355" s="4" t="s">
        <v>113</v>
      </c>
      <c r="K355" s="4" t="s">
        <v>137</v>
      </c>
      <c r="L355" s="4" t="s">
        <v>656</v>
      </c>
      <c r="M355" s="5"/>
      <c r="N355" s="5"/>
      <c r="O355" s="5" t="b">
        <v>1</v>
      </c>
      <c r="P355" s="4" t="str">
        <f>IF(A355="",IF(ISNUMBER(SEARCH("NOT NULL",UPPER(A$3))),"''","null"),SUBSTITUTE(VLOOKUP(A$2,convert!$A$1:$B$4,2,0),"@@@",A355))</f>
        <v>'0281N01'</v>
      </c>
      <c r="Q355" s="4" t="str">
        <f>IF(B355="",IF(ISNUMBER(SEARCH("NOT NULL",UPPER(B$3))),"''","null"),SUBSTITUTE(VLOOKUP(B$2,convert!$A$1:$B$4,2,0),"@@@",B355))</f>
        <v>'キルリア'</v>
      </c>
      <c r="R355" s="4" t="str">
        <f>IF(C355="",IF(ISNUMBER(SEARCH("NOT NULL",UPPER(C$3))),"''","null"),SUBSTITUTE(VLOOKUP(C$2,convert!$A$1:$B$4,2,0),"@@@",C355))</f>
        <v>38</v>
      </c>
      <c r="S355" s="4" t="str">
        <f>IF(D355="",IF(ISNUMBER(SEARCH("NOT NULL",UPPER(D$3))),"''","null"),SUBSTITUTE(VLOOKUP(D$2,convert!$A$1:$B$4,2,0),"@@@",D355))</f>
        <v>35</v>
      </c>
      <c r="T355" s="4" t="str">
        <f>IF(E355="",IF(ISNUMBER(SEARCH("NOT NULL",UPPER(E$3))),"''","null"),SUBSTITUTE(VLOOKUP(E$2,convert!$A$1:$B$4,2,0),"@@@",E355))</f>
        <v>35</v>
      </c>
      <c r="U355" s="4" t="str">
        <f>IF(F355="",IF(ISNUMBER(SEARCH("NOT NULL",UPPER(F$3))),"''","null"),SUBSTITUTE(VLOOKUP(F$2,convert!$A$1:$B$4,2,0),"@@@",F355))</f>
        <v>65</v>
      </c>
      <c r="V355" s="4" t="str">
        <f>IF(G355="",IF(ISNUMBER(SEARCH("NOT NULL",UPPER(G$3))),"''","null"),SUBSTITUTE(VLOOKUP(G$2,convert!$A$1:$B$4,2,0),"@@@",G355))</f>
        <v>55</v>
      </c>
      <c r="W355" s="4" t="str">
        <f>IF(H355="",IF(ISNUMBER(SEARCH("NOT NULL",UPPER(H$3))),"''","null"),SUBSTITUTE(VLOOKUP(H$2,convert!$A$1:$B$4,2,0),"@@@",H355))</f>
        <v>50</v>
      </c>
      <c r="X355" s="4" t="str">
        <f>IF(I355="",IF(ISNUMBER(SEARCH("NOT NULL",UPPER(I$3))),"''","null"),SUBSTITUTE(VLOOKUP(I$2,convert!$A$1:$B$4,2,0),"@@@",I355))</f>
        <v>''</v>
      </c>
      <c r="Y355" s="4" t="str">
        <f>IF(J355="",IF(ISNUMBER(SEARCH("NOT NULL",UPPER(J$3))),"''","null"),SUBSTITUTE(VLOOKUP(J$2,convert!$A$1:$B$4,2,0),"@@@",J355))</f>
        <v>'psychic'</v>
      </c>
      <c r="Z355" s="4" t="str">
        <f>IF(K355="",IF(ISNUMBER(SEARCH("NOT NULL",UPPER(K$3))),"''","null"),SUBSTITUTE(VLOOKUP(K$2,convert!$A$1:$B$4,2,0),"@@@",K355))</f>
        <v>'fairy'</v>
      </c>
      <c r="AA355" s="4" t="str">
        <f>IF(L355="",IF(ISNUMBER(SEARCH("NOT NULL",UPPER(L$3))),"''","null"),SUBSTITUTE(VLOOKUP(L$2,convert!$A$1:$B$4,2,0),"@@@",L355))</f>
        <v>'g3'</v>
      </c>
      <c r="AB355" s="4" t="str">
        <f>IF(M355="",IF(ISNUMBER(SEARCH("NOT NULL",UPPER(M$3))),"''","null"),SUBSTITUTE(VLOOKUP(M$2,convert!$A$1:$B$4,2,0),"@@@",M355))</f>
        <v>null</v>
      </c>
      <c r="AC355" s="4" t="str">
        <f>IF(N355="",IF(ISNUMBER(SEARCH("NOT NULL",UPPER(N$3))),"''","null"),SUBSTITUTE(VLOOKUP(N$2,convert!$A$1:$B$4,2,0),"@@@",N355))</f>
        <v>null</v>
      </c>
      <c r="AD355" s="4" t="str">
        <f>IF(O355="",IF(ISNUMBER(SEARCH("NOT NULL",UPPER(O$3))),"''","null"),SUBSTITUTE(VLOOKUP(O$2,convert!$A$1:$B$4,2,0),"@@@",O355))</f>
        <v>TRUE</v>
      </c>
      <c r="AE355" s="4" t="str">
        <f t="shared" si="5"/>
        <v>    ('0281N01', 'キルリア', 38, 35, 35, 65, 55, 50, '', 'psychic', 'fairy', 'g3', null, null, TRUE),</v>
      </c>
    </row>
    <row r="356" spans="1:31">
      <c r="A356" s="4" t="s">
        <v>723</v>
      </c>
      <c r="B356" s="4" t="s">
        <v>724</v>
      </c>
      <c r="C356" s="5">
        <v>68</v>
      </c>
      <c r="D356" s="5">
        <v>65</v>
      </c>
      <c r="E356" s="5">
        <v>65</v>
      </c>
      <c r="F356" s="5">
        <v>125</v>
      </c>
      <c r="G356" s="5">
        <v>115</v>
      </c>
      <c r="H356" s="5">
        <v>80</v>
      </c>
      <c r="I356" s="5"/>
      <c r="J356" s="4" t="s">
        <v>113</v>
      </c>
      <c r="K356" s="4" t="s">
        <v>137</v>
      </c>
      <c r="L356" s="4" t="s">
        <v>656</v>
      </c>
      <c r="M356" s="5"/>
      <c r="N356" s="5"/>
      <c r="O356" s="5" t="b">
        <v>1</v>
      </c>
      <c r="P356" s="4" t="str">
        <f>IF(A356="",IF(ISNUMBER(SEARCH("NOT NULL",UPPER(A$3))),"''","null"),SUBSTITUTE(VLOOKUP(A$2,convert!$A$1:$B$4,2,0),"@@@",A356))</f>
        <v>'0282N01'</v>
      </c>
      <c r="Q356" s="4" t="str">
        <f>IF(B356="",IF(ISNUMBER(SEARCH("NOT NULL",UPPER(B$3))),"''","null"),SUBSTITUTE(VLOOKUP(B$2,convert!$A$1:$B$4,2,0),"@@@",B356))</f>
        <v>'サーナイト'</v>
      </c>
      <c r="R356" s="4" t="str">
        <f>IF(C356="",IF(ISNUMBER(SEARCH("NOT NULL",UPPER(C$3))),"''","null"),SUBSTITUTE(VLOOKUP(C$2,convert!$A$1:$B$4,2,0),"@@@",C356))</f>
        <v>68</v>
      </c>
      <c r="S356" s="4" t="str">
        <f>IF(D356="",IF(ISNUMBER(SEARCH("NOT NULL",UPPER(D$3))),"''","null"),SUBSTITUTE(VLOOKUP(D$2,convert!$A$1:$B$4,2,0),"@@@",D356))</f>
        <v>65</v>
      </c>
      <c r="T356" s="4" t="str">
        <f>IF(E356="",IF(ISNUMBER(SEARCH("NOT NULL",UPPER(E$3))),"''","null"),SUBSTITUTE(VLOOKUP(E$2,convert!$A$1:$B$4,2,0),"@@@",E356))</f>
        <v>65</v>
      </c>
      <c r="U356" s="4" t="str">
        <f>IF(F356="",IF(ISNUMBER(SEARCH("NOT NULL",UPPER(F$3))),"''","null"),SUBSTITUTE(VLOOKUP(F$2,convert!$A$1:$B$4,2,0),"@@@",F356))</f>
        <v>125</v>
      </c>
      <c r="V356" s="4" t="str">
        <f>IF(G356="",IF(ISNUMBER(SEARCH("NOT NULL",UPPER(G$3))),"''","null"),SUBSTITUTE(VLOOKUP(G$2,convert!$A$1:$B$4,2,0),"@@@",G356))</f>
        <v>115</v>
      </c>
      <c r="W356" s="4" t="str">
        <f>IF(H356="",IF(ISNUMBER(SEARCH("NOT NULL",UPPER(H$3))),"''","null"),SUBSTITUTE(VLOOKUP(H$2,convert!$A$1:$B$4,2,0),"@@@",H356))</f>
        <v>80</v>
      </c>
      <c r="X356" s="4" t="str">
        <f>IF(I356="",IF(ISNUMBER(SEARCH("NOT NULL",UPPER(I$3))),"''","null"),SUBSTITUTE(VLOOKUP(I$2,convert!$A$1:$B$4,2,0),"@@@",I356))</f>
        <v>''</v>
      </c>
      <c r="Y356" s="4" t="str">
        <f>IF(J356="",IF(ISNUMBER(SEARCH("NOT NULL",UPPER(J$3))),"''","null"),SUBSTITUTE(VLOOKUP(J$2,convert!$A$1:$B$4,2,0),"@@@",J356))</f>
        <v>'psychic'</v>
      </c>
      <c r="Z356" s="4" t="str">
        <f>IF(K356="",IF(ISNUMBER(SEARCH("NOT NULL",UPPER(K$3))),"''","null"),SUBSTITUTE(VLOOKUP(K$2,convert!$A$1:$B$4,2,0),"@@@",K356))</f>
        <v>'fairy'</v>
      </c>
      <c r="AA356" s="4" t="str">
        <f>IF(L356="",IF(ISNUMBER(SEARCH("NOT NULL",UPPER(L$3))),"''","null"),SUBSTITUTE(VLOOKUP(L$2,convert!$A$1:$B$4,2,0),"@@@",L356))</f>
        <v>'g3'</v>
      </c>
      <c r="AB356" s="4" t="str">
        <f>IF(M356="",IF(ISNUMBER(SEARCH("NOT NULL",UPPER(M$3))),"''","null"),SUBSTITUTE(VLOOKUP(M$2,convert!$A$1:$B$4,2,0),"@@@",M356))</f>
        <v>null</v>
      </c>
      <c r="AC356" s="4" t="str">
        <f>IF(N356="",IF(ISNUMBER(SEARCH("NOT NULL",UPPER(N$3))),"''","null"),SUBSTITUTE(VLOOKUP(N$2,convert!$A$1:$B$4,2,0),"@@@",N356))</f>
        <v>null</v>
      </c>
      <c r="AD356" s="4" t="str">
        <f>IF(O356="",IF(ISNUMBER(SEARCH("NOT NULL",UPPER(O$3))),"''","null"),SUBSTITUTE(VLOOKUP(O$2,convert!$A$1:$B$4,2,0),"@@@",O356))</f>
        <v>TRUE</v>
      </c>
      <c r="AE356" s="4" t="str">
        <f t="shared" si="5"/>
        <v>    ('0282N01', 'サーナイト', 68, 65, 65, 125, 115, 80, '', 'psychic', 'fairy', 'g3', null, null, TRUE),</v>
      </c>
    </row>
    <row r="357" spans="1:31">
      <c r="A357" s="4" t="s">
        <v>725</v>
      </c>
      <c r="B357" s="4" t="s">
        <v>726</v>
      </c>
      <c r="C357" s="5">
        <v>68</v>
      </c>
      <c r="D357" s="5">
        <v>85</v>
      </c>
      <c r="E357" s="5">
        <v>65</v>
      </c>
      <c r="F357" s="5">
        <v>165</v>
      </c>
      <c r="G357" s="5">
        <v>135</v>
      </c>
      <c r="H357" s="5">
        <v>100</v>
      </c>
      <c r="I357" s="5"/>
      <c r="J357" s="4" t="s">
        <v>113</v>
      </c>
      <c r="K357" s="4" t="s">
        <v>137</v>
      </c>
      <c r="L357" s="4" t="s">
        <v>39</v>
      </c>
      <c r="M357" s="5"/>
      <c r="N357" s="5"/>
      <c r="O357" s="5" t="b">
        <v>1</v>
      </c>
      <c r="P357" s="4" t="str">
        <f>IF(A357="",IF(ISNUMBER(SEARCH("NOT NULL",UPPER(A$3))),"''","null"),SUBSTITUTE(VLOOKUP(A$2,convert!$A$1:$B$4,2,0),"@@@",A357))</f>
        <v>'0282M01'</v>
      </c>
      <c r="Q357" s="4" t="str">
        <f>IF(B357="",IF(ISNUMBER(SEARCH("NOT NULL",UPPER(B$3))),"''","null"),SUBSTITUTE(VLOOKUP(B$2,convert!$A$1:$B$4,2,0),"@@@",B357))</f>
        <v>'メガサーナイト'</v>
      </c>
      <c r="R357" s="4" t="str">
        <f>IF(C357="",IF(ISNUMBER(SEARCH("NOT NULL",UPPER(C$3))),"''","null"),SUBSTITUTE(VLOOKUP(C$2,convert!$A$1:$B$4,2,0),"@@@",C357))</f>
        <v>68</v>
      </c>
      <c r="S357" s="4" t="str">
        <f>IF(D357="",IF(ISNUMBER(SEARCH("NOT NULL",UPPER(D$3))),"''","null"),SUBSTITUTE(VLOOKUP(D$2,convert!$A$1:$B$4,2,0),"@@@",D357))</f>
        <v>85</v>
      </c>
      <c r="T357" s="4" t="str">
        <f>IF(E357="",IF(ISNUMBER(SEARCH("NOT NULL",UPPER(E$3))),"''","null"),SUBSTITUTE(VLOOKUP(E$2,convert!$A$1:$B$4,2,0),"@@@",E357))</f>
        <v>65</v>
      </c>
      <c r="U357" s="4" t="str">
        <f>IF(F357="",IF(ISNUMBER(SEARCH("NOT NULL",UPPER(F$3))),"''","null"),SUBSTITUTE(VLOOKUP(F$2,convert!$A$1:$B$4,2,0),"@@@",F357))</f>
        <v>165</v>
      </c>
      <c r="V357" s="4" t="str">
        <f>IF(G357="",IF(ISNUMBER(SEARCH("NOT NULL",UPPER(G$3))),"''","null"),SUBSTITUTE(VLOOKUP(G$2,convert!$A$1:$B$4,2,0),"@@@",G357))</f>
        <v>135</v>
      </c>
      <c r="W357" s="4" t="str">
        <f>IF(H357="",IF(ISNUMBER(SEARCH("NOT NULL",UPPER(H$3))),"''","null"),SUBSTITUTE(VLOOKUP(H$2,convert!$A$1:$B$4,2,0),"@@@",H357))</f>
        <v>100</v>
      </c>
      <c r="X357" s="4" t="str">
        <f>IF(I357="",IF(ISNUMBER(SEARCH("NOT NULL",UPPER(I$3))),"''","null"),SUBSTITUTE(VLOOKUP(I$2,convert!$A$1:$B$4,2,0),"@@@",I357))</f>
        <v>''</v>
      </c>
      <c r="Y357" s="4" t="str">
        <f>IF(J357="",IF(ISNUMBER(SEARCH("NOT NULL",UPPER(J$3))),"''","null"),SUBSTITUTE(VLOOKUP(J$2,convert!$A$1:$B$4,2,0),"@@@",J357))</f>
        <v>'psychic'</v>
      </c>
      <c r="Z357" s="4" t="str">
        <f>IF(K357="",IF(ISNUMBER(SEARCH("NOT NULL",UPPER(K$3))),"''","null"),SUBSTITUTE(VLOOKUP(K$2,convert!$A$1:$B$4,2,0),"@@@",K357))</f>
        <v>'fairy'</v>
      </c>
      <c r="AA357" s="4" t="str">
        <f>IF(L357="",IF(ISNUMBER(SEARCH("NOT NULL",UPPER(L$3))),"''","null"),SUBSTITUTE(VLOOKUP(L$2,convert!$A$1:$B$4,2,0),"@@@",L357))</f>
        <v>'g6'</v>
      </c>
      <c r="AB357" s="4" t="str">
        <f>IF(M357="",IF(ISNUMBER(SEARCH("NOT NULL",UPPER(M$3))),"''","null"),SUBSTITUTE(VLOOKUP(M$2,convert!$A$1:$B$4,2,0),"@@@",M357))</f>
        <v>null</v>
      </c>
      <c r="AC357" s="4" t="str">
        <f>IF(N357="",IF(ISNUMBER(SEARCH("NOT NULL",UPPER(N$3))),"''","null"),SUBSTITUTE(VLOOKUP(N$2,convert!$A$1:$B$4,2,0),"@@@",N357))</f>
        <v>null</v>
      </c>
      <c r="AD357" s="4" t="str">
        <f>IF(O357="",IF(ISNUMBER(SEARCH("NOT NULL",UPPER(O$3))),"''","null"),SUBSTITUTE(VLOOKUP(O$2,convert!$A$1:$B$4,2,0),"@@@",O357))</f>
        <v>TRUE</v>
      </c>
      <c r="AE357" s="4" t="str">
        <f t="shared" si="5"/>
        <v>    ('0282M01', 'メガサーナイト', 68, 85, 65, 165, 135, 100, '', 'psychic', 'fairy', 'g6', null, null, TRUE),</v>
      </c>
    </row>
    <row r="358" spans="1:31">
      <c r="A358" s="4" t="s">
        <v>727</v>
      </c>
      <c r="B358" s="4" t="s">
        <v>728</v>
      </c>
      <c r="C358" s="5">
        <v>40</v>
      </c>
      <c r="D358" s="5">
        <v>30</v>
      </c>
      <c r="E358" s="5">
        <v>32</v>
      </c>
      <c r="F358" s="5">
        <v>50</v>
      </c>
      <c r="G358" s="5">
        <v>52</v>
      </c>
      <c r="H358" s="5">
        <v>65</v>
      </c>
      <c r="I358" s="5"/>
      <c r="J358" s="4" t="s">
        <v>64</v>
      </c>
      <c r="K358" s="4" t="s">
        <v>55</v>
      </c>
      <c r="L358" s="4" t="s">
        <v>656</v>
      </c>
      <c r="M358" s="5"/>
      <c r="N358" s="5"/>
      <c r="O358" s="5" t="b">
        <v>1</v>
      </c>
      <c r="P358" s="4" t="str">
        <f>IF(A358="",IF(ISNUMBER(SEARCH("NOT NULL",UPPER(A$3))),"''","null"),SUBSTITUTE(VLOOKUP(A$2,convert!$A$1:$B$4,2,0),"@@@",A358))</f>
        <v>'0283N01'</v>
      </c>
      <c r="Q358" s="4" t="str">
        <f>IF(B358="",IF(ISNUMBER(SEARCH("NOT NULL",UPPER(B$3))),"''","null"),SUBSTITUTE(VLOOKUP(B$2,convert!$A$1:$B$4,2,0),"@@@",B358))</f>
        <v>'アメタマ'</v>
      </c>
      <c r="R358" s="4" t="str">
        <f>IF(C358="",IF(ISNUMBER(SEARCH("NOT NULL",UPPER(C$3))),"''","null"),SUBSTITUTE(VLOOKUP(C$2,convert!$A$1:$B$4,2,0),"@@@",C358))</f>
        <v>40</v>
      </c>
      <c r="S358" s="4" t="str">
        <f>IF(D358="",IF(ISNUMBER(SEARCH("NOT NULL",UPPER(D$3))),"''","null"),SUBSTITUTE(VLOOKUP(D$2,convert!$A$1:$B$4,2,0),"@@@",D358))</f>
        <v>30</v>
      </c>
      <c r="T358" s="4" t="str">
        <f>IF(E358="",IF(ISNUMBER(SEARCH("NOT NULL",UPPER(E$3))),"''","null"),SUBSTITUTE(VLOOKUP(E$2,convert!$A$1:$B$4,2,0),"@@@",E358))</f>
        <v>32</v>
      </c>
      <c r="U358" s="4" t="str">
        <f>IF(F358="",IF(ISNUMBER(SEARCH("NOT NULL",UPPER(F$3))),"''","null"),SUBSTITUTE(VLOOKUP(F$2,convert!$A$1:$B$4,2,0),"@@@",F358))</f>
        <v>50</v>
      </c>
      <c r="V358" s="4" t="str">
        <f>IF(G358="",IF(ISNUMBER(SEARCH("NOT NULL",UPPER(G$3))),"''","null"),SUBSTITUTE(VLOOKUP(G$2,convert!$A$1:$B$4,2,0),"@@@",G358))</f>
        <v>52</v>
      </c>
      <c r="W358" s="4" t="str">
        <f>IF(H358="",IF(ISNUMBER(SEARCH("NOT NULL",UPPER(H$3))),"''","null"),SUBSTITUTE(VLOOKUP(H$2,convert!$A$1:$B$4,2,0),"@@@",H358))</f>
        <v>65</v>
      </c>
      <c r="X358" s="4" t="str">
        <f>IF(I358="",IF(ISNUMBER(SEARCH("NOT NULL",UPPER(I$3))),"''","null"),SUBSTITUTE(VLOOKUP(I$2,convert!$A$1:$B$4,2,0),"@@@",I358))</f>
        <v>''</v>
      </c>
      <c r="Y358" s="4" t="str">
        <f>IF(J358="",IF(ISNUMBER(SEARCH("NOT NULL",UPPER(J$3))),"''","null"),SUBSTITUTE(VLOOKUP(J$2,convert!$A$1:$B$4,2,0),"@@@",J358))</f>
        <v>'bug'</v>
      </c>
      <c r="Z358" s="4" t="str">
        <f>IF(K358="",IF(ISNUMBER(SEARCH("NOT NULL",UPPER(K$3))),"''","null"),SUBSTITUTE(VLOOKUP(K$2,convert!$A$1:$B$4,2,0),"@@@",K358))</f>
        <v>'water'</v>
      </c>
      <c r="AA358" s="4" t="str">
        <f>IF(L358="",IF(ISNUMBER(SEARCH("NOT NULL",UPPER(L$3))),"''","null"),SUBSTITUTE(VLOOKUP(L$2,convert!$A$1:$B$4,2,0),"@@@",L358))</f>
        <v>'g3'</v>
      </c>
      <c r="AB358" s="4" t="str">
        <f>IF(M358="",IF(ISNUMBER(SEARCH("NOT NULL",UPPER(M$3))),"''","null"),SUBSTITUTE(VLOOKUP(M$2,convert!$A$1:$B$4,2,0),"@@@",M358))</f>
        <v>null</v>
      </c>
      <c r="AC358" s="4" t="str">
        <f>IF(N358="",IF(ISNUMBER(SEARCH("NOT NULL",UPPER(N$3))),"''","null"),SUBSTITUTE(VLOOKUP(N$2,convert!$A$1:$B$4,2,0),"@@@",N358))</f>
        <v>null</v>
      </c>
      <c r="AD358" s="4" t="str">
        <f>IF(O358="",IF(ISNUMBER(SEARCH("NOT NULL",UPPER(O$3))),"''","null"),SUBSTITUTE(VLOOKUP(O$2,convert!$A$1:$B$4,2,0),"@@@",O358))</f>
        <v>TRUE</v>
      </c>
      <c r="AE358" s="4" t="str">
        <f t="shared" si="5"/>
        <v>    ('0283N01', 'アメタマ', 40, 30, 32, 50, 52, 65, '', 'bug', 'water', 'g3', null, null, TRUE),</v>
      </c>
    </row>
    <row r="359" spans="1:31">
      <c r="A359" s="4" t="s">
        <v>729</v>
      </c>
      <c r="B359" s="4" t="s">
        <v>730</v>
      </c>
      <c r="C359" s="5">
        <v>70</v>
      </c>
      <c r="D359" s="5">
        <v>60</v>
      </c>
      <c r="E359" s="5">
        <v>62</v>
      </c>
      <c r="F359" s="5">
        <v>100</v>
      </c>
      <c r="G359" s="5">
        <v>82</v>
      </c>
      <c r="H359" s="5">
        <v>80</v>
      </c>
      <c r="I359" s="5"/>
      <c r="J359" s="4" t="s">
        <v>64</v>
      </c>
      <c r="K359" s="4" t="s">
        <v>47</v>
      </c>
      <c r="L359" s="4" t="s">
        <v>656</v>
      </c>
      <c r="M359" s="5"/>
      <c r="N359" s="5"/>
      <c r="O359" s="5" t="b">
        <v>1</v>
      </c>
      <c r="P359" s="4" t="str">
        <f>IF(A359="",IF(ISNUMBER(SEARCH("NOT NULL",UPPER(A$3))),"''","null"),SUBSTITUTE(VLOOKUP(A$2,convert!$A$1:$B$4,2,0),"@@@",A359))</f>
        <v>'0284N01'</v>
      </c>
      <c r="Q359" s="4" t="str">
        <f>IF(B359="",IF(ISNUMBER(SEARCH("NOT NULL",UPPER(B$3))),"''","null"),SUBSTITUTE(VLOOKUP(B$2,convert!$A$1:$B$4,2,0),"@@@",B359))</f>
        <v>'アメモース'</v>
      </c>
      <c r="R359" s="4" t="str">
        <f>IF(C359="",IF(ISNUMBER(SEARCH("NOT NULL",UPPER(C$3))),"''","null"),SUBSTITUTE(VLOOKUP(C$2,convert!$A$1:$B$4,2,0),"@@@",C359))</f>
        <v>70</v>
      </c>
      <c r="S359" s="4" t="str">
        <f>IF(D359="",IF(ISNUMBER(SEARCH("NOT NULL",UPPER(D$3))),"''","null"),SUBSTITUTE(VLOOKUP(D$2,convert!$A$1:$B$4,2,0),"@@@",D359))</f>
        <v>60</v>
      </c>
      <c r="T359" s="4" t="str">
        <f>IF(E359="",IF(ISNUMBER(SEARCH("NOT NULL",UPPER(E$3))),"''","null"),SUBSTITUTE(VLOOKUP(E$2,convert!$A$1:$B$4,2,0),"@@@",E359))</f>
        <v>62</v>
      </c>
      <c r="U359" s="4" t="str">
        <f>IF(F359="",IF(ISNUMBER(SEARCH("NOT NULL",UPPER(F$3))),"''","null"),SUBSTITUTE(VLOOKUP(F$2,convert!$A$1:$B$4,2,0),"@@@",F359))</f>
        <v>100</v>
      </c>
      <c r="V359" s="4" t="str">
        <f>IF(G359="",IF(ISNUMBER(SEARCH("NOT NULL",UPPER(G$3))),"''","null"),SUBSTITUTE(VLOOKUP(G$2,convert!$A$1:$B$4,2,0),"@@@",G359))</f>
        <v>82</v>
      </c>
      <c r="W359" s="4" t="str">
        <f>IF(H359="",IF(ISNUMBER(SEARCH("NOT NULL",UPPER(H$3))),"''","null"),SUBSTITUTE(VLOOKUP(H$2,convert!$A$1:$B$4,2,0),"@@@",H359))</f>
        <v>80</v>
      </c>
      <c r="X359" s="4" t="str">
        <f>IF(I359="",IF(ISNUMBER(SEARCH("NOT NULL",UPPER(I$3))),"''","null"),SUBSTITUTE(VLOOKUP(I$2,convert!$A$1:$B$4,2,0),"@@@",I359))</f>
        <v>''</v>
      </c>
      <c r="Y359" s="4" t="str">
        <f>IF(J359="",IF(ISNUMBER(SEARCH("NOT NULL",UPPER(J$3))),"''","null"),SUBSTITUTE(VLOOKUP(J$2,convert!$A$1:$B$4,2,0),"@@@",J359))</f>
        <v>'bug'</v>
      </c>
      <c r="Z359" s="4" t="str">
        <f>IF(K359="",IF(ISNUMBER(SEARCH("NOT NULL",UPPER(K$3))),"''","null"),SUBSTITUTE(VLOOKUP(K$2,convert!$A$1:$B$4,2,0),"@@@",K359))</f>
        <v>'flying'</v>
      </c>
      <c r="AA359" s="4" t="str">
        <f>IF(L359="",IF(ISNUMBER(SEARCH("NOT NULL",UPPER(L$3))),"''","null"),SUBSTITUTE(VLOOKUP(L$2,convert!$A$1:$B$4,2,0),"@@@",L359))</f>
        <v>'g3'</v>
      </c>
      <c r="AB359" s="4" t="str">
        <f>IF(M359="",IF(ISNUMBER(SEARCH("NOT NULL",UPPER(M$3))),"''","null"),SUBSTITUTE(VLOOKUP(M$2,convert!$A$1:$B$4,2,0),"@@@",M359))</f>
        <v>null</v>
      </c>
      <c r="AC359" s="4" t="str">
        <f>IF(N359="",IF(ISNUMBER(SEARCH("NOT NULL",UPPER(N$3))),"''","null"),SUBSTITUTE(VLOOKUP(N$2,convert!$A$1:$B$4,2,0),"@@@",N359))</f>
        <v>null</v>
      </c>
      <c r="AD359" s="4" t="str">
        <f>IF(O359="",IF(ISNUMBER(SEARCH("NOT NULL",UPPER(O$3))),"''","null"),SUBSTITUTE(VLOOKUP(O$2,convert!$A$1:$B$4,2,0),"@@@",O359))</f>
        <v>TRUE</v>
      </c>
      <c r="AE359" s="4" t="str">
        <f t="shared" si="5"/>
        <v>    ('0284N01', 'アメモース', 70, 60, 62, 100, 82, 80, '', 'bug', 'flying', 'g3', null, null, TRUE),</v>
      </c>
    </row>
    <row r="360" spans="1:31">
      <c r="A360" s="4" t="s">
        <v>731</v>
      </c>
      <c r="B360" s="4" t="s">
        <v>732</v>
      </c>
      <c r="C360" s="5">
        <v>60</v>
      </c>
      <c r="D360" s="5">
        <v>40</v>
      </c>
      <c r="E360" s="5">
        <v>60</v>
      </c>
      <c r="F360" s="5">
        <v>40</v>
      </c>
      <c r="G360" s="5">
        <v>60</v>
      </c>
      <c r="H360" s="5">
        <v>35</v>
      </c>
      <c r="I360" s="5"/>
      <c r="J360" s="4" t="s">
        <v>30</v>
      </c>
      <c r="K360" s="5"/>
      <c r="L360" s="4" t="s">
        <v>656</v>
      </c>
      <c r="M360" s="5"/>
      <c r="N360" s="5"/>
      <c r="O360" s="5" t="b">
        <v>1</v>
      </c>
      <c r="P360" s="4" t="str">
        <f>IF(A360="",IF(ISNUMBER(SEARCH("NOT NULL",UPPER(A$3))),"''","null"),SUBSTITUTE(VLOOKUP(A$2,convert!$A$1:$B$4,2,0),"@@@",A360))</f>
        <v>'0285N01'</v>
      </c>
      <c r="Q360" s="4" t="str">
        <f>IF(B360="",IF(ISNUMBER(SEARCH("NOT NULL",UPPER(B$3))),"''","null"),SUBSTITUTE(VLOOKUP(B$2,convert!$A$1:$B$4,2,0),"@@@",B360))</f>
        <v>'キノココ'</v>
      </c>
      <c r="R360" s="4" t="str">
        <f>IF(C360="",IF(ISNUMBER(SEARCH("NOT NULL",UPPER(C$3))),"''","null"),SUBSTITUTE(VLOOKUP(C$2,convert!$A$1:$B$4,2,0),"@@@",C360))</f>
        <v>60</v>
      </c>
      <c r="S360" s="4" t="str">
        <f>IF(D360="",IF(ISNUMBER(SEARCH("NOT NULL",UPPER(D$3))),"''","null"),SUBSTITUTE(VLOOKUP(D$2,convert!$A$1:$B$4,2,0),"@@@",D360))</f>
        <v>40</v>
      </c>
      <c r="T360" s="4" t="str">
        <f>IF(E360="",IF(ISNUMBER(SEARCH("NOT NULL",UPPER(E$3))),"''","null"),SUBSTITUTE(VLOOKUP(E$2,convert!$A$1:$B$4,2,0),"@@@",E360))</f>
        <v>60</v>
      </c>
      <c r="U360" s="4" t="str">
        <f>IF(F360="",IF(ISNUMBER(SEARCH("NOT NULL",UPPER(F$3))),"''","null"),SUBSTITUTE(VLOOKUP(F$2,convert!$A$1:$B$4,2,0),"@@@",F360))</f>
        <v>40</v>
      </c>
      <c r="V360" s="4" t="str">
        <f>IF(G360="",IF(ISNUMBER(SEARCH("NOT NULL",UPPER(G$3))),"''","null"),SUBSTITUTE(VLOOKUP(G$2,convert!$A$1:$B$4,2,0),"@@@",G360))</f>
        <v>60</v>
      </c>
      <c r="W360" s="4" t="str">
        <f>IF(H360="",IF(ISNUMBER(SEARCH("NOT NULL",UPPER(H$3))),"''","null"),SUBSTITUTE(VLOOKUP(H$2,convert!$A$1:$B$4,2,0),"@@@",H360))</f>
        <v>35</v>
      </c>
      <c r="X360" s="4" t="str">
        <f>IF(I360="",IF(ISNUMBER(SEARCH("NOT NULL",UPPER(I$3))),"''","null"),SUBSTITUTE(VLOOKUP(I$2,convert!$A$1:$B$4,2,0),"@@@",I360))</f>
        <v>''</v>
      </c>
      <c r="Y360" s="4" t="str">
        <f>IF(J360="",IF(ISNUMBER(SEARCH("NOT NULL",UPPER(J$3))),"''","null"),SUBSTITUTE(VLOOKUP(J$2,convert!$A$1:$B$4,2,0),"@@@",J360))</f>
        <v>'grass'</v>
      </c>
      <c r="Z360" s="4" t="str">
        <f>IF(K360="",IF(ISNUMBER(SEARCH("NOT NULL",UPPER(K$3))),"''","null"),SUBSTITUTE(VLOOKUP(K$2,convert!$A$1:$B$4,2,0),"@@@",K360))</f>
        <v>null</v>
      </c>
      <c r="AA360" s="4" t="str">
        <f>IF(L360="",IF(ISNUMBER(SEARCH("NOT NULL",UPPER(L$3))),"''","null"),SUBSTITUTE(VLOOKUP(L$2,convert!$A$1:$B$4,2,0),"@@@",L360))</f>
        <v>'g3'</v>
      </c>
      <c r="AB360" s="4" t="str">
        <f>IF(M360="",IF(ISNUMBER(SEARCH("NOT NULL",UPPER(M$3))),"''","null"),SUBSTITUTE(VLOOKUP(M$2,convert!$A$1:$B$4,2,0),"@@@",M360))</f>
        <v>null</v>
      </c>
      <c r="AC360" s="4" t="str">
        <f>IF(N360="",IF(ISNUMBER(SEARCH("NOT NULL",UPPER(N$3))),"''","null"),SUBSTITUTE(VLOOKUP(N$2,convert!$A$1:$B$4,2,0),"@@@",N360))</f>
        <v>null</v>
      </c>
      <c r="AD360" s="4" t="str">
        <f>IF(O360="",IF(ISNUMBER(SEARCH("NOT NULL",UPPER(O$3))),"''","null"),SUBSTITUTE(VLOOKUP(O$2,convert!$A$1:$B$4,2,0),"@@@",O360))</f>
        <v>TRUE</v>
      </c>
      <c r="AE360" s="4" t="str">
        <f t="shared" si="5"/>
        <v>    ('0285N01', 'キノココ', 60, 40, 60, 40, 60, 35, '', 'grass', null, 'g3', null, null, TRUE),</v>
      </c>
    </row>
    <row r="361" spans="1:31">
      <c r="A361" s="4" t="s">
        <v>733</v>
      </c>
      <c r="B361" s="4" t="s">
        <v>734</v>
      </c>
      <c r="C361" s="5">
        <v>60</v>
      </c>
      <c r="D361" s="5">
        <v>130</v>
      </c>
      <c r="E361" s="5">
        <v>80</v>
      </c>
      <c r="F361" s="5">
        <v>60</v>
      </c>
      <c r="G361" s="5">
        <v>60</v>
      </c>
      <c r="H361" s="5">
        <v>70</v>
      </c>
      <c r="I361" s="5"/>
      <c r="J361" s="4" t="s">
        <v>30</v>
      </c>
      <c r="K361" s="4" t="s">
        <v>189</v>
      </c>
      <c r="L361" s="4" t="s">
        <v>656</v>
      </c>
      <c r="M361" s="5"/>
      <c r="N361" s="5"/>
      <c r="O361" s="5" t="b">
        <v>1</v>
      </c>
      <c r="P361" s="4" t="str">
        <f>IF(A361="",IF(ISNUMBER(SEARCH("NOT NULL",UPPER(A$3))),"''","null"),SUBSTITUTE(VLOOKUP(A$2,convert!$A$1:$B$4,2,0),"@@@",A361))</f>
        <v>'0286N01'</v>
      </c>
      <c r="Q361" s="4" t="str">
        <f>IF(B361="",IF(ISNUMBER(SEARCH("NOT NULL",UPPER(B$3))),"''","null"),SUBSTITUTE(VLOOKUP(B$2,convert!$A$1:$B$4,2,0),"@@@",B361))</f>
        <v>'キノガッサ'</v>
      </c>
      <c r="R361" s="4" t="str">
        <f>IF(C361="",IF(ISNUMBER(SEARCH("NOT NULL",UPPER(C$3))),"''","null"),SUBSTITUTE(VLOOKUP(C$2,convert!$A$1:$B$4,2,0),"@@@",C361))</f>
        <v>60</v>
      </c>
      <c r="S361" s="4" t="str">
        <f>IF(D361="",IF(ISNUMBER(SEARCH("NOT NULL",UPPER(D$3))),"''","null"),SUBSTITUTE(VLOOKUP(D$2,convert!$A$1:$B$4,2,0),"@@@",D361))</f>
        <v>130</v>
      </c>
      <c r="T361" s="4" t="str">
        <f>IF(E361="",IF(ISNUMBER(SEARCH("NOT NULL",UPPER(E$3))),"''","null"),SUBSTITUTE(VLOOKUP(E$2,convert!$A$1:$B$4,2,0),"@@@",E361))</f>
        <v>80</v>
      </c>
      <c r="U361" s="4" t="str">
        <f>IF(F361="",IF(ISNUMBER(SEARCH("NOT NULL",UPPER(F$3))),"''","null"),SUBSTITUTE(VLOOKUP(F$2,convert!$A$1:$B$4,2,0),"@@@",F361))</f>
        <v>60</v>
      </c>
      <c r="V361" s="4" t="str">
        <f>IF(G361="",IF(ISNUMBER(SEARCH("NOT NULL",UPPER(G$3))),"''","null"),SUBSTITUTE(VLOOKUP(G$2,convert!$A$1:$B$4,2,0),"@@@",G361))</f>
        <v>60</v>
      </c>
      <c r="W361" s="4" t="str">
        <f>IF(H361="",IF(ISNUMBER(SEARCH("NOT NULL",UPPER(H$3))),"''","null"),SUBSTITUTE(VLOOKUP(H$2,convert!$A$1:$B$4,2,0),"@@@",H361))</f>
        <v>70</v>
      </c>
      <c r="X361" s="4" t="str">
        <f>IF(I361="",IF(ISNUMBER(SEARCH("NOT NULL",UPPER(I$3))),"''","null"),SUBSTITUTE(VLOOKUP(I$2,convert!$A$1:$B$4,2,0),"@@@",I361))</f>
        <v>''</v>
      </c>
      <c r="Y361" s="4" t="str">
        <f>IF(J361="",IF(ISNUMBER(SEARCH("NOT NULL",UPPER(J$3))),"''","null"),SUBSTITUTE(VLOOKUP(J$2,convert!$A$1:$B$4,2,0),"@@@",J361))</f>
        <v>'grass'</v>
      </c>
      <c r="Z361" s="4" t="str">
        <f>IF(K361="",IF(ISNUMBER(SEARCH("NOT NULL",UPPER(K$3))),"''","null"),SUBSTITUTE(VLOOKUP(K$2,convert!$A$1:$B$4,2,0),"@@@",K361))</f>
        <v>'fighting'</v>
      </c>
      <c r="AA361" s="4" t="str">
        <f>IF(L361="",IF(ISNUMBER(SEARCH("NOT NULL",UPPER(L$3))),"''","null"),SUBSTITUTE(VLOOKUP(L$2,convert!$A$1:$B$4,2,0),"@@@",L361))</f>
        <v>'g3'</v>
      </c>
      <c r="AB361" s="4" t="str">
        <f>IF(M361="",IF(ISNUMBER(SEARCH("NOT NULL",UPPER(M$3))),"''","null"),SUBSTITUTE(VLOOKUP(M$2,convert!$A$1:$B$4,2,0),"@@@",M361))</f>
        <v>null</v>
      </c>
      <c r="AC361" s="4" t="str">
        <f>IF(N361="",IF(ISNUMBER(SEARCH("NOT NULL",UPPER(N$3))),"''","null"),SUBSTITUTE(VLOOKUP(N$2,convert!$A$1:$B$4,2,0),"@@@",N361))</f>
        <v>null</v>
      </c>
      <c r="AD361" s="4" t="str">
        <f>IF(O361="",IF(ISNUMBER(SEARCH("NOT NULL",UPPER(O$3))),"''","null"),SUBSTITUTE(VLOOKUP(O$2,convert!$A$1:$B$4,2,0),"@@@",O361))</f>
        <v>TRUE</v>
      </c>
      <c r="AE361" s="4" t="str">
        <f t="shared" si="5"/>
        <v>    ('0286N01', 'キノガッサ', 60, 130, 80, 60, 60, 70, '', 'grass', 'fighting', 'g3', null, null, TRUE),</v>
      </c>
    </row>
    <row r="362" spans="1:31">
      <c r="A362" s="4" t="s">
        <v>735</v>
      </c>
      <c r="B362" s="4" t="s">
        <v>736</v>
      </c>
      <c r="C362" s="5">
        <v>60</v>
      </c>
      <c r="D362" s="5">
        <v>60</v>
      </c>
      <c r="E362" s="5">
        <v>60</v>
      </c>
      <c r="F362" s="5">
        <v>35</v>
      </c>
      <c r="G362" s="5">
        <v>35</v>
      </c>
      <c r="H362" s="5">
        <v>30</v>
      </c>
      <c r="I362" s="5"/>
      <c r="J362" s="4" t="s">
        <v>80</v>
      </c>
      <c r="K362" s="5"/>
      <c r="L362" s="4" t="s">
        <v>656</v>
      </c>
      <c r="M362" s="5"/>
      <c r="N362" s="5"/>
      <c r="O362" s="5" t="b">
        <v>1</v>
      </c>
      <c r="P362" s="4" t="str">
        <f>IF(A362="",IF(ISNUMBER(SEARCH("NOT NULL",UPPER(A$3))),"''","null"),SUBSTITUTE(VLOOKUP(A$2,convert!$A$1:$B$4,2,0),"@@@",A362))</f>
        <v>'0287N01'</v>
      </c>
      <c r="Q362" s="4" t="str">
        <f>IF(B362="",IF(ISNUMBER(SEARCH("NOT NULL",UPPER(B$3))),"''","null"),SUBSTITUTE(VLOOKUP(B$2,convert!$A$1:$B$4,2,0),"@@@",B362))</f>
        <v>'ナマケロ'</v>
      </c>
      <c r="R362" s="4" t="str">
        <f>IF(C362="",IF(ISNUMBER(SEARCH("NOT NULL",UPPER(C$3))),"''","null"),SUBSTITUTE(VLOOKUP(C$2,convert!$A$1:$B$4,2,0),"@@@",C362))</f>
        <v>60</v>
      </c>
      <c r="S362" s="4" t="str">
        <f>IF(D362="",IF(ISNUMBER(SEARCH("NOT NULL",UPPER(D$3))),"''","null"),SUBSTITUTE(VLOOKUP(D$2,convert!$A$1:$B$4,2,0),"@@@",D362))</f>
        <v>60</v>
      </c>
      <c r="T362" s="4" t="str">
        <f>IF(E362="",IF(ISNUMBER(SEARCH("NOT NULL",UPPER(E$3))),"''","null"),SUBSTITUTE(VLOOKUP(E$2,convert!$A$1:$B$4,2,0),"@@@",E362))</f>
        <v>60</v>
      </c>
      <c r="U362" s="4" t="str">
        <f>IF(F362="",IF(ISNUMBER(SEARCH("NOT NULL",UPPER(F$3))),"''","null"),SUBSTITUTE(VLOOKUP(F$2,convert!$A$1:$B$4,2,0),"@@@",F362))</f>
        <v>35</v>
      </c>
      <c r="V362" s="4" t="str">
        <f>IF(G362="",IF(ISNUMBER(SEARCH("NOT NULL",UPPER(G$3))),"''","null"),SUBSTITUTE(VLOOKUP(G$2,convert!$A$1:$B$4,2,0),"@@@",G362))</f>
        <v>35</v>
      </c>
      <c r="W362" s="4" t="str">
        <f>IF(H362="",IF(ISNUMBER(SEARCH("NOT NULL",UPPER(H$3))),"''","null"),SUBSTITUTE(VLOOKUP(H$2,convert!$A$1:$B$4,2,0),"@@@",H362))</f>
        <v>30</v>
      </c>
      <c r="X362" s="4" t="str">
        <f>IF(I362="",IF(ISNUMBER(SEARCH("NOT NULL",UPPER(I$3))),"''","null"),SUBSTITUTE(VLOOKUP(I$2,convert!$A$1:$B$4,2,0),"@@@",I362))</f>
        <v>''</v>
      </c>
      <c r="Y362" s="4" t="str">
        <f>IF(J362="",IF(ISNUMBER(SEARCH("NOT NULL",UPPER(J$3))),"''","null"),SUBSTITUTE(VLOOKUP(J$2,convert!$A$1:$B$4,2,0),"@@@",J362))</f>
        <v>'normal'</v>
      </c>
      <c r="Z362" s="4" t="str">
        <f>IF(K362="",IF(ISNUMBER(SEARCH("NOT NULL",UPPER(K$3))),"''","null"),SUBSTITUTE(VLOOKUP(K$2,convert!$A$1:$B$4,2,0),"@@@",K362))</f>
        <v>null</v>
      </c>
      <c r="AA362" s="4" t="str">
        <f>IF(L362="",IF(ISNUMBER(SEARCH("NOT NULL",UPPER(L$3))),"''","null"),SUBSTITUTE(VLOOKUP(L$2,convert!$A$1:$B$4,2,0),"@@@",L362))</f>
        <v>'g3'</v>
      </c>
      <c r="AB362" s="4" t="str">
        <f>IF(M362="",IF(ISNUMBER(SEARCH("NOT NULL",UPPER(M$3))),"''","null"),SUBSTITUTE(VLOOKUP(M$2,convert!$A$1:$B$4,2,0),"@@@",M362))</f>
        <v>null</v>
      </c>
      <c r="AC362" s="4" t="str">
        <f>IF(N362="",IF(ISNUMBER(SEARCH("NOT NULL",UPPER(N$3))),"''","null"),SUBSTITUTE(VLOOKUP(N$2,convert!$A$1:$B$4,2,0),"@@@",N362))</f>
        <v>null</v>
      </c>
      <c r="AD362" s="4" t="str">
        <f>IF(O362="",IF(ISNUMBER(SEARCH("NOT NULL",UPPER(O$3))),"''","null"),SUBSTITUTE(VLOOKUP(O$2,convert!$A$1:$B$4,2,0),"@@@",O362))</f>
        <v>TRUE</v>
      </c>
      <c r="AE362" s="4" t="str">
        <f t="shared" si="5"/>
        <v>    ('0287N01', 'ナマケロ', 60, 60, 60, 35, 35, 30, '', 'normal', null, 'g3', null, null, TRUE),</v>
      </c>
    </row>
    <row r="363" spans="1:31">
      <c r="A363" s="4" t="s">
        <v>737</v>
      </c>
      <c r="B363" s="4" t="s">
        <v>738</v>
      </c>
      <c r="C363" s="5">
        <v>80</v>
      </c>
      <c r="D363" s="5">
        <v>80</v>
      </c>
      <c r="E363" s="5">
        <v>80</v>
      </c>
      <c r="F363" s="5">
        <v>55</v>
      </c>
      <c r="G363" s="5">
        <v>55</v>
      </c>
      <c r="H363" s="5">
        <v>90</v>
      </c>
      <c r="I363" s="5"/>
      <c r="J363" s="4" t="s">
        <v>80</v>
      </c>
      <c r="K363" s="5"/>
      <c r="L363" s="4" t="s">
        <v>656</v>
      </c>
      <c r="M363" s="5"/>
      <c r="N363" s="5"/>
      <c r="O363" s="5" t="b">
        <v>1</v>
      </c>
      <c r="P363" s="4" t="str">
        <f>IF(A363="",IF(ISNUMBER(SEARCH("NOT NULL",UPPER(A$3))),"''","null"),SUBSTITUTE(VLOOKUP(A$2,convert!$A$1:$B$4,2,0),"@@@",A363))</f>
        <v>'0288N01'</v>
      </c>
      <c r="Q363" s="4" t="str">
        <f>IF(B363="",IF(ISNUMBER(SEARCH("NOT NULL",UPPER(B$3))),"''","null"),SUBSTITUTE(VLOOKUP(B$2,convert!$A$1:$B$4,2,0),"@@@",B363))</f>
        <v>'ヤルキモノ'</v>
      </c>
      <c r="R363" s="4" t="str">
        <f>IF(C363="",IF(ISNUMBER(SEARCH("NOT NULL",UPPER(C$3))),"''","null"),SUBSTITUTE(VLOOKUP(C$2,convert!$A$1:$B$4,2,0),"@@@",C363))</f>
        <v>80</v>
      </c>
      <c r="S363" s="4" t="str">
        <f>IF(D363="",IF(ISNUMBER(SEARCH("NOT NULL",UPPER(D$3))),"''","null"),SUBSTITUTE(VLOOKUP(D$2,convert!$A$1:$B$4,2,0),"@@@",D363))</f>
        <v>80</v>
      </c>
      <c r="T363" s="4" t="str">
        <f>IF(E363="",IF(ISNUMBER(SEARCH("NOT NULL",UPPER(E$3))),"''","null"),SUBSTITUTE(VLOOKUP(E$2,convert!$A$1:$B$4,2,0),"@@@",E363))</f>
        <v>80</v>
      </c>
      <c r="U363" s="4" t="str">
        <f>IF(F363="",IF(ISNUMBER(SEARCH("NOT NULL",UPPER(F$3))),"''","null"),SUBSTITUTE(VLOOKUP(F$2,convert!$A$1:$B$4,2,0),"@@@",F363))</f>
        <v>55</v>
      </c>
      <c r="V363" s="4" t="str">
        <f>IF(G363="",IF(ISNUMBER(SEARCH("NOT NULL",UPPER(G$3))),"''","null"),SUBSTITUTE(VLOOKUP(G$2,convert!$A$1:$B$4,2,0),"@@@",G363))</f>
        <v>55</v>
      </c>
      <c r="W363" s="4" t="str">
        <f>IF(H363="",IF(ISNUMBER(SEARCH("NOT NULL",UPPER(H$3))),"''","null"),SUBSTITUTE(VLOOKUP(H$2,convert!$A$1:$B$4,2,0),"@@@",H363))</f>
        <v>90</v>
      </c>
      <c r="X363" s="4" t="str">
        <f>IF(I363="",IF(ISNUMBER(SEARCH("NOT NULL",UPPER(I$3))),"''","null"),SUBSTITUTE(VLOOKUP(I$2,convert!$A$1:$B$4,2,0),"@@@",I363))</f>
        <v>''</v>
      </c>
      <c r="Y363" s="4" t="str">
        <f>IF(J363="",IF(ISNUMBER(SEARCH("NOT NULL",UPPER(J$3))),"''","null"),SUBSTITUTE(VLOOKUP(J$2,convert!$A$1:$B$4,2,0),"@@@",J363))</f>
        <v>'normal'</v>
      </c>
      <c r="Z363" s="4" t="str">
        <f>IF(K363="",IF(ISNUMBER(SEARCH("NOT NULL",UPPER(K$3))),"''","null"),SUBSTITUTE(VLOOKUP(K$2,convert!$A$1:$B$4,2,0),"@@@",K363))</f>
        <v>null</v>
      </c>
      <c r="AA363" s="4" t="str">
        <f>IF(L363="",IF(ISNUMBER(SEARCH("NOT NULL",UPPER(L$3))),"''","null"),SUBSTITUTE(VLOOKUP(L$2,convert!$A$1:$B$4,2,0),"@@@",L363))</f>
        <v>'g3'</v>
      </c>
      <c r="AB363" s="4" t="str">
        <f>IF(M363="",IF(ISNUMBER(SEARCH("NOT NULL",UPPER(M$3))),"''","null"),SUBSTITUTE(VLOOKUP(M$2,convert!$A$1:$B$4,2,0),"@@@",M363))</f>
        <v>null</v>
      </c>
      <c r="AC363" s="4" t="str">
        <f>IF(N363="",IF(ISNUMBER(SEARCH("NOT NULL",UPPER(N$3))),"''","null"),SUBSTITUTE(VLOOKUP(N$2,convert!$A$1:$B$4,2,0),"@@@",N363))</f>
        <v>null</v>
      </c>
      <c r="AD363" s="4" t="str">
        <f>IF(O363="",IF(ISNUMBER(SEARCH("NOT NULL",UPPER(O$3))),"''","null"),SUBSTITUTE(VLOOKUP(O$2,convert!$A$1:$B$4,2,0),"@@@",O363))</f>
        <v>TRUE</v>
      </c>
      <c r="AE363" s="4" t="str">
        <f t="shared" si="5"/>
        <v>    ('0288N01', 'ヤルキモノ', 80, 80, 80, 55, 55, 90, '', 'normal', null, 'g3', null, null, TRUE),</v>
      </c>
    </row>
    <row r="364" spans="1:31">
      <c r="A364" s="4" t="s">
        <v>739</v>
      </c>
      <c r="B364" s="4" t="s">
        <v>740</v>
      </c>
      <c r="C364" s="5">
        <v>150</v>
      </c>
      <c r="D364" s="5">
        <v>160</v>
      </c>
      <c r="E364" s="5">
        <v>100</v>
      </c>
      <c r="F364" s="5">
        <v>95</v>
      </c>
      <c r="G364" s="5">
        <v>65</v>
      </c>
      <c r="H364" s="5">
        <v>100</v>
      </c>
      <c r="I364" s="5"/>
      <c r="J364" s="4" t="s">
        <v>80</v>
      </c>
      <c r="K364" s="5"/>
      <c r="L364" s="4" t="s">
        <v>656</v>
      </c>
      <c r="M364" s="5"/>
      <c r="N364" s="5"/>
      <c r="O364" s="5" t="b">
        <v>1</v>
      </c>
      <c r="P364" s="4" t="str">
        <f>IF(A364="",IF(ISNUMBER(SEARCH("NOT NULL",UPPER(A$3))),"''","null"),SUBSTITUTE(VLOOKUP(A$2,convert!$A$1:$B$4,2,0),"@@@",A364))</f>
        <v>'0289N01'</v>
      </c>
      <c r="Q364" s="4" t="str">
        <f>IF(B364="",IF(ISNUMBER(SEARCH("NOT NULL",UPPER(B$3))),"''","null"),SUBSTITUTE(VLOOKUP(B$2,convert!$A$1:$B$4,2,0),"@@@",B364))</f>
        <v>'ケッキング'</v>
      </c>
      <c r="R364" s="4" t="str">
        <f>IF(C364="",IF(ISNUMBER(SEARCH("NOT NULL",UPPER(C$3))),"''","null"),SUBSTITUTE(VLOOKUP(C$2,convert!$A$1:$B$4,2,0),"@@@",C364))</f>
        <v>150</v>
      </c>
      <c r="S364" s="4" t="str">
        <f>IF(D364="",IF(ISNUMBER(SEARCH("NOT NULL",UPPER(D$3))),"''","null"),SUBSTITUTE(VLOOKUP(D$2,convert!$A$1:$B$4,2,0),"@@@",D364))</f>
        <v>160</v>
      </c>
      <c r="T364" s="4" t="str">
        <f>IF(E364="",IF(ISNUMBER(SEARCH("NOT NULL",UPPER(E$3))),"''","null"),SUBSTITUTE(VLOOKUP(E$2,convert!$A$1:$B$4,2,0),"@@@",E364))</f>
        <v>100</v>
      </c>
      <c r="U364" s="4" t="str">
        <f>IF(F364="",IF(ISNUMBER(SEARCH("NOT NULL",UPPER(F$3))),"''","null"),SUBSTITUTE(VLOOKUP(F$2,convert!$A$1:$B$4,2,0),"@@@",F364))</f>
        <v>95</v>
      </c>
      <c r="V364" s="4" t="str">
        <f>IF(G364="",IF(ISNUMBER(SEARCH("NOT NULL",UPPER(G$3))),"''","null"),SUBSTITUTE(VLOOKUP(G$2,convert!$A$1:$B$4,2,0),"@@@",G364))</f>
        <v>65</v>
      </c>
      <c r="W364" s="4" t="str">
        <f>IF(H364="",IF(ISNUMBER(SEARCH("NOT NULL",UPPER(H$3))),"''","null"),SUBSTITUTE(VLOOKUP(H$2,convert!$A$1:$B$4,2,0),"@@@",H364))</f>
        <v>100</v>
      </c>
      <c r="X364" s="4" t="str">
        <f>IF(I364="",IF(ISNUMBER(SEARCH("NOT NULL",UPPER(I$3))),"''","null"),SUBSTITUTE(VLOOKUP(I$2,convert!$A$1:$B$4,2,0),"@@@",I364))</f>
        <v>''</v>
      </c>
      <c r="Y364" s="4" t="str">
        <f>IF(J364="",IF(ISNUMBER(SEARCH("NOT NULL",UPPER(J$3))),"''","null"),SUBSTITUTE(VLOOKUP(J$2,convert!$A$1:$B$4,2,0),"@@@",J364))</f>
        <v>'normal'</v>
      </c>
      <c r="Z364" s="4" t="str">
        <f>IF(K364="",IF(ISNUMBER(SEARCH("NOT NULL",UPPER(K$3))),"''","null"),SUBSTITUTE(VLOOKUP(K$2,convert!$A$1:$B$4,2,0),"@@@",K364))</f>
        <v>null</v>
      </c>
      <c r="AA364" s="4" t="str">
        <f>IF(L364="",IF(ISNUMBER(SEARCH("NOT NULL",UPPER(L$3))),"''","null"),SUBSTITUTE(VLOOKUP(L$2,convert!$A$1:$B$4,2,0),"@@@",L364))</f>
        <v>'g3'</v>
      </c>
      <c r="AB364" s="4" t="str">
        <f>IF(M364="",IF(ISNUMBER(SEARCH("NOT NULL",UPPER(M$3))),"''","null"),SUBSTITUTE(VLOOKUP(M$2,convert!$A$1:$B$4,2,0),"@@@",M364))</f>
        <v>null</v>
      </c>
      <c r="AC364" s="4" t="str">
        <f>IF(N364="",IF(ISNUMBER(SEARCH("NOT NULL",UPPER(N$3))),"''","null"),SUBSTITUTE(VLOOKUP(N$2,convert!$A$1:$B$4,2,0),"@@@",N364))</f>
        <v>null</v>
      </c>
      <c r="AD364" s="4" t="str">
        <f>IF(O364="",IF(ISNUMBER(SEARCH("NOT NULL",UPPER(O$3))),"''","null"),SUBSTITUTE(VLOOKUP(O$2,convert!$A$1:$B$4,2,0),"@@@",O364))</f>
        <v>TRUE</v>
      </c>
      <c r="AE364" s="4" t="str">
        <f t="shared" si="5"/>
        <v>    ('0289N01', 'ケッキング', 150, 160, 100, 95, 65, 100, '', 'normal', null, 'g3', null, null, TRUE),</v>
      </c>
    </row>
    <row r="365" spans="1:31">
      <c r="A365" s="4" t="s">
        <v>741</v>
      </c>
      <c r="B365" s="4" t="s">
        <v>742</v>
      </c>
      <c r="C365" s="5">
        <v>31</v>
      </c>
      <c r="D365" s="5">
        <v>45</v>
      </c>
      <c r="E365" s="5">
        <v>90</v>
      </c>
      <c r="F365" s="5">
        <v>30</v>
      </c>
      <c r="G365" s="5">
        <v>30</v>
      </c>
      <c r="H365" s="5">
        <v>40</v>
      </c>
      <c r="I365" s="5"/>
      <c r="J365" s="4" t="s">
        <v>64</v>
      </c>
      <c r="K365" s="4" t="s">
        <v>116</v>
      </c>
      <c r="L365" s="4" t="s">
        <v>656</v>
      </c>
      <c r="M365" s="5"/>
      <c r="N365" s="5"/>
      <c r="O365" s="5" t="b">
        <v>1</v>
      </c>
      <c r="P365" s="4" t="str">
        <f>IF(A365="",IF(ISNUMBER(SEARCH("NOT NULL",UPPER(A$3))),"''","null"),SUBSTITUTE(VLOOKUP(A$2,convert!$A$1:$B$4,2,0),"@@@",A365))</f>
        <v>'0290N01'</v>
      </c>
      <c r="Q365" s="4" t="str">
        <f>IF(B365="",IF(ISNUMBER(SEARCH("NOT NULL",UPPER(B$3))),"''","null"),SUBSTITUTE(VLOOKUP(B$2,convert!$A$1:$B$4,2,0),"@@@",B365))</f>
        <v>'ツチニン'</v>
      </c>
      <c r="R365" s="4" t="str">
        <f>IF(C365="",IF(ISNUMBER(SEARCH("NOT NULL",UPPER(C$3))),"''","null"),SUBSTITUTE(VLOOKUP(C$2,convert!$A$1:$B$4,2,0),"@@@",C365))</f>
        <v>31</v>
      </c>
      <c r="S365" s="4" t="str">
        <f>IF(D365="",IF(ISNUMBER(SEARCH("NOT NULL",UPPER(D$3))),"''","null"),SUBSTITUTE(VLOOKUP(D$2,convert!$A$1:$B$4,2,0),"@@@",D365))</f>
        <v>45</v>
      </c>
      <c r="T365" s="4" t="str">
        <f>IF(E365="",IF(ISNUMBER(SEARCH("NOT NULL",UPPER(E$3))),"''","null"),SUBSTITUTE(VLOOKUP(E$2,convert!$A$1:$B$4,2,0),"@@@",E365))</f>
        <v>90</v>
      </c>
      <c r="U365" s="4" t="str">
        <f>IF(F365="",IF(ISNUMBER(SEARCH("NOT NULL",UPPER(F$3))),"''","null"),SUBSTITUTE(VLOOKUP(F$2,convert!$A$1:$B$4,2,0),"@@@",F365))</f>
        <v>30</v>
      </c>
      <c r="V365" s="4" t="str">
        <f>IF(G365="",IF(ISNUMBER(SEARCH("NOT NULL",UPPER(G$3))),"''","null"),SUBSTITUTE(VLOOKUP(G$2,convert!$A$1:$B$4,2,0),"@@@",G365))</f>
        <v>30</v>
      </c>
      <c r="W365" s="4" t="str">
        <f>IF(H365="",IF(ISNUMBER(SEARCH("NOT NULL",UPPER(H$3))),"''","null"),SUBSTITUTE(VLOOKUP(H$2,convert!$A$1:$B$4,2,0),"@@@",H365))</f>
        <v>40</v>
      </c>
      <c r="X365" s="4" t="str">
        <f>IF(I365="",IF(ISNUMBER(SEARCH("NOT NULL",UPPER(I$3))),"''","null"),SUBSTITUTE(VLOOKUP(I$2,convert!$A$1:$B$4,2,0),"@@@",I365))</f>
        <v>''</v>
      </c>
      <c r="Y365" s="4" t="str">
        <f>IF(J365="",IF(ISNUMBER(SEARCH("NOT NULL",UPPER(J$3))),"''","null"),SUBSTITUTE(VLOOKUP(J$2,convert!$A$1:$B$4,2,0),"@@@",J365))</f>
        <v>'bug'</v>
      </c>
      <c r="Z365" s="4" t="str">
        <f>IF(K365="",IF(ISNUMBER(SEARCH("NOT NULL",UPPER(K$3))),"''","null"),SUBSTITUTE(VLOOKUP(K$2,convert!$A$1:$B$4,2,0),"@@@",K365))</f>
        <v>'ground'</v>
      </c>
      <c r="AA365" s="4" t="str">
        <f>IF(L365="",IF(ISNUMBER(SEARCH("NOT NULL",UPPER(L$3))),"''","null"),SUBSTITUTE(VLOOKUP(L$2,convert!$A$1:$B$4,2,0),"@@@",L365))</f>
        <v>'g3'</v>
      </c>
      <c r="AB365" s="4" t="str">
        <f>IF(M365="",IF(ISNUMBER(SEARCH("NOT NULL",UPPER(M$3))),"''","null"),SUBSTITUTE(VLOOKUP(M$2,convert!$A$1:$B$4,2,0),"@@@",M365))</f>
        <v>null</v>
      </c>
      <c r="AC365" s="4" t="str">
        <f>IF(N365="",IF(ISNUMBER(SEARCH("NOT NULL",UPPER(N$3))),"''","null"),SUBSTITUTE(VLOOKUP(N$2,convert!$A$1:$B$4,2,0),"@@@",N365))</f>
        <v>null</v>
      </c>
      <c r="AD365" s="4" t="str">
        <f>IF(O365="",IF(ISNUMBER(SEARCH("NOT NULL",UPPER(O$3))),"''","null"),SUBSTITUTE(VLOOKUP(O$2,convert!$A$1:$B$4,2,0),"@@@",O365))</f>
        <v>TRUE</v>
      </c>
      <c r="AE365" s="4" t="str">
        <f t="shared" si="5"/>
        <v>    ('0290N01', 'ツチニン', 31, 45, 90, 30, 30, 40, '', 'bug', 'ground', 'g3', null, null, TRUE),</v>
      </c>
    </row>
    <row r="366" spans="1:31">
      <c r="A366" s="4" t="s">
        <v>743</v>
      </c>
      <c r="B366" s="4" t="s">
        <v>744</v>
      </c>
      <c r="C366" s="5">
        <v>61</v>
      </c>
      <c r="D366" s="5">
        <v>90</v>
      </c>
      <c r="E366" s="5">
        <v>45</v>
      </c>
      <c r="F366" s="5">
        <v>50</v>
      </c>
      <c r="G366" s="5">
        <v>50</v>
      </c>
      <c r="H366" s="5">
        <v>160</v>
      </c>
      <c r="I366" s="5"/>
      <c r="J366" s="4" t="s">
        <v>64</v>
      </c>
      <c r="K366" s="4" t="s">
        <v>47</v>
      </c>
      <c r="L366" s="4" t="s">
        <v>656</v>
      </c>
      <c r="M366" s="5"/>
      <c r="N366" s="5"/>
      <c r="O366" s="5" t="b">
        <v>1</v>
      </c>
      <c r="P366" s="4" t="str">
        <f>IF(A366="",IF(ISNUMBER(SEARCH("NOT NULL",UPPER(A$3))),"''","null"),SUBSTITUTE(VLOOKUP(A$2,convert!$A$1:$B$4,2,0),"@@@",A366))</f>
        <v>'0291N01'</v>
      </c>
      <c r="Q366" s="4" t="str">
        <f>IF(B366="",IF(ISNUMBER(SEARCH("NOT NULL",UPPER(B$3))),"''","null"),SUBSTITUTE(VLOOKUP(B$2,convert!$A$1:$B$4,2,0),"@@@",B366))</f>
        <v>'テッカニン'</v>
      </c>
      <c r="R366" s="4" t="str">
        <f>IF(C366="",IF(ISNUMBER(SEARCH("NOT NULL",UPPER(C$3))),"''","null"),SUBSTITUTE(VLOOKUP(C$2,convert!$A$1:$B$4,2,0),"@@@",C366))</f>
        <v>61</v>
      </c>
      <c r="S366" s="4" t="str">
        <f>IF(D366="",IF(ISNUMBER(SEARCH("NOT NULL",UPPER(D$3))),"''","null"),SUBSTITUTE(VLOOKUP(D$2,convert!$A$1:$B$4,2,0),"@@@",D366))</f>
        <v>90</v>
      </c>
      <c r="T366" s="4" t="str">
        <f>IF(E366="",IF(ISNUMBER(SEARCH("NOT NULL",UPPER(E$3))),"''","null"),SUBSTITUTE(VLOOKUP(E$2,convert!$A$1:$B$4,2,0),"@@@",E366))</f>
        <v>45</v>
      </c>
      <c r="U366" s="4" t="str">
        <f>IF(F366="",IF(ISNUMBER(SEARCH("NOT NULL",UPPER(F$3))),"''","null"),SUBSTITUTE(VLOOKUP(F$2,convert!$A$1:$B$4,2,0),"@@@",F366))</f>
        <v>50</v>
      </c>
      <c r="V366" s="4" t="str">
        <f>IF(G366="",IF(ISNUMBER(SEARCH("NOT NULL",UPPER(G$3))),"''","null"),SUBSTITUTE(VLOOKUP(G$2,convert!$A$1:$B$4,2,0),"@@@",G366))</f>
        <v>50</v>
      </c>
      <c r="W366" s="4" t="str">
        <f>IF(H366="",IF(ISNUMBER(SEARCH("NOT NULL",UPPER(H$3))),"''","null"),SUBSTITUTE(VLOOKUP(H$2,convert!$A$1:$B$4,2,0),"@@@",H366))</f>
        <v>160</v>
      </c>
      <c r="X366" s="4" t="str">
        <f>IF(I366="",IF(ISNUMBER(SEARCH("NOT NULL",UPPER(I$3))),"''","null"),SUBSTITUTE(VLOOKUP(I$2,convert!$A$1:$B$4,2,0),"@@@",I366))</f>
        <v>''</v>
      </c>
      <c r="Y366" s="4" t="str">
        <f>IF(J366="",IF(ISNUMBER(SEARCH("NOT NULL",UPPER(J$3))),"''","null"),SUBSTITUTE(VLOOKUP(J$2,convert!$A$1:$B$4,2,0),"@@@",J366))</f>
        <v>'bug'</v>
      </c>
      <c r="Z366" s="4" t="str">
        <f>IF(K366="",IF(ISNUMBER(SEARCH("NOT NULL",UPPER(K$3))),"''","null"),SUBSTITUTE(VLOOKUP(K$2,convert!$A$1:$B$4,2,0),"@@@",K366))</f>
        <v>'flying'</v>
      </c>
      <c r="AA366" s="4" t="str">
        <f>IF(L366="",IF(ISNUMBER(SEARCH("NOT NULL",UPPER(L$3))),"''","null"),SUBSTITUTE(VLOOKUP(L$2,convert!$A$1:$B$4,2,0),"@@@",L366))</f>
        <v>'g3'</v>
      </c>
      <c r="AB366" s="4" t="str">
        <f>IF(M366="",IF(ISNUMBER(SEARCH("NOT NULL",UPPER(M$3))),"''","null"),SUBSTITUTE(VLOOKUP(M$2,convert!$A$1:$B$4,2,0),"@@@",M366))</f>
        <v>null</v>
      </c>
      <c r="AC366" s="4" t="str">
        <f>IF(N366="",IF(ISNUMBER(SEARCH("NOT NULL",UPPER(N$3))),"''","null"),SUBSTITUTE(VLOOKUP(N$2,convert!$A$1:$B$4,2,0),"@@@",N366))</f>
        <v>null</v>
      </c>
      <c r="AD366" s="4" t="str">
        <f>IF(O366="",IF(ISNUMBER(SEARCH("NOT NULL",UPPER(O$3))),"''","null"),SUBSTITUTE(VLOOKUP(O$2,convert!$A$1:$B$4,2,0),"@@@",O366))</f>
        <v>TRUE</v>
      </c>
      <c r="AE366" s="4" t="str">
        <f t="shared" si="5"/>
        <v>    ('0291N01', 'テッカニン', 61, 90, 45, 50, 50, 160, '', 'bug', 'flying', 'g3', null, null, TRUE),</v>
      </c>
    </row>
    <row r="367" spans="1:31">
      <c r="A367" s="4" t="s">
        <v>745</v>
      </c>
      <c r="B367" s="4" t="s">
        <v>746</v>
      </c>
      <c r="C367" s="5">
        <v>1</v>
      </c>
      <c r="D367" s="5">
        <v>90</v>
      </c>
      <c r="E367" s="5">
        <v>45</v>
      </c>
      <c r="F367" s="5">
        <v>30</v>
      </c>
      <c r="G367" s="5">
        <v>30</v>
      </c>
      <c r="H367" s="5">
        <v>40</v>
      </c>
      <c r="I367" s="5"/>
      <c r="J367" s="4" t="s">
        <v>64</v>
      </c>
      <c r="K367" s="4" t="s">
        <v>281</v>
      </c>
      <c r="L367" s="4" t="s">
        <v>656</v>
      </c>
      <c r="M367" s="5"/>
      <c r="N367" s="5"/>
      <c r="O367" s="5" t="b">
        <v>1</v>
      </c>
      <c r="P367" s="4" t="str">
        <f>IF(A367="",IF(ISNUMBER(SEARCH("NOT NULL",UPPER(A$3))),"''","null"),SUBSTITUTE(VLOOKUP(A$2,convert!$A$1:$B$4,2,0),"@@@",A367))</f>
        <v>'0292N01'</v>
      </c>
      <c r="Q367" s="4" t="str">
        <f>IF(B367="",IF(ISNUMBER(SEARCH("NOT NULL",UPPER(B$3))),"''","null"),SUBSTITUTE(VLOOKUP(B$2,convert!$A$1:$B$4,2,0),"@@@",B367))</f>
        <v>'ヌケニン'</v>
      </c>
      <c r="R367" s="4" t="str">
        <f>IF(C367="",IF(ISNUMBER(SEARCH("NOT NULL",UPPER(C$3))),"''","null"),SUBSTITUTE(VLOOKUP(C$2,convert!$A$1:$B$4,2,0),"@@@",C367))</f>
        <v>1</v>
      </c>
      <c r="S367" s="4" t="str">
        <f>IF(D367="",IF(ISNUMBER(SEARCH("NOT NULL",UPPER(D$3))),"''","null"),SUBSTITUTE(VLOOKUP(D$2,convert!$A$1:$B$4,2,0),"@@@",D367))</f>
        <v>90</v>
      </c>
      <c r="T367" s="4" t="str">
        <f>IF(E367="",IF(ISNUMBER(SEARCH("NOT NULL",UPPER(E$3))),"''","null"),SUBSTITUTE(VLOOKUP(E$2,convert!$A$1:$B$4,2,0),"@@@",E367))</f>
        <v>45</v>
      </c>
      <c r="U367" s="4" t="str">
        <f>IF(F367="",IF(ISNUMBER(SEARCH("NOT NULL",UPPER(F$3))),"''","null"),SUBSTITUTE(VLOOKUP(F$2,convert!$A$1:$B$4,2,0),"@@@",F367))</f>
        <v>30</v>
      </c>
      <c r="V367" s="4" t="str">
        <f>IF(G367="",IF(ISNUMBER(SEARCH("NOT NULL",UPPER(G$3))),"''","null"),SUBSTITUTE(VLOOKUP(G$2,convert!$A$1:$B$4,2,0),"@@@",G367))</f>
        <v>30</v>
      </c>
      <c r="W367" s="4" t="str">
        <f>IF(H367="",IF(ISNUMBER(SEARCH("NOT NULL",UPPER(H$3))),"''","null"),SUBSTITUTE(VLOOKUP(H$2,convert!$A$1:$B$4,2,0),"@@@",H367))</f>
        <v>40</v>
      </c>
      <c r="X367" s="4" t="str">
        <f>IF(I367="",IF(ISNUMBER(SEARCH("NOT NULL",UPPER(I$3))),"''","null"),SUBSTITUTE(VLOOKUP(I$2,convert!$A$1:$B$4,2,0),"@@@",I367))</f>
        <v>''</v>
      </c>
      <c r="Y367" s="4" t="str">
        <f>IF(J367="",IF(ISNUMBER(SEARCH("NOT NULL",UPPER(J$3))),"''","null"),SUBSTITUTE(VLOOKUP(J$2,convert!$A$1:$B$4,2,0),"@@@",J367))</f>
        <v>'bug'</v>
      </c>
      <c r="Z367" s="4" t="str">
        <f>IF(K367="",IF(ISNUMBER(SEARCH("NOT NULL",UPPER(K$3))),"''","null"),SUBSTITUTE(VLOOKUP(K$2,convert!$A$1:$B$4,2,0),"@@@",K367))</f>
        <v>'ghost'</v>
      </c>
      <c r="AA367" s="4" t="str">
        <f>IF(L367="",IF(ISNUMBER(SEARCH("NOT NULL",UPPER(L$3))),"''","null"),SUBSTITUTE(VLOOKUP(L$2,convert!$A$1:$B$4,2,0),"@@@",L367))</f>
        <v>'g3'</v>
      </c>
      <c r="AB367" s="4" t="str">
        <f>IF(M367="",IF(ISNUMBER(SEARCH("NOT NULL",UPPER(M$3))),"''","null"),SUBSTITUTE(VLOOKUP(M$2,convert!$A$1:$B$4,2,0),"@@@",M367))</f>
        <v>null</v>
      </c>
      <c r="AC367" s="4" t="str">
        <f>IF(N367="",IF(ISNUMBER(SEARCH("NOT NULL",UPPER(N$3))),"''","null"),SUBSTITUTE(VLOOKUP(N$2,convert!$A$1:$B$4,2,0),"@@@",N367))</f>
        <v>null</v>
      </c>
      <c r="AD367" s="4" t="str">
        <f>IF(O367="",IF(ISNUMBER(SEARCH("NOT NULL",UPPER(O$3))),"''","null"),SUBSTITUTE(VLOOKUP(O$2,convert!$A$1:$B$4,2,0),"@@@",O367))</f>
        <v>TRUE</v>
      </c>
      <c r="AE367" s="4" t="str">
        <f t="shared" si="5"/>
        <v>    ('0292N01', 'ヌケニン', 1, 90, 45, 30, 30, 40, '', 'bug', 'ghost', 'g3', null, null, TRUE),</v>
      </c>
    </row>
    <row r="368" spans="1:31">
      <c r="A368" s="4" t="s">
        <v>747</v>
      </c>
      <c r="B368" s="4" t="s">
        <v>748</v>
      </c>
      <c r="C368" s="5">
        <v>64</v>
      </c>
      <c r="D368" s="5">
        <v>51</v>
      </c>
      <c r="E368" s="5">
        <v>23</v>
      </c>
      <c r="F368" s="5">
        <v>51</v>
      </c>
      <c r="G368" s="5">
        <v>23</v>
      </c>
      <c r="H368" s="5">
        <v>28</v>
      </c>
      <c r="I368" s="5"/>
      <c r="J368" s="4" t="s">
        <v>80</v>
      </c>
      <c r="K368" s="5"/>
      <c r="L368" s="4" t="s">
        <v>656</v>
      </c>
      <c r="M368" s="5"/>
      <c r="N368" s="5"/>
      <c r="O368" s="5" t="b">
        <v>1</v>
      </c>
      <c r="P368" s="4" t="str">
        <f>IF(A368="",IF(ISNUMBER(SEARCH("NOT NULL",UPPER(A$3))),"''","null"),SUBSTITUTE(VLOOKUP(A$2,convert!$A$1:$B$4,2,0),"@@@",A368))</f>
        <v>'0293N01'</v>
      </c>
      <c r="Q368" s="4" t="str">
        <f>IF(B368="",IF(ISNUMBER(SEARCH("NOT NULL",UPPER(B$3))),"''","null"),SUBSTITUTE(VLOOKUP(B$2,convert!$A$1:$B$4,2,0),"@@@",B368))</f>
        <v>'ゴニョニョ'</v>
      </c>
      <c r="R368" s="4" t="str">
        <f>IF(C368="",IF(ISNUMBER(SEARCH("NOT NULL",UPPER(C$3))),"''","null"),SUBSTITUTE(VLOOKUP(C$2,convert!$A$1:$B$4,2,0),"@@@",C368))</f>
        <v>64</v>
      </c>
      <c r="S368" s="4" t="str">
        <f>IF(D368="",IF(ISNUMBER(SEARCH("NOT NULL",UPPER(D$3))),"''","null"),SUBSTITUTE(VLOOKUP(D$2,convert!$A$1:$B$4,2,0),"@@@",D368))</f>
        <v>51</v>
      </c>
      <c r="T368" s="4" t="str">
        <f>IF(E368="",IF(ISNUMBER(SEARCH("NOT NULL",UPPER(E$3))),"''","null"),SUBSTITUTE(VLOOKUP(E$2,convert!$A$1:$B$4,2,0),"@@@",E368))</f>
        <v>23</v>
      </c>
      <c r="U368" s="4" t="str">
        <f>IF(F368="",IF(ISNUMBER(SEARCH("NOT NULL",UPPER(F$3))),"''","null"),SUBSTITUTE(VLOOKUP(F$2,convert!$A$1:$B$4,2,0),"@@@",F368))</f>
        <v>51</v>
      </c>
      <c r="V368" s="4" t="str">
        <f>IF(G368="",IF(ISNUMBER(SEARCH("NOT NULL",UPPER(G$3))),"''","null"),SUBSTITUTE(VLOOKUP(G$2,convert!$A$1:$B$4,2,0),"@@@",G368))</f>
        <v>23</v>
      </c>
      <c r="W368" s="4" t="str">
        <f>IF(H368="",IF(ISNUMBER(SEARCH("NOT NULL",UPPER(H$3))),"''","null"),SUBSTITUTE(VLOOKUP(H$2,convert!$A$1:$B$4,2,0),"@@@",H368))</f>
        <v>28</v>
      </c>
      <c r="X368" s="4" t="str">
        <f>IF(I368="",IF(ISNUMBER(SEARCH("NOT NULL",UPPER(I$3))),"''","null"),SUBSTITUTE(VLOOKUP(I$2,convert!$A$1:$B$4,2,0),"@@@",I368))</f>
        <v>''</v>
      </c>
      <c r="Y368" s="4" t="str">
        <f>IF(J368="",IF(ISNUMBER(SEARCH("NOT NULL",UPPER(J$3))),"''","null"),SUBSTITUTE(VLOOKUP(J$2,convert!$A$1:$B$4,2,0),"@@@",J368))</f>
        <v>'normal'</v>
      </c>
      <c r="Z368" s="4" t="str">
        <f>IF(K368="",IF(ISNUMBER(SEARCH("NOT NULL",UPPER(K$3))),"''","null"),SUBSTITUTE(VLOOKUP(K$2,convert!$A$1:$B$4,2,0),"@@@",K368))</f>
        <v>null</v>
      </c>
      <c r="AA368" s="4" t="str">
        <f>IF(L368="",IF(ISNUMBER(SEARCH("NOT NULL",UPPER(L$3))),"''","null"),SUBSTITUTE(VLOOKUP(L$2,convert!$A$1:$B$4,2,0),"@@@",L368))</f>
        <v>'g3'</v>
      </c>
      <c r="AB368" s="4" t="str">
        <f>IF(M368="",IF(ISNUMBER(SEARCH("NOT NULL",UPPER(M$3))),"''","null"),SUBSTITUTE(VLOOKUP(M$2,convert!$A$1:$B$4,2,0),"@@@",M368))</f>
        <v>null</v>
      </c>
      <c r="AC368" s="4" t="str">
        <f>IF(N368="",IF(ISNUMBER(SEARCH("NOT NULL",UPPER(N$3))),"''","null"),SUBSTITUTE(VLOOKUP(N$2,convert!$A$1:$B$4,2,0),"@@@",N368))</f>
        <v>null</v>
      </c>
      <c r="AD368" s="4" t="str">
        <f>IF(O368="",IF(ISNUMBER(SEARCH("NOT NULL",UPPER(O$3))),"''","null"),SUBSTITUTE(VLOOKUP(O$2,convert!$A$1:$B$4,2,0),"@@@",O368))</f>
        <v>TRUE</v>
      </c>
      <c r="AE368" s="4" t="str">
        <f t="shared" si="5"/>
        <v>    ('0293N01', 'ゴニョニョ', 64, 51, 23, 51, 23, 28, '', 'normal', null, 'g3', null, null, TRUE),</v>
      </c>
    </row>
    <row r="369" spans="1:31">
      <c r="A369" s="4" t="s">
        <v>749</v>
      </c>
      <c r="B369" s="4" t="s">
        <v>750</v>
      </c>
      <c r="C369" s="5">
        <v>84</v>
      </c>
      <c r="D369" s="5">
        <v>71</v>
      </c>
      <c r="E369" s="5">
        <v>43</v>
      </c>
      <c r="F369" s="5">
        <v>71</v>
      </c>
      <c r="G369" s="5">
        <v>43</v>
      </c>
      <c r="H369" s="5">
        <v>48</v>
      </c>
      <c r="I369" s="5"/>
      <c r="J369" s="4" t="s">
        <v>80</v>
      </c>
      <c r="K369" s="5"/>
      <c r="L369" s="4" t="s">
        <v>656</v>
      </c>
      <c r="M369" s="5"/>
      <c r="N369" s="5"/>
      <c r="O369" s="5" t="b">
        <v>1</v>
      </c>
      <c r="P369" s="4" t="str">
        <f>IF(A369="",IF(ISNUMBER(SEARCH("NOT NULL",UPPER(A$3))),"''","null"),SUBSTITUTE(VLOOKUP(A$2,convert!$A$1:$B$4,2,0),"@@@",A369))</f>
        <v>'0294N01'</v>
      </c>
      <c r="Q369" s="4" t="str">
        <f>IF(B369="",IF(ISNUMBER(SEARCH("NOT NULL",UPPER(B$3))),"''","null"),SUBSTITUTE(VLOOKUP(B$2,convert!$A$1:$B$4,2,0),"@@@",B369))</f>
        <v>'ドゴーム'</v>
      </c>
      <c r="R369" s="4" t="str">
        <f>IF(C369="",IF(ISNUMBER(SEARCH("NOT NULL",UPPER(C$3))),"''","null"),SUBSTITUTE(VLOOKUP(C$2,convert!$A$1:$B$4,2,0),"@@@",C369))</f>
        <v>84</v>
      </c>
      <c r="S369" s="4" t="str">
        <f>IF(D369="",IF(ISNUMBER(SEARCH("NOT NULL",UPPER(D$3))),"''","null"),SUBSTITUTE(VLOOKUP(D$2,convert!$A$1:$B$4,2,0),"@@@",D369))</f>
        <v>71</v>
      </c>
      <c r="T369" s="4" t="str">
        <f>IF(E369="",IF(ISNUMBER(SEARCH("NOT NULL",UPPER(E$3))),"''","null"),SUBSTITUTE(VLOOKUP(E$2,convert!$A$1:$B$4,2,0),"@@@",E369))</f>
        <v>43</v>
      </c>
      <c r="U369" s="4" t="str">
        <f>IF(F369="",IF(ISNUMBER(SEARCH("NOT NULL",UPPER(F$3))),"''","null"),SUBSTITUTE(VLOOKUP(F$2,convert!$A$1:$B$4,2,0),"@@@",F369))</f>
        <v>71</v>
      </c>
      <c r="V369" s="4" t="str">
        <f>IF(G369="",IF(ISNUMBER(SEARCH("NOT NULL",UPPER(G$3))),"''","null"),SUBSTITUTE(VLOOKUP(G$2,convert!$A$1:$B$4,2,0),"@@@",G369))</f>
        <v>43</v>
      </c>
      <c r="W369" s="4" t="str">
        <f>IF(H369="",IF(ISNUMBER(SEARCH("NOT NULL",UPPER(H$3))),"''","null"),SUBSTITUTE(VLOOKUP(H$2,convert!$A$1:$B$4,2,0),"@@@",H369))</f>
        <v>48</v>
      </c>
      <c r="X369" s="4" t="str">
        <f>IF(I369="",IF(ISNUMBER(SEARCH("NOT NULL",UPPER(I$3))),"''","null"),SUBSTITUTE(VLOOKUP(I$2,convert!$A$1:$B$4,2,0),"@@@",I369))</f>
        <v>''</v>
      </c>
      <c r="Y369" s="4" t="str">
        <f>IF(J369="",IF(ISNUMBER(SEARCH("NOT NULL",UPPER(J$3))),"''","null"),SUBSTITUTE(VLOOKUP(J$2,convert!$A$1:$B$4,2,0),"@@@",J369))</f>
        <v>'normal'</v>
      </c>
      <c r="Z369" s="4" t="str">
        <f>IF(K369="",IF(ISNUMBER(SEARCH("NOT NULL",UPPER(K$3))),"''","null"),SUBSTITUTE(VLOOKUP(K$2,convert!$A$1:$B$4,2,0),"@@@",K369))</f>
        <v>null</v>
      </c>
      <c r="AA369" s="4" t="str">
        <f>IF(L369="",IF(ISNUMBER(SEARCH("NOT NULL",UPPER(L$3))),"''","null"),SUBSTITUTE(VLOOKUP(L$2,convert!$A$1:$B$4,2,0),"@@@",L369))</f>
        <v>'g3'</v>
      </c>
      <c r="AB369" s="4" t="str">
        <f>IF(M369="",IF(ISNUMBER(SEARCH("NOT NULL",UPPER(M$3))),"''","null"),SUBSTITUTE(VLOOKUP(M$2,convert!$A$1:$B$4,2,0),"@@@",M369))</f>
        <v>null</v>
      </c>
      <c r="AC369" s="4" t="str">
        <f>IF(N369="",IF(ISNUMBER(SEARCH("NOT NULL",UPPER(N$3))),"''","null"),SUBSTITUTE(VLOOKUP(N$2,convert!$A$1:$B$4,2,0),"@@@",N369))</f>
        <v>null</v>
      </c>
      <c r="AD369" s="4" t="str">
        <f>IF(O369="",IF(ISNUMBER(SEARCH("NOT NULL",UPPER(O$3))),"''","null"),SUBSTITUTE(VLOOKUP(O$2,convert!$A$1:$B$4,2,0),"@@@",O369))</f>
        <v>TRUE</v>
      </c>
      <c r="AE369" s="4" t="str">
        <f t="shared" si="5"/>
        <v>    ('0294N01', 'ドゴーム', 84, 71, 43, 71, 43, 48, '', 'normal', null, 'g3', null, null, TRUE),</v>
      </c>
    </row>
    <row r="370" spans="1:31">
      <c r="A370" s="4" t="s">
        <v>751</v>
      </c>
      <c r="B370" s="4" t="s">
        <v>752</v>
      </c>
      <c r="C370" s="5">
        <v>104</v>
      </c>
      <c r="D370" s="5">
        <v>91</v>
      </c>
      <c r="E370" s="5">
        <v>63</v>
      </c>
      <c r="F370" s="5">
        <v>91</v>
      </c>
      <c r="G370" s="5">
        <v>73</v>
      </c>
      <c r="H370" s="5">
        <v>68</v>
      </c>
      <c r="I370" s="5"/>
      <c r="J370" s="4" t="s">
        <v>80</v>
      </c>
      <c r="K370" s="5"/>
      <c r="L370" s="4" t="s">
        <v>656</v>
      </c>
      <c r="M370" s="5"/>
      <c r="N370" s="5"/>
      <c r="O370" s="5" t="b">
        <v>1</v>
      </c>
      <c r="P370" s="4" t="str">
        <f>IF(A370="",IF(ISNUMBER(SEARCH("NOT NULL",UPPER(A$3))),"''","null"),SUBSTITUTE(VLOOKUP(A$2,convert!$A$1:$B$4,2,0),"@@@",A370))</f>
        <v>'0295N01'</v>
      </c>
      <c r="Q370" s="4" t="str">
        <f>IF(B370="",IF(ISNUMBER(SEARCH("NOT NULL",UPPER(B$3))),"''","null"),SUBSTITUTE(VLOOKUP(B$2,convert!$A$1:$B$4,2,0),"@@@",B370))</f>
        <v>'バクオング'</v>
      </c>
      <c r="R370" s="4" t="str">
        <f>IF(C370="",IF(ISNUMBER(SEARCH("NOT NULL",UPPER(C$3))),"''","null"),SUBSTITUTE(VLOOKUP(C$2,convert!$A$1:$B$4,2,0),"@@@",C370))</f>
        <v>104</v>
      </c>
      <c r="S370" s="4" t="str">
        <f>IF(D370="",IF(ISNUMBER(SEARCH("NOT NULL",UPPER(D$3))),"''","null"),SUBSTITUTE(VLOOKUP(D$2,convert!$A$1:$B$4,2,0),"@@@",D370))</f>
        <v>91</v>
      </c>
      <c r="T370" s="4" t="str">
        <f>IF(E370="",IF(ISNUMBER(SEARCH("NOT NULL",UPPER(E$3))),"''","null"),SUBSTITUTE(VLOOKUP(E$2,convert!$A$1:$B$4,2,0),"@@@",E370))</f>
        <v>63</v>
      </c>
      <c r="U370" s="4" t="str">
        <f>IF(F370="",IF(ISNUMBER(SEARCH("NOT NULL",UPPER(F$3))),"''","null"),SUBSTITUTE(VLOOKUP(F$2,convert!$A$1:$B$4,2,0),"@@@",F370))</f>
        <v>91</v>
      </c>
      <c r="V370" s="4" t="str">
        <f>IF(G370="",IF(ISNUMBER(SEARCH("NOT NULL",UPPER(G$3))),"''","null"),SUBSTITUTE(VLOOKUP(G$2,convert!$A$1:$B$4,2,0),"@@@",G370))</f>
        <v>73</v>
      </c>
      <c r="W370" s="4" t="str">
        <f>IF(H370="",IF(ISNUMBER(SEARCH("NOT NULL",UPPER(H$3))),"''","null"),SUBSTITUTE(VLOOKUP(H$2,convert!$A$1:$B$4,2,0),"@@@",H370))</f>
        <v>68</v>
      </c>
      <c r="X370" s="4" t="str">
        <f>IF(I370="",IF(ISNUMBER(SEARCH("NOT NULL",UPPER(I$3))),"''","null"),SUBSTITUTE(VLOOKUP(I$2,convert!$A$1:$B$4,2,0),"@@@",I370))</f>
        <v>''</v>
      </c>
      <c r="Y370" s="4" t="str">
        <f>IF(J370="",IF(ISNUMBER(SEARCH("NOT NULL",UPPER(J$3))),"''","null"),SUBSTITUTE(VLOOKUP(J$2,convert!$A$1:$B$4,2,0),"@@@",J370))</f>
        <v>'normal'</v>
      </c>
      <c r="Z370" s="4" t="str">
        <f>IF(K370="",IF(ISNUMBER(SEARCH("NOT NULL",UPPER(K$3))),"''","null"),SUBSTITUTE(VLOOKUP(K$2,convert!$A$1:$B$4,2,0),"@@@",K370))</f>
        <v>null</v>
      </c>
      <c r="AA370" s="4" t="str">
        <f>IF(L370="",IF(ISNUMBER(SEARCH("NOT NULL",UPPER(L$3))),"''","null"),SUBSTITUTE(VLOOKUP(L$2,convert!$A$1:$B$4,2,0),"@@@",L370))</f>
        <v>'g3'</v>
      </c>
      <c r="AB370" s="4" t="str">
        <f>IF(M370="",IF(ISNUMBER(SEARCH("NOT NULL",UPPER(M$3))),"''","null"),SUBSTITUTE(VLOOKUP(M$2,convert!$A$1:$B$4,2,0),"@@@",M370))</f>
        <v>null</v>
      </c>
      <c r="AC370" s="4" t="str">
        <f>IF(N370="",IF(ISNUMBER(SEARCH("NOT NULL",UPPER(N$3))),"''","null"),SUBSTITUTE(VLOOKUP(N$2,convert!$A$1:$B$4,2,0),"@@@",N370))</f>
        <v>null</v>
      </c>
      <c r="AD370" s="4" t="str">
        <f>IF(O370="",IF(ISNUMBER(SEARCH("NOT NULL",UPPER(O$3))),"''","null"),SUBSTITUTE(VLOOKUP(O$2,convert!$A$1:$B$4,2,0),"@@@",O370))</f>
        <v>TRUE</v>
      </c>
      <c r="AE370" s="4" t="str">
        <f t="shared" si="5"/>
        <v>    ('0295N01', 'バクオング', 104, 91, 63, 91, 73, 68, '', 'normal', null, 'g3', null, null, TRUE),</v>
      </c>
    </row>
    <row r="371" spans="1:31">
      <c r="A371" s="4" t="s">
        <v>753</v>
      </c>
      <c r="B371" s="4" t="s">
        <v>754</v>
      </c>
      <c r="C371" s="5">
        <v>72</v>
      </c>
      <c r="D371" s="5">
        <v>60</v>
      </c>
      <c r="E371" s="5">
        <v>30</v>
      </c>
      <c r="F371" s="5">
        <v>20</v>
      </c>
      <c r="G371" s="5">
        <v>30</v>
      </c>
      <c r="H371" s="5">
        <v>25</v>
      </c>
      <c r="I371" s="5"/>
      <c r="J371" s="4" t="s">
        <v>189</v>
      </c>
      <c r="K371" s="5"/>
      <c r="L371" s="4" t="s">
        <v>656</v>
      </c>
      <c r="M371" s="5"/>
      <c r="N371" s="5"/>
      <c r="O371" s="5" t="b">
        <v>1</v>
      </c>
      <c r="P371" s="4" t="str">
        <f>IF(A371="",IF(ISNUMBER(SEARCH("NOT NULL",UPPER(A$3))),"''","null"),SUBSTITUTE(VLOOKUP(A$2,convert!$A$1:$B$4,2,0),"@@@",A371))</f>
        <v>'0296N01'</v>
      </c>
      <c r="Q371" s="4" t="str">
        <f>IF(B371="",IF(ISNUMBER(SEARCH("NOT NULL",UPPER(B$3))),"''","null"),SUBSTITUTE(VLOOKUP(B$2,convert!$A$1:$B$4,2,0),"@@@",B371))</f>
        <v>'マクノシタ'</v>
      </c>
      <c r="R371" s="4" t="str">
        <f>IF(C371="",IF(ISNUMBER(SEARCH("NOT NULL",UPPER(C$3))),"''","null"),SUBSTITUTE(VLOOKUP(C$2,convert!$A$1:$B$4,2,0),"@@@",C371))</f>
        <v>72</v>
      </c>
      <c r="S371" s="4" t="str">
        <f>IF(D371="",IF(ISNUMBER(SEARCH("NOT NULL",UPPER(D$3))),"''","null"),SUBSTITUTE(VLOOKUP(D$2,convert!$A$1:$B$4,2,0),"@@@",D371))</f>
        <v>60</v>
      </c>
      <c r="T371" s="4" t="str">
        <f>IF(E371="",IF(ISNUMBER(SEARCH("NOT NULL",UPPER(E$3))),"''","null"),SUBSTITUTE(VLOOKUP(E$2,convert!$A$1:$B$4,2,0),"@@@",E371))</f>
        <v>30</v>
      </c>
      <c r="U371" s="4" t="str">
        <f>IF(F371="",IF(ISNUMBER(SEARCH("NOT NULL",UPPER(F$3))),"''","null"),SUBSTITUTE(VLOOKUP(F$2,convert!$A$1:$B$4,2,0),"@@@",F371))</f>
        <v>20</v>
      </c>
      <c r="V371" s="4" t="str">
        <f>IF(G371="",IF(ISNUMBER(SEARCH("NOT NULL",UPPER(G$3))),"''","null"),SUBSTITUTE(VLOOKUP(G$2,convert!$A$1:$B$4,2,0),"@@@",G371))</f>
        <v>30</v>
      </c>
      <c r="W371" s="4" t="str">
        <f>IF(H371="",IF(ISNUMBER(SEARCH("NOT NULL",UPPER(H$3))),"''","null"),SUBSTITUTE(VLOOKUP(H$2,convert!$A$1:$B$4,2,0),"@@@",H371))</f>
        <v>25</v>
      </c>
      <c r="X371" s="4" t="str">
        <f>IF(I371="",IF(ISNUMBER(SEARCH("NOT NULL",UPPER(I$3))),"''","null"),SUBSTITUTE(VLOOKUP(I$2,convert!$A$1:$B$4,2,0),"@@@",I371))</f>
        <v>''</v>
      </c>
      <c r="Y371" s="4" t="str">
        <f>IF(J371="",IF(ISNUMBER(SEARCH("NOT NULL",UPPER(J$3))),"''","null"),SUBSTITUTE(VLOOKUP(J$2,convert!$A$1:$B$4,2,0),"@@@",J371))</f>
        <v>'fighting'</v>
      </c>
      <c r="Z371" s="4" t="str">
        <f>IF(K371="",IF(ISNUMBER(SEARCH("NOT NULL",UPPER(K$3))),"''","null"),SUBSTITUTE(VLOOKUP(K$2,convert!$A$1:$B$4,2,0),"@@@",K371))</f>
        <v>null</v>
      </c>
      <c r="AA371" s="4" t="str">
        <f>IF(L371="",IF(ISNUMBER(SEARCH("NOT NULL",UPPER(L$3))),"''","null"),SUBSTITUTE(VLOOKUP(L$2,convert!$A$1:$B$4,2,0),"@@@",L371))</f>
        <v>'g3'</v>
      </c>
      <c r="AB371" s="4" t="str">
        <f>IF(M371="",IF(ISNUMBER(SEARCH("NOT NULL",UPPER(M$3))),"''","null"),SUBSTITUTE(VLOOKUP(M$2,convert!$A$1:$B$4,2,0),"@@@",M371))</f>
        <v>null</v>
      </c>
      <c r="AC371" s="4" t="str">
        <f>IF(N371="",IF(ISNUMBER(SEARCH("NOT NULL",UPPER(N$3))),"''","null"),SUBSTITUTE(VLOOKUP(N$2,convert!$A$1:$B$4,2,0),"@@@",N371))</f>
        <v>null</v>
      </c>
      <c r="AD371" s="4" t="str">
        <f>IF(O371="",IF(ISNUMBER(SEARCH("NOT NULL",UPPER(O$3))),"''","null"),SUBSTITUTE(VLOOKUP(O$2,convert!$A$1:$B$4,2,0),"@@@",O371))</f>
        <v>TRUE</v>
      </c>
      <c r="AE371" s="4" t="str">
        <f t="shared" si="5"/>
        <v>    ('0296N01', 'マクノシタ', 72, 60, 30, 20, 30, 25, '', 'fighting', null, 'g3', null, null, TRUE),</v>
      </c>
    </row>
    <row r="372" spans="1:31">
      <c r="A372" s="4" t="s">
        <v>755</v>
      </c>
      <c r="B372" s="4" t="s">
        <v>756</v>
      </c>
      <c r="C372" s="5">
        <v>144</v>
      </c>
      <c r="D372" s="5">
        <v>120</v>
      </c>
      <c r="E372" s="5">
        <v>60</v>
      </c>
      <c r="F372" s="5">
        <v>40</v>
      </c>
      <c r="G372" s="5">
        <v>60</v>
      </c>
      <c r="H372" s="5">
        <v>50</v>
      </c>
      <c r="I372" s="5"/>
      <c r="J372" s="4" t="s">
        <v>189</v>
      </c>
      <c r="K372" s="5"/>
      <c r="L372" s="4" t="s">
        <v>656</v>
      </c>
      <c r="M372" s="5"/>
      <c r="N372" s="5"/>
      <c r="O372" s="5" t="b">
        <v>1</v>
      </c>
      <c r="P372" s="4" t="str">
        <f>IF(A372="",IF(ISNUMBER(SEARCH("NOT NULL",UPPER(A$3))),"''","null"),SUBSTITUTE(VLOOKUP(A$2,convert!$A$1:$B$4,2,0),"@@@",A372))</f>
        <v>'0297N01'</v>
      </c>
      <c r="Q372" s="4" t="str">
        <f>IF(B372="",IF(ISNUMBER(SEARCH("NOT NULL",UPPER(B$3))),"''","null"),SUBSTITUTE(VLOOKUP(B$2,convert!$A$1:$B$4,2,0),"@@@",B372))</f>
        <v>'ハリテヤマ'</v>
      </c>
      <c r="R372" s="4" t="str">
        <f>IF(C372="",IF(ISNUMBER(SEARCH("NOT NULL",UPPER(C$3))),"''","null"),SUBSTITUTE(VLOOKUP(C$2,convert!$A$1:$B$4,2,0),"@@@",C372))</f>
        <v>144</v>
      </c>
      <c r="S372" s="4" t="str">
        <f>IF(D372="",IF(ISNUMBER(SEARCH("NOT NULL",UPPER(D$3))),"''","null"),SUBSTITUTE(VLOOKUP(D$2,convert!$A$1:$B$4,2,0),"@@@",D372))</f>
        <v>120</v>
      </c>
      <c r="T372" s="4" t="str">
        <f>IF(E372="",IF(ISNUMBER(SEARCH("NOT NULL",UPPER(E$3))),"''","null"),SUBSTITUTE(VLOOKUP(E$2,convert!$A$1:$B$4,2,0),"@@@",E372))</f>
        <v>60</v>
      </c>
      <c r="U372" s="4" t="str">
        <f>IF(F372="",IF(ISNUMBER(SEARCH("NOT NULL",UPPER(F$3))),"''","null"),SUBSTITUTE(VLOOKUP(F$2,convert!$A$1:$B$4,2,0),"@@@",F372))</f>
        <v>40</v>
      </c>
      <c r="V372" s="4" t="str">
        <f>IF(G372="",IF(ISNUMBER(SEARCH("NOT NULL",UPPER(G$3))),"''","null"),SUBSTITUTE(VLOOKUP(G$2,convert!$A$1:$B$4,2,0),"@@@",G372))</f>
        <v>60</v>
      </c>
      <c r="W372" s="4" t="str">
        <f>IF(H372="",IF(ISNUMBER(SEARCH("NOT NULL",UPPER(H$3))),"''","null"),SUBSTITUTE(VLOOKUP(H$2,convert!$A$1:$B$4,2,0),"@@@",H372))</f>
        <v>50</v>
      </c>
      <c r="X372" s="4" t="str">
        <f>IF(I372="",IF(ISNUMBER(SEARCH("NOT NULL",UPPER(I$3))),"''","null"),SUBSTITUTE(VLOOKUP(I$2,convert!$A$1:$B$4,2,0),"@@@",I372))</f>
        <v>''</v>
      </c>
      <c r="Y372" s="4" t="str">
        <f>IF(J372="",IF(ISNUMBER(SEARCH("NOT NULL",UPPER(J$3))),"''","null"),SUBSTITUTE(VLOOKUP(J$2,convert!$A$1:$B$4,2,0),"@@@",J372))</f>
        <v>'fighting'</v>
      </c>
      <c r="Z372" s="4" t="str">
        <f>IF(K372="",IF(ISNUMBER(SEARCH("NOT NULL",UPPER(K$3))),"''","null"),SUBSTITUTE(VLOOKUP(K$2,convert!$A$1:$B$4,2,0),"@@@",K372))</f>
        <v>null</v>
      </c>
      <c r="AA372" s="4" t="str">
        <f>IF(L372="",IF(ISNUMBER(SEARCH("NOT NULL",UPPER(L$3))),"''","null"),SUBSTITUTE(VLOOKUP(L$2,convert!$A$1:$B$4,2,0),"@@@",L372))</f>
        <v>'g3'</v>
      </c>
      <c r="AB372" s="4" t="str">
        <f>IF(M372="",IF(ISNUMBER(SEARCH("NOT NULL",UPPER(M$3))),"''","null"),SUBSTITUTE(VLOOKUP(M$2,convert!$A$1:$B$4,2,0),"@@@",M372))</f>
        <v>null</v>
      </c>
      <c r="AC372" s="4" t="str">
        <f>IF(N372="",IF(ISNUMBER(SEARCH("NOT NULL",UPPER(N$3))),"''","null"),SUBSTITUTE(VLOOKUP(N$2,convert!$A$1:$B$4,2,0),"@@@",N372))</f>
        <v>null</v>
      </c>
      <c r="AD372" s="4" t="str">
        <f>IF(O372="",IF(ISNUMBER(SEARCH("NOT NULL",UPPER(O$3))),"''","null"),SUBSTITUTE(VLOOKUP(O$2,convert!$A$1:$B$4,2,0),"@@@",O372))</f>
        <v>TRUE</v>
      </c>
      <c r="AE372" s="4" t="str">
        <f t="shared" si="5"/>
        <v>    ('0297N01', 'ハリテヤマ', 144, 120, 60, 40, 60, 50, '', 'fighting', null, 'g3', null, null, TRUE),</v>
      </c>
    </row>
    <row r="373" spans="1:31">
      <c r="A373" s="4" t="s">
        <v>757</v>
      </c>
      <c r="B373" s="4" t="s">
        <v>758</v>
      </c>
      <c r="C373" s="5">
        <v>50</v>
      </c>
      <c r="D373" s="5">
        <v>20</v>
      </c>
      <c r="E373" s="5">
        <v>40</v>
      </c>
      <c r="F373" s="5">
        <v>20</v>
      </c>
      <c r="G373" s="5">
        <v>40</v>
      </c>
      <c r="H373" s="5">
        <v>20</v>
      </c>
      <c r="I373" s="5"/>
      <c r="J373" s="4" t="s">
        <v>80</v>
      </c>
      <c r="K373" s="4" t="s">
        <v>137</v>
      </c>
      <c r="L373" s="4" t="s">
        <v>656</v>
      </c>
      <c r="M373" s="5"/>
      <c r="N373" s="5"/>
      <c r="O373" s="5" t="b">
        <v>1</v>
      </c>
      <c r="P373" s="4" t="str">
        <f>IF(A373="",IF(ISNUMBER(SEARCH("NOT NULL",UPPER(A$3))),"''","null"),SUBSTITUTE(VLOOKUP(A$2,convert!$A$1:$B$4,2,0),"@@@",A373))</f>
        <v>'0298N01'</v>
      </c>
      <c r="Q373" s="4" t="str">
        <f>IF(B373="",IF(ISNUMBER(SEARCH("NOT NULL",UPPER(B$3))),"''","null"),SUBSTITUTE(VLOOKUP(B$2,convert!$A$1:$B$4,2,0),"@@@",B373))</f>
        <v>'ルリリ'</v>
      </c>
      <c r="R373" s="4" t="str">
        <f>IF(C373="",IF(ISNUMBER(SEARCH("NOT NULL",UPPER(C$3))),"''","null"),SUBSTITUTE(VLOOKUP(C$2,convert!$A$1:$B$4,2,0),"@@@",C373))</f>
        <v>50</v>
      </c>
      <c r="S373" s="4" t="str">
        <f>IF(D373="",IF(ISNUMBER(SEARCH("NOT NULL",UPPER(D$3))),"''","null"),SUBSTITUTE(VLOOKUP(D$2,convert!$A$1:$B$4,2,0),"@@@",D373))</f>
        <v>20</v>
      </c>
      <c r="T373" s="4" t="str">
        <f>IF(E373="",IF(ISNUMBER(SEARCH("NOT NULL",UPPER(E$3))),"''","null"),SUBSTITUTE(VLOOKUP(E$2,convert!$A$1:$B$4,2,0),"@@@",E373))</f>
        <v>40</v>
      </c>
      <c r="U373" s="4" t="str">
        <f>IF(F373="",IF(ISNUMBER(SEARCH("NOT NULL",UPPER(F$3))),"''","null"),SUBSTITUTE(VLOOKUP(F$2,convert!$A$1:$B$4,2,0),"@@@",F373))</f>
        <v>20</v>
      </c>
      <c r="V373" s="4" t="str">
        <f>IF(G373="",IF(ISNUMBER(SEARCH("NOT NULL",UPPER(G$3))),"''","null"),SUBSTITUTE(VLOOKUP(G$2,convert!$A$1:$B$4,2,0),"@@@",G373))</f>
        <v>40</v>
      </c>
      <c r="W373" s="4" t="str">
        <f>IF(H373="",IF(ISNUMBER(SEARCH("NOT NULL",UPPER(H$3))),"''","null"),SUBSTITUTE(VLOOKUP(H$2,convert!$A$1:$B$4,2,0),"@@@",H373))</f>
        <v>20</v>
      </c>
      <c r="X373" s="4" t="str">
        <f>IF(I373="",IF(ISNUMBER(SEARCH("NOT NULL",UPPER(I$3))),"''","null"),SUBSTITUTE(VLOOKUP(I$2,convert!$A$1:$B$4,2,0),"@@@",I373))</f>
        <v>''</v>
      </c>
      <c r="Y373" s="4" t="str">
        <f>IF(J373="",IF(ISNUMBER(SEARCH("NOT NULL",UPPER(J$3))),"''","null"),SUBSTITUTE(VLOOKUP(J$2,convert!$A$1:$B$4,2,0),"@@@",J373))</f>
        <v>'normal'</v>
      </c>
      <c r="Z373" s="4" t="str">
        <f>IF(K373="",IF(ISNUMBER(SEARCH("NOT NULL",UPPER(K$3))),"''","null"),SUBSTITUTE(VLOOKUP(K$2,convert!$A$1:$B$4,2,0),"@@@",K373))</f>
        <v>'fairy'</v>
      </c>
      <c r="AA373" s="4" t="str">
        <f>IF(L373="",IF(ISNUMBER(SEARCH("NOT NULL",UPPER(L$3))),"''","null"),SUBSTITUTE(VLOOKUP(L$2,convert!$A$1:$B$4,2,0),"@@@",L373))</f>
        <v>'g3'</v>
      </c>
      <c r="AB373" s="4" t="str">
        <f>IF(M373="",IF(ISNUMBER(SEARCH("NOT NULL",UPPER(M$3))),"''","null"),SUBSTITUTE(VLOOKUP(M$2,convert!$A$1:$B$4,2,0),"@@@",M373))</f>
        <v>null</v>
      </c>
      <c r="AC373" s="4" t="str">
        <f>IF(N373="",IF(ISNUMBER(SEARCH("NOT NULL",UPPER(N$3))),"''","null"),SUBSTITUTE(VLOOKUP(N$2,convert!$A$1:$B$4,2,0),"@@@",N373))</f>
        <v>null</v>
      </c>
      <c r="AD373" s="4" t="str">
        <f>IF(O373="",IF(ISNUMBER(SEARCH("NOT NULL",UPPER(O$3))),"''","null"),SUBSTITUTE(VLOOKUP(O$2,convert!$A$1:$B$4,2,0),"@@@",O373))</f>
        <v>TRUE</v>
      </c>
      <c r="AE373" s="4" t="str">
        <f t="shared" si="5"/>
        <v>    ('0298N01', 'ルリリ', 50, 20, 40, 20, 40, 20, '', 'normal', 'fairy', 'g3', null, null, TRUE),</v>
      </c>
    </row>
    <row r="374" spans="1:31">
      <c r="A374" s="4" t="s">
        <v>759</v>
      </c>
      <c r="B374" s="4" t="s">
        <v>760</v>
      </c>
      <c r="C374" s="5">
        <v>30</v>
      </c>
      <c r="D374" s="5">
        <v>45</v>
      </c>
      <c r="E374" s="5">
        <v>135</v>
      </c>
      <c r="F374" s="5">
        <v>45</v>
      </c>
      <c r="G374" s="5">
        <v>90</v>
      </c>
      <c r="H374" s="5">
        <v>30</v>
      </c>
      <c r="I374" s="5"/>
      <c r="J374" s="4" t="s">
        <v>196</v>
      </c>
      <c r="K374" s="5"/>
      <c r="L374" s="4" t="s">
        <v>656</v>
      </c>
      <c r="M374" s="5"/>
      <c r="N374" s="5"/>
      <c r="O374" s="5" t="b">
        <v>1</v>
      </c>
      <c r="P374" s="4" t="str">
        <f>IF(A374="",IF(ISNUMBER(SEARCH("NOT NULL",UPPER(A$3))),"''","null"),SUBSTITUTE(VLOOKUP(A$2,convert!$A$1:$B$4,2,0),"@@@",A374))</f>
        <v>'0299N01'</v>
      </c>
      <c r="Q374" s="4" t="str">
        <f>IF(B374="",IF(ISNUMBER(SEARCH("NOT NULL",UPPER(B$3))),"''","null"),SUBSTITUTE(VLOOKUP(B$2,convert!$A$1:$B$4,2,0),"@@@",B374))</f>
        <v>'ノズパス'</v>
      </c>
      <c r="R374" s="4" t="str">
        <f>IF(C374="",IF(ISNUMBER(SEARCH("NOT NULL",UPPER(C$3))),"''","null"),SUBSTITUTE(VLOOKUP(C$2,convert!$A$1:$B$4,2,0),"@@@",C374))</f>
        <v>30</v>
      </c>
      <c r="S374" s="4" t="str">
        <f>IF(D374="",IF(ISNUMBER(SEARCH("NOT NULL",UPPER(D$3))),"''","null"),SUBSTITUTE(VLOOKUP(D$2,convert!$A$1:$B$4,2,0),"@@@",D374))</f>
        <v>45</v>
      </c>
      <c r="T374" s="4" t="str">
        <f>IF(E374="",IF(ISNUMBER(SEARCH("NOT NULL",UPPER(E$3))),"''","null"),SUBSTITUTE(VLOOKUP(E$2,convert!$A$1:$B$4,2,0),"@@@",E374))</f>
        <v>135</v>
      </c>
      <c r="U374" s="4" t="str">
        <f>IF(F374="",IF(ISNUMBER(SEARCH("NOT NULL",UPPER(F$3))),"''","null"),SUBSTITUTE(VLOOKUP(F$2,convert!$A$1:$B$4,2,0),"@@@",F374))</f>
        <v>45</v>
      </c>
      <c r="V374" s="4" t="str">
        <f>IF(G374="",IF(ISNUMBER(SEARCH("NOT NULL",UPPER(G$3))),"''","null"),SUBSTITUTE(VLOOKUP(G$2,convert!$A$1:$B$4,2,0),"@@@",G374))</f>
        <v>90</v>
      </c>
      <c r="W374" s="4" t="str">
        <f>IF(H374="",IF(ISNUMBER(SEARCH("NOT NULL",UPPER(H$3))),"''","null"),SUBSTITUTE(VLOOKUP(H$2,convert!$A$1:$B$4,2,0),"@@@",H374))</f>
        <v>30</v>
      </c>
      <c r="X374" s="4" t="str">
        <f>IF(I374="",IF(ISNUMBER(SEARCH("NOT NULL",UPPER(I$3))),"''","null"),SUBSTITUTE(VLOOKUP(I$2,convert!$A$1:$B$4,2,0),"@@@",I374))</f>
        <v>''</v>
      </c>
      <c r="Y374" s="4" t="str">
        <f>IF(J374="",IF(ISNUMBER(SEARCH("NOT NULL",UPPER(J$3))),"''","null"),SUBSTITUTE(VLOOKUP(J$2,convert!$A$1:$B$4,2,0),"@@@",J374))</f>
        <v>'rock'</v>
      </c>
      <c r="Z374" s="4" t="str">
        <f>IF(K374="",IF(ISNUMBER(SEARCH("NOT NULL",UPPER(K$3))),"''","null"),SUBSTITUTE(VLOOKUP(K$2,convert!$A$1:$B$4,2,0),"@@@",K374))</f>
        <v>null</v>
      </c>
      <c r="AA374" s="4" t="str">
        <f>IF(L374="",IF(ISNUMBER(SEARCH("NOT NULL",UPPER(L$3))),"''","null"),SUBSTITUTE(VLOOKUP(L$2,convert!$A$1:$B$4,2,0),"@@@",L374))</f>
        <v>'g3'</v>
      </c>
      <c r="AB374" s="4" t="str">
        <f>IF(M374="",IF(ISNUMBER(SEARCH("NOT NULL",UPPER(M$3))),"''","null"),SUBSTITUTE(VLOOKUP(M$2,convert!$A$1:$B$4,2,0),"@@@",M374))</f>
        <v>null</v>
      </c>
      <c r="AC374" s="4" t="str">
        <f>IF(N374="",IF(ISNUMBER(SEARCH("NOT NULL",UPPER(N$3))),"''","null"),SUBSTITUTE(VLOOKUP(N$2,convert!$A$1:$B$4,2,0),"@@@",N374))</f>
        <v>null</v>
      </c>
      <c r="AD374" s="4" t="str">
        <f>IF(O374="",IF(ISNUMBER(SEARCH("NOT NULL",UPPER(O$3))),"''","null"),SUBSTITUTE(VLOOKUP(O$2,convert!$A$1:$B$4,2,0),"@@@",O374))</f>
        <v>TRUE</v>
      </c>
      <c r="AE374" s="4" t="str">
        <f t="shared" si="5"/>
        <v>    ('0299N01', 'ノズパス', 30, 45, 135, 45, 90, 30, '', 'rock', null, 'g3', null, null, TRUE),</v>
      </c>
    </row>
    <row r="375" spans="1:31">
      <c r="A375" s="4" t="s">
        <v>761</v>
      </c>
      <c r="B375" s="4" t="s">
        <v>762</v>
      </c>
      <c r="C375" s="5">
        <v>50</v>
      </c>
      <c r="D375" s="5">
        <v>45</v>
      </c>
      <c r="E375" s="5">
        <v>45</v>
      </c>
      <c r="F375" s="5">
        <v>35</v>
      </c>
      <c r="G375" s="5">
        <v>35</v>
      </c>
      <c r="H375" s="5">
        <v>50</v>
      </c>
      <c r="I375" s="5"/>
      <c r="J375" s="4" t="s">
        <v>80</v>
      </c>
      <c r="K375" s="5"/>
      <c r="L375" s="4" t="s">
        <v>656</v>
      </c>
      <c r="M375" s="5"/>
      <c r="N375" s="5"/>
      <c r="O375" s="5" t="b">
        <v>1</v>
      </c>
      <c r="P375" s="4" t="str">
        <f>IF(A375="",IF(ISNUMBER(SEARCH("NOT NULL",UPPER(A$3))),"''","null"),SUBSTITUTE(VLOOKUP(A$2,convert!$A$1:$B$4,2,0),"@@@",A375))</f>
        <v>'0300N01'</v>
      </c>
      <c r="Q375" s="4" t="str">
        <f>IF(B375="",IF(ISNUMBER(SEARCH("NOT NULL",UPPER(B$3))),"''","null"),SUBSTITUTE(VLOOKUP(B$2,convert!$A$1:$B$4,2,0),"@@@",B375))</f>
        <v>'エネコ'</v>
      </c>
      <c r="R375" s="4" t="str">
        <f>IF(C375="",IF(ISNUMBER(SEARCH("NOT NULL",UPPER(C$3))),"''","null"),SUBSTITUTE(VLOOKUP(C$2,convert!$A$1:$B$4,2,0),"@@@",C375))</f>
        <v>50</v>
      </c>
      <c r="S375" s="4" t="str">
        <f>IF(D375="",IF(ISNUMBER(SEARCH("NOT NULL",UPPER(D$3))),"''","null"),SUBSTITUTE(VLOOKUP(D$2,convert!$A$1:$B$4,2,0),"@@@",D375))</f>
        <v>45</v>
      </c>
      <c r="T375" s="4" t="str">
        <f>IF(E375="",IF(ISNUMBER(SEARCH("NOT NULL",UPPER(E$3))),"''","null"),SUBSTITUTE(VLOOKUP(E$2,convert!$A$1:$B$4,2,0),"@@@",E375))</f>
        <v>45</v>
      </c>
      <c r="U375" s="4" t="str">
        <f>IF(F375="",IF(ISNUMBER(SEARCH("NOT NULL",UPPER(F$3))),"''","null"),SUBSTITUTE(VLOOKUP(F$2,convert!$A$1:$B$4,2,0),"@@@",F375))</f>
        <v>35</v>
      </c>
      <c r="V375" s="4" t="str">
        <f>IF(G375="",IF(ISNUMBER(SEARCH("NOT NULL",UPPER(G$3))),"''","null"),SUBSTITUTE(VLOOKUP(G$2,convert!$A$1:$B$4,2,0),"@@@",G375))</f>
        <v>35</v>
      </c>
      <c r="W375" s="4" t="str">
        <f>IF(H375="",IF(ISNUMBER(SEARCH("NOT NULL",UPPER(H$3))),"''","null"),SUBSTITUTE(VLOOKUP(H$2,convert!$A$1:$B$4,2,0),"@@@",H375))</f>
        <v>50</v>
      </c>
      <c r="X375" s="4" t="str">
        <f>IF(I375="",IF(ISNUMBER(SEARCH("NOT NULL",UPPER(I$3))),"''","null"),SUBSTITUTE(VLOOKUP(I$2,convert!$A$1:$B$4,2,0),"@@@",I375))</f>
        <v>''</v>
      </c>
      <c r="Y375" s="4" t="str">
        <f>IF(J375="",IF(ISNUMBER(SEARCH("NOT NULL",UPPER(J$3))),"''","null"),SUBSTITUTE(VLOOKUP(J$2,convert!$A$1:$B$4,2,0),"@@@",J375))</f>
        <v>'normal'</v>
      </c>
      <c r="Z375" s="4" t="str">
        <f>IF(K375="",IF(ISNUMBER(SEARCH("NOT NULL",UPPER(K$3))),"''","null"),SUBSTITUTE(VLOOKUP(K$2,convert!$A$1:$B$4,2,0),"@@@",K375))</f>
        <v>null</v>
      </c>
      <c r="AA375" s="4" t="str">
        <f>IF(L375="",IF(ISNUMBER(SEARCH("NOT NULL",UPPER(L$3))),"''","null"),SUBSTITUTE(VLOOKUP(L$2,convert!$A$1:$B$4,2,0),"@@@",L375))</f>
        <v>'g3'</v>
      </c>
      <c r="AB375" s="4" t="str">
        <f>IF(M375="",IF(ISNUMBER(SEARCH("NOT NULL",UPPER(M$3))),"''","null"),SUBSTITUTE(VLOOKUP(M$2,convert!$A$1:$B$4,2,0),"@@@",M375))</f>
        <v>null</v>
      </c>
      <c r="AC375" s="4" t="str">
        <f>IF(N375="",IF(ISNUMBER(SEARCH("NOT NULL",UPPER(N$3))),"''","null"),SUBSTITUTE(VLOOKUP(N$2,convert!$A$1:$B$4,2,0),"@@@",N375))</f>
        <v>null</v>
      </c>
      <c r="AD375" s="4" t="str">
        <f>IF(O375="",IF(ISNUMBER(SEARCH("NOT NULL",UPPER(O$3))),"''","null"),SUBSTITUTE(VLOOKUP(O$2,convert!$A$1:$B$4,2,0),"@@@",O375))</f>
        <v>TRUE</v>
      </c>
      <c r="AE375" s="4" t="str">
        <f t="shared" si="5"/>
        <v>    ('0300N01', 'エネコ', 50, 45, 45, 35, 35, 50, '', 'normal', null, 'g3', null, null, TRUE),</v>
      </c>
    </row>
    <row r="376" spans="1:31">
      <c r="A376" s="4" t="s">
        <v>763</v>
      </c>
      <c r="B376" s="4" t="s">
        <v>764</v>
      </c>
      <c r="C376" s="5">
        <v>70</v>
      </c>
      <c r="D376" s="5">
        <v>65</v>
      </c>
      <c r="E376" s="5">
        <v>65</v>
      </c>
      <c r="F376" s="5">
        <v>55</v>
      </c>
      <c r="G376" s="5">
        <v>55</v>
      </c>
      <c r="H376" s="5">
        <v>90</v>
      </c>
      <c r="I376" s="5"/>
      <c r="J376" s="4" t="s">
        <v>80</v>
      </c>
      <c r="K376" s="5"/>
      <c r="L376" s="4" t="s">
        <v>656</v>
      </c>
      <c r="M376" s="5"/>
      <c r="N376" s="5"/>
      <c r="O376" s="5" t="b">
        <v>1</v>
      </c>
      <c r="P376" s="4" t="str">
        <f>IF(A376="",IF(ISNUMBER(SEARCH("NOT NULL",UPPER(A$3))),"''","null"),SUBSTITUTE(VLOOKUP(A$2,convert!$A$1:$B$4,2,0),"@@@",A376))</f>
        <v>'0301N01'</v>
      </c>
      <c r="Q376" s="4" t="str">
        <f>IF(B376="",IF(ISNUMBER(SEARCH("NOT NULL",UPPER(B$3))),"''","null"),SUBSTITUTE(VLOOKUP(B$2,convert!$A$1:$B$4,2,0),"@@@",B376))</f>
        <v>'エネコロロ'</v>
      </c>
      <c r="R376" s="4" t="str">
        <f>IF(C376="",IF(ISNUMBER(SEARCH("NOT NULL",UPPER(C$3))),"''","null"),SUBSTITUTE(VLOOKUP(C$2,convert!$A$1:$B$4,2,0),"@@@",C376))</f>
        <v>70</v>
      </c>
      <c r="S376" s="4" t="str">
        <f>IF(D376="",IF(ISNUMBER(SEARCH("NOT NULL",UPPER(D$3))),"''","null"),SUBSTITUTE(VLOOKUP(D$2,convert!$A$1:$B$4,2,0),"@@@",D376))</f>
        <v>65</v>
      </c>
      <c r="T376" s="4" t="str">
        <f>IF(E376="",IF(ISNUMBER(SEARCH("NOT NULL",UPPER(E$3))),"''","null"),SUBSTITUTE(VLOOKUP(E$2,convert!$A$1:$B$4,2,0),"@@@",E376))</f>
        <v>65</v>
      </c>
      <c r="U376" s="4" t="str">
        <f>IF(F376="",IF(ISNUMBER(SEARCH("NOT NULL",UPPER(F$3))),"''","null"),SUBSTITUTE(VLOOKUP(F$2,convert!$A$1:$B$4,2,0),"@@@",F376))</f>
        <v>55</v>
      </c>
      <c r="V376" s="4" t="str">
        <f>IF(G376="",IF(ISNUMBER(SEARCH("NOT NULL",UPPER(G$3))),"''","null"),SUBSTITUTE(VLOOKUP(G$2,convert!$A$1:$B$4,2,0),"@@@",G376))</f>
        <v>55</v>
      </c>
      <c r="W376" s="4" t="str">
        <f>IF(H376="",IF(ISNUMBER(SEARCH("NOT NULL",UPPER(H$3))),"''","null"),SUBSTITUTE(VLOOKUP(H$2,convert!$A$1:$B$4,2,0),"@@@",H376))</f>
        <v>90</v>
      </c>
      <c r="X376" s="4" t="str">
        <f>IF(I376="",IF(ISNUMBER(SEARCH("NOT NULL",UPPER(I$3))),"''","null"),SUBSTITUTE(VLOOKUP(I$2,convert!$A$1:$B$4,2,0),"@@@",I376))</f>
        <v>''</v>
      </c>
      <c r="Y376" s="4" t="str">
        <f>IF(J376="",IF(ISNUMBER(SEARCH("NOT NULL",UPPER(J$3))),"''","null"),SUBSTITUTE(VLOOKUP(J$2,convert!$A$1:$B$4,2,0),"@@@",J376))</f>
        <v>'normal'</v>
      </c>
      <c r="Z376" s="4" t="str">
        <f>IF(K376="",IF(ISNUMBER(SEARCH("NOT NULL",UPPER(K$3))),"''","null"),SUBSTITUTE(VLOOKUP(K$2,convert!$A$1:$B$4,2,0),"@@@",K376))</f>
        <v>null</v>
      </c>
      <c r="AA376" s="4" t="str">
        <f>IF(L376="",IF(ISNUMBER(SEARCH("NOT NULL",UPPER(L$3))),"''","null"),SUBSTITUTE(VLOOKUP(L$2,convert!$A$1:$B$4,2,0),"@@@",L376))</f>
        <v>'g3'</v>
      </c>
      <c r="AB376" s="4" t="str">
        <f>IF(M376="",IF(ISNUMBER(SEARCH("NOT NULL",UPPER(M$3))),"''","null"),SUBSTITUTE(VLOOKUP(M$2,convert!$A$1:$B$4,2,0),"@@@",M376))</f>
        <v>null</v>
      </c>
      <c r="AC376" s="4" t="str">
        <f>IF(N376="",IF(ISNUMBER(SEARCH("NOT NULL",UPPER(N$3))),"''","null"),SUBSTITUTE(VLOOKUP(N$2,convert!$A$1:$B$4,2,0),"@@@",N376))</f>
        <v>null</v>
      </c>
      <c r="AD376" s="4" t="str">
        <f>IF(O376="",IF(ISNUMBER(SEARCH("NOT NULL",UPPER(O$3))),"''","null"),SUBSTITUTE(VLOOKUP(O$2,convert!$A$1:$B$4,2,0),"@@@",O376))</f>
        <v>TRUE</v>
      </c>
      <c r="AE376" s="4" t="str">
        <f t="shared" si="5"/>
        <v>    ('0301N01', 'エネコロロ', 70, 65, 65, 55, 55, 90, '', 'normal', null, 'g3', null, null, TRUE),</v>
      </c>
    </row>
    <row r="377" spans="1:31">
      <c r="A377" s="4" t="s">
        <v>765</v>
      </c>
      <c r="B377" s="4" t="s">
        <v>766</v>
      </c>
      <c r="C377" s="5">
        <v>50</v>
      </c>
      <c r="D377" s="5">
        <v>75</v>
      </c>
      <c r="E377" s="5">
        <v>75</v>
      </c>
      <c r="F377" s="5">
        <v>65</v>
      </c>
      <c r="G377" s="5">
        <v>65</v>
      </c>
      <c r="H377" s="5">
        <v>50</v>
      </c>
      <c r="I377" s="5"/>
      <c r="J377" s="4" t="s">
        <v>91</v>
      </c>
      <c r="K377" s="4" t="s">
        <v>281</v>
      </c>
      <c r="L377" s="4" t="s">
        <v>656</v>
      </c>
      <c r="M377" s="5"/>
      <c r="N377" s="5"/>
      <c r="O377" s="5" t="b">
        <v>1</v>
      </c>
      <c r="P377" s="4" t="str">
        <f>IF(A377="",IF(ISNUMBER(SEARCH("NOT NULL",UPPER(A$3))),"''","null"),SUBSTITUTE(VLOOKUP(A$2,convert!$A$1:$B$4,2,0),"@@@",A377))</f>
        <v>'0302N01'</v>
      </c>
      <c r="Q377" s="4" t="str">
        <f>IF(B377="",IF(ISNUMBER(SEARCH("NOT NULL",UPPER(B$3))),"''","null"),SUBSTITUTE(VLOOKUP(B$2,convert!$A$1:$B$4,2,0),"@@@",B377))</f>
        <v>'ヤミラミ'</v>
      </c>
      <c r="R377" s="4" t="str">
        <f>IF(C377="",IF(ISNUMBER(SEARCH("NOT NULL",UPPER(C$3))),"''","null"),SUBSTITUTE(VLOOKUP(C$2,convert!$A$1:$B$4,2,0),"@@@",C377))</f>
        <v>50</v>
      </c>
      <c r="S377" s="4" t="str">
        <f>IF(D377="",IF(ISNUMBER(SEARCH("NOT NULL",UPPER(D$3))),"''","null"),SUBSTITUTE(VLOOKUP(D$2,convert!$A$1:$B$4,2,0),"@@@",D377))</f>
        <v>75</v>
      </c>
      <c r="T377" s="4" t="str">
        <f>IF(E377="",IF(ISNUMBER(SEARCH("NOT NULL",UPPER(E$3))),"''","null"),SUBSTITUTE(VLOOKUP(E$2,convert!$A$1:$B$4,2,0),"@@@",E377))</f>
        <v>75</v>
      </c>
      <c r="U377" s="4" t="str">
        <f>IF(F377="",IF(ISNUMBER(SEARCH("NOT NULL",UPPER(F$3))),"''","null"),SUBSTITUTE(VLOOKUP(F$2,convert!$A$1:$B$4,2,0),"@@@",F377))</f>
        <v>65</v>
      </c>
      <c r="V377" s="4" t="str">
        <f>IF(G377="",IF(ISNUMBER(SEARCH("NOT NULL",UPPER(G$3))),"''","null"),SUBSTITUTE(VLOOKUP(G$2,convert!$A$1:$B$4,2,0),"@@@",G377))</f>
        <v>65</v>
      </c>
      <c r="W377" s="4" t="str">
        <f>IF(H377="",IF(ISNUMBER(SEARCH("NOT NULL",UPPER(H$3))),"''","null"),SUBSTITUTE(VLOOKUP(H$2,convert!$A$1:$B$4,2,0),"@@@",H377))</f>
        <v>50</v>
      </c>
      <c r="X377" s="4" t="str">
        <f>IF(I377="",IF(ISNUMBER(SEARCH("NOT NULL",UPPER(I$3))),"''","null"),SUBSTITUTE(VLOOKUP(I$2,convert!$A$1:$B$4,2,0),"@@@",I377))</f>
        <v>''</v>
      </c>
      <c r="Y377" s="4" t="str">
        <f>IF(J377="",IF(ISNUMBER(SEARCH("NOT NULL",UPPER(J$3))),"''","null"),SUBSTITUTE(VLOOKUP(J$2,convert!$A$1:$B$4,2,0),"@@@",J377))</f>
        <v>'dark'</v>
      </c>
      <c r="Z377" s="4" t="str">
        <f>IF(K377="",IF(ISNUMBER(SEARCH("NOT NULL",UPPER(K$3))),"''","null"),SUBSTITUTE(VLOOKUP(K$2,convert!$A$1:$B$4,2,0),"@@@",K377))</f>
        <v>'ghost'</v>
      </c>
      <c r="AA377" s="4" t="str">
        <f>IF(L377="",IF(ISNUMBER(SEARCH("NOT NULL",UPPER(L$3))),"''","null"),SUBSTITUTE(VLOOKUP(L$2,convert!$A$1:$B$4,2,0),"@@@",L377))</f>
        <v>'g3'</v>
      </c>
      <c r="AB377" s="4" t="str">
        <f>IF(M377="",IF(ISNUMBER(SEARCH("NOT NULL",UPPER(M$3))),"''","null"),SUBSTITUTE(VLOOKUP(M$2,convert!$A$1:$B$4,2,0),"@@@",M377))</f>
        <v>null</v>
      </c>
      <c r="AC377" s="4" t="str">
        <f>IF(N377="",IF(ISNUMBER(SEARCH("NOT NULL",UPPER(N$3))),"''","null"),SUBSTITUTE(VLOOKUP(N$2,convert!$A$1:$B$4,2,0),"@@@",N377))</f>
        <v>null</v>
      </c>
      <c r="AD377" s="4" t="str">
        <f>IF(O377="",IF(ISNUMBER(SEARCH("NOT NULL",UPPER(O$3))),"''","null"),SUBSTITUTE(VLOOKUP(O$2,convert!$A$1:$B$4,2,0),"@@@",O377))</f>
        <v>TRUE</v>
      </c>
      <c r="AE377" s="4" t="str">
        <f t="shared" si="5"/>
        <v>    ('0302N01', 'ヤミラミ', 50, 75, 75, 65, 65, 50, '', 'dark', 'ghost', 'g3', null, null, TRUE),</v>
      </c>
    </row>
    <row r="378" spans="1:31">
      <c r="A378" s="4" t="s">
        <v>767</v>
      </c>
      <c r="B378" s="4" t="s">
        <v>768</v>
      </c>
      <c r="C378" s="5">
        <v>50</v>
      </c>
      <c r="D378" s="5">
        <v>85</v>
      </c>
      <c r="E378" s="5">
        <v>125</v>
      </c>
      <c r="F378" s="5">
        <v>85</v>
      </c>
      <c r="G378" s="5">
        <v>115</v>
      </c>
      <c r="H378" s="5">
        <v>20</v>
      </c>
      <c r="I378" s="5"/>
      <c r="J378" s="4" t="s">
        <v>91</v>
      </c>
      <c r="K378" s="4" t="s">
        <v>281</v>
      </c>
      <c r="L378" s="4" t="s">
        <v>77</v>
      </c>
      <c r="M378" s="5"/>
      <c r="N378" s="5"/>
      <c r="O378" s="5" t="b">
        <v>1</v>
      </c>
      <c r="P378" s="4" t="str">
        <f>IF(A378="",IF(ISNUMBER(SEARCH("NOT NULL",UPPER(A$3))),"''","null"),SUBSTITUTE(VLOOKUP(A$2,convert!$A$1:$B$4,2,0),"@@@",A378))</f>
        <v>'0302M01'</v>
      </c>
      <c r="Q378" s="4" t="str">
        <f>IF(B378="",IF(ISNUMBER(SEARCH("NOT NULL",UPPER(B$3))),"''","null"),SUBSTITUTE(VLOOKUP(B$2,convert!$A$1:$B$4,2,0),"@@@",B378))</f>
        <v>'メガヤミラミ'</v>
      </c>
      <c r="R378" s="4" t="str">
        <f>IF(C378="",IF(ISNUMBER(SEARCH("NOT NULL",UPPER(C$3))),"''","null"),SUBSTITUTE(VLOOKUP(C$2,convert!$A$1:$B$4,2,0),"@@@",C378))</f>
        <v>50</v>
      </c>
      <c r="S378" s="4" t="str">
        <f>IF(D378="",IF(ISNUMBER(SEARCH("NOT NULL",UPPER(D$3))),"''","null"),SUBSTITUTE(VLOOKUP(D$2,convert!$A$1:$B$4,2,0),"@@@",D378))</f>
        <v>85</v>
      </c>
      <c r="T378" s="4" t="str">
        <f>IF(E378="",IF(ISNUMBER(SEARCH("NOT NULL",UPPER(E$3))),"''","null"),SUBSTITUTE(VLOOKUP(E$2,convert!$A$1:$B$4,2,0),"@@@",E378))</f>
        <v>125</v>
      </c>
      <c r="U378" s="4" t="str">
        <f>IF(F378="",IF(ISNUMBER(SEARCH("NOT NULL",UPPER(F$3))),"''","null"),SUBSTITUTE(VLOOKUP(F$2,convert!$A$1:$B$4,2,0),"@@@",F378))</f>
        <v>85</v>
      </c>
      <c r="V378" s="4" t="str">
        <f>IF(G378="",IF(ISNUMBER(SEARCH("NOT NULL",UPPER(G$3))),"''","null"),SUBSTITUTE(VLOOKUP(G$2,convert!$A$1:$B$4,2,0),"@@@",G378))</f>
        <v>115</v>
      </c>
      <c r="W378" s="4" t="str">
        <f>IF(H378="",IF(ISNUMBER(SEARCH("NOT NULL",UPPER(H$3))),"''","null"),SUBSTITUTE(VLOOKUP(H$2,convert!$A$1:$B$4,2,0),"@@@",H378))</f>
        <v>20</v>
      </c>
      <c r="X378" s="4" t="str">
        <f>IF(I378="",IF(ISNUMBER(SEARCH("NOT NULL",UPPER(I$3))),"''","null"),SUBSTITUTE(VLOOKUP(I$2,convert!$A$1:$B$4,2,0),"@@@",I378))</f>
        <v>''</v>
      </c>
      <c r="Y378" s="4" t="str">
        <f>IF(J378="",IF(ISNUMBER(SEARCH("NOT NULL",UPPER(J$3))),"''","null"),SUBSTITUTE(VLOOKUP(J$2,convert!$A$1:$B$4,2,0),"@@@",J378))</f>
        <v>'dark'</v>
      </c>
      <c r="Z378" s="4" t="str">
        <f>IF(K378="",IF(ISNUMBER(SEARCH("NOT NULL",UPPER(K$3))),"''","null"),SUBSTITUTE(VLOOKUP(K$2,convert!$A$1:$B$4,2,0),"@@@",K378))</f>
        <v>'ghost'</v>
      </c>
      <c r="AA378" s="4" t="str">
        <f>IF(L378="",IF(ISNUMBER(SEARCH("NOT NULL",UPPER(L$3))),"''","null"),SUBSTITUTE(VLOOKUP(L$2,convert!$A$1:$B$4,2,0),"@@@",L378))</f>
        <v>'g6oras'</v>
      </c>
      <c r="AB378" s="4" t="str">
        <f>IF(M378="",IF(ISNUMBER(SEARCH("NOT NULL",UPPER(M$3))),"''","null"),SUBSTITUTE(VLOOKUP(M$2,convert!$A$1:$B$4,2,0),"@@@",M378))</f>
        <v>null</v>
      </c>
      <c r="AC378" s="4" t="str">
        <f>IF(N378="",IF(ISNUMBER(SEARCH("NOT NULL",UPPER(N$3))),"''","null"),SUBSTITUTE(VLOOKUP(N$2,convert!$A$1:$B$4,2,0),"@@@",N378))</f>
        <v>null</v>
      </c>
      <c r="AD378" s="4" t="str">
        <f>IF(O378="",IF(ISNUMBER(SEARCH("NOT NULL",UPPER(O$3))),"''","null"),SUBSTITUTE(VLOOKUP(O$2,convert!$A$1:$B$4,2,0),"@@@",O378))</f>
        <v>TRUE</v>
      </c>
      <c r="AE378" s="4" t="str">
        <f t="shared" si="5"/>
        <v>    ('0302M01', 'メガヤミラミ', 50, 85, 125, 85, 115, 20, '', 'dark', 'ghost', 'g6oras', null, null, TRUE),</v>
      </c>
    </row>
    <row r="379" spans="1:31">
      <c r="A379" s="4" t="s">
        <v>769</v>
      </c>
      <c r="B379" s="4" t="s">
        <v>770</v>
      </c>
      <c r="C379" s="5">
        <v>50</v>
      </c>
      <c r="D379" s="5">
        <v>85</v>
      </c>
      <c r="E379" s="5">
        <v>85</v>
      </c>
      <c r="F379" s="5">
        <v>55</v>
      </c>
      <c r="G379" s="5">
        <v>55</v>
      </c>
      <c r="H379" s="5">
        <v>50</v>
      </c>
      <c r="I379" s="5"/>
      <c r="J379" s="4" t="s">
        <v>119</v>
      </c>
      <c r="K379" s="4" t="s">
        <v>137</v>
      </c>
      <c r="L379" s="4" t="s">
        <v>656</v>
      </c>
      <c r="M379" s="5"/>
      <c r="N379" s="5"/>
      <c r="O379" s="5" t="b">
        <v>1</v>
      </c>
      <c r="P379" s="4" t="str">
        <f>IF(A379="",IF(ISNUMBER(SEARCH("NOT NULL",UPPER(A$3))),"''","null"),SUBSTITUTE(VLOOKUP(A$2,convert!$A$1:$B$4,2,0),"@@@",A379))</f>
        <v>'0303N01'</v>
      </c>
      <c r="Q379" s="4" t="str">
        <f>IF(B379="",IF(ISNUMBER(SEARCH("NOT NULL",UPPER(B$3))),"''","null"),SUBSTITUTE(VLOOKUP(B$2,convert!$A$1:$B$4,2,0),"@@@",B379))</f>
        <v>'クチート'</v>
      </c>
      <c r="R379" s="4" t="str">
        <f>IF(C379="",IF(ISNUMBER(SEARCH("NOT NULL",UPPER(C$3))),"''","null"),SUBSTITUTE(VLOOKUP(C$2,convert!$A$1:$B$4,2,0),"@@@",C379))</f>
        <v>50</v>
      </c>
      <c r="S379" s="4" t="str">
        <f>IF(D379="",IF(ISNUMBER(SEARCH("NOT NULL",UPPER(D$3))),"''","null"),SUBSTITUTE(VLOOKUP(D$2,convert!$A$1:$B$4,2,0),"@@@",D379))</f>
        <v>85</v>
      </c>
      <c r="T379" s="4" t="str">
        <f>IF(E379="",IF(ISNUMBER(SEARCH("NOT NULL",UPPER(E$3))),"''","null"),SUBSTITUTE(VLOOKUP(E$2,convert!$A$1:$B$4,2,0),"@@@",E379))</f>
        <v>85</v>
      </c>
      <c r="U379" s="4" t="str">
        <f>IF(F379="",IF(ISNUMBER(SEARCH("NOT NULL",UPPER(F$3))),"''","null"),SUBSTITUTE(VLOOKUP(F$2,convert!$A$1:$B$4,2,0),"@@@",F379))</f>
        <v>55</v>
      </c>
      <c r="V379" s="4" t="str">
        <f>IF(G379="",IF(ISNUMBER(SEARCH("NOT NULL",UPPER(G$3))),"''","null"),SUBSTITUTE(VLOOKUP(G$2,convert!$A$1:$B$4,2,0),"@@@",G379))</f>
        <v>55</v>
      </c>
      <c r="W379" s="4" t="str">
        <f>IF(H379="",IF(ISNUMBER(SEARCH("NOT NULL",UPPER(H$3))),"''","null"),SUBSTITUTE(VLOOKUP(H$2,convert!$A$1:$B$4,2,0),"@@@",H379))</f>
        <v>50</v>
      </c>
      <c r="X379" s="4" t="str">
        <f>IF(I379="",IF(ISNUMBER(SEARCH("NOT NULL",UPPER(I$3))),"''","null"),SUBSTITUTE(VLOOKUP(I$2,convert!$A$1:$B$4,2,0),"@@@",I379))</f>
        <v>''</v>
      </c>
      <c r="Y379" s="4" t="str">
        <f>IF(J379="",IF(ISNUMBER(SEARCH("NOT NULL",UPPER(J$3))),"''","null"),SUBSTITUTE(VLOOKUP(J$2,convert!$A$1:$B$4,2,0),"@@@",J379))</f>
        <v>'steel'</v>
      </c>
      <c r="Z379" s="4" t="str">
        <f>IF(K379="",IF(ISNUMBER(SEARCH("NOT NULL",UPPER(K$3))),"''","null"),SUBSTITUTE(VLOOKUP(K$2,convert!$A$1:$B$4,2,0),"@@@",K379))</f>
        <v>'fairy'</v>
      </c>
      <c r="AA379" s="4" t="str">
        <f>IF(L379="",IF(ISNUMBER(SEARCH("NOT NULL",UPPER(L$3))),"''","null"),SUBSTITUTE(VLOOKUP(L$2,convert!$A$1:$B$4,2,0),"@@@",L379))</f>
        <v>'g3'</v>
      </c>
      <c r="AB379" s="4" t="str">
        <f>IF(M379="",IF(ISNUMBER(SEARCH("NOT NULL",UPPER(M$3))),"''","null"),SUBSTITUTE(VLOOKUP(M$2,convert!$A$1:$B$4,2,0),"@@@",M379))</f>
        <v>null</v>
      </c>
      <c r="AC379" s="4" t="str">
        <f>IF(N379="",IF(ISNUMBER(SEARCH("NOT NULL",UPPER(N$3))),"''","null"),SUBSTITUTE(VLOOKUP(N$2,convert!$A$1:$B$4,2,0),"@@@",N379))</f>
        <v>null</v>
      </c>
      <c r="AD379" s="4" t="str">
        <f>IF(O379="",IF(ISNUMBER(SEARCH("NOT NULL",UPPER(O$3))),"''","null"),SUBSTITUTE(VLOOKUP(O$2,convert!$A$1:$B$4,2,0),"@@@",O379))</f>
        <v>TRUE</v>
      </c>
      <c r="AE379" s="4" t="str">
        <f t="shared" si="5"/>
        <v>    ('0303N01', 'クチート', 50, 85, 85, 55, 55, 50, '', 'steel', 'fairy', 'g3', null, null, TRUE),</v>
      </c>
    </row>
    <row r="380" spans="1:31">
      <c r="A380" s="4" t="s">
        <v>771</v>
      </c>
      <c r="B380" s="4" t="s">
        <v>772</v>
      </c>
      <c r="C380" s="5">
        <v>50</v>
      </c>
      <c r="D380" s="5">
        <v>105</v>
      </c>
      <c r="E380" s="5">
        <v>125</v>
      </c>
      <c r="F380" s="5">
        <v>55</v>
      </c>
      <c r="G380" s="5">
        <v>95</v>
      </c>
      <c r="H380" s="5">
        <v>50</v>
      </c>
      <c r="I380" s="5"/>
      <c r="J380" s="4" t="s">
        <v>119</v>
      </c>
      <c r="K380" s="4" t="s">
        <v>137</v>
      </c>
      <c r="L380" s="4" t="s">
        <v>39</v>
      </c>
      <c r="M380" s="5"/>
      <c r="N380" s="5"/>
      <c r="O380" s="5" t="b">
        <v>1</v>
      </c>
      <c r="P380" s="4" t="str">
        <f>IF(A380="",IF(ISNUMBER(SEARCH("NOT NULL",UPPER(A$3))),"''","null"),SUBSTITUTE(VLOOKUP(A$2,convert!$A$1:$B$4,2,0),"@@@",A380))</f>
        <v>'0303M01'</v>
      </c>
      <c r="Q380" s="4" t="str">
        <f>IF(B380="",IF(ISNUMBER(SEARCH("NOT NULL",UPPER(B$3))),"''","null"),SUBSTITUTE(VLOOKUP(B$2,convert!$A$1:$B$4,2,0),"@@@",B380))</f>
        <v>'メガクチート'</v>
      </c>
      <c r="R380" s="4" t="str">
        <f>IF(C380="",IF(ISNUMBER(SEARCH("NOT NULL",UPPER(C$3))),"''","null"),SUBSTITUTE(VLOOKUP(C$2,convert!$A$1:$B$4,2,0),"@@@",C380))</f>
        <v>50</v>
      </c>
      <c r="S380" s="4" t="str">
        <f>IF(D380="",IF(ISNUMBER(SEARCH("NOT NULL",UPPER(D$3))),"''","null"),SUBSTITUTE(VLOOKUP(D$2,convert!$A$1:$B$4,2,0),"@@@",D380))</f>
        <v>105</v>
      </c>
      <c r="T380" s="4" t="str">
        <f>IF(E380="",IF(ISNUMBER(SEARCH("NOT NULL",UPPER(E$3))),"''","null"),SUBSTITUTE(VLOOKUP(E$2,convert!$A$1:$B$4,2,0),"@@@",E380))</f>
        <v>125</v>
      </c>
      <c r="U380" s="4" t="str">
        <f>IF(F380="",IF(ISNUMBER(SEARCH("NOT NULL",UPPER(F$3))),"''","null"),SUBSTITUTE(VLOOKUP(F$2,convert!$A$1:$B$4,2,0),"@@@",F380))</f>
        <v>55</v>
      </c>
      <c r="V380" s="4" t="str">
        <f>IF(G380="",IF(ISNUMBER(SEARCH("NOT NULL",UPPER(G$3))),"''","null"),SUBSTITUTE(VLOOKUP(G$2,convert!$A$1:$B$4,2,0),"@@@",G380))</f>
        <v>95</v>
      </c>
      <c r="W380" s="4" t="str">
        <f>IF(H380="",IF(ISNUMBER(SEARCH("NOT NULL",UPPER(H$3))),"''","null"),SUBSTITUTE(VLOOKUP(H$2,convert!$A$1:$B$4,2,0),"@@@",H380))</f>
        <v>50</v>
      </c>
      <c r="X380" s="4" t="str">
        <f>IF(I380="",IF(ISNUMBER(SEARCH("NOT NULL",UPPER(I$3))),"''","null"),SUBSTITUTE(VLOOKUP(I$2,convert!$A$1:$B$4,2,0),"@@@",I380))</f>
        <v>''</v>
      </c>
      <c r="Y380" s="4" t="str">
        <f>IF(J380="",IF(ISNUMBER(SEARCH("NOT NULL",UPPER(J$3))),"''","null"),SUBSTITUTE(VLOOKUP(J$2,convert!$A$1:$B$4,2,0),"@@@",J380))</f>
        <v>'steel'</v>
      </c>
      <c r="Z380" s="4" t="str">
        <f>IF(K380="",IF(ISNUMBER(SEARCH("NOT NULL",UPPER(K$3))),"''","null"),SUBSTITUTE(VLOOKUP(K$2,convert!$A$1:$B$4,2,0),"@@@",K380))</f>
        <v>'fairy'</v>
      </c>
      <c r="AA380" s="4" t="str">
        <f>IF(L380="",IF(ISNUMBER(SEARCH("NOT NULL",UPPER(L$3))),"''","null"),SUBSTITUTE(VLOOKUP(L$2,convert!$A$1:$B$4,2,0),"@@@",L380))</f>
        <v>'g6'</v>
      </c>
      <c r="AB380" s="4" t="str">
        <f>IF(M380="",IF(ISNUMBER(SEARCH("NOT NULL",UPPER(M$3))),"''","null"),SUBSTITUTE(VLOOKUP(M$2,convert!$A$1:$B$4,2,0),"@@@",M380))</f>
        <v>null</v>
      </c>
      <c r="AC380" s="4" t="str">
        <f>IF(N380="",IF(ISNUMBER(SEARCH("NOT NULL",UPPER(N$3))),"''","null"),SUBSTITUTE(VLOOKUP(N$2,convert!$A$1:$B$4,2,0),"@@@",N380))</f>
        <v>null</v>
      </c>
      <c r="AD380" s="4" t="str">
        <f>IF(O380="",IF(ISNUMBER(SEARCH("NOT NULL",UPPER(O$3))),"''","null"),SUBSTITUTE(VLOOKUP(O$2,convert!$A$1:$B$4,2,0),"@@@",O380))</f>
        <v>TRUE</v>
      </c>
      <c r="AE380" s="4" t="str">
        <f t="shared" si="5"/>
        <v>    ('0303M01', 'メガクチート', 50, 105, 125, 55, 95, 50, '', 'steel', 'fairy', 'g6', null, null, TRUE),</v>
      </c>
    </row>
    <row r="381" spans="1:31">
      <c r="A381" s="4" t="s">
        <v>773</v>
      </c>
      <c r="B381" s="4" t="s">
        <v>774</v>
      </c>
      <c r="C381" s="5">
        <v>50</v>
      </c>
      <c r="D381" s="5">
        <v>70</v>
      </c>
      <c r="E381" s="5">
        <v>100</v>
      </c>
      <c r="F381" s="5">
        <v>40</v>
      </c>
      <c r="G381" s="5">
        <v>40</v>
      </c>
      <c r="H381" s="5">
        <v>30</v>
      </c>
      <c r="I381" s="5"/>
      <c r="J381" s="4" t="s">
        <v>119</v>
      </c>
      <c r="K381" s="4" t="s">
        <v>196</v>
      </c>
      <c r="L381" s="4" t="s">
        <v>656</v>
      </c>
      <c r="M381" s="5"/>
      <c r="N381" s="5"/>
      <c r="O381" s="5" t="b">
        <v>1</v>
      </c>
      <c r="P381" s="4" t="str">
        <f>IF(A381="",IF(ISNUMBER(SEARCH("NOT NULL",UPPER(A$3))),"''","null"),SUBSTITUTE(VLOOKUP(A$2,convert!$A$1:$B$4,2,0),"@@@",A381))</f>
        <v>'0304N01'</v>
      </c>
      <c r="Q381" s="4" t="str">
        <f>IF(B381="",IF(ISNUMBER(SEARCH("NOT NULL",UPPER(B$3))),"''","null"),SUBSTITUTE(VLOOKUP(B$2,convert!$A$1:$B$4,2,0),"@@@",B381))</f>
        <v>'ココドラ'</v>
      </c>
      <c r="R381" s="4" t="str">
        <f>IF(C381="",IF(ISNUMBER(SEARCH("NOT NULL",UPPER(C$3))),"''","null"),SUBSTITUTE(VLOOKUP(C$2,convert!$A$1:$B$4,2,0),"@@@",C381))</f>
        <v>50</v>
      </c>
      <c r="S381" s="4" t="str">
        <f>IF(D381="",IF(ISNUMBER(SEARCH("NOT NULL",UPPER(D$3))),"''","null"),SUBSTITUTE(VLOOKUP(D$2,convert!$A$1:$B$4,2,0),"@@@",D381))</f>
        <v>70</v>
      </c>
      <c r="T381" s="4" t="str">
        <f>IF(E381="",IF(ISNUMBER(SEARCH("NOT NULL",UPPER(E$3))),"''","null"),SUBSTITUTE(VLOOKUP(E$2,convert!$A$1:$B$4,2,0),"@@@",E381))</f>
        <v>100</v>
      </c>
      <c r="U381" s="4" t="str">
        <f>IF(F381="",IF(ISNUMBER(SEARCH("NOT NULL",UPPER(F$3))),"''","null"),SUBSTITUTE(VLOOKUP(F$2,convert!$A$1:$B$4,2,0),"@@@",F381))</f>
        <v>40</v>
      </c>
      <c r="V381" s="4" t="str">
        <f>IF(G381="",IF(ISNUMBER(SEARCH("NOT NULL",UPPER(G$3))),"''","null"),SUBSTITUTE(VLOOKUP(G$2,convert!$A$1:$B$4,2,0),"@@@",G381))</f>
        <v>40</v>
      </c>
      <c r="W381" s="4" t="str">
        <f>IF(H381="",IF(ISNUMBER(SEARCH("NOT NULL",UPPER(H$3))),"''","null"),SUBSTITUTE(VLOOKUP(H$2,convert!$A$1:$B$4,2,0),"@@@",H381))</f>
        <v>30</v>
      </c>
      <c r="X381" s="4" t="str">
        <f>IF(I381="",IF(ISNUMBER(SEARCH("NOT NULL",UPPER(I$3))),"''","null"),SUBSTITUTE(VLOOKUP(I$2,convert!$A$1:$B$4,2,0),"@@@",I381))</f>
        <v>''</v>
      </c>
      <c r="Y381" s="4" t="str">
        <f>IF(J381="",IF(ISNUMBER(SEARCH("NOT NULL",UPPER(J$3))),"''","null"),SUBSTITUTE(VLOOKUP(J$2,convert!$A$1:$B$4,2,0),"@@@",J381))</f>
        <v>'steel'</v>
      </c>
      <c r="Z381" s="4" t="str">
        <f>IF(K381="",IF(ISNUMBER(SEARCH("NOT NULL",UPPER(K$3))),"''","null"),SUBSTITUTE(VLOOKUP(K$2,convert!$A$1:$B$4,2,0),"@@@",K381))</f>
        <v>'rock'</v>
      </c>
      <c r="AA381" s="4" t="str">
        <f>IF(L381="",IF(ISNUMBER(SEARCH("NOT NULL",UPPER(L$3))),"''","null"),SUBSTITUTE(VLOOKUP(L$2,convert!$A$1:$B$4,2,0),"@@@",L381))</f>
        <v>'g3'</v>
      </c>
      <c r="AB381" s="4" t="str">
        <f>IF(M381="",IF(ISNUMBER(SEARCH("NOT NULL",UPPER(M$3))),"''","null"),SUBSTITUTE(VLOOKUP(M$2,convert!$A$1:$B$4,2,0),"@@@",M381))</f>
        <v>null</v>
      </c>
      <c r="AC381" s="4" t="str">
        <f>IF(N381="",IF(ISNUMBER(SEARCH("NOT NULL",UPPER(N$3))),"''","null"),SUBSTITUTE(VLOOKUP(N$2,convert!$A$1:$B$4,2,0),"@@@",N381))</f>
        <v>null</v>
      </c>
      <c r="AD381" s="4" t="str">
        <f>IF(O381="",IF(ISNUMBER(SEARCH("NOT NULL",UPPER(O$3))),"''","null"),SUBSTITUTE(VLOOKUP(O$2,convert!$A$1:$B$4,2,0),"@@@",O381))</f>
        <v>TRUE</v>
      </c>
      <c r="AE381" s="4" t="str">
        <f t="shared" si="5"/>
        <v>    ('0304N01', 'ココドラ', 50, 70, 100, 40, 40, 30, '', 'steel', 'rock', 'g3', null, null, TRUE),</v>
      </c>
    </row>
    <row r="382" spans="1:31">
      <c r="A382" s="4" t="s">
        <v>775</v>
      </c>
      <c r="B382" s="4" t="s">
        <v>776</v>
      </c>
      <c r="C382" s="5">
        <v>60</v>
      </c>
      <c r="D382" s="5">
        <v>90</v>
      </c>
      <c r="E382" s="5">
        <v>140</v>
      </c>
      <c r="F382" s="5">
        <v>50</v>
      </c>
      <c r="G382" s="5">
        <v>50</v>
      </c>
      <c r="H382" s="5">
        <v>40</v>
      </c>
      <c r="I382" s="5"/>
      <c r="J382" s="4" t="s">
        <v>119</v>
      </c>
      <c r="K382" s="4" t="s">
        <v>196</v>
      </c>
      <c r="L382" s="4" t="s">
        <v>656</v>
      </c>
      <c r="M382" s="5"/>
      <c r="N382" s="5"/>
      <c r="O382" s="5" t="b">
        <v>1</v>
      </c>
      <c r="P382" s="4" t="str">
        <f>IF(A382="",IF(ISNUMBER(SEARCH("NOT NULL",UPPER(A$3))),"''","null"),SUBSTITUTE(VLOOKUP(A$2,convert!$A$1:$B$4,2,0),"@@@",A382))</f>
        <v>'0305N01'</v>
      </c>
      <c r="Q382" s="4" t="str">
        <f>IF(B382="",IF(ISNUMBER(SEARCH("NOT NULL",UPPER(B$3))),"''","null"),SUBSTITUTE(VLOOKUP(B$2,convert!$A$1:$B$4,2,0),"@@@",B382))</f>
        <v>'コドラ'</v>
      </c>
      <c r="R382" s="4" t="str">
        <f>IF(C382="",IF(ISNUMBER(SEARCH("NOT NULL",UPPER(C$3))),"''","null"),SUBSTITUTE(VLOOKUP(C$2,convert!$A$1:$B$4,2,0),"@@@",C382))</f>
        <v>60</v>
      </c>
      <c r="S382" s="4" t="str">
        <f>IF(D382="",IF(ISNUMBER(SEARCH("NOT NULL",UPPER(D$3))),"''","null"),SUBSTITUTE(VLOOKUP(D$2,convert!$A$1:$B$4,2,0),"@@@",D382))</f>
        <v>90</v>
      </c>
      <c r="T382" s="4" t="str">
        <f>IF(E382="",IF(ISNUMBER(SEARCH("NOT NULL",UPPER(E$3))),"''","null"),SUBSTITUTE(VLOOKUP(E$2,convert!$A$1:$B$4,2,0),"@@@",E382))</f>
        <v>140</v>
      </c>
      <c r="U382" s="4" t="str">
        <f>IF(F382="",IF(ISNUMBER(SEARCH("NOT NULL",UPPER(F$3))),"''","null"),SUBSTITUTE(VLOOKUP(F$2,convert!$A$1:$B$4,2,0),"@@@",F382))</f>
        <v>50</v>
      </c>
      <c r="V382" s="4" t="str">
        <f>IF(G382="",IF(ISNUMBER(SEARCH("NOT NULL",UPPER(G$3))),"''","null"),SUBSTITUTE(VLOOKUP(G$2,convert!$A$1:$B$4,2,0),"@@@",G382))</f>
        <v>50</v>
      </c>
      <c r="W382" s="4" t="str">
        <f>IF(H382="",IF(ISNUMBER(SEARCH("NOT NULL",UPPER(H$3))),"''","null"),SUBSTITUTE(VLOOKUP(H$2,convert!$A$1:$B$4,2,0),"@@@",H382))</f>
        <v>40</v>
      </c>
      <c r="X382" s="4" t="str">
        <f>IF(I382="",IF(ISNUMBER(SEARCH("NOT NULL",UPPER(I$3))),"''","null"),SUBSTITUTE(VLOOKUP(I$2,convert!$A$1:$B$4,2,0),"@@@",I382))</f>
        <v>''</v>
      </c>
      <c r="Y382" s="4" t="str">
        <f>IF(J382="",IF(ISNUMBER(SEARCH("NOT NULL",UPPER(J$3))),"''","null"),SUBSTITUTE(VLOOKUP(J$2,convert!$A$1:$B$4,2,0),"@@@",J382))</f>
        <v>'steel'</v>
      </c>
      <c r="Z382" s="4" t="str">
        <f>IF(K382="",IF(ISNUMBER(SEARCH("NOT NULL",UPPER(K$3))),"''","null"),SUBSTITUTE(VLOOKUP(K$2,convert!$A$1:$B$4,2,0),"@@@",K382))</f>
        <v>'rock'</v>
      </c>
      <c r="AA382" s="4" t="str">
        <f>IF(L382="",IF(ISNUMBER(SEARCH("NOT NULL",UPPER(L$3))),"''","null"),SUBSTITUTE(VLOOKUP(L$2,convert!$A$1:$B$4,2,0),"@@@",L382))</f>
        <v>'g3'</v>
      </c>
      <c r="AB382" s="4" t="str">
        <f>IF(M382="",IF(ISNUMBER(SEARCH("NOT NULL",UPPER(M$3))),"''","null"),SUBSTITUTE(VLOOKUP(M$2,convert!$A$1:$B$4,2,0),"@@@",M382))</f>
        <v>null</v>
      </c>
      <c r="AC382" s="4" t="str">
        <f>IF(N382="",IF(ISNUMBER(SEARCH("NOT NULL",UPPER(N$3))),"''","null"),SUBSTITUTE(VLOOKUP(N$2,convert!$A$1:$B$4,2,0),"@@@",N382))</f>
        <v>null</v>
      </c>
      <c r="AD382" s="4" t="str">
        <f>IF(O382="",IF(ISNUMBER(SEARCH("NOT NULL",UPPER(O$3))),"''","null"),SUBSTITUTE(VLOOKUP(O$2,convert!$A$1:$B$4,2,0),"@@@",O382))</f>
        <v>TRUE</v>
      </c>
      <c r="AE382" s="4" t="str">
        <f t="shared" si="5"/>
        <v>    ('0305N01', 'コドラ', 60, 90, 140, 50, 50, 40, '', 'steel', 'rock', 'g3', null, null, TRUE),</v>
      </c>
    </row>
    <row r="383" spans="1:31">
      <c r="A383" s="4" t="s">
        <v>777</v>
      </c>
      <c r="B383" s="4" t="s">
        <v>778</v>
      </c>
      <c r="C383" s="5">
        <v>70</v>
      </c>
      <c r="D383" s="5">
        <v>110</v>
      </c>
      <c r="E383" s="5">
        <v>180</v>
      </c>
      <c r="F383" s="5">
        <v>60</v>
      </c>
      <c r="G383" s="5">
        <v>60</v>
      </c>
      <c r="H383" s="5">
        <v>50</v>
      </c>
      <c r="I383" s="5"/>
      <c r="J383" s="4" t="s">
        <v>119</v>
      </c>
      <c r="K383" s="4" t="s">
        <v>196</v>
      </c>
      <c r="L383" s="4" t="s">
        <v>656</v>
      </c>
      <c r="M383" s="5"/>
      <c r="N383" s="5"/>
      <c r="O383" s="5" t="b">
        <v>1</v>
      </c>
      <c r="P383" s="4" t="str">
        <f>IF(A383="",IF(ISNUMBER(SEARCH("NOT NULL",UPPER(A$3))),"''","null"),SUBSTITUTE(VLOOKUP(A$2,convert!$A$1:$B$4,2,0),"@@@",A383))</f>
        <v>'0306N01'</v>
      </c>
      <c r="Q383" s="4" t="str">
        <f>IF(B383="",IF(ISNUMBER(SEARCH("NOT NULL",UPPER(B$3))),"''","null"),SUBSTITUTE(VLOOKUP(B$2,convert!$A$1:$B$4,2,0),"@@@",B383))</f>
        <v>'ボスゴドラ'</v>
      </c>
      <c r="R383" s="4" t="str">
        <f>IF(C383="",IF(ISNUMBER(SEARCH("NOT NULL",UPPER(C$3))),"''","null"),SUBSTITUTE(VLOOKUP(C$2,convert!$A$1:$B$4,2,0),"@@@",C383))</f>
        <v>70</v>
      </c>
      <c r="S383" s="4" t="str">
        <f>IF(D383="",IF(ISNUMBER(SEARCH("NOT NULL",UPPER(D$3))),"''","null"),SUBSTITUTE(VLOOKUP(D$2,convert!$A$1:$B$4,2,0),"@@@",D383))</f>
        <v>110</v>
      </c>
      <c r="T383" s="4" t="str">
        <f>IF(E383="",IF(ISNUMBER(SEARCH("NOT NULL",UPPER(E$3))),"''","null"),SUBSTITUTE(VLOOKUP(E$2,convert!$A$1:$B$4,2,0),"@@@",E383))</f>
        <v>180</v>
      </c>
      <c r="U383" s="4" t="str">
        <f>IF(F383="",IF(ISNUMBER(SEARCH("NOT NULL",UPPER(F$3))),"''","null"),SUBSTITUTE(VLOOKUP(F$2,convert!$A$1:$B$4,2,0),"@@@",F383))</f>
        <v>60</v>
      </c>
      <c r="V383" s="4" t="str">
        <f>IF(G383="",IF(ISNUMBER(SEARCH("NOT NULL",UPPER(G$3))),"''","null"),SUBSTITUTE(VLOOKUP(G$2,convert!$A$1:$B$4,2,0),"@@@",G383))</f>
        <v>60</v>
      </c>
      <c r="W383" s="4" t="str">
        <f>IF(H383="",IF(ISNUMBER(SEARCH("NOT NULL",UPPER(H$3))),"''","null"),SUBSTITUTE(VLOOKUP(H$2,convert!$A$1:$B$4,2,0),"@@@",H383))</f>
        <v>50</v>
      </c>
      <c r="X383" s="4" t="str">
        <f>IF(I383="",IF(ISNUMBER(SEARCH("NOT NULL",UPPER(I$3))),"''","null"),SUBSTITUTE(VLOOKUP(I$2,convert!$A$1:$B$4,2,0),"@@@",I383))</f>
        <v>''</v>
      </c>
      <c r="Y383" s="4" t="str">
        <f>IF(J383="",IF(ISNUMBER(SEARCH("NOT NULL",UPPER(J$3))),"''","null"),SUBSTITUTE(VLOOKUP(J$2,convert!$A$1:$B$4,2,0),"@@@",J383))</f>
        <v>'steel'</v>
      </c>
      <c r="Z383" s="4" t="str">
        <f>IF(K383="",IF(ISNUMBER(SEARCH("NOT NULL",UPPER(K$3))),"''","null"),SUBSTITUTE(VLOOKUP(K$2,convert!$A$1:$B$4,2,0),"@@@",K383))</f>
        <v>'rock'</v>
      </c>
      <c r="AA383" s="4" t="str">
        <f>IF(L383="",IF(ISNUMBER(SEARCH("NOT NULL",UPPER(L$3))),"''","null"),SUBSTITUTE(VLOOKUP(L$2,convert!$A$1:$B$4,2,0),"@@@",L383))</f>
        <v>'g3'</v>
      </c>
      <c r="AB383" s="4" t="str">
        <f>IF(M383="",IF(ISNUMBER(SEARCH("NOT NULL",UPPER(M$3))),"''","null"),SUBSTITUTE(VLOOKUP(M$2,convert!$A$1:$B$4,2,0),"@@@",M383))</f>
        <v>null</v>
      </c>
      <c r="AC383" s="4" t="str">
        <f>IF(N383="",IF(ISNUMBER(SEARCH("NOT NULL",UPPER(N$3))),"''","null"),SUBSTITUTE(VLOOKUP(N$2,convert!$A$1:$B$4,2,0),"@@@",N383))</f>
        <v>null</v>
      </c>
      <c r="AD383" s="4" t="str">
        <f>IF(O383="",IF(ISNUMBER(SEARCH("NOT NULL",UPPER(O$3))),"''","null"),SUBSTITUTE(VLOOKUP(O$2,convert!$A$1:$B$4,2,0),"@@@",O383))</f>
        <v>TRUE</v>
      </c>
      <c r="AE383" s="4" t="str">
        <f t="shared" si="5"/>
        <v>    ('0306N01', 'ボスゴドラ', 70, 110, 180, 60, 60, 50, '', 'steel', 'rock', 'g3', null, null, TRUE),</v>
      </c>
    </row>
    <row r="384" spans="1:31">
      <c r="A384" s="4" t="s">
        <v>779</v>
      </c>
      <c r="B384" s="4" t="s">
        <v>780</v>
      </c>
      <c r="C384" s="5">
        <v>70</v>
      </c>
      <c r="D384" s="5">
        <v>140</v>
      </c>
      <c r="E384" s="5">
        <v>230</v>
      </c>
      <c r="F384" s="5">
        <v>60</v>
      </c>
      <c r="G384" s="5">
        <v>80</v>
      </c>
      <c r="H384" s="5">
        <v>50</v>
      </c>
      <c r="I384" s="5"/>
      <c r="J384" s="4" t="s">
        <v>119</v>
      </c>
      <c r="K384" s="5"/>
      <c r="L384" s="4" t="s">
        <v>39</v>
      </c>
      <c r="M384" s="5"/>
      <c r="N384" s="5"/>
      <c r="O384" s="5" t="b">
        <v>1</v>
      </c>
      <c r="P384" s="4" t="str">
        <f>IF(A384="",IF(ISNUMBER(SEARCH("NOT NULL",UPPER(A$3))),"''","null"),SUBSTITUTE(VLOOKUP(A$2,convert!$A$1:$B$4,2,0),"@@@",A384))</f>
        <v>'0306M01'</v>
      </c>
      <c r="Q384" s="4" t="str">
        <f>IF(B384="",IF(ISNUMBER(SEARCH("NOT NULL",UPPER(B$3))),"''","null"),SUBSTITUTE(VLOOKUP(B$2,convert!$A$1:$B$4,2,0),"@@@",B384))</f>
        <v>'メガボスゴドラ'</v>
      </c>
      <c r="R384" s="4" t="str">
        <f>IF(C384="",IF(ISNUMBER(SEARCH("NOT NULL",UPPER(C$3))),"''","null"),SUBSTITUTE(VLOOKUP(C$2,convert!$A$1:$B$4,2,0),"@@@",C384))</f>
        <v>70</v>
      </c>
      <c r="S384" s="4" t="str">
        <f>IF(D384="",IF(ISNUMBER(SEARCH("NOT NULL",UPPER(D$3))),"''","null"),SUBSTITUTE(VLOOKUP(D$2,convert!$A$1:$B$4,2,0),"@@@",D384))</f>
        <v>140</v>
      </c>
      <c r="T384" s="4" t="str">
        <f>IF(E384="",IF(ISNUMBER(SEARCH("NOT NULL",UPPER(E$3))),"''","null"),SUBSTITUTE(VLOOKUP(E$2,convert!$A$1:$B$4,2,0),"@@@",E384))</f>
        <v>230</v>
      </c>
      <c r="U384" s="4" t="str">
        <f>IF(F384="",IF(ISNUMBER(SEARCH("NOT NULL",UPPER(F$3))),"''","null"),SUBSTITUTE(VLOOKUP(F$2,convert!$A$1:$B$4,2,0),"@@@",F384))</f>
        <v>60</v>
      </c>
      <c r="V384" s="4" t="str">
        <f>IF(G384="",IF(ISNUMBER(SEARCH("NOT NULL",UPPER(G$3))),"''","null"),SUBSTITUTE(VLOOKUP(G$2,convert!$A$1:$B$4,2,0),"@@@",G384))</f>
        <v>80</v>
      </c>
      <c r="W384" s="4" t="str">
        <f>IF(H384="",IF(ISNUMBER(SEARCH("NOT NULL",UPPER(H$3))),"''","null"),SUBSTITUTE(VLOOKUP(H$2,convert!$A$1:$B$4,2,0),"@@@",H384))</f>
        <v>50</v>
      </c>
      <c r="X384" s="4" t="str">
        <f>IF(I384="",IF(ISNUMBER(SEARCH("NOT NULL",UPPER(I$3))),"''","null"),SUBSTITUTE(VLOOKUP(I$2,convert!$A$1:$B$4,2,0),"@@@",I384))</f>
        <v>''</v>
      </c>
      <c r="Y384" s="4" t="str">
        <f>IF(J384="",IF(ISNUMBER(SEARCH("NOT NULL",UPPER(J$3))),"''","null"),SUBSTITUTE(VLOOKUP(J$2,convert!$A$1:$B$4,2,0),"@@@",J384))</f>
        <v>'steel'</v>
      </c>
      <c r="Z384" s="4" t="str">
        <f>IF(K384="",IF(ISNUMBER(SEARCH("NOT NULL",UPPER(K$3))),"''","null"),SUBSTITUTE(VLOOKUP(K$2,convert!$A$1:$B$4,2,0),"@@@",K384))</f>
        <v>null</v>
      </c>
      <c r="AA384" s="4" t="str">
        <f>IF(L384="",IF(ISNUMBER(SEARCH("NOT NULL",UPPER(L$3))),"''","null"),SUBSTITUTE(VLOOKUP(L$2,convert!$A$1:$B$4,2,0),"@@@",L384))</f>
        <v>'g6'</v>
      </c>
      <c r="AB384" s="4" t="str">
        <f>IF(M384="",IF(ISNUMBER(SEARCH("NOT NULL",UPPER(M$3))),"''","null"),SUBSTITUTE(VLOOKUP(M$2,convert!$A$1:$B$4,2,0),"@@@",M384))</f>
        <v>null</v>
      </c>
      <c r="AC384" s="4" t="str">
        <f>IF(N384="",IF(ISNUMBER(SEARCH("NOT NULL",UPPER(N$3))),"''","null"),SUBSTITUTE(VLOOKUP(N$2,convert!$A$1:$B$4,2,0),"@@@",N384))</f>
        <v>null</v>
      </c>
      <c r="AD384" s="4" t="str">
        <f>IF(O384="",IF(ISNUMBER(SEARCH("NOT NULL",UPPER(O$3))),"''","null"),SUBSTITUTE(VLOOKUP(O$2,convert!$A$1:$B$4,2,0),"@@@",O384))</f>
        <v>TRUE</v>
      </c>
      <c r="AE384" s="4" t="str">
        <f t="shared" si="5"/>
        <v>    ('0306M01', 'メガボスゴドラ', 70, 140, 230, 60, 80, 50, '', 'steel', null, 'g6', null, null, TRUE),</v>
      </c>
    </row>
    <row r="385" spans="1:31">
      <c r="A385" s="4" t="s">
        <v>781</v>
      </c>
      <c r="B385" s="4" t="s">
        <v>782</v>
      </c>
      <c r="C385" s="5">
        <v>30</v>
      </c>
      <c r="D385" s="5">
        <v>40</v>
      </c>
      <c r="E385" s="5">
        <v>55</v>
      </c>
      <c r="F385" s="5">
        <v>40</v>
      </c>
      <c r="G385" s="5">
        <v>55</v>
      </c>
      <c r="H385" s="5">
        <v>60</v>
      </c>
      <c r="I385" s="5"/>
      <c r="J385" s="4" t="s">
        <v>189</v>
      </c>
      <c r="K385" s="4" t="s">
        <v>113</v>
      </c>
      <c r="L385" s="4" t="s">
        <v>656</v>
      </c>
      <c r="M385" s="5"/>
      <c r="N385" s="5"/>
      <c r="O385" s="5" t="b">
        <v>1</v>
      </c>
      <c r="P385" s="4" t="str">
        <f>IF(A385="",IF(ISNUMBER(SEARCH("NOT NULL",UPPER(A$3))),"''","null"),SUBSTITUTE(VLOOKUP(A$2,convert!$A$1:$B$4,2,0),"@@@",A385))</f>
        <v>'0307N01'</v>
      </c>
      <c r="Q385" s="4" t="str">
        <f>IF(B385="",IF(ISNUMBER(SEARCH("NOT NULL",UPPER(B$3))),"''","null"),SUBSTITUTE(VLOOKUP(B$2,convert!$A$1:$B$4,2,0),"@@@",B385))</f>
        <v>'アサナン'</v>
      </c>
      <c r="R385" s="4" t="str">
        <f>IF(C385="",IF(ISNUMBER(SEARCH("NOT NULL",UPPER(C$3))),"''","null"),SUBSTITUTE(VLOOKUP(C$2,convert!$A$1:$B$4,2,0),"@@@",C385))</f>
        <v>30</v>
      </c>
      <c r="S385" s="4" t="str">
        <f>IF(D385="",IF(ISNUMBER(SEARCH("NOT NULL",UPPER(D$3))),"''","null"),SUBSTITUTE(VLOOKUP(D$2,convert!$A$1:$B$4,2,0),"@@@",D385))</f>
        <v>40</v>
      </c>
      <c r="T385" s="4" t="str">
        <f>IF(E385="",IF(ISNUMBER(SEARCH("NOT NULL",UPPER(E$3))),"''","null"),SUBSTITUTE(VLOOKUP(E$2,convert!$A$1:$B$4,2,0),"@@@",E385))</f>
        <v>55</v>
      </c>
      <c r="U385" s="4" t="str">
        <f>IF(F385="",IF(ISNUMBER(SEARCH("NOT NULL",UPPER(F$3))),"''","null"),SUBSTITUTE(VLOOKUP(F$2,convert!$A$1:$B$4,2,0),"@@@",F385))</f>
        <v>40</v>
      </c>
      <c r="V385" s="4" t="str">
        <f>IF(G385="",IF(ISNUMBER(SEARCH("NOT NULL",UPPER(G$3))),"''","null"),SUBSTITUTE(VLOOKUP(G$2,convert!$A$1:$B$4,2,0),"@@@",G385))</f>
        <v>55</v>
      </c>
      <c r="W385" s="4" t="str">
        <f>IF(H385="",IF(ISNUMBER(SEARCH("NOT NULL",UPPER(H$3))),"''","null"),SUBSTITUTE(VLOOKUP(H$2,convert!$A$1:$B$4,2,0),"@@@",H385))</f>
        <v>60</v>
      </c>
      <c r="X385" s="4" t="str">
        <f>IF(I385="",IF(ISNUMBER(SEARCH("NOT NULL",UPPER(I$3))),"''","null"),SUBSTITUTE(VLOOKUP(I$2,convert!$A$1:$B$4,2,0),"@@@",I385))</f>
        <v>''</v>
      </c>
      <c r="Y385" s="4" t="str">
        <f>IF(J385="",IF(ISNUMBER(SEARCH("NOT NULL",UPPER(J$3))),"''","null"),SUBSTITUTE(VLOOKUP(J$2,convert!$A$1:$B$4,2,0),"@@@",J385))</f>
        <v>'fighting'</v>
      </c>
      <c r="Z385" s="4" t="str">
        <f>IF(K385="",IF(ISNUMBER(SEARCH("NOT NULL",UPPER(K$3))),"''","null"),SUBSTITUTE(VLOOKUP(K$2,convert!$A$1:$B$4,2,0),"@@@",K385))</f>
        <v>'psychic'</v>
      </c>
      <c r="AA385" s="4" t="str">
        <f>IF(L385="",IF(ISNUMBER(SEARCH("NOT NULL",UPPER(L$3))),"''","null"),SUBSTITUTE(VLOOKUP(L$2,convert!$A$1:$B$4,2,0),"@@@",L385))</f>
        <v>'g3'</v>
      </c>
      <c r="AB385" s="4" t="str">
        <f>IF(M385="",IF(ISNUMBER(SEARCH("NOT NULL",UPPER(M$3))),"''","null"),SUBSTITUTE(VLOOKUP(M$2,convert!$A$1:$B$4,2,0),"@@@",M385))</f>
        <v>null</v>
      </c>
      <c r="AC385" s="4" t="str">
        <f>IF(N385="",IF(ISNUMBER(SEARCH("NOT NULL",UPPER(N$3))),"''","null"),SUBSTITUTE(VLOOKUP(N$2,convert!$A$1:$B$4,2,0),"@@@",N385))</f>
        <v>null</v>
      </c>
      <c r="AD385" s="4" t="str">
        <f>IF(O385="",IF(ISNUMBER(SEARCH("NOT NULL",UPPER(O$3))),"''","null"),SUBSTITUTE(VLOOKUP(O$2,convert!$A$1:$B$4,2,0),"@@@",O385))</f>
        <v>TRUE</v>
      </c>
      <c r="AE385" s="4" t="str">
        <f t="shared" si="5"/>
        <v>    ('0307N01', 'アサナン', 30, 40, 55, 40, 55, 60, '', 'fighting', 'psychic', 'g3', null, null, TRUE),</v>
      </c>
    </row>
    <row r="386" spans="1:31">
      <c r="A386" s="4" t="s">
        <v>783</v>
      </c>
      <c r="B386" s="4" t="s">
        <v>784</v>
      </c>
      <c r="C386" s="5">
        <v>60</v>
      </c>
      <c r="D386" s="5">
        <v>60</v>
      </c>
      <c r="E386" s="5">
        <v>75</v>
      </c>
      <c r="F386" s="5">
        <v>60</v>
      </c>
      <c r="G386" s="5">
        <v>75</v>
      </c>
      <c r="H386" s="5">
        <v>80</v>
      </c>
      <c r="I386" s="5"/>
      <c r="J386" s="4" t="s">
        <v>189</v>
      </c>
      <c r="K386" s="4" t="s">
        <v>113</v>
      </c>
      <c r="L386" s="4" t="s">
        <v>656</v>
      </c>
      <c r="M386" s="5"/>
      <c r="N386" s="5"/>
      <c r="O386" s="5" t="b">
        <v>1</v>
      </c>
      <c r="P386" s="4" t="str">
        <f>IF(A386="",IF(ISNUMBER(SEARCH("NOT NULL",UPPER(A$3))),"''","null"),SUBSTITUTE(VLOOKUP(A$2,convert!$A$1:$B$4,2,0),"@@@",A386))</f>
        <v>'0308N01'</v>
      </c>
      <c r="Q386" s="4" t="str">
        <f>IF(B386="",IF(ISNUMBER(SEARCH("NOT NULL",UPPER(B$3))),"''","null"),SUBSTITUTE(VLOOKUP(B$2,convert!$A$1:$B$4,2,0),"@@@",B386))</f>
        <v>'チャーレム'</v>
      </c>
      <c r="R386" s="4" t="str">
        <f>IF(C386="",IF(ISNUMBER(SEARCH("NOT NULL",UPPER(C$3))),"''","null"),SUBSTITUTE(VLOOKUP(C$2,convert!$A$1:$B$4,2,0),"@@@",C386))</f>
        <v>60</v>
      </c>
      <c r="S386" s="4" t="str">
        <f>IF(D386="",IF(ISNUMBER(SEARCH("NOT NULL",UPPER(D$3))),"''","null"),SUBSTITUTE(VLOOKUP(D$2,convert!$A$1:$B$4,2,0),"@@@",D386))</f>
        <v>60</v>
      </c>
      <c r="T386" s="4" t="str">
        <f>IF(E386="",IF(ISNUMBER(SEARCH("NOT NULL",UPPER(E$3))),"''","null"),SUBSTITUTE(VLOOKUP(E$2,convert!$A$1:$B$4,2,0),"@@@",E386))</f>
        <v>75</v>
      </c>
      <c r="U386" s="4" t="str">
        <f>IF(F386="",IF(ISNUMBER(SEARCH("NOT NULL",UPPER(F$3))),"''","null"),SUBSTITUTE(VLOOKUP(F$2,convert!$A$1:$B$4,2,0),"@@@",F386))</f>
        <v>60</v>
      </c>
      <c r="V386" s="4" t="str">
        <f>IF(G386="",IF(ISNUMBER(SEARCH("NOT NULL",UPPER(G$3))),"''","null"),SUBSTITUTE(VLOOKUP(G$2,convert!$A$1:$B$4,2,0),"@@@",G386))</f>
        <v>75</v>
      </c>
      <c r="W386" s="4" t="str">
        <f>IF(H386="",IF(ISNUMBER(SEARCH("NOT NULL",UPPER(H$3))),"''","null"),SUBSTITUTE(VLOOKUP(H$2,convert!$A$1:$B$4,2,0),"@@@",H386))</f>
        <v>80</v>
      </c>
      <c r="X386" s="4" t="str">
        <f>IF(I386="",IF(ISNUMBER(SEARCH("NOT NULL",UPPER(I$3))),"''","null"),SUBSTITUTE(VLOOKUP(I$2,convert!$A$1:$B$4,2,0),"@@@",I386))</f>
        <v>''</v>
      </c>
      <c r="Y386" s="4" t="str">
        <f>IF(J386="",IF(ISNUMBER(SEARCH("NOT NULL",UPPER(J$3))),"''","null"),SUBSTITUTE(VLOOKUP(J$2,convert!$A$1:$B$4,2,0),"@@@",J386))</f>
        <v>'fighting'</v>
      </c>
      <c r="Z386" s="4" t="str">
        <f>IF(K386="",IF(ISNUMBER(SEARCH("NOT NULL",UPPER(K$3))),"''","null"),SUBSTITUTE(VLOOKUP(K$2,convert!$A$1:$B$4,2,0),"@@@",K386))</f>
        <v>'psychic'</v>
      </c>
      <c r="AA386" s="4" t="str">
        <f>IF(L386="",IF(ISNUMBER(SEARCH("NOT NULL",UPPER(L$3))),"''","null"),SUBSTITUTE(VLOOKUP(L$2,convert!$A$1:$B$4,2,0),"@@@",L386))</f>
        <v>'g3'</v>
      </c>
      <c r="AB386" s="4" t="str">
        <f>IF(M386="",IF(ISNUMBER(SEARCH("NOT NULL",UPPER(M$3))),"''","null"),SUBSTITUTE(VLOOKUP(M$2,convert!$A$1:$B$4,2,0),"@@@",M386))</f>
        <v>null</v>
      </c>
      <c r="AC386" s="4" t="str">
        <f>IF(N386="",IF(ISNUMBER(SEARCH("NOT NULL",UPPER(N$3))),"''","null"),SUBSTITUTE(VLOOKUP(N$2,convert!$A$1:$B$4,2,0),"@@@",N386))</f>
        <v>null</v>
      </c>
      <c r="AD386" s="4" t="str">
        <f>IF(O386="",IF(ISNUMBER(SEARCH("NOT NULL",UPPER(O$3))),"''","null"),SUBSTITUTE(VLOOKUP(O$2,convert!$A$1:$B$4,2,0),"@@@",O386))</f>
        <v>TRUE</v>
      </c>
      <c r="AE386" s="4" t="str">
        <f t="shared" si="5"/>
        <v>    ('0308N01', 'チャーレム', 60, 60, 75, 60, 75, 80, '', 'fighting', 'psychic', 'g3', null, null, TRUE),</v>
      </c>
    </row>
    <row r="387" spans="1:31">
      <c r="A387" s="4" t="s">
        <v>785</v>
      </c>
      <c r="B387" s="4" t="s">
        <v>786</v>
      </c>
      <c r="C387" s="5">
        <v>60</v>
      </c>
      <c r="D387" s="5">
        <v>100</v>
      </c>
      <c r="E387" s="5">
        <v>85</v>
      </c>
      <c r="F387" s="5">
        <v>80</v>
      </c>
      <c r="G387" s="5">
        <v>85</v>
      </c>
      <c r="H387" s="5">
        <v>100</v>
      </c>
      <c r="I387" s="5"/>
      <c r="J387" s="4" t="s">
        <v>189</v>
      </c>
      <c r="K387" s="4" t="s">
        <v>113</v>
      </c>
      <c r="L387" s="4" t="s">
        <v>39</v>
      </c>
      <c r="M387" s="5"/>
      <c r="N387" s="5"/>
      <c r="O387" s="5" t="b">
        <v>1</v>
      </c>
      <c r="P387" s="4" t="str">
        <f>IF(A387="",IF(ISNUMBER(SEARCH("NOT NULL",UPPER(A$3))),"''","null"),SUBSTITUTE(VLOOKUP(A$2,convert!$A$1:$B$4,2,0),"@@@",A387))</f>
        <v>'0308M01'</v>
      </c>
      <c r="Q387" s="4" t="str">
        <f>IF(B387="",IF(ISNUMBER(SEARCH("NOT NULL",UPPER(B$3))),"''","null"),SUBSTITUTE(VLOOKUP(B$2,convert!$A$1:$B$4,2,0),"@@@",B387))</f>
        <v>'メガチャーレム'</v>
      </c>
      <c r="R387" s="4" t="str">
        <f>IF(C387="",IF(ISNUMBER(SEARCH("NOT NULL",UPPER(C$3))),"''","null"),SUBSTITUTE(VLOOKUP(C$2,convert!$A$1:$B$4,2,0),"@@@",C387))</f>
        <v>60</v>
      </c>
      <c r="S387" s="4" t="str">
        <f>IF(D387="",IF(ISNUMBER(SEARCH("NOT NULL",UPPER(D$3))),"''","null"),SUBSTITUTE(VLOOKUP(D$2,convert!$A$1:$B$4,2,0),"@@@",D387))</f>
        <v>100</v>
      </c>
      <c r="T387" s="4" t="str">
        <f>IF(E387="",IF(ISNUMBER(SEARCH("NOT NULL",UPPER(E$3))),"''","null"),SUBSTITUTE(VLOOKUP(E$2,convert!$A$1:$B$4,2,0),"@@@",E387))</f>
        <v>85</v>
      </c>
      <c r="U387" s="4" t="str">
        <f>IF(F387="",IF(ISNUMBER(SEARCH("NOT NULL",UPPER(F$3))),"''","null"),SUBSTITUTE(VLOOKUP(F$2,convert!$A$1:$B$4,2,0),"@@@",F387))</f>
        <v>80</v>
      </c>
      <c r="V387" s="4" t="str">
        <f>IF(G387="",IF(ISNUMBER(SEARCH("NOT NULL",UPPER(G$3))),"''","null"),SUBSTITUTE(VLOOKUP(G$2,convert!$A$1:$B$4,2,0),"@@@",G387))</f>
        <v>85</v>
      </c>
      <c r="W387" s="4" t="str">
        <f>IF(H387="",IF(ISNUMBER(SEARCH("NOT NULL",UPPER(H$3))),"''","null"),SUBSTITUTE(VLOOKUP(H$2,convert!$A$1:$B$4,2,0),"@@@",H387))</f>
        <v>100</v>
      </c>
      <c r="X387" s="4" t="str">
        <f>IF(I387="",IF(ISNUMBER(SEARCH("NOT NULL",UPPER(I$3))),"''","null"),SUBSTITUTE(VLOOKUP(I$2,convert!$A$1:$B$4,2,0),"@@@",I387))</f>
        <v>''</v>
      </c>
      <c r="Y387" s="4" t="str">
        <f>IF(J387="",IF(ISNUMBER(SEARCH("NOT NULL",UPPER(J$3))),"''","null"),SUBSTITUTE(VLOOKUP(J$2,convert!$A$1:$B$4,2,0),"@@@",J387))</f>
        <v>'fighting'</v>
      </c>
      <c r="Z387" s="4" t="str">
        <f>IF(K387="",IF(ISNUMBER(SEARCH("NOT NULL",UPPER(K$3))),"''","null"),SUBSTITUTE(VLOOKUP(K$2,convert!$A$1:$B$4,2,0),"@@@",K387))</f>
        <v>'psychic'</v>
      </c>
      <c r="AA387" s="4" t="str">
        <f>IF(L387="",IF(ISNUMBER(SEARCH("NOT NULL",UPPER(L$3))),"''","null"),SUBSTITUTE(VLOOKUP(L$2,convert!$A$1:$B$4,2,0),"@@@",L387))</f>
        <v>'g6'</v>
      </c>
      <c r="AB387" s="4" t="str">
        <f>IF(M387="",IF(ISNUMBER(SEARCH("NOT NULL",UPPER(M$3))),"''","null"),SUBSTITUTE(VLOOKUP(M$2,convert!$A$1:$B$4,2,0),"@@@",M387))</f>
        <v>null</v>
      </c>
      <c r="AC387" s="4" t="str">
        <f>IF(N387="",IF(ISNUMBER(SEARCH("NOT NULL",UPPER(N$3))),"''","null"),SUBSTITUTE(VLOOKUP(N$2,convert!$A$1:$B$4,2,0),"@@@",N387))</f>
        <v>null</v>
      </c>
      <c r="AD387" s="4" t="str">
        <f>IF(O387="",IF(ISNUMBER(SEARCH("NOT NULL",UPPER(O$3))),"''","null"),SUBSTITUTE(VLOOKUP(O$2,convert!$A$1:$B$4,2,0),"@@@",O387))</f>
        <v>TRUE</v>
      </c>
      <c r="AE387" s="4" t="str">
        <f t="shared" si="5"/>
        <v>    ('0308M01', 'メガチャーレム', 60, 100, 85, 80, 85, 100, '', 'fighting', 'psychic', 'g6', null, null, TRUE),</v>
      </c>
    </row>
    <row r="388" spans="1:31">
      <c r="A388" s="4" t="s">
        <v>787</v>
      </c>
      <c r="B388" s="4" t="s">
        <v>788</v>
      </c>
      <c r="C388" s="5">
        <v>40</v>
      </c>
      <c r="D388" s="5">
        <v>45</v>
      </c>
      <c r="E388" s="5">
        <v>40</v>
      </c>
      <c r="F388" s="5">
        <v>65</v>
      </c>
      <c r="G388" s="5">
        <v>40</v>
      </c>
      <c r="H388" s="5">
        <v>65</v>
      </c>
      <c r="I388" s="5"/>
      <c r="J388" s="4" t="s">
        <v>106</v>
      </c>
      <c r="K388" s="5"/>
      <c r="L388" s="4" t="s">
        <v>656</v>
      </c>
      <c r="M388" s="5"/>
      <c r="N388" s="5"/>
      <c r="O388" s="5" t="b">
        <v>1</v>
      </c>
      <c r="P388" s="4" t="str">
        <f>IF(A388="",IF(ISNUMBER(SEARCH("NOT NULL",UPPER(A$3))),"''","null"),SUBSTITUTE(VLOOKUP(A$2,convert!$A$1:$B$4,2,0),"@@@",A388))</f>
        <v>'0309N01'</v>
      </c>
      <c r="Q388" s="4" t="str">
        <f>IF(B388="",IF(ISNUMBER(SEARCH("NOT NULL",UPPER(B$3))),"''","null"),SUBSTITUTE(VLOOKUP(B$2,convert!$A$1:$B$4,2,0),"@@@",B388))</f>
        <v>'ラクライ'</v>
      </c>
      <c r="R388" s="4" t="str">
        <f>IF(C388="",IF(ISNUMBER(SEARCH("NOT NULL",UPPER(C$3))),"''","null"),SUBSTITUTE(VLOOKUP(C$2,convert!$A$1:$B$4,2,0),"@@@",C388))</f>
        <v>40</v>
      </c>
      <c r="S388" s="4" t="str">
        <f>IF(D388="",IF(ISNUMBER(SEARCH("NOT NULL",UPPER(D$3))),"''","null"),SUBSTITUTE(VLOOKUP(D$2,convert!$A$1:$B$4,2,0),"@@@",D388))</f>
        <v>45</v>
      </c>
      <c r="T388" s="4" t="str">
        <f>IF(E388="",IF(ISNUMBER(SEARCH("NOT NULL",UPPER(E$3))),"''","null"),SUBSTITUTE(VLOOKUP(E$2,convert!$A$1:$B$4,2,0),"@@@",E388))</f>
        <v>40</v>
      </c>
      <c r="U388" s="4" t="str">
        <f>IF(F388="",IF(ISNUMBER(SEARCH("NOT NULL",UPPER(F$3))),"''","null"),SUBSTITUTE(VLOOKUP(F$2,convert!$A$1:$B$4,2,0),"@@@",F388))</f>
        <v>65</v>
      </c>
      <c r="V388" s="4" t="str">
        <f>IF(G388="",IF(ISNUMBER(SEARCH("NOT NULL",UPPER(G$3))),"''","null"),SUBSTITUTE(VLOOKUP(G$2,convert!$A$1:$B$4,2,0),"@@@",G388))</f>
        <v>40</v>
      </c>
      <c r="W388" s="4" t="str">
        <f>IF(H388="",IF(ISNUMBER(SEARCH("NOT NULL",UPPER(H$3))),"''","null"),SUBSTITUTE(VLOOKUP(H$2,convert!$A$1:$B$4,2,0),"@@@",H388))</f>
        <v>65</v>
      </c>
      <c r="X388" s="4" t="str">
        <f>IF(I388="",IF(ISNUMBER(SEARCH("NOT NULL",UPPER(I$3))),"''","null"),SUBSTITUTE(VLOOKUP(I$2,convert!$A$1:$B$4,2,0),"@@@",I388))</f>
        <v>''</v>
      </c>
      <c r="Y388" s="4" t="str">
        <f>IF(J388="",IF(ISNUMBER(SEARCH("NOT NULL",UPPER(J$3))),"''","null"),SUBSTITUTE(VLOOKUP(J$2,convert!$A$1:$B$4,2,0),"@@@",J388))</f>
        <v>'electric'</v>
      </c>
      <c r="Z388" s="4" t="str">
        <f>IF(K388="",IF(ISNUMBER(SEARCH("NOT NULL",UPPER(K$3))),"''","null"),SUBSTITUTE(VLOOKUP(K$2,convert!$A$1:$B$4,2,0),"@@@",K388))</f>
        <v>null</v>
      </c>
      <c r="AA388" s="4" t="str">
        <f>IF(L388="",IF(ISNUMBER(SEARCH("NOT NULL",UPPER(L$3))),"''","null"),SUBSTITUTE(VLOOKUP(L$2,convert!$A$1:$B$4,2,0),"@@@",L388))</f>
        <v>'g3'</v>
      </c>
      <c r="AB388" s="4" t="str">
        <f>IF(M388="",IF(ISNUMBER(SEARCH("NOT NULL",UPPER(M$3))),"''","null"),SUBSTITUTE(VLOOKUP(M$2,convert!$A$1:$B$4,2,0),"@@@",M388))</f>
        <v>null</v>
      </c>
      <c r="AC388" s="4" t="str">
        <f>IF(N388="",IF(ISNUMBER(SEARCH("NOT NULL",UPPER(N$3))),"''","null"),SUBSTITUTE(VLOOKUP(N$2,convert!$A$1:$B$4,2,0),"@@@",N388))</f>
        <v>null</v>
      </c>
      <c r="AD388" s="4" t="str">
        <f>IF(O388="",IF(ISNUMBER(SEARCH("NOT NULL",UPPER(O$3))),"''","null"),SUBSTITUTE(VLOOKUP(O$2,convert!$A$1:$B$4,2,0),"@@@",O388))</f>
        <v>TRUE</v>
      </c>
      <c r="AE388" s="4" t="str">
        <f t="shared" si="5"/>
        <v>    ('0309N01', 'ラクライ', 40, 45, 40, 65, 40, 65, '', 'electric', null, 'g3', null, null, TRUE),</v>
      </c>
    </row>
    <row r="389" spans="1:31">
      <c r="A389" s="4" t="s">
        <v>789</v>
      </c>
      <c r="B389" s="4" t="s">
        <v>790</v>
      </c>
      <c r="C389" s="5">
        <v>70</v>
      </c>
      <c r="D389" s="5">
        <v>75</v>
      </c>
      <c r="E389" s="5">
        <v>60</v>
      </c>
      <c r="F389" s="5">
        <v>105</v>
      </c>
      <c r="G389" s="5">
        <v>60</v>
      </c>
      <c r="H389" s="5">
        <v>105</v>
      </c>
      <c r="I389" s="5"/>
      <c r="J389" s="4" t="s">
        <v>106</v>
      </c>
      <c r="K389" s="5"/>
      <c r="L389" s="4" t="s">
        <v>656</v>
      </c>
      <c r="M389" s="5"/>
      <c r="N389" s="5"/>
      <c r="O389" s="5" t="b">
        <v>1</v>
      </c>
      <c r="P389" s="4" t="str">
        <f>IF(A389="",IF(ISNUMBER(SEARCH("NOT NULL",UPPER(A$3))),"''","null"),SUBSTITUTE(VLOOKUP(A$2,convert!$A$1:$B$4,2,0),"@@@",A389))</f>
        <v>'0310N01'</v>
      </c>
      <c r="Q389" s="4" t="str">
        <f>IF(B389="",IF(ISNUMBER(SEARCH("NOT NULL",UPPER(B$3))),"''","null"),SUBSTITUTE(VLOOKUP(B$2,convert!$A$1:$B$4,2,0),"@@@",B389))</f>
        <v>'ライボルト'</v>
      </c>
      <c r="R389" s="4" t="str">
        <f>IF(C389="",IF(ISNUMBER(SEARCH("NOT NULL",UPPER(C$3))),"''","null"),SUBSTITUTE(VLOOKUP(C$2,convert!$A$1:$B$4,2,0),"@@@",C389))</f>
        <v>70</v>
      </c>
      <c r="S389" s="4" t="str">
        <f>IF(D389="",IF(ISNUMBER(SEARCH("NOT NULL",UPPER(D$3))),"''","null"),SUBSTITUTE(VLOOKUP(D$2,convert!$A$1:$B$4,2,0),"@@@",D389))</f>
        <v>75</v>
      </c>
      <c r="T389" s="4" t="str">
        <f>IF(E389="",IF(ISNUMBER(SEARCH("NOT NULL",UPPER(E$3))),"''","null"),SUBSTITUTE(VLOOKUP(E$2,convert!$A$1:$B$4,2,0),"@@@",E389))</f>
        <v>60</v>
      </c>
      <c r="U389" s="4" t="str">
        <f>IF(F389="",IF(ISNUMBER(SEARCH("NOT NULL",UPPER(F$3))),"''","null"),SUBSTITUTE(VLOOKUP(F$2,convert!$A$1:$B$4,2,0),"@@@",F389))</f>
        <v>105</v>
      </c>
      <c r="V389" s="4" t="str">
        <f>IF(G389="",IF(ISNUMBER(SEARCH("NOT NULL",UPPER(G$3))),"''","null"),SUBSTITUTE(VLOOKUP(G$2,convert!$A$1:$B$4,2,0),"@@@",G389))</f>
        <v>60</v>
      </c>
      <c r="W389" s="4" t="str">
        <f>IF(H389="",IF(ISNUMBER(SEARCH("NOT NULL",UPPER(H$3))),"''","null"),SUBSTITUTE(VLOOKUP(H$2,convert!$A$1:$B$4,2,0),"@@@",H389))</f>
        <v>105</v>
      </c>
      <c r="X389" s="4" t="str">
        <f>IF(I389="",IF(ISNUMBER(SEARCH("NOT NULL",UPPER(I$3))),"''","null"),SUBSTITUTE(VLOOKUP(I$2,convert!$A$1:$B$4,2,0),"@@@",I389))</f>
        <v>''</v>
      </c>
      <c r="Y389" s="4" t="str">
        <f>IF(J389="",IF(ISNUMBER(SEARCH("NOT NULL",UPPER(J$3))),"''","null"),SUBSTITUTE(VLOOKUP(J$2,convert!$A$1:$B$4,2,0),"@@@",J389))</f>
        <v>'electric'</v>
      </c>
      <c r="Z389" s="4" t="str">
        <f>IF(K389="",IF(ISNUMBER(SEARCH("NOT NULL",UPPER(K$3))),"''","null"),SUBSTITUTE(VLOOKUP(K$2,convert!$A$1:$B$4,2,0),"@@@",K389))</f>
        <v>null</v>
      </c>
      <c r="AA389" s="4" t="str">
        <f>IF(L389="",IF(ISNUMBER(SEARCH("NOT NULL",UPPER(L$3))),"''","null"),SUBSTITUTE(VLOOKUP(L$2,convert!$A$1:$B$4,2,0),"@@@",L389))</f>
        <v>'g3'</v>
      </c>
      <c r="AB389" s="4" t="str">
        <f>IF(M389="",IF(ISNUMBER(SEARCH("NOT NULL",UPPER(M$3))),"''","null"),SUBSTITUTE(VLOOKUP(M$2,convert!$A$1:$B$4,2,0),"@@@",M389))</f>
        <v>null</v>
      </c>
      <c r="AC389" s="4" t="str">
        <f>IF(N389="",IF(ISNUMBER(SEARCH("NOT NULL",UPPER(N$3))),"''","null"),SUBSTITUTE(VLOOKUP(N$2,convert!$A$1:$B$4,2,0),"@@@",N389))</f>
        <v>null</v>
      </c>
      <c r="AD389" s="4" t="str">
        <f>IF(O389="",IF(ISNUMBER(SEARCH("NOT NULL",UPPER(O$3))),"''","null"),SUBSTITUTE(VLOOKUP(O$2,convert!$A$1:$B$4,2,0),"@@@",O389))</f>
        <v>TRUE</v>
      </c>
      <c r="AE389" s="4" t="str">
        <f t="shared" ref="AE389:AE452" si="6">"    ("&amp;_xlfn.TEXTJOIN(", ",FALSE,P389:AD389)&amp;"),"</f>
        <v>    ('0310N01', 'ライボルト', 70, 75, 60, 105, 60, 105, '', 'electric', null, 'g3', null, null, TRUE),</v>
      </c>
    </row>
    <row r="390" spans="1:31">
      <c r="A390" s="4" t="s">
        <v>791</v>
      </c>
      <c r="B390" s="4" t="s">
        <v>792</v>
      </c>
      <c r="C390" s="5">
        <v>70</v>
      </c>
      <c r="D390" s="5">
        <v>75</v>
      </c>
      <c r="E390" s="5">
        <v>80</v>
      </c>
      <c r="F390" s="5">
        <v>135</v>
      </c>
      <c r="G390" s="5">
        <v>80</v>
      </c>
      <c r="H390" s="5">
        <v>135</v>
      </c>
      <c r="I390" s="5"/>
      <c r="J390" s="4" t="s">
        <v>106</v>
      </c>
      <c r="K390" s="5"/>
      <c r="L390" s="4" t="s">
        <v>39</v>
      </c>
      <c r="M390" s="5"/>
      <c r="N390" s="5"/>
      <c r="O390" s="5" t="b">
        <v>1</v>
      </c>
      <c r="P390" s="4" t="str">
        <f>IF(A390="",IF(ISNUMBER(SEARCH("NOT NULL",UPPER(A$3))),"''","null"),SUBSTITUTE(VLOOKUP(A$2,convert!$A$1:$B$4,2,0),"@@@",A390))</f>
        <v>'0310M01'</v>
      </c>
      <c r="Q390" s="4" t="str">
        <f>IF(B390="",IF(ISNUMBER(SEARCH("NOT NULL",UPPER(B$3))),"''","null"),SUBSTITUTE(VLOOKUP(B$2,convert!$A$1:$B$4,2,0),"@@@",B390))</f>
        <v>'メガライボルト'</v>
      </c>
      <c r="R390" s="4" t="str">
        <f>IF(C390="",IF(ISNUMBER(SEARCH("NOT NULL",UPPER(C$3))),"''","null"),SUBSTITUTE(VLOOKUP(C$2,convert!$A$1:$B$4,2,0),"@@@",C390))</f>
        <v>70</v>
      </c>
      <c r="S390" s="4" t="str">
        <f>IF(D390="",IF(ISNUMBER(SEARCH("NOT NULL",UPPER(D$3))),"''","null"),SUBSTITUTE(VLOOKUP(D$2,convert!$A$1:$B$4,2,0),"@@@",D390))</f>
        <v>75</v>
      </c>
      <c r="T390" s="4" t="str">
        <f>IF(E390="",IF(ISNUMBER(SEARCH("NOT NULL",UPPER(E$3))),"''","null"),SUBSTITUTE(VLOOKUP(E$2,convert!$A$1:$B$4,2,0),"@@@",E390))</f>
        <v>80</v>
      </c>
      <c r="U390" s="4" t="str">
        <f>IF(F390="",IF(ISNUMBER(SEARCH("NOT NULL",UPPER(F$3))),"''","null"),SUBSTITUTE(VLOOKUP(F$2,convert!$A$1:$B$4,2,0),"@@@",F390))</f>
        <v>135</v>
      </c>
      <c r="V390" s="4" t="str">
        <f>IF(G390="",IF(ISNUMBER(SEARCH("NOT NULL",UPPER(G$3))),"''","null"),SUBSTITUTE(VLOOKUP(G$2,convert!$A$1:$B$4,2,0),"@@@",G390))</f>
        <v>80</v>
      </c>
      <c r="W390" s="4" t="str">
        <f>IF(H390="",IF(ISNUMBER(SEARCH("NOT NULL",UPPER(H$3))),"''","null"),SUBSTITUTE(VLOOKUP(H$2,convert!$A$1:$B$4,2,0),"@@@",H390))</f>
        <v>135</v>
      </c>
      <c r="X390" s="4" t="str">
        <f>IF(I390="",IF(ISNUMBER(SEARCH("NOT NULL",UPPER(I$3))),"''","null"),SUBSTITUTE(VLOOKUP(I$2,convert!$A$1:$B$4,2,0),"@@@",I390))</f>
        <v>''</v>
      </c>
      <c r="Y390" s="4" t="str">
        <f>IF(J390="",IF(ISNUMBER(SEARCH("NOT NULL",UPPER(J$3))),"''","null"),SUBSTITUTE(VLOOKUP(J$2,convert!$A$1:$B$4,2,0),"@@@",J390))</f>
        <v>'electric'</v>
      </c>
      <c r="Z390" s="4" t="str">
        <f>IF(K390="",IF(ISNUMBER(SEARCH("NOT NULL",UPPER(K$3))),"''","null"),SUBSTITUTE(VLOOKUP(K$2,convert!$A$1:$B$4,2,0),"@@@",K390))</f>
        <v>null</v>
      </c>
      <c r="AA390" s="4" t="str">
        <f>IF(L390="",IF(ISNUMBER(SEARCH("NOT NULL",UPPER(L$3))),"''","null"),SUBSTITUTE(VLOOKUP(L$2,convert!$A$1:$B$4,2,0),"@@@",L390))</f>
        <v>'g6'</v>
      </c>
      <c r="AB390" s="4" t="str">
        <f>IF(M390="",IF(ISNUMBER(SEARCH("NOT NULL",UPPER(M$3))),"''","null"),SUBSTITUTE(VLOOKUP(M$2,convert!$A$1:$B$4,2,0),"@@@",M390))</f>
        <v>null</v>
      </c>
      <c r="AC390" s="4" t="str">
        <f>IF(N390="",IF(ISNUMBER(SEARCH("NOT NULL",UPPER(N$3))),"''","null"),SUBSTITUTE(VLOOKUP(N$2,convert!$A$1:$B$4,2,0),"@@@",N390))</f>
        <v>null</v>
      </c>
      <c r="AD390" s="4" t="str">
        <f>IF(O390="",IF(ISNUMBER(SEARCH("NOT NULL",UPPER(O$3))),"''","null"),SUBSTITUTE(VLOOKUP(O$2,convert!$A$1:$B$4,2,0),"@@@",O390))</f>
        <v>TRUE</v>
      </c>
      <c r="AE390" s="4" t="str">
        <f t="shared" si="6"/>
        <v>    ('0310M01', 'メガライボルト', 70, 75, 80, 135, 80, 135, '', 'electric', null, 'g6', null, null, TRUE),</v>
      </c>
    </row>
    <row r="391" spans="1:31">
      <c r="A391" s="4" t="s">
        <v>793</v>
      </c>
      <c r="B391" s="4" t="s">
        <v>794</v>
      </c>
      <c r="C391" s="5">
        <v>60</v>
      </c>
      <c r="D391" s="5">
        <v>50</v>
      </c>
      <c r="E391" s="5">
        <v>40</v>
      </c>
      <c r="F391" s="5">
        <v>85</v>
      </c>
      <c r="G391" s="5">
        <v>75</v>
      </c>
      <c r="H391" s="5">
        <v>95</v>
      </c>
      <c r="I391" s="5"/>
      <c r="J391" s="4" t="s">
        <v>106</v>
      </c>
      <c r="K391" s="5"/>
      <c r="L391" s="4" t="s">
        <v>656</v>
      </c>
      <c r="M391" s="5"/>
      <c r="N391" s="5"/>
      <c r="O391" s="5" t="b">
        <v>1</v>
      </c>
      <c r="P391" s="4" t="str">
        <f>IF(A391="",IF(ISNUMBER(SEARCH("NOT NULL",UPPER(A$3))),"''","null"),SUBSTITUTE(VLOOKUP(A$2,convert!$A$1:$B$4,2,0),"@@@",A391))</f>
        <v>'0311N01'</v>
      </c>
      <c r="Q391" s="4" t="str">
        <f>IF(B391="",IF(ISNUMBER(SEARCH("NOT NULL",UPPER(B$3))),"''","null"),SUBSTITUTE(VLOOKUP(B$2,convert!$A$1:$B$4,2,0),"@@@",B391))</f>
        <v>'プラスル'</v>
      </c>
      <c r="R391" s="4" t="str">
        <f>IF(C391="",IF(ISNUMBER(SEARCH("NOT NULL",UPPER(C$3))),"''","null"),SUBSTITUTE(VLOOKUP(C$2,convert!$A$1:$B$4,2,0),"@@@",C391))</f>
        <v>60</v>
      </c>
      <c r="S391" s="4" t="str">
        <f>IF(D391="",IF(ISNUMBER(SEARCH("NOT NULL",UPPER(D$3))),"''","null"),SUBSTITUTE(VLOOKUP(D$2,convert!$A$1:$B$4,2,0),"@@@",D391))</f>
        <v>50</v>
      </c>
      <c r="T391" s="4" t="str">
        <f>IF(E391="",IF(ISNUMBER(SEARCH("NOT NULL",UPPER(E$3))),"''","null"),SUBSTITUTE(VLOOKUP(E$2,convert!$A$1:$B$4,2,0),"@@@",E391))</f>
        <v>40</v>
      </c>
      <c r="U391" s="4" t="str">
        <f>IF(F391="",IF(ISNUMBER(SEARCH("NOT NULL",UPPER(F$3))),"''","null"),SUBSTITUTE(VLOOKUP(F$2,convert!$A$1:$B$4,2,0),"@@@",F391))</f>
        <v>85</v>
      </c>
      <c r="V391" s="4" t="str">
        <f>IF(G391="",IF(ISNUMBER(SEARCH("NOT NULL",UPPER(G$3))),"''","null"),SUBSTITUTE(VLOOKUP(G$2,convert!$A$1:$B$4,2,0),"@@@",G391))</f>
        <v>75</v>
      </c>
      <c r="W391" s="4" t="str">
        <f>IF(H391="",IF(ISNUMBER(SEARCH("NOT NULL",UPPER(H$3))),"''","null"),SUBSTITUTE(VLOOKUP(H$2,convert!$A$1:$B$4,2,0),"@@@",H391))</f>
        <v>95</v>
      </c>
      <c r="X391" s="4" t="str">
        <f>IF(I391="",IF(ISNUMBER(SEARCH("NOT NULL",UPPER(I$3))),"''","null"),SUBSTITUTE(VLOOKUP(I$2,convert!$A$1:$B$4,2,0),"@@@",I391))</f>
        <v>''</v>
      </c>
      <c r="Y391" s="4" t="str">
        <f>IF(J391="",IF(ISNUMBER(SEARCH("NOT NULL",UPPER(J$3))),"''","null"),SUBSTITUTE(VLOOKUP(J$2,convert!$A$1:$B$4,2,0),"@@@",J391))</f>
        <v>'electric'</v>
      </c>
      <c r="Z391" s="4" t="str">
        <f>IF(K391="",IF(ISNUMBER(SEARCH("NOT NULL",UPPER(K$3))),"''","null"),SUBSTITUTE(VLOOKUP(K$2,convert!$A$1:$B$4,2,0),"@@@",K391))</f>
        <v>null</v>
      </c>
      <c r="AA391" s="4" t="str">
        <f>IF(L391="",IF(ISNUMBER(SEARCH("NOT NULL",UPPER(L$3))),"''","null"),SUBSTITUTE(VLOOKUP(L$2,convert!$A$1:$B$4,2,0),"@@@",L391))</f>
        <v>'g3'</v>
      </c>
      <c r="AB391" s="4" t="str">
        <f>IF(M391="",IF(ISNUMBER(SEARCH("NOT NULL",UPPER(M$3))),"''","null"),SUBSTITUTE(VLOOKUP(M$2,convert!$A$1:$B$4,2,0),"@@@",M391))</f>
        <v>null</v>
      </c>
      <c r="AC391" s="4" t="str">
        <f>IF(N391="",IF(ISNUMBER(SEARCH("NOT NULL",UPPER(N$3))),"''","null"),SUBSTITUTE(VLOOKUP(N$2,convert!$A$1:$B$4,2,0),"@@@",N391))</f>
        <v>null</v>
      </c>
      <c r="AD391" s="4" t="str">
        <f>IF(O391="",IF(ISNUMBER(SEARCH("NOT NULL",UPPER(O$3))),"''","null"),SUBSTITUTE(VLOOKUP(O$2,convert!$A$1:$B$4,2,0),"@@@",O391))</f>
        <v>TRUE</v>
      </c>
      <c r="AE391" s="4" t="str">
        <f t="shared" si="6"/>
        <v>    ('0311N01', 'プラスル', 60, 50, 40, 85, 75, 95, '', 'electric', null, 'g3', null, null, TRUE),</v>
      </c>
    </row>
    <row r="392" spans="1:31">
      <c r="A392" s="4" t="s">
        <v>795</v>
      </c>
      <c r="B392" s="4" t="s">
        <v>796</v>
      </c>
      <c r="C392" s="5">
        <v>60</v>
      </c>
      <c r="D392" s="5">
        <v>40</v>
      </c>
      <c r="E392" s="5">
        <v>50</v>
      </c>
      <c r="F392" s="5">
        <v>75</v>
      </c>
      <c r="G392" s="5">
        <v>85</v>
      </c>
      <c r="H392" s="5">
        <v>95</v>
      </c>
      <c r="I392" s="5"/>
      <c r="J392" s="4" t="s">
        <v>106</v>
      </c>
      <c r="K392" s="5"/>
      <c r="L392" s="4" t="s">
        <v>656</v>
      </c>
      <c r="M392" s="5"/>
      <c r="N392" s="5"/>
      <c r="O392" s="5" t="b">
        <v>1</v>
      </c>
      <c r="P392" s="4" t="str">
        <f>IF(A392="",IF(ISNUMBER(SEARCH("NOT NULL",UPPER(A$3))),"''","null"),SUBSTITUTE(VLOOKUP(A$2,convert!$A$1:$B$4,2,0),"@@@",A392))</f>
        <v>'0312N01'</v>
      </c>
      <c r="Q392" s="4" t="str">
        <f>IF(B392="",IF(ISNUMBER(SEARCH("NOT NULL",UPPER(B$3))),"''","null"),SUBSTITUTE(VLOOKUP(B$2,convert!$A$1:$B$4,2,0),"@@@",B392))</f>
        <v>'マイナン'</v>
      </c>
      <c r="R392" s="4" t="str">
        <f>IF(C392="",IF(ISNUMBER(SEARCH("NOT NULL",UPPER(C$3))),"''","null"),SUBSTITUTE(VLOOKUP(C$2,convert!$A$1:$B$4,2,0),"@@@",C392))</f>
        <v>60</v>
      </c>
      <c r="S392" s="4" t="str">
        <f>IF(D392="",IF(ISNUMBER(SEARCH("NOT NULL",UPPER(D$3))),"''","null"),SUBSTITUTE(VLOOKUP(D$2,convert!$A$1:$B$4,2,0),"@@@",D392))</f>
        <v>40</v>
      </c>
      <c r="T392" s="4" t="str">
        <f>IF(E392="",IF(ISNUMBER(SEARCH("NOT NULL",UPPER(E$3))),"''","null"),SUBSTITUTE(VLOOKUP(E$2,convert!$A$1:$B$4,2,0),"@@@",E392))</f>
        <v>50</v>
      </c>
      <c r="U392" s="4" t="str">
        <f>IF(F392="",IF(ISNUMBER(SEARCH("NOT NULL",UPPER(F$3))),"''","null"),SUBSTITUTE(VLOOKUP(F$2,convert!$A$1:$B$4,2,0),"@@@",F392))</f>
        <v>75</v>
      </c>
      <c r="V392" s="4" t="str">
        <f>IF(G392="",IF(ISNUMBER(SEARCH("NOT NULL",UPPER(G$3))),"''","null"),SUBSTITUTE(VLOOKUP(G$2,convert!$A$1:$B$4,2,0),"@@@",G392))</f>
        <v>85</v>
      </c>
      <c r="W392" s="4" t="str">
        <f>IF(H392="",IF(ISNUMBER(SEARCH("NOT NULL",UPPER(H$3))),"''","null"),SUBSTITUTE(VLOOKUP(H$2,convert!$A$1:$B$4,2,0),"@@@",H392))</f>
        <v>95</v>
      </c>
      <c r="X392" s="4" t="str">
        <f>IF(I392="",IF(ISNUMBER(SEARCH("NOT NULL",UPPER(I$3))),"''","null"),SUBSTITUTE(VLOOKUP(I$2,convert!$A$1:$B$4,2,0),"@@@",I392))</f>
        <v>''</v>
      </c>
      <c r="Y392" s="4" t="str">
        <f>IF(J392="",IF(ISNUMBER(SEARCH("NOT NULL",UPPER(J$3))),"''","null"),SUBSTITUTE(VLOOKUP(J$2,convert!$A$1:$B$4,2,0),"@@@",J392))</f>
        <v>'electric'</v>
      </c>
      <c r="Z392" s="4" t="str">
        <f>IF(K392="",IF(ISNUMBER(SEARCH("NOT NULL",UPPER(K$3))),"''","null"),SUBSTITUTE(VLOOKUP(K$2,convert!$A$1:$B$4,2,0),"@@@",K392))</f>
        <v>null</v>
      </c>
      <c r="AA392" s="4" t="str">
        <f>IF(L392="",IF(ISNUMBER(SEARCH("NOT NULL",UPPER(L$3))),"''","null"),SUBSTITUTE(VLOOKUP(L$2,convert!$A$1:$B$4,2,0),"@@@",L392))</f>
        <v>'g3'</v>
      </c>
      <c r="AB392" s="4" t="str">
        <f>IF(M392="",IF(ISNUMBER(SEARCH("NOT NULL",UPPER(M$3))),"''","null"),SUBSTITUTE(VLOOKUP(M$2,convert!$A$1:$B$4,2,0),"@@@",M392))</f>
        <v>null</v>
      </c>
      <c r="AC392" s="4" t="str">
        <f>IF(N392="",IF(ISNUMBER(SEARCH("NOT NULL",UPPER(N$3))),"''","null"),SUBSTITUTE(VLOOKUP(N$2,convert!$A$1:$B$4,2,0),"@@@",N392))</f>
        <v>null</v>
      </c>
      <c r="AD392" s="4" t="str">
        <f>IF(O392="",IF(ISNUMBER(SEARCH("NOT NULL",UPPER(O$3))),"''","null"),SUBSTITUTE(VLOOKUP(O$2,convert!$A$1:$B$4,2,0),"@@@",O392))</f>
        <v>TRUE</v>
      </c>
      <c r="AE392" s="4" t="str">
        <f t="shared" si="6"/>
        <v>    ('0312N01', 'マイナン', 60, 40, 50, 75, 85, 95, '', 'electric', null, 'g3', null, null, TRUE),</v>
      </c>
    </row>
    <row r="393" spans="1:31">
      <c r="A393" s="4" t="s">
        <v>797</v>
      </c>
      <c r="B393" s="4" t="s">
        <v>798</v>
      </c>
      <c r="C393" s="5">
        <v>65</v>
      </c>
      <c r="D393" s="5">
        <v>73</v>
      </c>
      <c r="E393" s="5">
        <v>75</v>
      </c>
      <c r="F393" s="5">
        <v>47</v>
      </c>
      <c r="G393" s="5">
        <v>85</v>
      </c>
      <c r="H393" s="5">
        <v>85</v>
      </c>
      <c r="I393" s="5"/>
      <c r="J393" s="4" t="s">
        <v>64</v>
      </c>
      <c r="K393" s="5"/>
      <c r="L393" s="4" t="s">
        <v>656</v>
      </c>
      <c r="M393" s="5"/>
      <c r="N393" s="5"/>
      <c r="O393" s="5" t="b">
        <v>1</v>
      </c>
      <c r="P393" s="4" t="str">
        <f>IF(A393="",IF(ISNUMBER(SEARCH("NOT NULL",UPPER(A$3))),"''","null"),SUBSTITUTE(VLOOKUP(A$2,convert!$A$1:$B$4,2,0),"@@@",A393))</f>
        <v>'0313N01'</v>
      </c>
      <c r="Q393" s="4" t="str">
        <f>IF(B393="",IF(ISNUMBER(SEARCH("NOT NULL",UPPER(B$3))),"''","null"),SUBSTITUTE(VLOOKUP(B$2,convert!$A$1:$B$4,2,0),"@@@",B393))</f>
        <v>'バルビート'</v>
      </c>
      <c r="R393" s="4" t="str">
        <f>IF(C393="",IF(ISNUMBER(SEARCH("NOT NULL",UPPER(C$3))),"''","null"),SUBSTITUTE(VLOOKUP(C$2,convert!$A$1:$B$4,2,0),"@@@",C393))</f>
        <v>65</v>
      </c>
      <c r="S393" s="4" t="str">
        <f>IF(D393="",IF(ISNUMBER(SEARCH("NOT NULL",UPPER(D$3))),"''","null"),SUBSTITUTE(VLOOKUP(D$2,convert!$A$1:$B$4,2,0),"@@@",D393))</f>
        <v>73</v>
      </c>
      <c r="T393" s="4" t="str">
        <f>IF(E393="",IF(ISNUMBER(SEARCH("NOT NULL",UPPER(E$3))),"''","null"),SUBSTITUTE(VLOOKUP(E$2,convert!$A$1:$B$4,2,0),"@@@",E393))</f>
        <v>75</v>
      </c>
      <c r="U393" s="4" t="str">
        <f>IF(F393="",IF(ISNUMBER(SEARCH("NOT NULL",UPPER(F$3))),"''","null"),SUBSTITUTE(VLOOKUP(F$2,convert!$A$1:$B$4,2,0),"@@@",F393))</f>
        <v>47</v>
      </c>
      <c r="V393" s="4" t="str">
        <f>IF(G393="",IF(ISNUMBER(SEARCH("NOT NULL",UPPER(G$3))),"''","null"),SUBSTITUTE(VLOOKUP(G$2,convert!$A$1:$B$4,2,0),"@@@",G393))</f>
        <v>85</v>
      </c>
      <c r="W393" s="4" t="str">
        <f>IF(H393="",IF(ISNUMBER(SEARCH("NOT NULL",UPPER(H$3))),"''","null"),SUBSTITUTE(VLOOKUP(H$2,convert!$A$1:$B$4,2,0),"@@@",H393))</f>
        <v>85</v>
      </c>
      <c r="X393" s="4" t="str">
        <f>IF(I393="",IF(ISNUMBER(SEARCH("NOT NULL",UPPER(I$3))),"''","null"),SUBSTITUTE(VLOOKUP(I$2,convert!$A$1:$B$4,2,0),"@@@",I393))</f>
        <v>''</v>
      </c>
      <c r="Y393" s="4" t="str">
        <f>IF(J393="",IF(ISNUMBER(SEARCH("NOT NULL",UPPER(J$3))),"''","null"),SUBSTITUTE(VLOOKUP(J$2,convert!$A$1:$B$4,2,0),"@@@",J393))</f>
        <v>'bug'</v>
      </c>
      <c r="Z393" s="4" t="str">
        <f>IF(K393="",IF(ISNUMBER(SEARCH("NOT NULL",UPPER(K$3))),"''","null"),SUBSTITUTE(VLOOKUP(K$2,convert!$A$1:$B$4,2,0),"@@@",K393))</f>
        <v>null</v>
      </c>
      <c r="AA393" s="4" t="str">
        <f>IF(L393="",IF(ISNUMBER(SEARCH("NOT NULL",UPPER(L$3))),"''","null"),SUBSTITUTE(VLOOKUP(L$2,convert!$A$1:$B$4,2,0),"@@@",L393))</f>
        <v>'g3'</v>
      </c>
      <c r="AB393" s="4" t="str">
        <f>IF(M393="",IF(ISNUMBER(SEARCH("NOT NULL",UPPER(M$3))),"''","null"),SUBSTITUTE(VLOOKUP(M$2,convert!$A$1:$B$4,2,0),"@@@",M393))</f>
        <v>null</v>
      </c>
      <c r="AC393" s="4" t="str">
        <f>IF(N393="",IF(ISNUMBER(SEARCH("NOT NULL",UPPER(N$3))),"''","null"),SUBSTITUTE(VLOOKUP(N$2,convert!$A$1:$B$4,2,0),"@@@",N393))</f>
        <v>null</v>
      </c>
      <c r="AD393" s="4" t="str">
        <f>IF(O393="",IF(ISNUMBER(SEARCH("NOT NULL",UPPER(O$3))),"''","null"),SUBSTITUTE(VLOOKUP(O$2,convert!$A$1:$B$4,2,0),"@@@",O393))</f>
        <v>TRUE</v>
      </c>
      <c r="AE393" s="4" t="str">
        <f t="shared" si="6"/>
        <v>    ('0313N01', 'バルビート', 65, 73, 75, 47, 85, 85, '', 'bug', null, 'g3', null, null, TRUE),</v>
      </c>
    </row>
    <row r="394" spans="1:31">
      <c r="A394" s="4" t="s">
        <v>799</v>
      </c>
      <c r="B394" s="4" t="s">
        <v>800</v>
      </c>
      <c r="C394" s="5">
        <v>65</v>
      </c>
      <c r="D394" s="5">
        <v>47</v>
      </c>
      <c r="E394" s="5">
        <v>75</v>
      </c>
      <c r="F394" s="5">
        <v>73</v>
      </c>
      <c r="G394" s="5">
        <v>85</v>
      </c>
      <c r="H394" s="5">
        <v>85</v>
      </c>
      <c r="I394" s="5"/>
      <c r="J394" s="4" t="s">
        <v>64</v>
      </c>
      <c r="K394" s="5"/>
      <c r="L394" s="4" t="s">
        <v>656</v>
      </c>
      <c r="M394" s="5"/>
      <c r="N394" s="5"/>
      <c r="O394" s="5" t="b">
        <v>1</v>
      </c>
      <c r="P394" s="4" t="str">
        <f>IF(A394="",IF(ISNUMBER(SEARCH("NOT NULL",UPPER(A$3))),"''","null"),SUBSTITUTE(VLOOKUP(A$2,convert!$A$1:$B$4,2,0),"@@@",A394))</f>
        <v>'0314N01'</v>
      </c>
      <c r="Q394" s="4" t="str">
        <f>IF(B394="",IF(ISNUMBER(SEARCH("NOT NULL",UPPER(B$3))),"''","null"),SUBSTITUTE(VLOOKUP(B$2,convert!$A$1:$B$4,2,0),"@@@",B394))</f>
        <v>'イルミーゼ'</v>
      </c>
      <c r="R394" s="4" t="str">
        <f>IF(C394="",IF(ISNUMBER(SEARCH("NOT NULL",UPPER(C$3))),"''","null"),SUBSTITUTE(VLOOKUP(C$2,convert!$A$1:$B$4,2,0),"@@@",C394))</f>
        <v>65</v>
      </c>
      <c r="S394" s="4" t="str">
        <f>IF(D394="",IF(ISNUMBER(SEARCH("NOT NULL",UPPER(D$3))),"''","null"),SUBSTITUTE(VLOOKUP(D$2,convert!$A$1:$B$4,2,0),"@@@",D394))</f>
        <v>47</v>
      </c>
      <c r="T394" s="4" t="str">
        <f>IF(E394="",IF(ISNUMBER(SEARCH("NOT NULL",UPPER(E$3))),"''","null"),SUBSTITUTE(VLOOKUP(E$2,convert!$A$1:$B$4,2,0),"@@@",E394))</f>
        <v>75</v>
      </c>
      <c r="U394" s="4" t="str">
        <f>IF(F394="",IF(ISNUMBER(SEARCH("NOT NULL",UPPER(F$3))),"''","null"),SUBSTITUTE(VLOOKUP(F$2,convert!$A$1:$B$4,2,0),"@@@",F394))</f>
        <v>73</v>
      </c>
      <c r="V394" s="4" t="str">
        <f>IF(G394="",IF(ISNUMBER(SEARCH("NOT NULL",UPPER(G$3))),"''","null"),SUBSTITUTE(VLOOKUP(G$2,convert!$A$1:$B$4,2,0),"@@@",G394))</f>
        <v>85</v>
      </c>
      <c r="W394" s="4" t="str">
        <f>IF(H394="",IF(ISNUMBER(SEARCH("NOT NULL",UPPER(H$3))),"''","null"),SUBSTITUTE(VLOOKUP(H$2,convert!$A$1:$B$4,2,0),"@@@",H394))</f>
        <v>85</v>
      </c>
      <c r="X394" s="4" t="str">
        <f>IF(I394="",IF(ISNUMBER(SEARCH("NOT NULL",UPPER(I$3))),"''","null"),SUBSTITUTE(VLOOKUP(I$2,convert!$A$1:$B$4,2,0),"@@@",I394))</f>
        <v>''</v>
      </c>
      <c r="Y394" s="4" t="str">
        <f>IF(J394="",IF(ISNUMBER(SEARCH("NOT NULL",UPPER(J$3))),"''","null"),SUBSTITUTE(VLOOKUP(J$2,convert!$A$1:$B$4,2,0),"@@@",J394))</f>
        <v>'bug'</v>
      </c>
      <c r="Z394" s="4" t="str">
        <f>IF(K394="",IF(ISNUMBER(SEARCH("NOT NULL",UPPER(K$3))),"''","null"),SUBSTITUTE(VLOOKUP(K$2,convert!$A$1:$B$4,2,0),"@@@",K394))</f>
        <v>null</v>
      </c>
      <c r="AA394" s="4" t="str">
        <f>IF(L394="",IF(ISNUMBER(SEARCH("NOT NULL",UPPER(L$3))),"''","null"),SUBSTITUTE(VLOOKUP(L$2,convert!$A$1:$B$4,2,0),"@@@",L394))</f>
        <v>'g3'</v>
      </c>
      <c r="AB394" s="4" t="str">
        <f>IF(M394="",IF(ISNUMBER(SEARCH("NOT NULL",UPPER(M$3))),"''","null"),SUBSTITUTE(VLOOKUP(M$2,convert!$A$1:$B$4,2,0),"@@@",M394))</f>
        <v>null</v>
      </c>
      <c r="AC394" s="4" t="str">
        <f>IF(N394="",IF(ISNUMBER(SEARCH("NOT NULL",UPPER(N$3))),"''","null"),SUBSTITUTE(VLOOKUP(N$2,convert!$A$1:$B$4,2,0),"@@@",N394))</f>
        <v>null</v>
      </c>
      <c r="AD394" s="4" t="str">
        <f>IF(O394="",IF(ISNUMBER(SEARCH("NOT NULL",UPPER(O$3))),"''","null"),SUBSTITUTE(VLOOKUP(O$2,convert!$A$1:$B$4,2,0),"@@@",O394))</f>
        <v>TRUE</v>
      </c>
      <c r="AE394" s="4" t="str">
        <f t="shared" si="6"/>
        <v>    ('0314N01', 'イルミーゼ', 65, 47, 75, 73, 85, 85, '', 'bug', null, 'g3', null, null, TRUE),</v>
      </c>
    </row>
    <row r="395" spans="1:31">
      <c r="A395" s="4" t="s">
        <v>801</v>
      </c>
      <c r="B395" s="4" t="s">
        <v>802</v>
      </c>
      <c r="C395" s="5">
        <v>50</v>
      </c>
      <c r="D395" s="5">
        <v>60</v>
      </c>
      <c r="E395" s="5">
        <v>45</v>
      </c>
      <c r="F395" s="5">
        <v>100</v>
      </c>
      <c r="G395" s="5">
        <v>80</v>
      </c>
      <c r="H395" s="5">
        <v>65</v>
      </c>
      <c r="I395" s="5"/>
      <c r="J395" s="4" t="s">
        <v>30</v>
      </c>
      <c r="K395" s="4" t="s">
        <v>31</v>
      </c>
      <c r="L395" s="4" t="s">
        <v>656</v>
      </c>
      <c r="M395" s="5"/>
      <c r="N395" s="5"/>
      <c r="O395" s="5" t="b">
        <v>1</v>
      </c>
      <c r="P395" s="4" t="str">
        <f>IF(A395="",IF(ISNUMBER(SEARCH("NOT NULL",UPPER(A$3))),"''","null"),SUBSTITUTE(VLOOKUP(A$2,convert!$A$1:$B$4,2,0),"@@@",A395))</f>
        <v>'0315N01'</v>
      </c>
      <c r="Q395" s="4" t="str">
        <f>IF(B395="",IF(ISNUMBER(SEARCH("NOT NULL",UPPER(B$3))),"''","null"),SUBSTITUTE(VLOOKUP(B$2,convert!$A$1:$B$4,2,0),"@@@",B395))</f>
        <v>'ロゼリア'</v>
      </c>
      <c r="R395" s="4" t="str">
        <f>IF(C395="",IF(ISNUMBER(SEARCH("NOT NULL",UPPER(C$3))),"''","null"),SUBSTITUTE(VLOOKUP(C$2,convert!$A$1:$B$4,2,0),"@@@",C395))</f>
        <v>50</v>
      </c>
      <c r="S395" s="4" t="str">
        <f>IF(D395="",IF(ISNUMBER(SEARCH("NOT NULL",UPPER(D$3))),"''","null"),SUBSTITUTE(VLOOKUP(D$2,convert!$A$1:$B$4,2,0),"@@@",D395))</f>
        <v>60</v>
      </c>
      <c r="T395" s="4" t="str">
        <f>IF(E395="",IF(ISNUMBER(SEARCH("NOT NULL",UPPER(E$3))),"''","null"),SUBSTITUTE(VLOOKUP(E$2,convert!$A$1:$B$4,2,0),"@@@",E395))</f>
        <v>45</v>
      </c>
      <c r="U395" s="4" t="str">
        <f>IF(F395="",IF(ISNUMBER(SEARCH("NOT NULL",UPPER(F$3))),"''","null"),SUBSTITUTE(VLOOKUP(F$2,convert!$A$1:$B$4,2,0),"@@@",F395))</f>
        <v>100</v>
      </c>
      <c r="V395" s="4" t="str">
        <f>IF(G395="",IF(ISNUMBER(SEARCH("NOT NULL",UPPER(G$3))),"''","null"),SUBSTITUTE(VLOOKUP(G$2,convert!$A$1:$B$4,2,0),"@@@",G395))</f>
        <v>80</v>
      </c>
      <c r="W395" s="4" t="str">
        <f>IF(H395="",IF(ISNUMBER(SEARCH("NOT NULL",UPPER(H$3))),"''","null"),SUBSTITUTE(VLOOKUP(H$2,convert!$A$1:$B$4,2,0),"@@@",H395))</f>
        <v>65</v>
      </c>
      <c r="X395" s="4" t="str">
        <f>IF(I395="",IF(ISNUMBER(SEARCH("NOT NULL",UPPER(I$3))),"''","null"),SUBSTITUTE(VLOOKUP(I$2,convert!$A$1:$B$4,2,0),"@@@",I395))</f>
        <v>''</v>
      </c>
      <c r="Y395" s="4" t="str">
        <f>IF(J395="",IF(ISNUMBER(SEARCH("NOT NULL",UPPER(J$3))),"''","null"),SUBSTITUTE(VLOOKUP(J$2,convert!$A$1:$B$4,2,0),"@@@",J395))</f>
        <v>'grass'</v>
      </c>
      <c r="Z395" s="4" t="str">
        <f>IF(K395="",IF(ISNUMBER(SEARCH("NOT NULL",UPPER(K$3))),"''","null"),SUBSTITUTE(VLOOKUP(K$2,convert!$A$1:$B$4,2,0),"@@@",K395))</f>
        <v>'poison'</v>
      </c>
      <c r="AA395" s="4" t="str">
        <f>IF(L395="",IF(ISNUMBER(SEARCH("NOT NULL",UPPER(L$3))),"''","null"),SUBSTITUTE(VLOOKUP(L$2,convert!$A$1:$B$4,2,0),"@@@",L395))</f>
        <v>'g3'</v>
      </c>
      <c r="AB395" s="4" t="str">
        <f>IF(M395="",IF(ISNUMBER(SEARCH("NOT NULL",UPPER(M$3))),"''","null"),SUBSTITUTE(VLOOKUP(M$2,convert!$A$1:$B$4,2,0),"@@@",M395))</f>
        <v>null</v>
      </c>
      <c r="AC395" s="4" t="str">
        <f>IF(N395="",IF(ISNUMBER(SEARCH("NOT NULL",UPPER(N$3))),"''","null"),SUBSTITUTE(VLOOKUP(N$2,convert!$A$1:$B$4,2,0),"@@@",N395))</f>
        <v>null</v>
      </c>
      <c r="AD395" s="4" t="str">
        <f>IF(O395="",IF(ISNUMBER(SEARCH("NOT NULL",UPPER(O$3))),"''","null"),SUBSTITUTE(VLOOKUP(O$2,convert!$A$1:$B$4,2,0),"@@@",O395))</f>
        <v>TRUE</v>
      </c>
      <c r="AE395" s="4" t="str">
        <f t="shared" si="6"/>
        <v>    ('0315N01', 'ロゼリア', 50, 60, 45, 100, 80, 65, '', 'grass', 'poison', 'g3', null, null, TRUE),</v>
      </c>
    </row>
    <row r="396" spans="1:31">
      <c r="A396" s="4" t="s">
        <v>803</v>
      </c>
      <c r="B396" s="4" t="s">
        <v>804</v>
      </c>
      <c r="C396" s="5">
        <v>70</v>
      </c>
      <c r="D396" s="5">
        <v>43</v>
      </c>
      <c r="E396" s="5">
        <v>53</v>
      </c>
      <c r="F396" s="5">
        <v>43</v>
      </c>
      <c r="G396" s="5">
        <v>53</v>
      </c>
      <c r="H396" s="5">
        <v>40</v>
      </c>
      <c r="I396" s="5"/>
      <c r="J396" s="4" t="s">
        <v>31</v>
      </c>
      <c r="K396" s="5"/>
      <c r="L396" s="4" t="s">
        <v>656</v>
      </c>
      <c r="M396" s="5"/>
      <c r="N396" s="5"/>
      <c r="O396" s="5" t="b">
        <v>1</v>
      </c>
      <c r="P396" s="4" t="str">
        <f>IF(A396="",IF(ISNUMBER(SEARCH("NOT NULL",UPPER(A$3))),"''","null"),SUBSTITUTE(VLOOKUP(A$2,convert!$A$1:$B$4,2,0),"@@@",A396))</f>
        <v>'0316N01'</v>
      </c>
      <c r="Q396" s="4" t="str">
        <f>IF(B396="",IF(ISNUMBER(SEARCH("NOT NULL",UPPER(B$3))),"''","null"),SUBSTITUTE(VLOOKUP(B$2,convert!$A$1:$B$4,2,0),"@@@",B396))</f>
        <v>'ゴクリン'</v>
      </c>
      <c r="R396" s="4" t="str">
        <f>IF(C396="",IF(ISNUMBER(SEARCH("NOT NULL",UPPER(C$3))),"''","null"),SUBSTITUTE(VLOOKUP(C$2,convert!$A$1:$B$4,2,0),"@@@",C396))</f>
        <v>70</v>
      </c>
      <c r="S396" s="4" t="str">
        <f>IF(D396="",IF(ISNUMBER(SEARCH("NOT NULL",UPPER(D$3))),"''","null"),SUBSTITUTE(VLOOKUP(D$2,convert!$A$1:$B$4,2,0),"@@@",D396))</f>
        <v>43</v>
      </c>
      <c r="T396" s="4" t="str">
        <f>IF(E396="",IF(ISNUMBER(SEARCH("NOT NULL",UPPER(E$3))),"''","null"),SUBSTITUTE(VLOOKUP(E$2,convert!$A$1:$B$4,2,0),"@@@",E396))</f>
        <v>53</v>
      </c>
      <c r="U396" s="4" t="str">
        <f>IF(F396="",IF(ISNUMBER(SEARCH("NOT NULL",UPPER(F$3))),"''","null"),SUBSTITUTE(VLOOKUP(F$2,convert!$A$1:$B$4,2,0),"@@@",F396))</f>
        <v>43</v>
      </c>
      <c r="V396" s="4" t="str">
        <f>IF(G396="",IF(ISNUMBER(SEARCH("NOT NULL",UPPER(G$3))),"''","null"),SUBSTITUTE(VLOOKUP(G$2,convert!$A$1:$B$4,2,0),"@@@",G396))</f>
        <v>53</v>
      </c>
      <c r="W396" s="4" t="str">
        <f>IF(H396="",IF(ISNUMBER(SEARCH("NOT NULL",UPPER(H$3))),"''","null"),SUBSTITUTE(VLOOKUP(H$2,convert!$A$1:$B$4,2,0),"@@@",H396))</f>
        <v>40</v>
      </c>
      <c r="X396" s="4" t="str">
        <f>IF(I396="",IF(ISNUMBER(SEARCH("NOT NULL",UPPER(I$3))),"''","null"),SUBSTITUTE(VLOOKUP(I$2,convert!$A$1:$B$4,2,0),"@@@",I396))</f>
        <v>''</v>
      </c>
      <c r="Y396" s="4" t="str">
        <f>IF(J396="",IF(ISNUMBER(SEARCH("NOT NULL",UPPER(J$3))),"''","null"),SUBSTITUTE(VLOOKUP(J$2,convert!$A$1:$B$4,2,0),"@@@",J396))</f>
        <v>'poison'</v>
      </c>
      <c r="Z396" s="4" t="str">
        <f>IF(K396="",IF(ISNUMBER(SEARCH("NOT NULL",UPPER(K$3))),"''","null"),SUBSTITUTE(VLOOKUP(K$2,convert!$A$1:$B$4,2,0),"@@@",K396))</f>
        <v>null</v>
      </c>
      <c r="AA396" s="4" t="str">
        <f>IF(L396="",IF(ISNUMBER(SEARCH("NOT NULL",UPPER(L$3))),"''","null"),SUBSTITUTE(VLOOKUP(L$2,convert!$A$1:$B$4,2,0),"@@@",L396))</f>
        <v>'g3'</v>
      </c>
      <c r="AB396" s="4" t="str">
        <f>IF(M396="",IF(ISNUMBER(SEARCH("NOT NULL",UPPER(M$3))),"''","null"),SUBSTITUTE(VLOOKUP(M$2,convert!$A$1:$B$4,2,0),"@@@",M396))</f>
        <v>null</v>
      </c>
      <c r="AC396" s="4" t="str">
        <f>IF(N396="",IF(ISNUMBER(SEARCH("NOT NULL",UPPER(N$3))),"''","null"),SUBSTITUTE(VLOOKUP(N$2,convert!$A$1:$B$4,2,0),"@@@",N396))</f>
        <v>null</v>
      </c>
      <c r="AD396" s="4" t="str">
        <f>IF(O396="",IF(ISNUMBER(SEARCH("NOT NULL",UPPER(O$3))),"''","null"),SUBSTITUTE(VLOOKUP(O$2,convert!$A$1:$B$4,2,0),"@@@",O396))</f>
        <v>TRUE</v>
      </c>
      <c r="AE396" s="4" t="str">
        <f t="shared" si="6"/>
        <v>    ('0316N01', 'ゴクリン', 70, 43, 53, 43, 53, 40, '', 'poison', null, 'g3', null, null, TRUE),</v>
      </c>
    </row>
    <row r="397" spans="1:31">
      <c r="A397" s="4" t="s">
        <v>805</v>
      </c>
      <c r="B397" s="4" t="s">
        <v>806</v>
      </c>
      <c r="C397" s="5">
        <v>100</v>
      </c>
      <c r="D397" s="5">
        <v>73</v>
      </c>
      <c r="E397" s="5">
        <v>83</v>
      </c>
      <c r="F397" s="5">
        <v>73</v>
      </c>
      <c r="G397" s="5">
        <v>83</v>
      </c>
      <c r="H397" s="5">
        <v>55</v>
      </c>
      <c r="I397" s="5"/>
      <c r="J397" s="4" t="s">
        <v>31</v>
      </c>
      <c r="K397" s="5"/>
      <c r="L397" s="4" t="s">
        <v>656</v>
      </c>
      <c r="M397" s="5"/>
      <c r="N397" s="5"/>
      <c r="O397" s="5" t="b">
        <v>1</v>
      </c>
      <c r="P397" s="4" t="str">
        <f>IF(A397="",IF(ISNUMBER(SEARCH("NOT NULL",UPPER(A$3))),"''","null"),SUBSTITUTE(VLOOKUP(A$2,convert!$A$1:$B$4,2,0),"@@@",A397))</f>
        <v>'0317N01'</v>
      </c>
      <c r="Q397" s="4" t="str">
        <f>IF(B397="",IF(ISNUMBER(SEARCH("NOT NULL",UPPER(B$3))),"''","null"),SUBSTITUTE(VLOOKUP(B$2,convert!$A$1:$B$4,2,0),"@@@",B397))</f>
        <v>'マルノーム'</v>
      </c>
      <c r="R397" s="4" t="str">
        <f>IF(C397="",IF(ISNUMBER(SEARCH("NOT NULL",UPPER(C$3))),"''","null"),SUBSTITUTE(VLOOKUP(C$2,convert!$A$1:$B$4,2,0),"@@@",C397))</f>
        <v>100</v>
      </c>
      <c r="S397" s="4" t="str">
        <f>IF(D397="",IF(ISNUMBER(SEARCH("NOT NULL",UPPER(D$3))),"''","null"),SUBSTITUTE(VLOOKUP(D$2,convert!$A$1:$B$4,2,0),"@@@",D397))</f>
        <v>73</v>
      </c>
      <c r="T397" s="4" t="str">
        <f>IF(E397="",IF(ISNUMBER(SEARCH("NOT NULL",UPPER(E$3))),"''","null"),SUBSTITUTE(VLOOKUP(E$2,convert!$A$1:$B$4,2,0),"@@@",E397))</f>
        <v>83</v>
      </c>
      <c r="U397" s="4" t="str">
        <f>IF(F397="",IF(ISNUMBER(SEARCH("NOT NULL",UPPER(F$3))),"''","null"),SUBSTITUTE(VLOOKUP(F$2,convert!$A$1:$B$4,2,0),"@@@",F397))</f>
        <v>73</v>
      </c>
      <c r="V397" s="4" t="str">
        <f>IF(G397="",IF(ISNUMBER(SEARCH("NOT NULL",UPPER(G$3))),"''","null"),SUBSTITUTE(VLOOKUP(G$2,convert!$A$1:$B$4,2,0),"@@@",G397))</f>
        <v>83</v>
      </c>
      <c r="W397" s="4" t="str">
        <f>IF(H397="",IF(ISNUMBER(SEARCH("NOT NULL",UPPER(H$3))),"''","null"),SUBSTITUTE(VLOOKUP(H$2,convert!$A$1:$B$4,2,0),"@@@",H397))</f>
        <v>55</v>
      </c>
      <c r="X397" s="4" t="str">
        <f>IF(I397="",IF(ISNUMBER(SEARCH("NOT NULL",UPPER(I$3))),"''","null"),SUBSTITUTE(VLOOKUP(I$2,convert!$A$1:$B$4,2,0),"@@@",I397))</f>
        <v>''</v>
      </c>
      <c r="Y397" s="4" t="str">
        <f>IF(J397="",IF(ISNUMBER(SEARCH("NOT NULL",UPPER(J$3))),"''","null"),SUBSTITUTE(VLOOKUP(J$2,convert!$A$1:$B$4,2,0),"@@@",J397))</f>
        <v>'poison'</v>
      </c>
      <c r="Z397" s="4" t="str">
        <f>IF(K397="",IF(ISNUMBER(SEARCH("NOT NULL",UPPER(K$3))),"''","null"),SUBSTITUTE(VLOOKUP(K$2,convert!$A$1:$B$4,2,0),"@@@",K397))</f>
        <v>null</v>
      </c>
      <c r="AA397" s="4" t="str">
        <f>IF(L397="",IF(ISNUMBER(SEARCH("NOT NULL",UPPER(L$3))),"''","null"),SUBSTITUTE(VLOOKUP(L$2,convert!$A$1:$B$4,2,0),"@@@",L397))</f>
        <v>'g3'</v>
      </c>
      <c r="AB397" s="4" t="str">
        <f>IF(M397="",IF(ISNUMBER(SEARCH("NOT NULL",UPPER(M$3))),"''","null"),SUBSTITUTE(VLOOKUP(M$2,convert!$A$1:$B$4,2,0),"@@@",M397))</f>
        <v>null</v>
      </c>
      <c r="AC397" s="4" t="str">
        <f>IF(N397="",IF(ISNUMBER(SEARCH("NOT NULL",UPPER(N$3))),"''","null"),SUBSTITUTE(VLOOKUP(N$2,convert!$A$1:$B$4,2,0),"@@@",N397))</f>
        <v>null</v>
      </c>
      <c r="AD397" s="4" t="str">
        <f>IF(O397="",IF(ISNUMBER(SEARCH("NOT NULL",UPPER(O$3))),"''","null"),SUBSTITUTE(VLOOKUP(O$2,convert!$A$1:$B$4,2,0),"@@@",O397))</f>
        <v>TRUE</v>
      </c>
      <c r="AE397" s="4" t="str">
        <f t="shared" si="6"/>
        <v>    ('0317N01', 'マルノーム', 100, 73, 83, 73, 83, 55, '', 'poison', null, 'g3', null, null, TRUE),</v>
      </c>
    </row>
    <row r="398" spans="1:31">
      <c r="A398" s="4" t="s">
        <v>807</v>
      </c>
      <c r="B398" s="4" t="s">
        <v>808</v>
      </c>
      <c r="C398" s="5">
        <v>45</v>
      </c>
      <c r="D398" s="5">
        <v>90</v>
      </c>
      <c r="E398" s="5">
        <v>20</v>
      </c>
      <c r="F398" s="5">
        <v>65</v>
      </c>
      <c r="G398" s="5">
        <v>20</v>
      </c>
      <c r="H398" s="5">
        <v>65</v>
      </c>
      <c r="I398" s="5"/>
      <c r="J398" s="4" t="s">
        <v>55</v>
      </c>
      <c r="K398" s="4" t="s">
        <v>91</v>
      </c>
      <c r="L398" s="4" t="s">
        <v>656</v>
      </c>
      <c r="M398" s="5"/>
      <c r="N398" s="5"/>
      <c r="O398" s="5" t="b">
        <v>1</v>
      </c>
      <c r="P398" s="4" t="str">
        <f>IF(A398="",IF(ISNUMBER(SEARCH("NOT NULL",UPPER(A$3))),"''","null"),SUBSTITUTE(VLOOKUP(A$2,convert!$A$1:$B$4,2,0),"@@@",A398))</f>
        <v>'0318N01'</v>
      </c>
      <c r="Q398" s="4" t="str">
        <f>IF(B398="",IF(ISNUMBER(SEARCH("NOT NULL",UPPER(B$3))),"''","null"),SUBSTITUTE(VLOOKUP(B$2,convert!$A$1:$B$4,2,0),"@@@",B398))</f>
        <v>'キバニア'</v>
      </c>
      <c r="R398" s="4" t="str">
        <f>IF(C398="",IF(ISNUMBER(SEARCH("NOT NULL",UPPER(C$3))),"''","null"),SUBSTITUTE(VLOOKUP(C$2,convert!$A$1:$B$4,2,0),"@@@",C398))</f>
        <v>45</v>
      </c>
      <c r="S398" s="4" t="str">
        <f>IF(D398="",IF(ISNUMBER(SEARCH("NOT NULL",UPPER(D$3))),"''","null"),SUBSTITUTE(VLOOKUP(D$2,convert!$A$1:$B$4,2,0),"@@@",D398))</f>
        <v>90</v>
      </c>
      <c r="T398" s="4" t="str">
        <f>IF(E398="",IF(ISNUMBER(SEARCH("NOT NULL",UPPER(E$3))),"''","null"),SUBSTITUTE(VLOOKUP(E$2,convert!$A$1:$B$4,2,0),"@@@",E398))</f>
        <v>20</v>
      </c>
      <c r="U398" s="4" t="str">
        <f>IF(F398="",IF(ISNUMBER(SEARCH("NOT NULL",UPPER(F$3))),"''","null"),SUBSTITUTE(VLOOKUP(F$2,convert!$A$1:$B$4,2,0),"@@@",F398))</f>
        <v>65</v>
      </c>
      <c r="V398" s="4" t="str">
        <f>IF(G398="",IF(ISNUMBER(SEARCH("NOT NULL",UPPER(G$3))),"''","null"),SUBSTITUTE(VLOOKUP(G$2,convert!$A$1:$B$4,2,0),"@@@",G398))</f>
        <v>20</v>
      </c>
      <c r="W398" s="4" t="str">
        <f>IF(H398="",IF(ISNUMBER(SEARCH("NOT NULL",UPPER(H$3))),"''","null"),SUBSTITUTE(VLOOKUP(H$2,convert!$A$1:$B$4,2,0),"@@@",H398))</f>
        <v>65</v>
      </c>
      <c r="X398" s="4" t="str">
        <f>IF(I398="",IF(ISNUMBER(SEARCH("NOT NULL",UPPER(I$3))),"''","null"),SUBSTITUTE(VLOOKUP(I$2,convert!$A$1:$B$4,2,0),"@@@",I398))</f>
        <v>''</v>
      </c>
      <c r="Y398" s="4" t="str">
        <f>IF(J398="",IF(ISNUMBER(SEARCH("NOT NULL",UPPER(J$3))),"''","null"),SUBSTITUTE(VLOOKUP(J$2,convert!$A$1:$B$4,2,0),"@@@",J398))</f>
        <v>'water'</v>
      </c>
      <c r="Z398" s="4" t="str">
        <f>IF(K398="",IF(ISNUMBER(SEARCH("NOT NULL",UPPER(K$3))),"''","null"),SUBSTITUTE(VLOOKUP(K$2,convert!$A$1:$B$4,2,0),"@@@",K398))</f>
        <v>'dark'</v>
      </c>
      <c r="AA398" s="4" t="str">
        <f>IF(L398="",IF(ISNUMBER(SEARCH("NOT NULL",UPPER(L$3))),"''","null"),SUBSTITUTE(VLOOKUP(L$2,convert!$A$1:$B$4,2,0),"@@@",L398))</f>
        <v>'g3'</v>
      </c>
      <c r="AB398" s="4" t="str">
        <f>IF(M398="",IF(ISNUMBER(SEARCH("NOT NULL",UPPER(M$3))),"''","null"),SUBSTITUTE(VLOOKUP(M$2,convert!$A$1:$B$4,2,0),"@@@",M398))</f>
        <v>null</v>
      </c>
      <c r="AC398" s="4" t="str">
        <f>IF(N398="",IF(ISNUMBER(SEARCH("NOT NULL",UPPER(N$3))),"''","null"),SUBSTITUTE(VLOOKUP(N$2,convert!$A$1:$B$4,2,0),"@@@",N398))</f>
        <v>null</v>
      </c>
      <c r="AD398" s="4" t="str">
        <f>IF(O398="",IF(ISNUMBER(SEARCH("NOT NULL",UPPER(O$3))),"''","null"),SUBSTITUTE(VLOOKUP(O$2,convert!$A$1:$B$4,2,0),"@@@",O398))</f>
        <v>TRUE</v>
      </c>
      <c r="AE398" s="4" t="str">
        <f t="shared" si="6"/>
        <v>    ('0318N01', 'キバニア', 45, 90, 20, 65, 20, 65, '', 'water', 'dark', 'g3', null, null, TRUE),</v>
      </c>
    </row>
    <row r="399" spans="1:31">
      <c r="A399" s="4" t="s">
        <v>809</v>
      </c>
      <c r="B399" s="4" t="s">
        <v>810</v>
      </c>
      <c r="C399" s="5">
        <v>70</v>
      </c>
      <c r="D399" s="5">
        <v>120</v>
      </c>
      <c r="E399" s="5">
        <v>40</v>
      </c>
      <c r="F399" s="5">
        <v>95</v>
      </c>
      <c r="G399" s="5">
        <v>40</v>
      </c>
      <c r="H399" s="5">
        <v>95</v>
      </c>
      <c r="I399" s="5"/>
      <c r="J399" s="4" t="s">
        <v>55</v>
      </c>
      <c r="K399" s="4" t="s">
        <v>91</v>
      </c>
      <c r="L399" s="4" t="s">
        <v>656</v>
      </c>
      <c r="M399" s="5"/>
      <c r="N399" s="5"/>
      <c r="O399" s="5" t="b">
        <v>1</v>
      </c>
      <c r="P399" s="4" t="str">
        <f>IF(A399="",IF(ISNUMBER(SEARCH("NOT NULL",UPPER(A$3))),"''","null"),SUBSTITUTE(VLOOKUP(A$2,convert!$A$1:$B$4,2,0),"@@@",A399))</f>
        <v>'0319N01'</v>
      </c>
      <c r="Q399" s="4" t="str">
        <f>IF(B399="",IF(ISNUMBER(SEARCH("NOT NULL",UPPER(B$3))),"''","null"),SUBSTITUTE(VLOOKUP(B$2,convert!$A$1:$B$4,2,0),"@@@",B399))</f>
        <v>'サメハダー'</v>
      </c>
      <c r="R399" s="4" t="str">
        <f>IF(C399="",IF(ISNUMBER(SEARCH("NOT NULL",UPPER(C$3))),"''","null"),SUBSTITUTE(VLOOKUP(C$2,convert!$A$1:$B$4,2,0),"@@@",C399))</f>
        <v>70</v>
      </c>
      <c r="S399" s="4" t="str">
        <f>IF(D399="",IF(ISNUMBER(SEARCH("NOT NULL",UPPER(D$3))),"''","null"),SUBSTITUTE(VLOOKUP(D$2,convert!$A$1:$B$4,2,0),"@@@",D399))</f>
        <v>120</v>
      </c>
      <c r="T399" s="4" t="str">
        <f>IF(E399="",IF(ISNUMBER(SEARCH("NOT NULL",UPPER(E$3))),"''","null"),SUBSTITUTE(VLOOKUP(E$2,convert!$A$1:$B$4,2,0),"@@@",E399))</f>
        <v>40</v>
      </c>
      <c r="U399" s="4" t="str">
        <f>IF(F399="",IF(ISNUMBER(SEARCH("NOT NULL",UPPER(F$3))),"''","null"),SUBSTITUTE(VLOOKUP(F$2,convert!$A$1:$B$4,2,0),"@@@",F399))</f>
        <v>95</v>
      </c>
      <c r="V399" s="4" t="str">
        <f>IF(G399="",IF(ISNUMBER(SEARCH("NOT NULL",UPPER(G$3))),"''","null"),SUBSTITUTE(VLOOKUP(G$2,convert!$A$1:$B$4,2,0),"@@@",G399))</f>
        <v>40</v>
      </c>
      <c r="W399" s="4" t="str">
        <f>IF(H399="",IF(ISNUMBER(SEARCH("NOT NULL",UPPER(H$3))),"''","null"),SUBSTITUTE(VLOOKUP(H$2,convert!$A$1:$B$4,2,0),"@@@",H399))</f>
        <v>95</v>
      </c>
      <c r="X399" s="4" t="str">
        <f>IF(I399="",IF(ISNUMBER(SEARCH("NOT NULL",UPPER(I$3))),"''","null"),SUBSTITUTE(VLOOKUP(I$2,convert!$A$1:$B$4,2,0),"@@@",I399))</f>
        <v>''</v>
      </c>
      <c r="Y399" s="4" t="str">
        <f>IF(J399="",IF(ISNUMBER(SEARCH("NOT NULL",UPPER(J$3))),"''","null"),SUBSTITUTE(VLOOKUP(J$2,convert!$A$1:$B$4,2,0),"@@@",J399))</f>
        <v>'water'</v>
      </c>
      <c r="Z399" s="4" t="str">
        <f>IF(K399="",IF(ISNUMBER(SEARCH("NOT NULL",UPPER(K$3))),"''","null"),SUBSTITUTE(VLOOKUP(K$2,convert!$A$1:$B$4,2,0),"@@@",K399))</f>
        <v>'dark'</v>
      </c>
      <c r="AA399" s="4" t="str">
        <f>IF(L399="",IF(ISNUMBER(SEARCH("NOT NULL",UPPER(L$3))),"''","null"),SUBSTITUTE(VLOOKUP(L$2,convert!$A$1:$B$4,2,0),"@@@",L399))</f>
        <v>'g3'</v>
      </c>
      <c r="AB399" s="4" t="str">
        <f>IF(M399="",IF(ISNUMBER(SEARCH("NOT NULL",UPPER(M$3))),"''","null"),SUBSTITUTE(VLOOKUP(M$2,convert!$A$1:$B$4,2,0),"@@@",M399))</f>
        <v>null</v>
      </c>
      <c r="AC399" s="4" t="str">
        <f>IF(N399="",IF(ISNUMBER(SEARCH("NOT NULL",UPPER(N$3))),"''","null"),SUBSTITUTE(VLOOKUP(N$2,convert!$A$1:$B$4,2,0),"@@@",N399))</f>
        <v>null</v>
      </c>
      <c r="AD399" s="4" t="str">
        <f>IF(O399="",IF(ISNUMBER(SEARCH("NOT NULL",UPPER(O$3))),"''","null"),SUBSTITUTE(VLOOKUP(O$2,convert!$A$1:$B$4,2,0),"@@@",O399))</f>
        <v>TRUE</v>
      </c>
      <c r="AE399" s="4" t="str">
        <f t="shared" si="6"/>
        <v>    ('0319N01', 'サメハダー', 70, 120, 40, 95, 40, 95, '', 'water', 'dark', 'g3', null, null, TRUE),</v>
      </c>
    </row>
    <row r="400" spans="1:31">
      <c r="A400" s="4" t="s">
        <v>811</v>
      </c>
      <c r="B400" s="4" t="s">
        <v>812</v>
      </c>
      <c r="C400" s="5">
        <v>70</v>
      </c>
      <c r="D400" s="5">
        <v>140</v>
      </c>
      <c r="E400" s="5">
        <v>70</v>
      </c>
      <c r="F400" s="5">
        <v>110</v>
      </c>
      <c r="G400" s="5">
        <v>65</v>
      </c>
      <c r="H400" s="5">
        <v>105</v>
      </c>
      <c r="I400" s="5"/>
      <c r="J400" s="4" t="s">
        <v>55</v>
      </c>
      <c r="K400" s="4" t="s">
        <v>91</v>
      </c>
      <c r="L400" s="4" t="s">
        <v>77</v>
      </c>
      <c r="M400" s="5"/>
      <c r="N400" s="5"/>
      <c r="O400" s="5" t="b">
        <v>0</v>
      </c>
      <c r="P400" s="4" t="str">
        <f>IF(A400="",IF(ISNUMBER(SEARCH("NOT NULL",UPPER(A$3))),"''","null"),SUBSTITUTE(VLOOKUP(A$2,convert!$A$1:$B$4,2,0),"@@@",A400))</f>
        <v>'0319M01'</v>
      </c>
      <c r="Q400" s="4" t="str">
        <f>IF(B400="",IF(ISNUMBER(SEARCH("NOT NULL",UPPER(B$3))),"''","null"),SUBSTITUTE(VLOOKUP(B$2,convert!$A$1:$B$4,2,0),"@@@",B400))</f>
        <v>'メガサメハダー'</v>
      </c>
      <c r="R400" s="4" t="str">
        <f>IF(C400="",IF(ISNUMBER(SEARCH("NOT NULL",UPPER(C$3))),"''","null"),SUBSTITUTE(VLOOKUP(C$2,convert!$A$1:$B$4,2,0),"@@@",C400))</f>
        <v>70</v>
      </c>
      <c r="S400" s="4" t="str">
        <f>IF(D400="",IF(ISNUMBER(SEARCH("NOT NULL",UPPER(D$3))),"''","null"),SUBSTITUTE(VLOOKUP(D$2,convert!$A$1:$B$4,2,0),"@@@",D400))</f>
        <v>140</v>
      </c>
      <c r="T400" s="4" t="str">
        <f>IF(E400="",IF(ISNUMBER(SEARCH("NOT NULL",UPPER(E$3))),"''","null"),SUBSTITUTE(VLOOKUP(E$2,convert!$A$1:$B$4,2,0),"@@@",E400))</f>
        <v>70</v>
      </c>
      <c r="U400" s="4" t="str">
        <f>IF(F400="",IF(ISNUMBER(SEARCH("NOT NULL",UPPER(F$3))),"''","null"),SUBSTITUTE(VLOOKUP(F$2,convert!$A$1:$B$4,2,0),"@@@",F400))</f>
        <v>110</v>
      </c>
      <c r="V400" s="4" t="str">
        <f>IF(G400="",IF(ISNUMBER(SEARCH("NOT NULL",UPPER(G$3))),"''","null"),SUBSTITUTE(VLOOKUP(G$2,convert!$A$1:$B$4,2,0),"@@@",G400))</f>
        <v>65</v>
      </c>
      <c r="W400" s="4" t="str">
        <f>IF(H400="",IF(ISNUMBER(SEARCH("NOT NULL",UPPER(H$3))),"''","null"),SUBSTITUTE(VLOOKUP(H$2,convert!$A$1:$B$4,2,0),"@@@",H400))</f>
        <v>105</v>
      </c>
      <c r="X400" s="4" t="str">
        <f>IF(I400="",IF(ISNUMBER(SEARCH("NOT NULL",UPPER(I$3))),"''","null"),SUBSTITUTE(VLOOKUP(I$2,convert!$A$1:$B$4,2,0),"@@@",I400))</f>
        <v>''</v>
      </c>
      <c r="Y400" s="4" t="str">
        <f>IF(J400="",IF(ISNUMBER(SEARCH("NOT NULL",UPPER(J$3))),"''","null"),SUBSTITUTE(VLOOKUP(J$2,convert!$A$1:$B$4,2,0),"@@@",J400))</f>
        <v>'water'</v>
      </c>
      <c r="Z400" s="4" t="str">
        <f>IF(K400="",IF(ISNUMBER(SEARCH("NOT NULL",UPPER(K$3))),"''","null"),SUBSTITUTE(VLOOKUP(K$2,convert!$A$1:$B$4,2,0),"@@@",K400))</f>
        <v>'dark'</v>
      </c>
      <c r="AA400" s="4" t="str">
        <f>IF(L400="",IF(ISNUMBER(SEARCH("NOT NULL",UPPER(L$3))),"''","null"),SUBSTITUTE(VLOOKUP(L$2,convert!$A$1:$B$4,2,0),"@@@",L400))</f>
        <v>'g6oras'</v>
      </c>
      <c r="AB400" s="4" t="str">
        <f>IF(M400="",IF(ISNUMBER(SEARCH("NOT NULL",UPPER(M$3))),"''","null"),SUBSTITUTE(VLOOKUP(M$2,convert!$A$1:$B$4,2,0),"@@@",M400))</f>
        <v>null</v>
      </c>
      <c r="AC400" s="4" t="str">
        <f>IF(N400="",IF(ISNUMBER(SEARCH("NOT NULL",UPPER(N$3))),"''","null"),SUBSTITUTE(VLOOKUP(N$2,convert!$A$1:$B$4,2,0),"@@@",N400))</f>
        <v>null</v>
      </c>
      <c r="AD400" s="4" t="str">
        <f>IF(O400="",IF(ISNUMBER(SEARCH("NOT NULL",UPPER(O$3))),"''","null"),SUBSTITUTE(VLOOKUP(O$2,convert!$A$1:$B$4,2,0),"@@@",O400))</f>
        <v>FALSE</v>
      </c>
      <c r="AE400" s="4" t="str">
        <f t="shared" si="6"/>
        <v>    ('0319M01', 'メガサメハダー', 70, 140, 70, 110, 65, 105, '', 'water', 'dark', 'g6oras', null, null, FALSE),</v>
      </c>
    </row>
    <row r="401" spans="1:31">
      <c r="A401" s="4" t="s">
        <v>813</v>
      </c>
      <c r="B401" s="4" t="s">
        <v>814</v>
      </c>
      <c r="C401" s="5">
        <v>130</v>
      </c>
      <c r="D401" s="5">
        <v>70</v>
      </c>
      <c r="E401" s="5">
        <v>35</v>
      </c>
      <c r="F401" s="5">
        <v>70</v>
      </c>
      <c r="G401" s="5">
        <v>35</v>
      </c>
      <c r="H401" s="5">
        <v>60</v>
      </c>
      <c r="I401" s="5"/>
      <c r="J401" s="4" t="s">
        <v>55</v>
      </c>
      <c r="K401" s="5"/>
      <c r="L401" s="4" t="s">
        <v>656</v>
      </c>
      <c r="M401" s="5"/>
      <c r="N401" s="5"/>
      <c r="O401" s="5" t="b">
        <v>1</v>
      </c>
      <c r="P401" s="4" t="str">
        <f>IF(A401="",IF(ISNUMBER(SEARCH("NOT NULL",UPPER(A$3))),"''","null"),SUBSTITUTE(VLOOKUP(A$2,convert!$A$1:$B$4,2,0),"@@@",A401))</f>
        <v>'0320N01'</v>
      </c>
      <c r="Q401" s="4" t="str">
        <f>IF(B401="",IF(ISNUMBER(SEARCH("NOT NULL",UPPER(B$3))),"''","null"),SUBSTITUTE(VLOOKUP(B$2,convert!$A$1:$B$4,2,0),"@@@",B401))</f>
        <v>'ホエルコ'</v>
      </c>
      <c r="R401" s="4" t="str">
        <f>IF(C401="",IF(ISNUMBER(SEARCH("NOT NULL",UPPER(C$3))),"''","null"),SUBSTITUTE(VLOOKUP(C$2,convert!$A$1:$B$4,2,0),"@@@",C401))</f>
        <v>130</v>
      </c>
      <c r="S401" s="4" t="str">
        <f>IF(D401="",IF(ISNUMBER(SEARCH("NOT NULL",UPPER(D$3))),"''","null"),SUBSTITUTE(VLOOKUP(D$2,convert!$A$1:$B$4,2,0),"@@@",D401))</f>
        <v>70</v>
      </c>
      <c r="T401" s="4" t="str">
        <f>IF(E401="",IF(ISNUMBER(SEARCH("NOT NULL",UPPER(E$3))),"''","null"),SUBSTITUTE(VLOOKUP(E$2,convert!$A$1:$B$4,2,0),"@@@",E401))</f>
        <v>35</v>
      </c>
      <c r="U401" s="4" t="str">
        <f>IF(F401="",IF(ISNUMBER(SEARCH("NOT NULL",UPPER(F$3))),"''","null"),SUBSTITUTE(VLOOKUP(F$2,convert!$A$1:$B$4,2,0),"@@@",F401))</f>
        <v>70</v>
      </c>
      <c r="V401" s="4" t="str">
        <f>IF(G401="",IF(ISNUMBER(SEARCH("NOT NULL",UPPER(G$3))),"''","null"),SUBSTITUTE(VLOOKUP(G$2,convert!$A$1:$B$4,2,0),"@@@",G401))</f>
        <v>35</v>
      </c>
      <c r="W401" s="4" t="str">
        <f>IF(H401="",IF(ISNUMBER(SEARCH("NOT NULL",UPPER(H$3))),"''","null"),SUBSTITUTE(VLOOKUP(H$2,convert!$A$1:$B$4,2,0),"@@@",H401))</f>
        <v>60</v>
      </c>
      <c r="X401" s="4" t="str">
        <f>IF(I401="",IF(ISNUMBER(SEARCH("NOT NULL",UPPER(I$3))),"''","null"),SUBSTITUTE(VLOOKUP(I$2,convert!$A$1:$B$4,2,0),"@@@",I401))</f>
        <v>''</v>
      </c>
      <c r="Y401" s="4" t="str">
        <f>IF(J401="",IF(ISNUMBER(SEARCH("NOT NULL",UPPER(J$3))),"''","null"),SUBSTITUTE(VLOOKUP(J$2,convert!$A$1:$B$4,2,0),"@@@",J401))</f>
        <v>'water'</v>
      </c>
      <c r="Z401" s="4" t="str">
        <f>IF(K401="",IF(ISNUMBER(SEARCH("NOT NULL",UPPER(K$3))),"''","null"),SUBSTITUTE(VLOOKUP(K$2,convert!$A$1:$B$4,2,0),"@@@",K401))</f>
        <v>null</v>
      </c>
      <c r="AA401" s="4" t="str">
        <f>IF(L401="",IF(ISNUMBER(SEARCH("NOT NULL",UPPER(L$3))),"''","null"),SUBSTITUTE(VLOOKUP(L$2,convert!$A$1:$B$4,2,0),"@@@",L401))</f>
        <v>'g3'</v>
      </c>
      <c r="AB401" s="4" t="str">
        <f>IF(M401="",IF(ISNUMBER(SEARCH("NOT NULL",UPPER(M$3))),"''","null"),SUBSTITUTE(VLOOKUP(M$2,convert!$A$1:$B$4,2,0),"@@@",M401))</f>
        <v>null</v>
      </c>
      <c r="AC401" s="4" t="str">
        <f>IF(N401="",IF(ISNUMBER(SEARCH("NOT NULL",UPPER(N$3))),"''","null"),SUBSTITUTE(VLOOKUP(N$2,convert!$A$1:$B$4,2,0),"@@@",N401))</f>
        <v>null</v>
      </c>
      <c r="AD401" s="4" t="str">
        <f>IF(O401="",IF(ISNUMBER(SEARCH("NOT NULL",UPPER(O$3))),"''","null"),SUBSTITUTE(VLOOKUP(O$2,convert!$A$1:$B$4,2,0),"@@@",O401))</f>
        <v>TRUE</v>
      </c>
      <c r="AE401" s="4" t="str">
        <f t="shared" si="6"/>
        <v>    ('0320N01', 'ホエルコ', 130, 70, 35, 70, 35, 60, '', 'water', null, 'g3', null, null, TRUE),</v>
      </c>
    </row>
    <row r="402" spans="1:31">
      <c r="A402" s="4" t="s">
        <v>815</v>
      </c>
      <c r="B402" s="4" t="s">
        <v>816</v>
      </c>
      <c r="C402" s="5">
        <v>170</v>
      </c>
      <c r="D402" s="5">
        <v>90</v>
      </c>
      <c r="E402" s="5">
        <v>45</v>
      </c>
      <c r="F402" s="5">
        <v>90</v>
      </c>
      <c r="G402" s="5">
        <v>45</v>
      </c>
      <c r="H402" s="5">
        <v>60</v>
      </c>
      <c r="I402" s="5"/>
      <c r="J402" s="4" t="s">
        <v>55</v>
      </c>
      <c r="K402" s="5"/>
      <c r="L402" s="4" t="s">
        <v>656</v>
      </c>
      <c r="M402" s="5"/>
      <c r="N402" s="5"/>
      <c r="O402" s="5" t="b">
        <v>1</v>
      </c>
      <c r="P402" s="4" t="str">
        <f>IF(A402="",IF(ISNUMBER(SEARCH("NOT NULL",UPPER(A$3))),"''","null"),SUBSTITUTE(VLOOKUP(A$2,convert!$A$1:$B$4,2,0),"@@@",A402))</f>
        <v>'0321N01'</v>
      </c>
      <c r="Q402" s="4" t="str">
        <f>IF(B402="",IF(ISNUMBER(SEARCH("NOT NULL",UPPER(B$3))),"''","null"),SUBSTITUTE(VLOOKUP(B$2,convert!$A$1:$B$4,2,0),"@@@",B402))</f>
        <v>'ホエルオー'</v>
      </c>
      <c r="R402" s="4" t="str">
        <f>IF(C402="",IF(ISNUMBER(SEARCH("NOT NULL",UPPER(C$3))),"''","null"),SUBSTITUTE(VLOOKUP(C$2,convert!$A$1:$B$4,2,0),"@@@",C402))</f>
        <v>170</v>
      </c>
      <c r="S402" s="4" t="str">
        <f>IF(D402="",IF(ISNUMBER(SEARCH("NOT NULL",UPPER(D$3))),"''","null"),SUBSTITUTE(VLOOKUP(D$2,convert!$A$1:$B$4,2,0),"@@@",D402))</f>
        <v>90</v>
      </c>
      <c r="T402" s="4" t="str">
        <f>IF(E402="",IF(ISNUMBER(SEARCH("NOT NULL",UPPER(E$3))),"''","null"),SUBSTITUTE(VLOOKUP(E$2,convert!$A$1:$B$4,2,0),"@@@",E402))</f>
        <v>45</v>
      </c>
      <c r="U402" s="4" t="str">
        <f>IF(F402="",IF(ISNUMBER(SEARCH("NOT NULL",UPPER(F$3))),"''","null"),SUBSTITUTE(VLOOKUP(F$2,convert!$A$1:$B$4,2,0),"@@@",F402))</f>
        <v>90</v>
      </c>
      <c r="V402" s="4" t="str">
        <f>IF(G402="",IF(ISNUMBER(SEARCH("NOT NULL",UPPER(G$3))),"''","null"),SUBSTITUTE(VLOOKUP(G$2,convert!$A$1:$B$4,2,0),"@@@",G402))</f>
        <v>45</v>
      </c>
      <c r="W402" s="4" t="str">
        <f>IF(H402="",IF(ISNUMBER(SEARCH("NOT NULL",UPPER(H$3))),"''","null"),SUBSTITUTE(VLOOKUP(H$2,convert!$A$1:$B$4,2,0),"@@@",H402))</f>
        <v>60</v>
      </c>
      <c r="X402" s="4" t="str">
        <f>IF(I402="",IF(ISNUMBER(SEARCH("NOT NULL",UPPER(I$3))),"''","null"),SUBSTITUTE(VLOOKUP(I$2,convert!$A$1:$B$4,2,0),"@@@",I402))</f>
        <v>''</v>
      </c>
      <c r="Y402" s="4" t="str">
        <f>IF(J402="",IF(ISNUMBER(SEARCH("NOT NULL",UPPER(J$3))),"''","null"),SUBSTITUTE(VLOOKUP(J$2,convert!$A$1:$B$4,2,0),"@@@",J402))</f>
        <v>'water'</v>
      </c>
      <c r="Z402" s="4" t="str">
        <f>IF(K402="",IF(ISNUMBER(SEARCH("NOT NULL",UPPER(K$3))),"''","null"),SUBSTITUTE(VLOOKUP(K$2,convert!$A$1:$B$4,2,0),"@@@",K402))</f>
        <v>null</v>
      </c>
      <c r="AA402" s="4" t="str">
        <f>IF(L402="",IF(ISNUMBER(SEARCH("NOT NULL",UPPER(L$3))),"''","null"),SUBSTITUTE(VLOOKUP(L$2,convert!$A$1:$B$4,2,0),"@@@",L402))</f>
        <v>'g3'</v>
      </c>
      <c r="AB402" s="4" t="str">
        <f>IF(M402="",IF(ISNUMBER(SEARCH("NOT NULL",UPPER(M$3))),"''","null"),SUBSTITUTE(VLOOKUP(M$2,convert!$A$1:$B$4,2,0),"@@@",M402))</f>
        <v>null</v>
      </c>
      <c r="AC402" s="4" t="str">
        <f>IF(N402="",IF(ISNUMBER(SEARCH("NOT NULL",UPPER(N$3))),"''","null"),SUBSTITUTE(VLOOKUP(N$2,convert!$A$1:$B$4,2,0),"@@@",N402))</f>
        <v>null</v>
      </c>
      <c r="AD402" s="4" t="str">
        <f>IF(O402="",IF(ISNUMBER(SEARCH("NOT NULL",UPPER(O$3))),"''","null"),SUBSTITUTE(VLOOKUP(O$2,convert!$A$1:$B$4,2,0),"@@@",O402))</f>
        <v>TRUE</v>
      </c>
      <c r="AE402" s="4" t="str">
        <f t="shared" si="6"/>
        <v>    ('0321N01', 'ホエルオー', 170, 90, 45, 90, 45, 60, '', 'water', null, 'g3', null, null, TRUE),</v>
      </c>
    </row>
    <row r="403" spans="1:31">
      <c r="A403" s="4" t="s">
        <v>817</v>
      </c>
      <c r="B403" s="4" t="s">
        <v>818</v>
      </c>
      <c r="C403" s="5">
        <v>60</v>
      </c>
      <c r="D403" s="5">
        <v>60</v>
      </c>
      <c r="E403" s="5">
        <v>40</v>
      </c>
      <c r="F403" s="5">
        <v>65</v>
      </c>
      <c r="G403" s="5">
        <v>45</v>
      </c>
      <c r="H403" s="5">
        <v>35</v>
      </c>
      <c r="I403" s="5"/>
      <c r="J403" s="4" t="s">
        <v>42</v>
      </c>
      <c r="K403" s="4" t="s">
        <v>116</v>
      </c>
      <c r="L403" s="4" t="s">
        <v>656</v>
      </c>
      <c r="M403" s="5"/>
      <c r="N403" s="5"/>
      <c r="O403" s="5" t="b">
        <v>1</v>
      </c>
      <c r="P403" s="4" t="str">
        <f>IF(A403="",IF(ISNUMBER(SEARCH("NOT NULL",UPPER(A$3))),"''","null"),SUBSTITUTE(VLOOKUP(A$2,convert!$A$1:$B$4,2,0),"@@@",A403))</f>
        <v>'0322N01'</v>
      </c>
      <c r="Q403" s="4" t="str">
        <f>IF(B403="",IF(ISNUMBER(SEARCH("NOT NULL",UPPER(B$3))),"''","null"),SUBSTITUTE(VLOOKUP(B$2,convert!$A$1:$B$4,2,0),"@@@",B403))</f>
        <v>'ドンメル'</v>
      </c>
      <c r="R403" s="4" t="str">
        <f>IF(C403="",IF(ISNUMBER(SEARCH("NOT NULL",UPPER(C$3))),"''","null"),SUBSTITUTE(VLOOKUP(C$2,convert!$A$1:$B$4,2,0),"@@@",C403))</f>
        <v>60</v>
      </c>
      <c r="S403" s="4" t="str">
        <f>IF(D403="",IF(ISNUMBER(SEARCH("NOT NULL",UPPER(D$3))),"''","null"),SUBSTITUTE(VLOOKUP(D$2,convert!$A$1:$B$4,2,0),"@@@",D403))</f>
        <v>60</v>
      </c>
      <c r="T403" s="4" t="str">
        <f>IF(E403="",IF(ISNUMBER(SEARCH("NOT NULL",UPPER(E$3))),"''","null"),SUBSTITUTE(VLOOKUP(E$2,convert!$A$1:$B$4,2,0),"@@@",E403))</f>
        <v>40</v>
      </c>
      <c r="U403" s="4" t="str">
        <f>IF(F403="",IF(ISNUMBER(SEARCH("NOT NULL",UPPER(F$3))),"''","null"),SUBSTITUTE(VLOOKUP(F$2,convert!$A$1:$B$4,2,0),"@@@",F403))</f>
        <v>65</v>
      </c>
      <c r="V403" s="4" t="str">
        <f>IF(G403="",IF(ISNUMBER(SEARCH("NOT NULL",UPPER(G$3))),"''","null"),SUBSTITUTE(VLOOKUP(G$2,convert!$A$1:$B$4,2,0),"@@@",G403))</f>
        <v>45</v>
      </c>
      <c r="W403" s="4" t="str">
        <f>IF(H403="",IF(ISNUMBER(SEARCH("NOT NULL",UPPER(H$3))),"''","null"),SUBSTITUTE(VLOOKUP(H$2,convert!$A$1:$B$4,2,0),"@@@",H403))</f>
        <v>35</v>
      </c>
      <c r="X403" s="4" t="str">
        <f>IF(I403="",IF(ISNUMBER(SEARCH("NOT NULL",UPPER(I$3))),"''","null"),SUBSTITUTE(VLOOKUP(I$2,convert!$A$1:$B$4,2,0),"@@@",I403))</f>
        <v>''</v>
      </c>
      <c r="Y403" s="4" t="str">
        <f>IF(J403="",IF(ISNUMBER(SEARCH("NOT NULL",UPPER(J$3))),"''","null"),SUBSTITUTE(VLOOKUP(J$2,convert!$A$1:$B$4,2,0),"@@@",J403))</f>
        <v>'fire'</v>
      </c>
      <c r="Z403" s="4" t="str">
        <f>IF(K403="",IF(ISNUMBER(SEARCH("NOT NULL",UPPER(K$3))),"''","null"),SUBSTITUTE(VLOOKUP(K$2,convert!$A$1:$B$4,2,0),"@@@",K403))</f>
        <v>'ground'</v>
      </c>
      <c r="AA403" s="4" t="str">
        <f>IF(L403="",IF(ISNUMBER(SEARCH("NOT NULL",UPPER(L$3))),"''","null"),SUBSTITUTE(VLOOKUP(L$2,convert!$A$1:$B$4,2,0),"@@@",L403))</f>
        <v>'g3'</v>
      </c>
      <c r="AB403" s="4" t="str">
        <f>IF(M403="",IF(ISNUMBER(SEARCH("NOT NULL",UPPER(M$3))),"''","null"),SUBSTITUTE(VLOOKUP(M$2,convert!$A$1:$B$4,2,0),"@@@",M403))</f>
        <v>null</v>
      </c>
      <c r="AC403" s="4" t="str">
        <f>IF(N403="",IF(ISNUMBER(SEARCH("NOT NULL",UPPER(N$3))),"''","null"),SUBSTITUTE(VLOOKUP(N$2,convert!$A$1:$B$4,2,0),"@@@",N403))</f>
        <v>null</v>
      </c>
      <c r="AD403" s="4" t="str">
        <f>IF(O403="",IF(ISNUMBER(SEARCH("NOT NULL",UPPER(O$3))),"''","null"),SUBSTITUTE(VLOOKUP(O$2,convert!$A$1:$B$4,2,0),"@@@",O403))</f>
        <v>TRUE</v>
      </c>
      <c r="AE403" s="4" t="str">
        <f t="shared" si="6"/>
        <v>    ('0322N01', 'ドンメル', 60, 60, 40, 65, 45, 35, '', 'fire', 'ground', 'g3', null, null, TRUE),</v>
      </c>
    </row>
    <row r="404" spans="1:31">
      <c r="A404" s="4" t="s">
        <v>819</v>
      </c>
      <c r="B404" s="4" t="s">
        <v>820</v>
      </c>
      <c r="C404" s="5">
        <v>70</v>
      </c>
      <c r="D404" s="5">
        <v>100</v>
      </c>
      <c r="E404" s="5">
        <v>70</v>
      </c>
      <c r="F404" s="5">
        <v>105</v>
      </c>
      <c r="G404" s="5">
        <v>75</v>
      </c>
      <c r="H404" s="5">
        <v>40</v>
      </c>
      <c r="I404" s="5"/>
      <c r="J404" s="4" t="s">
        <v>42</v>
      </c>
      <c r="K404" s="4" t="s">
        <v>116</v>
      </c>
      <c r="L404" s="4" t="s">
        <v>656</v>
      </c>
      <c r="M404" s="5"/>
      <c r="N404" s="5"/>
      <c r="O404" s="5" t="b">
        <v>1</v>
      </c>
      <c r="P404" s="4" t="str">
        <f>IF(A404="",IF(ISNUMBER(SEARCH("NOT NULL",UPPER(A$3))),"''","null"),SUBSTITUTE(VLOOKUP(A$2,convert!$A$1:$B$4,2,0),"@@@",A404))</f>
        <v>'0323N01'</v>
      </c>
      <c r="Q404" s="4" t="str">
        <f>IF(B404="",IF(ISNUMBER(SEARCH("NOT NULL",UPPER(B$3))),"''","null"),SUBSTITUTE(VLOOKUP(B$2,convert!$A$1:$B$4,2,0),"@@@",B404))</f>
        <v>'バクーダ'</v>
      </c>
      <c r="R404" s="4" t="str">
        <f>IF(C404="",IF(ISNUMBER(SEARCH("NOT NULL",UPPER(C$3))),"''","null"),SUBSTITUTE(VLOOKUP(C$2,convert!$A$1:$B$4,2,0),"@@@",C404))</f>
        <v>70</v>
      </c>
      <c r="S404" s="4" t="str">
        <f>IF(D404="",IF(ISNUMBER(SEARCH("NOT NULL",UPPER(D$3))),"''","null"),SUBSTITUTE(VLOOKUP(D$2,convert!$A$1:$B$4,2,0),"@@@",D404))</f>
        <v>100</v>
      </c>
      <c r="T404" s="4" t="str">
        <f>IF(E404="",IF(ISNUMBER(SEARCH("NOT NULL",UPPER(E$3))),"''","null"),SUBSTITUTE(VLOOKUP(E$2,convert!$A$1:$B$4,2,0),"@@@",E404))</f>
        <v>70</v>
      </c>
      <c r="U404" s="4" t="str">
        <f>IF(F404="",IF(ISNUMBER(SEARCH("NOT NULL",UPPER(F$3))),"''","null"),SUBSTITUTE(VLOOKUP(F$2,convert!$A$1:$B$4,2,0),"@@@",F404))</f>
        <v>105</v>
      </c>
      <c r="V404" s="4" t="str">
        <f>IF(G404="",IF(ISNUMBER(SEARCH("NOT NULL",UPPER(G$3))),"''","null"),SUBSTITUTE(VLOOKUP(G$2,convert!$A$1:$B$4,2,0),"@@@",G404))</f>
        <v>75</v>
      </c>
      <c r="W404" s="4" t="str">
        <f>IF(H404="",IF(ISNUMBER(SEARCH("NOT NULL",UPPER(H$3))),"''","null"),SUBSTITUTE(VLOOKUP(H$2,convert!$A$1:$B$4,2,0),"@@@",H404))</f>
        <v>40</v>
      </c>
      <c r="X404" s="4" t="str">
        <f>IF(I404="",IF(ISNUMBER(SEARCH("NOT NULL",UPPER(I$3))),"''","null"),SUBSTITUTE(VLOOKUP(I$2,convert!$A$1:$B$4,2,0),"@@@",I404))</f>
        <v>''</v>
      </c>
      <c r="Y404" s="4" t="str">
        <f>IF(J404="",IF(ISNUMBER(SEARCH("NOT NULL",UPPER(J$3))),"''","null"),SUBSTITUTE(VLOOKUP(J$2,convert!$A$1:$B$4,2,0),"@@@",J404))</f>
        <v>'fire'</v>
      </c>
      <c r="Z404" s="4" t="str">
        <f>IF(K404="",IF(ISNUMBER(SEARCH("NOT NULL",UPPER(K$3))),"''","null"),SUBSTITUTE(VLOOKUP(K$2,convert!$A$1:$B$4,2,0),"@@@",K404))</f>
        <v>'ground'</v>
      </c>
      <c r="AA404" s="4" t="str">
        <f>IF(L404="",IF(ISNUMBER(SEARCH("NOT NULL",UPPER(L$3))),"''","null"),SUBSTITUTE(VLOOKUP(L$2,convert!$A$1:$B$4,2,0),"@@@",L404))</f>
        <v>'g3'</v>
      </c>
      <c r="AB404" s="4" t="str">
        <f>IF(M404="",IF(ISNUMBER(SEARCH("NOT NULL",UPPER(M$3))),"''","null"),SUBSTITUTE(VLOOKUP(M$2,convert!$A$1:$B$4,2,0),"@@@",M404))</f>
        <v>null</v>
      </c>
      <c r="AC404" s="4" t="str">
        <f>IF(N404="",IF(ISNUMBER(SEARCH("NOT NULL",UPPER(N$3))),"''","null"),SUBSTITUTE(VLOOKUP(N$2,convert!$A$1:$B$4,2,0),"@@@",N404))</f>
        <v>null</v>
      </c>
      <c r="AD404" s="4" t="str">
        <f>IF(O404="",IF(ISNUMBER(SEARCH("NOT NULL",UPPER(O$3))),"''","null"),SUBSTITUTE(VLOOKUP(O$2,convert!$A$1:$B$4,2,0),"@@@",O404))</f>
        <v>TRUE</v>
      </c>
      <c r="AE404" s="4" t="str">
        <f t="shared" si="6"/>
        <v>    ('0323N01', 'バクーダ', 70, 100, 70, 105, 75, 40, '', 'fire', 'ground', 'g3', null, null, TRUE),</v>
      </c>
    </row>
    <row r="405" spans="1:31">
      <c r="A405" s="4" t="s">
        <v>821</v>
      </c>
      <c r="B405" s="4" t="s">
        <v>822</v>
      </c>
      <c r="C405" s="5">
        <v>70</v>
      </c>
      <c r="D405" s="5">
        <v>120</v>
      </c>
      <c r="E405" s="5">
        <v>100</v>
      </c>
      <c r="F405" s="5">
        <v>145</v>
      </c>
      <c r="G405" s="5">
        <v>105</v>
      </c>
      <c r="H405" s="5">
        <v>20</v>
      </c>
      <c r="I405" s="5"/>
      <c r="J405" s="4" t="s">
        <v>42</v>
      </c>
      <c r="K405" s="4" t="s">
        <v>116</v>
      </c>
      <c r="L405" s="4" t="s">
        <v>77</v>
      </c>
      <c r="M405" s="5"/>
      <c r="N405" s="5"/>
      <c r="O405" s="5" t="b">
        <v>0</v>
      </c>
      <c r="P405" s="4" t="str">
        <f>IF(A405="",IF(ISNUMBER(SEARCH("NOT NULL",UPPER(A$3))),"''","null"),SUBSTITUTE(VLOOKUP(A$2,convert!$A$1:$B$4,2,0),"@@@",A405))</f>
        <v>'0323M01'</v>
      </c>
      <c r="Q405" s="4" t="str">
        <f>IF(B405="",IF(ISNUMBER(SEARCH("NOT NULL",UPPER(B$3))),"''","null"),SUBSTITUTE(VLOOKUP(B$2,convert!$A$1:$B$4,2,0),"@@@",B405))</f>
        <v>'メガバクーダ'</v>
      </c>
      <c r="R405" s="4" t="str">
        <f>IF(C405="",IF(ISNUMBER(SEARCH("NOT NULL",UPPER(C$3))),"''","null"),SUBSTITUTE(VLOOKUP(C$2,convert!$A$1:$B$4,2,0),"@@@",C405))</f>
        <v>70</v>
      </c>
      <c r="S405" s="4" t="str">
        <f>IF(D405="",IF(ISNUMBER(SEARCH("NOT NULL",UPPER(D$3))),"''","null"),SUBSTITUTE(VLOOKUP(D$2,convert!$A$1:$B$4,2,0),"@@@",D405))</f>
        <v>120</v>
      </c>
      <c r="T405" s="4" t="str">
        <f>IF(E405="",IF(ISNUMBER(SEARCH("NOT NULL",UPPER(E$3))),"''","null"),SUBSTITUTE(VLOOKUP(E$2,convert!$A$1:$B$4,2,0),"@@@",E405))</f>
        <v>100</v>
      </c>
      <c r="U405" s="4" t="str">
        <f>IF(F405="",IF(ISNUMBER(SEARCH("NOT NULL",UPPER(F$3))),"''","null"),SUBSTITUTE(VLOOKUP(F$2,convert!$A$1:$B$4,2,0),"@@@",F405))</f>
        <v>145</v>
      </c>
      <c r="V405" s="4" t="str">
        <f>IF(G405="",IF(ISNUMBER(SEARCH("NOT NULL",UPPER(G$3))),"''","null"),SUBSTITUTE(VLOOKUP(G$2,convert!$A$1:$B$4,2,0),"@@@",G405))</f>
        <v>105</v>
      </c>
      <c r="W405" s="4" t="str">
        <f>IF(H405="",IF(ISNUMBER(SEARCH("NOT NULL",UPPER(H$3))),"''","null"),SUBSTITUTE(VLOOKUP(H$2,convert!$A$1:$B$4,2,0),"@@@",H405))</f>
        <v>20</v>
      </c>
      <c r="X405" s="4" t="str">
        <f>IF(I405="",IF(ISNUMBER(SEARCH("NOT NULL",UPPER(I$3))),"''","null"),SUBSTITUTE(VLOOKUP(I$2,convert!$A$1:$B$4,2,0),"@@@",I405))</f>
        <v>''</v>
      </c>
      <c r="Y405" s="4" t="str">
        <f>IF(J405="",IF(ISNUMBER(SEARCH("NOT NULL",UPPER(J$3))),"''","null"),SUBSTITUTE(VLOOKUP(J$2,convert!$A$1:$B$4,2,0),"@@@",J405))</f>
        <v>'fire'</v>
      </c>
      <c r="Z405" s="4" t="str">
        <f>IF(K405="",IF(ISNUMBER(SEARCH("NOT NULL",UPPER(K$3))),"''","null"),SUBSTITUTE(VLOOKUP(K$2,convert!$A$1:$B$4,2,0),"@@@",K405))</f>
        <v>'ground'</v>
      </c>
      <c r="AA405" s="4" t="str">
        <f>IF(L405="",IF(ISNUMBER(SEARCH("NOT NULL",UPPER(L$3))),"''","null"),SUBSTITUTE(VLOOKUP(L$2,convert!$A$1:$B$4,2,0),"@@@",L405))</f>
        <v>'g6oras'</v>
      </c>
      <c r="AB405" s="4" t="str">
        <f>IF(M405="",IF(ISNUMBER(SEARCH("NOT NULL",UPPER(M$3))),"''","null"),SUBSTITUTE(VLOOKUP(M$2,convert!$A$1:$B$4,2,0),"@@@",M405))</f>
        <v>null</v>
      </c>
      <c r="AC405" s="4" t="str">
        <f>IF(N405="",IF(ISNUMBER(SEARCH("NOT NULL",UPPER(N$3))),"''","null"),SUBSTITUTE(VLOOKUP(N$2,convert!$A$1:$B$4,2,0),"@@@",N405))</f>
        <v>null</v>
      </c>
      <c r="AD405" s="4" t="str">
        <f>IF(O405="",IF(ISNUMBER(SEARCH("NOT NULL",UPPER(O$3))),"''","null"),SUBSTITUTE(VLOOKUP(O$2,convert!$A$1:$B$4,2,0),"@@@",O405))</f>
        <v>FALSE</v>
      </c>
      <c r="AE405" s="4" t="str">
        <f t="shared" si="6"/>
        <v>    ('0323M01', 'メガバクーダ', 70, 120, 100, 145, 105, 20, '', 'fire', 'ground', 'g6oras', null, null, FALSE),</v>
      </c>
    </row>
    <row r="406" spans="1:31">
      <c r="A406" s="4" t="s">
        <v>823</v>
      </c>
      <c r="B406" s="4" t="s">
        <v>824</v>
      </c>
      <c r="C406" s="5">
        <v>70</v>
      </c>
      <c r="D406" s="5">
        <v>85</v>
      </c>
      <c r="E406" s="5">
        <v>140</v>
      </c>
      <c r="F406" s="5">
        <v>85</v>
      </c>
      <c r="G406" s="5">
        <v>70</v>
      </c>
      <c r="H406" s="5">
        <v>20</v>
      </c>
      <c r="I406" s="5"/>
      <c r="J406" s="4" t="s">
        <v>42</v>
      </c>
      <c r="K406" s="5"/>
      <c r="L406" s="4" t="s">
        <v>656</v>
      </c>
      <c r="M406" s="5"/>
      <c r="N406" s="5"/>
      <c r="O406" s="5" t="b">
        <v>1</v>
      </c>
      <c r="P406" s="4" t="str">
        <f>IF(A406="",IF(ISNUMBER(SEARCH("NOT NULL",UPPER(A$3))),"''","null"),SUBSTITUTE(VLOOKUP(A$2,convert!$A$1:$B$4,2,0),"@@@",A406))</f>
        <v>'0324N01'</v>
      </c>
      <c r="Q406" s="4" t="str">
        <f>IF(B406="",IF(ISNUMBER(SEARCH("NOT NULL",UPPER(B$3))),"''","null"),SUBSTITUTE(VLOOKUP(B$2,convert!$A$1:$B$4,2,0),"@@@",B406))</f>
        <v>'コータス'</v>
      </c>
      <c r="R406" s="4" t="str">
        <f>IF(C406="",IF(ISNUMBER(SEARCH("NOT NULL",UPPER(C$3))),"''","null"),SUBSTITUTE(VLOOKUP(C$2,convert!$A$1:$B$4,2,0),"@@@",C406))</f>
        <v>70</v>
      </c>
      <c r="S406" s="4" t="str">
        <f>IF(D406="",IF(ISNUMBER(SEARCH("NOT NULL",UPPER(D$3))),"''","null"),SUBSTITUTE(VLOOKUP(D$2,convert!$A$1:$B$4,2,0),"@@@",D406))</f>
        <v>85</v>
      </c>
      <c r="T406" s="4" t="str">
        <f>IF(E406="",IF(ISNUMBER(SEARCH("NOT NULL",UPPER(E$3))),"''","null"),SUBSTITUTE(VLOOKUP(E$2,convert!$A$1:$B$4,2,0),"@@@",E406))</f>
        <v>140</v>
      </c>
      <c r="U406" s="4" t="str">
        <f>IF(F406="",IF(ISNUMBER(SEARCH("NOT NULL",UPPER(F$3))),"''","null"),SUBSTITUTE(VLOOKUP(F$2,convert!$A$1:$B$4,2,0),"@@@",F406))</f>
        <v>85</v>
      </c>
      <c r="V406" s="4" t="str">
        <f>IF(G406="",IF(ISNUMBER(SEARCH("NOT NULL",UPPER(G$3))),"''","null"),SUBSTITUTE(VLOOKUP(G$2,convert!$A$1:$B$4,2,0),"@@@",G406))</f>
        <v>70</v>
      </c>
      <c r="W406" s="4" t="str">
        <f>IF(H406="",IF(ISNUMBER(SEARCH("NOT NULL",UPPER(H$3))),"''","null"),SUBSTITUTE(VLOOKUP(H$2,convert!$A$1:$B$4,2,0),"@@@",H406))</f>
        <v>20</v>
      </c>
      <c r="X406" s="4" t="str">
        <f>IF(I406="",IF(ISNUMBER(SEARCH("NOT NULL",UPPER(I$3))),"''","null"),SUBSTITUTE(VLOOKUP(I$2,convert!$A$1:$B$4,2,0),"@@@",I406))</f>
        <v>''</v>
      </c>
      <c r="Y406" s="4" t="str">
        <f>IF(J406="",IF(ISNUMBER(SEARCH("NOT NULL",UPPER(J$3))),"''","null"),SUBSTITUTE(VLOOKUP(J$2,convert!$A$1:$B$4,2,0),"@@@",J406))</f>
        <v>'fire'</v>
      </c>
      <c r="Z406" s="4" t="str">
        <f>IF(K406="",IF(ISNUMBER(SEARCH("NOT NULL",UPPER(K$3))),"''","null"),SUBSTITUTE(VLOOKUP(K$2,convert!$A$1:$B$4,2,0),"@@@",K406))</f>
        <v>null</v>
      </c>
      <c r="AA406" s="4" t="str">
        <f>IF(L406="",IF(ISNUMBER(SEARCH("NOT NULL",UPPER(L$3))),"''","null"),SUBSTITUTE(VLOOKUP(L$2,convert!$A$1:$B$4,2,0),"@@@",L406))</f>
        <v>'g3'</v>
      </c>
      <c r="AB406" s="4" t="str">
        <f>IF(M406="",IF(ISNUMBER(SEARCH("NOT NULL",UPPER(M$3))),"''","null"),SUBSTITUTE(VLOOKUP(M$2,convert!$A$1:$B$4,2,0),"@@@",M406))</f>
        <v>null</v>
      </c>
      <c r="AC406" s="4" t="str">
        <f>IF(N406="",IF(ISNUMBER(SEARCH("NOT NULL",UPPER(N$3))),"''","null"),SUBSTITUTE(VLOOKUP(N$2,convert!$A$1:$B$4,2,0),"@@@",N406))</f>
        <v>null</v>
      </c>
      <c r="AD406" s="4" t="str">
        <f>IF(O406="",IF(ISNUMBER(SEARCH("NOT NULL",UPPER(O$3))),"''","null"),SUBSTITUTE(VLOOKUP(O$2,convert!$A$1:$B$4,2,0),"@@@",O406))</f>
        <v>TRUE</v>
      </c>
      <c r="AE406" s="4" t="str">
        <f t="shared" si="6"/>
        <v>    ('0324N01', 'コータス', 70, 85, 140, 85, 70, 20, '', 'fire', null, 'g3', null, null, TRUE),</v>
      </c>
    </row>
    <row r="407" spans="1:31">
      <c r="A407" s="4" t="s">
        <v>825</v>
      </c>
      <c r="B407" s="4" t="s">
        <v>826</v>
      </c>
      <c r="C407" s="5">
        <v>60</v>
      </c>
      <c r="D407" s="5">
        <v>25</v>
      </c>
      <c r="E407" s="5">
        <v>35</v>
      </c>
      <c r="F407" s="5">
        <v>70</v>
      </c>
      <c r="G407" s="5">
        <v>80</v>
      </c>
      <c r="H407" s="5">
        <v>60</v>
      </c>
      <c r="I407" s="5"/>
      <c r="J407" s="4" t="s">
        <v>113</v>
      </c>
      <c r="K407" s="5"/>
      <c r="L407" s="4" t="s">
        <v>656</v>
      </c>
      <c r="M407" s="5"/>
      <c r="N407" s="5"/>
      <c r="O407" s="5" t="b">
        <v>1</v>
      </c>
      <c r="P407" s="4" t="str">
        <f>IF(A407="",IF(ISNUMBER(SEARCH("NOT NULL",UPPER(A$3))),"''","null"),SUBSTITUTE(VLOOKUP(A$2,convert!$A$1:$B$4,2,0),"@@@",A407))</f>
        <v>'0325N01'</v>
      </c>
      <c r="Q407" s="4" t="str">
        <f>IF(B407="",IF(ISNUMBER(SEARCH("NOT NULL",UPPER(B$3))),"''","null"),SUBSTITUTE(VLOOKUP(B$2,convert!$A$1:$B$4,2,0),"@@@",B407))</f>
        <v>'バネブー'</v>
      </c>
      <c r="R407" s="4" t="str">
        <f>IF(C407="",IF(ISNUMBER(SEARCH("NOT NULL",UPPER(C$3))),"''","null"),SUBSTITUTE(VLOOKUP(C$2,convert!$A$1:$B$4,2,0),"@@@",C407))</f>
        <v>60</v>
      </c>
      <c r="S407" s="4" t="str">
        <f>IF(D407="",IF(ISNUMBER(SEARCH("NOT NULL",UPPER(D$3))),"''","null"),SUBSTITUTE(VLOOKUP(D$2,convert!$A$1:$B$4,2,0),"@@@",D407))</f>
        <v>25</v>
      </c>
      <c r="T407" s="4" t="str">
        <f>IF(E407="",IF(ISNUMBER(SEARCH("NOT NULL",UPPER(E$3))),"''","null"),SUBSTITUTE(VLOOKUP(E$2,convert!$A$1:$B$4,2,0),"@@@",E407))</f>
        <v>35</v>
      </c>
      <c r="U407" s="4" t="str">
        <f>IF(F407="",IF(ISNUMBER(SEARCH("NOT NULL",UPPER(F$3))),"''","null"),SUBSTITUTE(VLOOKUP(F$2,convert!$A$1:$B$4,2,0),"@@@",F407))</f>
        <v>70</v>
      </c>
      <c r="V407" s="4" t="str">
        <f>IF(G407="",IF(ISNUMBER(SEARCH("NOT NULL",UPPER(G$3))),"''","null"),SUBSTITUTE(VLOOKUP(G$2,convert!$A$1:$B$4,2,0),"@@@",G407))</f>
        <v>80</v>
      </c>
      <c r="W407" s="4" t="str">
        <f>IF(H407="",IF(ISNUMBER(SEARCH("NOT NULL",UPPER(H$3))),"''","null"),SUBSTITUTE(VLOOKUP(H$2,convert!$A$1:$B$4,2,0),"@@@",H407))</f>
        <v>60</v>
      </c>
      <c r="X407" s="4" t="str">
        <f>IF(I407="",IF(ISNUMBER(SEARCH("NOT NULL",UPPER(I$3))),"''","null"),SUBSTITUTE(VLOOKUP(I$2,convert!$A$1:$B$4,2,0),"@@@",I407))</f>
        <v>''</v>
      </c>
      <c r="Y407" s="4" t="str">
        <f>IF(J407="",IF(ISNUMBER(SEARCH("NOT NULL",UPPER(J$3))),"''","null"),SUBSTITUTE(VLOOKUP(J$2,convert!$A$1:$B$4,2,0),"@@@",J407))</f>
        <v>'psychic'</v>
      </c>
      <c r="Z407" s="4" t="str">
        <f>IF(K407="",IF(ISNUMBER(SEARCH("NOT NULL",UPPER(K$3))),"''","null"),SUBSTITUTE(VLOOKUP(K$2,convert!$A$1:$B$4,2,0),"@@@",K407))</f>
        <v>null</v>
      </c>
      <c r="AA407" s="4" t="str">
        <f>IF(L407="",IF(ISNUMBER(SEARCH("NOT NULL",UPPER(L$3))),"''","null"),SUBSTITUTE(VLOOKUP(L$2,convert!$A$1:$B$4,2,0),"@@@",L407))</f>
        <v>'g3'</v>
      </c>
      <c r="AB407" s="4" t="str">
        <f>IF(M407="",IF(ISNUMBER(SEARCH("NOT NULL",UPPER(M$3))),"''","null"),SUBSTITUTE(VLOOKUP(M$2,convert!$A$1:$B$4,2,0),"@@@",M407))</f>
        <v>null</v>
      </c>
      <c r="AC407" s="4" t="str">
        <f>IF(N407="",IF(ISNUMBER(SEARCH("NOT NULL",UPPER(N$3))),"''","null"),SUBSTITUTE(VLOOKUP(N$2,convert!$A$1:$B$4,2,0),"@@@",N407))</f>
        <v>null</v>
      </c>
      <c r="AD407" s="4" t="str">
        <f>IF(O407="",IF(ISNUMBER(SEARCH("NOT NULL",UPPER(O$3))),"''","null"),SUBSTITUTE(VLOOKUP(O$2,convert!$A$1:$B$4,2,0),"@@@",O407))</f>
        <v>TRUE</v>
      </c>
      <c r="AE407" s="4" t="str">
        <f t="shared" si="6"/>
        <v>    ('0325N01', 'バネブー', 60, 25, 35, 70, 80, 60, '', 'psychic', null, 'g3', null, null, TRUE),</v>
      </c>
    </row>
    <row r="408" spans="1:31">
      <c r="A408" s="4" t="s">
        <v>827</v>
      </c>
      <c r="B408" s="4" t="s">
        <v>828</v>
      </c>
      <c r="C408" s="5">
        <v>80</v>
      </c>
      <c r="D408" s="5">
        <v>45</v>
      </c>
      <c r="E408" s="5">
        <v>65</v>
      </c>
      <c r="F408" s="5">
        <v>90</v>
      </c>
      <c r="G408" s="5">
        <v>110</v>
      </c>
      <c r="H408" s="5">
        <v>80</v>
      </c>
      <c r="I408" s="5"/>
      <c r="J408" s="4" t="s">
        <v>113</v>
      </c>
      <c r="K408" s="5"/>
      <c r="L408" s="4" t="s">
        <v>656</v>
      </c>
      <c r="M408" s="5"/>
      <c r="N408" s="5"/>
      <c r="O408" s="5" t="b">
        <v>1</v>
      </c>
      <c r="P408" s="4" t="str">
        <f>IF(A408="",IF(ISNUMBER(SEARCH("NOT NULL",UPPER(A$3))),"''","null"),SUBSTITUTE(VLOOKUP(A$2,convert!$A$1:$B$4,2,0),"@@@",A408))</f>
        <v>'0326N01'</v>
      </c>
      <c r="Q408" s="4" t="str">
        <f>IF(B408="",IF(ISNUMBER(SEARCH("NOT NULL",UPPER(B$3))),"''","null"),SUBSTITUTE(VLOOKUP(B$2,convert!$A$1:$B$4,2,0),"@@@",B408))</f>
        <v>'ブーピッグ'</v>
      </c>
      <c r="R408" s="4" t="str">
        <f>IF(C408="",IF(ISNUMBER(SEARCH("NOT NULL",UPPER(C$3))),"''","null"),SUBSTITUTE(VLOOKUP(C$2,convert!$A$1:$B$4,2,0),"@@@",C408))</f>
        <v>80</v>
      </c>
      <c r="S408" s="4" t="str">
        <f>IF(D408="",IF(ISNUMBER(SEARCH("NOT NULL",UPPER(D$3))),"''","null"),SUBSTITUTE(VLOOKUP(D$2,convert!$A$1:$B$4,2,0),"@@@",D408))</f>
        <v>45</v>
      </c>
      <c r="T408" s="4" t="str">
        <f>IF(E408="",IF(ISNUMBER(SEARCH("NOT NULL",UPPER(E$3))),"''","null"),SUBSTITUTE(VLOOKUP(E$2,convert!$A$1:$B$4,2,0),"@@@",E408))</f>
        <v>65</v>
      </c>
      <c r="U408" s="4" t="str">
        <f>IF(F408="",IF(ISNUMBER(SEARCH("NOT NULL",UPPER(F$3))),"''","null"),SUBSTITUTE(VLOOKUP(F$2,convert!$A$1:$B$4,2,0),"@@@",F408))</f>
        <v>90</v>
      </c>
      <c r="V408" s="4" t="str">
        <f>IF(G408="",IF(ISNUMBER(SEARCH("NOT NULL",UPPER(G$3))),"''","null"),SUBSTITUTE(VLOOKUP(G$2,convert!$A$1:$B$4,2,0),"@@@",G408))</f>
        <v>110</v>
      </c>
      <c r="W408" s="4" t="str">
        <f>IF(H408="",IF(ISNUMBER(SEARCH("NOT NULL",UPPER(H$3))),"''","null"),SUBSTITUTE(VLOOKUP(H$2,convert!$A$1:$B$4,2,0),"@@@",H408))</f>
        <v>80</v>
      </c>
      <c r="X408" s="4" t="str">
        <f>IF(I408="",IF(ISNUMBER(SEARCH("NOT NULL",UPPER(I$3))),"''","null"),SUBSTITUTE(VLOOKUP(I$2,convert!$A$1:$B$4,2,0),"@@@",I408))</f>
        <v>''</v>
      </c>
      <c r="Y408" s="4" t="str">
        <f>IF(J408="",IF(ISNUMBER(SEARCH("NOT NULL",UPPER(J$3))),"''","null"),SUBSTITUTE(VLOOKUP(J$2,convert!$A$1:$B$4,2,0),"@@@",J408))</f>
        <v>'psychic'</v>
      </c>
      <c r="Z408" s="4" t="str">
        <f>IF(K408="",IF(ISNUMBER(SEARCH("NOT NULL",UPPER(K$3))),"''","null"),SUBSTITUTE(VLOOKUP(K$2,convert!$A$1:$B$4,2,0),"@@@",K408))</f>
        <v>null</v>
      </c>
      <c r="AA408" s="4" t="str">
        <f>IF(L408="",IF(ISNUMBER(SEARCH("NOT NULL",UPPER(L$3))),"''","null"),SUBSTITUTE(VLOOKUP(L$2,convert!$A$1:$B$4,2,0),"@@@",L408))</f>
        <v>'g3'</v>
      </c>
      <c r="AB408" s="4" t="str">
        <f>IF(M408="",IF(ISNUMBER(SEARCH("NOT NULL",UPPER(M$3))),"''","null"),SUBSTITUTE(VLOOKUP(M$2,convert!$A$1:$B$4,2,0),"@@@",M408))</f>
        <v>null</v>
      </c>
      <c r="AC408" s="4" t="str">
        <f>IF(N408="",IF(ISNUMBER(SEARCH("NOT NULL",UPPER(N$3))),"''","null"),SUBSTITUTE(VLOOKUP(N$2,convert!$A$1:$B$4,2,0),"@@@",N408))</f>
        <v>null</v>
      </c>
      <c r="AD408" s="4" t="str">
        <f>IF(O408="",IF(ISNUMBER(SEARCH("NOT NULL",UPPER(O$3))),"''","null"),SUBSTITUTE(VLOOKUP(O$2,convert!$A$1:$B$4,2,0),"@@@",O408))</f>
        <v>TRUE</v>
      </c>
      <c r="AE408" s="4" t="str">
        <f t="shared" si="6"/>
        <v>    ('0326N01', 'ブーピッグ', 80, 45, 65, 90, 110, 80, '', 'psychic', null, 'g3', null, null, TRUE),</v>
      </c>
    </row>
    <row r="409" spans="1:31">
      <c r="A409" s="4" t="s">
        <v>829</v>
      </c>
      <c r="B409" s="4" t="s">
        <v>830</v>
      </c>
      <c r="C409" s="5">
        <v>60</v>
      </c>
      <c r="D409" s="5">
        <v>60</v>
      </c>
      <c r="E409" s="5">
        <v>60</v>
      </c>
      <c r="F409" s="5">
        <v>60</v>
      </c>
      <c r="G409" s="5">
        <v>60</v>
      </c>
      <c r="H409" s="5">
        <v>60</v>
      </c>
      <c r="I409" s="5"/>
      <c r="J409" s="4" t="s">
        <v>80</v>
      </c>
      <c r="K409" s="5"/>
      <c r="L409" s="4" t="s">
        <v>656</v>
      </c>
      <c r="M409" s="5"/>
      <c r="N409" s="5"/>
      <c r="O409" s="5" t="b">
        <v>1</v>
      </c>
      <c r="P409" s="4" t="str">
        <f>IF(A409="",IF(ISNUMBER(SEARCH("NOT NULL",UPPER(A$3))),"''","null"),SUBSTITUTE(VLOOKUP(A$2,convert!$A$1:$B$4,2,0),"@@@",A409))</f>
        <v>'0327N01'</v>
      </c>
      <c r="Q409" s="4" t="str">
        <f>IF(B409="",IF(ISNUMBER(SEARCH("NOT NULL",UPPER(B$3))),"''","null"),SUBSTITUTE(VLOOKUP(B$2,convert!$A$1:$B$4,2,0),"@@@",B409))</f>
        <v>'パッチール'</v>
      </c>
      <c r="R409" s="4" t="str">
        <f>IF(C409="",IF(ISNUMBER(SEARCH("NOT NULL",UPPER(C$3))),"''","null"),SUBSTITUTE(VLOOKUP(C$2,convert!$A$1:$B$4,2,0),"@@@",C409))</f>
        <v>60</v>
      </c>
      <c r="S409" s="4" t="str">
        <f>IF(D409="",IF(ISNUMBER(SEARCH("NOT NULL",UPPER(D$3))),"''","null"),SUBSTITUTE(VLOOKUP(D$2,convert!$A$1:$B$4,2,0),"@@@",D409))</f>
        <v>60</v>
      </c>
      <c r="T409" s="4" t="str">
        <f>IF(E409="",IF(ISNUMBER(SEARCH("NOT NULL",UPPER(E$3))),"''","null"),SUBSTITUTE(VLOOKUP(E$2,convert!$A$1:$B$4,2,0),"@@@",E409))</f>
        <v>60</v>
      </c>
      <c r="U409" s="4" t="str">
        <f>IF(F409="",IF(ISNUMBER(SEARCH("NOT NULL",UPPER(F$3))),"''","null"),SUBSTITUTE(VLOOKUP(F$2,convert!$A$1:$B$4,2,0),"@@@",F409))</f>
        <v>60</v>
      </c>
      <c r="V409" s="4" t="str">
        <f>IF(G409="",IF(ISNUMBER(SEARCH("NOT NULL",UPPER(G$3))),"''","null"),SUBSTITUTE(VLOOKUP(G$2,convert!$A$1:$B$4,2,0),"@@@",G409))</f>
        <v>60</v>
      </c>
      <c r="W409" s="4" t="str">
        <f>IF(H409="",IF(ISNUMBER(SEARCH("NOT NULL",UPPER(H$3))),"''","null"),SUBSTITUTE(VLOOKUP(H$2,convert!$A$1:$B$4,2,0),"@@@",H409))</f>
        <v>60</v>
      </c>
      <c r="X409" s="4" t="str">
        <f>IF(I409="",IF(ISNUMBER(SEARCH("NOT NULL",UPPER(I$3))),"''","null"),SUBSTITUTE(VLOOKUP(I$2,convert!$A$1:$B$4,2,0),"@@@",I409))</f>
        <v>''</v>
      </c>
      <c r="Y409" s="4" t="str">
        <f>IF(J409="",IF(ISNUMBER(SEARCH("NOT NULL",UPPER(J$3))),"''","null"),SUBSTITUTE(VLOOKUP(J$2,convert!$A$1:$B$4,2,0),"@@@",J409))</f>
        <v>'normal'</v>
      </c>
      <c r="Z409" s="4" t="str">
        <f>IF(K409="",IF(ISNUMBER(SEARCH("NOT NULL",UPPER(K$3))),"''","null"),SUBSTITUTE(VLOOKUP(K$2,convert!$A$1:$B$4,2,0),"@@@",K409))</f>
        <v>null</v>
      </c>
      <c r="AA409" s="4" t="str">
        <f>IF(L409="",IF(ISNUMBER(SEARCH("NOT NULL",UPPER(L$3))),"''","null"),SUBSTITUTE(VLOOKUP(L$2,convert!$A$1:$B$4,2,0),"@@@",L409))</f>
        <v>'g3'</v>
      </c>
      <c r="AB409" s="4" t="str">
        <f>IF(M409="",IF(ISNUMBER(SEARCH("NOT NULL",UPPER(M$3))),"''","null"),SUBSTITUTE(VLOOKUP(M$2,convert!$A$1:$B$4,2,0),"@@@",M409))</f>
        <v>null</v>
      </c>
      <c r="AC409" s="4" t="str">
        <f>IF(N409="",IF(ISNUMBER(SEARCH("NOT NULL",UPPER(N$3))),"''","null"),SUBSTITUTE(VLOOKUP(N$2,convert!$A$1:$B$4,2,0),"@@@",N409))</f>
        <v>null</v>
      </c>
      <c r="AD409" s="4" t="str">
        <f>IF(O409="",IF(ISNUMBER(SEARCH("NOT NULL",UPPER(O$3))),"''","null"),SUBSTITUTE(VLOOKUP(O$2,convert!$A$1:$B$4,2,0),"@@@",O409))</f>
        <v>TRUE</v>
      </c>
      <c r="AE409" s="4" t="str">
        <f t="shared" si="6"/>
        <v>    ('0327N01', 'パッチール', 60, 60, 60, 60, 60, 60, '', 'normal', null, 'g3', null, null, TRUE),</v>
      </c>
    </row>
    <row r="410" spans="1:31">
      <c r="A410" s="4" t="s">
        <v>831</v>
      </c>
      <c r="B410" s="4" t="s">
        <v>832</v>
      </c>
      <c r="C410" s="5">
        <v>45</v>
      </c>
      <c r="D410" s="5">
        <v>100</v>
      </c>
      <c r="E410" s="5">
        <v>45</v>
      </c>
      <c r="F410" s="5">
        <v>45</v>
      </c>
      <c r="G410" s="5">
        <v>45</v>
      </c>
      <c r="H410" s="5">
        <v>10</v>
      </c>
      <c r="I410" s="5"/>
      <c r="J410" s="4" t="s">
        <v>116</v>
      </c>
      <c r="K410" s="5"/>
      <c r="L410" s="4" t="s">
        <v>656</v>
      </c>
      <c r="M410" s="5"/>
      <c r="N410" s="5"/>
      <c r="O410" s="5" t="b">
        <v>1</v>
      </c>
      <c r="P410" s="4" t="str">
        <f>IF(A410="",IF(ISNUMBER(SEARCH("NOT NULL",UPPER(A$3))),"''","null"),SUBSTITUTE(VLOOKUP(A$2,convert!$A$1:$B$4,2,0),"@@@",A410))</f>
        <v>'0328N01'</v>
      </c>
      <c r="Q410" s="4" t="str">
        <f>IF(B410="",IF(ISNUMBER(SEARCH("NOT NULL",UPPER(B$3))),"''","null"),SUBSTITUTE(VLOOKUP(B$2,convert!$A$1:$B$4,2,0),"@@@",B410))</f>
        <v>'ナックラー'</v>
      </c>
      <c r="R410" s="4" t="str">
        <f>IF(C410="",IF(ISNUMBER(SEARCH("NOT NULL",UPPER(C$3))),"''","null"),SUBSTITUTE(VLOOKUP(C$2,convert!$A$1:$B$4,2,0),"@@@",C410))</f>
        <v>45</v>
      </c>
      <c r="S410" s="4" t="str">
        <f>IF(D410="",IF(ISNUMBER(SEARCH("NOT NULL",UPPER(D$3))),"''","null"),SUBSTITUTE(VLOOKUP(D$2,convert!$A$1:$B$4,2,0),"@@@",D410))</f>
        <v>100</v>
      </c>
      <c r="T410" s="4" t="str">
        <f>IF(E410="",IF(ISNUMBER(SEARCH("NOT NULL",UPPER(E$3))),"''","null"),SUBSTITUTE(VLOOKUP(E$2,convert!$A$1:$B$4,2,0),"@@@",E410))</f>
        <v>45</v>
      </c>
      <c r="U410" s="4" t="str">
        <f>IF(F410="",IF(ISNUMBER(SEARCH("NOT NULL",UPPER(F$3))),"''","null"),SUBSTITUTE(VLOOKUP(F$2,convert!$A$1:$B$4,2,0),"@@@",F410))</f>
        <v>45</v>
      </c>
      <c r="V410" s="4" t="str">
        <f>IF(G410="",IF(ISNUMBER(SEARCH("NOT NULL",UPPER(G$3))),"''","null"),SUBSTITUTE(VLOOKUP(G$2,convert!$A$1:$B$4,2,0),"@@@",G410))</f>
        <v>45</v>
      </c>
      <c r="W410" s="4" t="str">
        <f>IF(H410="",IF(ISNUMBER(SEARCH("NOT NULL",UPPER(H$3))),"''","null"),SUBSTITUTE(VLOOKUP(H$2,convert!$A$1:$B$4,2,0),"@@@",H410))</f>
        <v>10</v>
      </c>
      <c r="X410" s="4" t="str">
        <f>IF(I410="",IF(ISNUMBER(SEARCH("NOT NULL",UPPER(I$3))),"''","null"),SUBSTITUTE(VLOOKUP(I$2,convert!$A$1:$B$4,2,0),"@@@",I410))</f>
        <v>''</v>
      </c>
      <c r="Y410" s="4" t="str">
        <f>IF(J410="",IF(ISNUMBER(SEARCH("NOT NULL",UPPER(J$3))),"''","null"),SUBSTITUTE(VLOOKUP(J$2,convert!$A$1:$B$4,2,0),"@@@",J410))</f>
        <v>'ground'</v>
      </c>
      <c r="Z410" s="4" t="str">
        <f>IF(K410="",IF(ISNUMBER(SEARCH("NOT NULL",UPPER(K$3))),"''","null"),SUBSTITUTE(VLOOKUP(K$2,convert!$A$1:$B$4,2,0),"@@@",K410))</f>
        <v>null</v>
      </c>
      <c r="AA410" s="4" t="str">
        <f>IF(L410="",IF(ISNUMBER(SEARCH("NOT NULL",UPPER(L$3))),"''","null"),SUBSTITUTE(VLOOKUP(L$2,convert!$A$1:$B$4,2,0),"@@@",L410))</f>
        <v>'g3'</v>
      </c>
      <c r="AB410" s="4" t="str">
        <f>IF(M410="",IF(ISNUMBER(SEARCH("NOT NULL",UPPER(M$3))),"''","null"),SUBSTITUTE(VLOOKUP(M$2,convert!$A$1:$B$4,2,0),"@@@",M410))</f>
        <v>null</v>
      </c>
      <c r="AC410" s="4" t="str">
        <f>IF(N410="",IF(ISNUMBER(SEARCH("NOT NULL",UPPER(N$3))),"''","null"),SUBSTITUTE(VLOOKUP(N$2,convert!$A$1:$B$4,2,0),"@@@",N410))</f>
        <v>null</v>
      </c>
      <c r="AD410" s="4" t="str">
        <f>IF(O410="",IF(ISNUMBER(SEARCH("NOT NULL",UPPER(O$3))),"''","null"),SUBSTITUTE(VLOOKUP(O$2,convert!$A$1:$B$4,2,0),"@@@",O410))</f>
        <v>TRUE</v>
      </c>
      <c r="AE410" s="4" t="str">
        <f t="shared" si="6"/>
        <v>    ('0328N01', 'ナックラー', 45, 100, 45, 45, 45, 10, '', 'ground', null, 'g3', null, null, TRUE),</v>
      </c>
    </row>
    <row r="411" spans="1:31">
      <c r="A411" s="4" t="s">
        <v>833</v>
      </c>
      <c r="B411" s="4" t="s">
        <v>834</v>
      </c>
      <c r="C411" s="5">
        <v>50</v>
      </c>
      <c r="D411" s="5">
        <v>70</v>
      </c>
      <c r="E411" s="5">
        <v>50</v>
      </c>
      <c r="F411" s="5">
        <v>50</v>
      </c>
      <c r="G411" s="5">
        <v>50</v>
      </c>
      <c r="H411" s="5">
        <v>70</v>
      </c>
      <c r="I411" s="5"/>
      <c r="J411" s="4" t="s">
        <v>116</v>
      </c>
      <c r="K411" s="4" t="s">
        <v>50</v>
      </c>
      <c r="L411" s="4" t="s">
        <v>656</v>
      </c>
      <c r="M411" s="5"/>
      <c r="N411" s="5"/>
      <c r="O411" s="5" t="b">
        <v>1</v>
      </c>
      <c r="P411" s="4" t="str">
        <f>IF(A411="",IF(ISNUMBER(SEARCH("NOT NULL",UPPER(A$3))),"''","null"),SUBSTITUTE(VLOOKUP(A$2,convert!$A$1:$B$4,2,0),"@@@",A411))</f>
        <v>'0329N01'</v>
      </c>
      <c r="Q411" s="4" t="str">
        <f>IF(B411="",IF(ISNUMBER(SEARCH("NOT NULL",UPPER(B$3))),"''","null"),SUBSTITUTE(VLOOKUP(B$2,convert!$A$1:$B$4,2,0),"@@@",B411))</f>
        <v>'ビブラーバ'</v>
      </c>
      <c r="R411" s="4" t="str">
        <f>IF(C411="",IF(ISNUMBER(SEARCH("NOT NULL",UPPER(C$3))),"''","null"),SUBSTITUTE(VLOOKUP(C$2,convert!$A$1:$B$4,2,0),"@@@",C411))</f>
        <v>50</v>
      </c>
      <c r="S411" s="4" t="str">
        <f>IF(D411="",IF(ISNUMBER(SEARCH("NOT NULL",UPPER(D$3))),"''","null"),SUBSTITUTE(VLOOKUP(D$2,convert!$A$1:$B$4,2,0),"@@@",D411))</f>
        <v>70</v>
      </c>
      <c r="T411" s="4" t="str">
        <f>IF(E411="",IF(ISNUMBER(SEARCH("NOT NULL",UPPER(E$3))),"''","null"),SUBSTITUTE(VLOOKUP(E$2,convert!$A$1:$B$4,2,0),"@@@",E411))</f>
        <v>50</v>
      </c>
      <c r="U411" s="4" t="str">
        <f>IF(F411="",IF(ISNUMBER(SEARCH("NOT NULL",UPPER(F$3))),"''","null"),SUBSTITUTE(VLOOKUP(F$2,convert!$A$1:$B$4,2,0),"@@@",F411))</f>
        <v>50</v>
      </c>
      <c r="V411" s="4" t="str">
        <f>IF(G411="",IF(ISNUMBER(SEARCH("NOT NULL",UPPER(G$3))),"''","null"),SUBSTITUTE(VLOOKUP(G$2,convert!$A$1:$B$4,2,0),"@@@",G411))</f>
        <v>50</v>
      </c>
      <c r="W411" s="4" t="str">
        <f>IF(H411="",IF(ISNUMBER(SEARCH("NOT NULL",UPPER(H$3))),"''","null"),SUBSTITUTE(VLOOKUP(H$2,convert!$A$1:$B$4,2,0),"@@@",H411))</f>
        <v>70</v>
      </c>
      <c r="X411" s="4" t="str">
        <f>IF(I411="",IF(ISNUMBER(SEARCH("NOT NULL",UPPER(I$3))),"''","null"),SUBSTITUTE(VLOOKUP(I$2,convert!$A$1:$B$4,2,0),"@@@",I411))</f>
        <v>''</v>
      </c>
      <c r="Y411" s="4" t="str">
        <f>IF(J411="",IF(ISNUMBER(SEARCH("NOT NULL",UPPER(J$3))),"''","null"),SUBSTITUTE(VLOOKUP(J$2,convert!$A$1:$B$4,2,0),"@@@",J411))</f>
        <v>'ground'</v>
      </c>
      <c r="Z411" s="4" t="str">
        <f>IF(K411="",IF(ISNUMBER(SEARCH("NOT NULL",UPPER(K$3))),"''","null"),SUBSTITUTE(VLOOKUP(K$2,convert!$A$1:$B$4,2,0),"@@@",K411))</f>
        <v>'dragon'</v>
      </c>
      <c r="AA411" s="4" t="str">
        <f>IF(L411="",IF(ISNUMBER(SEARCH("NOT NULL",UPPER(L$3))),"''","null"),SUBSTITUTE(VLOOKUP(L$2,convert!$A$1:$B$4,2,0),"@@@",L411))</f>
        <v>'g3'</v>
      </c>
      <c r="AB411" s="4" t="str">
        <f>IF(M411="",IF(ISNUMBER(SEARCH("NOT NULL",UPPER(M$3))),"''","null"),SUBSTITUTE(VLOOKUP(M$2,convert!$A$1:$B$4,2,0),"@@@",M411))</f>
        <v>null</v>
      </c>
      <c r="AC411" s="4" t="str">
        <f>IF(N411="",IF(ISNUMBER(SEARCH("NOT NULL",UPPER(N$3))),"''","null"),SUBSTITUTE(VLOOKUP(N$2,convert!$A$1:$B$4,2,0),"@@@",N411))</f>
        <v>null</v>
      </c>
      <c r="AD411" s="4" t="str">
        <f>IF(O411="",IF(ISNUMBER(SEARCH("NOT NULL",UPPER(O$3))),"''","null"),SUBSTITUTE(VLOOKUP(O$2,convert!$A$1:$B$4,2,0),"@@@",O411))</f>
        <v>TRUE</v>
      </c>
      <c r="AE411" s="4" t="str">
        <f t="shared" si="6"/>
        <v>    ('0329N01', 'ビブラーバ', 50, 70, 50, 50, 50, 70, '', 'ground', 'dragon', 'g3', null, null, TRUE),</v>
      </c>
    </row>
    <row r="412" spans="1:31">
      <c r="A412" s="4" t="s">
        <v>835</v>
      </c>
      <c r="B412" s="4" t="s">
        <v>836</v>
      </c>
      <c r="C412" s="5">
        <v>80</v>
      </c>
      <c r="D412" s="5">
        <v>100</v>
      </c>
      <c r="E412" s="5">
        <v>80</v>
      </c>
      <c r="F412" s="5">
        <v>80</v>
      </c>
      <c r="G412" s="5">
        <v>80</v>
      </c>
      <c r="H412" s="5">
        <v>100</v>
      </c>
      <c r="I412" s="5"/>
      <c r="J412" s="4" t="s">
        <v>116</v>
      </c>
      <c r="K412" s="4" t="s">
        <v>50</v>
      </c>
      <c r="L412" s="4" t="s">
        <v>656</v>
      </c>
      <c r="M412" s="5"/>
      <c r="N412" s="5"/>
      <c r="O412" s="5" t="b">
        <v>1</v>
      </c>
      <c r="P412" s="4" t="str">
        <f>IF(A412="",IF(ISNUMBER(SEARCH("NOT NULL",UPPER(A$3))),"''","null"),SUBSTITUTE(VLOOKUP(A$2,convert!$A$1:$B$4,2,0),"@@@",A412))</f>
        <v>'0330N01'</v>
      </c>
      <c r="Q412" s="4" t="str">
        <f>IF(B412="",IF(ISNUMBER(SEARCH("NOT NULL",UPPER(B$3))),"''","null"),SUBSTITUTE(VLOOKUP(B$2,convert!$A$1:$B$4,2,0),"@@@",B412))</f>
        <v>'フライゴン'</v>
      </c>
      <c r="R412" s="4" t="str">
        <f>IF(C412="",IF(ISNUMBER(SEARCH("NOT NULL",UPPER(C$3))),"''","null"),SUBSTITUTE(VLOOKUP(C$2,convert!$A$1:$B$4,2,0),"@@@",C412))</f>
        <v>80</v>
      </c>
      <c r="S412" s="4" t="str">
        <f>IF(D412="",IF(ISNUMBER(SEARCH("NOT NULL",UPPER(D$3))),"''","null"),SUBSTITUTE(VLOOKUP(D$2,convert!$A$1:$B$4,2,0),"@@@",D412))</f>
        <v>100</v>
      </c>
      <c r="T412" s="4" t="str">
        <f>IF(E412="",IF(ISNUMBER(SEARCH("NOT NULL",UPPER(E$3))),"''","null"),SUBSTITUTE(VLOOKUP(E$2,convert!$A$1:$B$4,2,0),"@@@",E412))</f>
        <v>80</v>
      </c>
      <c r="U412" s="4" t="str">
        <f>IF(F412="",IF(ISNUMBER(SEARCH("NOT NULL",UPPER(F$3))),"''","null"),SUBSTITUTE(VLOOKUP(F$2,convert!$A$1:$B$4,2,0),"@@@",F412))</f>
        <v>80</v>
      </c>
      <c r="V412" s="4" t="str">
        <f>IF(G412="",IF(ISNUMBER(SEARCH("NOT NULL",UPPER(G$3))),"''","null"),SUBSTITUTE(VLOOKUP(G$2,convert!$A$1:$B$4,2,0),"@@@",G412))</f>
        <v>80</v>
      </c>
      <c r="W412" s="4" t="str">
        <f>IF(H412="",IF(ISNUMBER(SEARCH("NOT NULL",UPPER(H$3))),"''","null"),SUBSTITUTE(VLOOKUP(H$2,convert!$A$1:$B$4,2,0),"@@@",H412))</f>
        <v>100</v>
      </c>
      <c r="X412" s="4" t="str">
        <f>IF(I412="",IF(ISNUMBER(SEARCH("NOT NULL",UPPER(I$3))),"''","null"),SUBSTITUTE(VLOOKUP(I$2,convert!$A$1:$B$4,2,0),"@@@",I412))</f>
        <v>''</v>
      </c>
      <c r="Y412" s="4" t="str">
        <f>IF(J412="",IF(ISNUMBER(SEARCH("NOT NULL",UPPER(J$3))),"''","null"),SUBSTITUTE(VLOOKUP(J$2,convert!$A$1:$B$4,2,0),"@@@",J412))</f>
        <v>'ground'</v>
      </c>
      <c r="Z412" s="4" t="str">
        <f>IF(K412="",IF(ISNUMBER(SEARCH("NOT NULL",UPPER(K$3))),"''","null"),SUBSTITUTE(VLOOKUP(K$2,convert!$A$1:$B$4,2,0),"@@@",K412))</f>
        <v>'dragon'</v>
      </c>
      <c r="AA412" s="4" t="str">
        <f>IF(L412="",IF(ISNUMBER(SEARCH("NOT NULL",UPPER(L$3))),"''","null"),SUBSTITUTE(VLOOKUP(L$2,convert!$A$1:$B$4,2,0),"@@@",L412))</f>
        <v>'g3'</v>
      </c>
      <c r="AB412" s="4" t="str">
        <f>IF(M412="",IF(ISNUMBER(SEARCH("NOT NULL",UPPER(M$3))),"''","null"),SUBSTITUTE(VLOOKUP(M$2,convert!$A$1:$B$4,2,0),"@@@",M412))</f>
        <v>null</v>
      </c>
      <c r="AC412" s="4" t="str">
        <f>IF(N412="",IF(ISNUMBER(SEARCH("NOT NULL",UPPER(N$3))),"''","null"),SUBSTITUTE(VLOOKUP(N$2,convert!$A$1:$B$4,2,0),"@@@",N412))</f>
        <v>null</v>
      </c>
      <c r="AD412" s="4" t="str">
        <f>IF(O412="",IF(ISNUMBER(SEARCH("NOT NULL",UPPER(O$3))),"''","null"),SUBSTITUTE(VLOOKUP(O$2,convert!$A$1:$B$4,2,0),"@@@",O412))</f>
        <v>TRUE</v>
      </c>
      <c r="AE412" s="4" t="str">
        <f t="shared" si="6"/>
        <v>    ('0330N01', 'フライゴン', 80, 100, 80, 80, 80, 100, '', 'ground', 'dragon', 'g3', null, null, TRUE),</v>
      </c>
    </row>
    <row r="413" spans="1:31">
      <c r="A413" s="4" t="s">
        <v>837</v>
      </c>
      <c r="B413" s="4" t="s">
        <v>838</v>
      </c>
      <c r="C413" s="5">
        <v>50</v>
      </c>
      <c r="D413" s="5">
        <v>85</v>
      </c>
      <c r="E413" s="5">
        <v>40</v>
      </c>
      <c r="F413" s="5">
        <v>85</v>
      </c>
      <c r="G413" s="5">
        <v>40</v>
      </c>
      <c r="H413" s="5">
        <v>35</v>
      </c>
      <c r="I413" s="5"/>
      <c r="J413" s="4" t="s">
        <v>30</v>
      </c>
      <c r="K413" s="5"/>
      <c r="L413" s="4" t="s">
        <v>656</v>
      </c>
      <c r="M413" s="5"/>
      <c r="N413" s="5"/>
      <c r="O413" s="5" t="b">
        <v>1</v>
      </c>
      <c r="P413" s="4" t="str">
        <f>IF(A413="",IF(ISNUMBER(SEARCH("NOT NULL",UPPER(A$3))),"''","null"),SUBSTITUTE(VLOOKUP(A$2,convert!$A$1:$B$4,2,0),"@@@",A413))</f>
        <v>'0331N01'</v>
      </c>
      <c r="Q413" s="4" t="str">
        <f>IF(B413="",IF(ISNUMBER(SEARCH("NOT NULL",UPPER(B$3))),"''","null"),SUBSTITUTE(VLOOKUP(B$2,convert!$A$1:$B$4,2,0),"@@@",B413))</f>
        <v>'サボネア'</v>
      </c>
      <c r="R413" s="4" t="str">
        <f>IF(C413="",IF(ISNUMBER(SEARCH("NOT NULL",UPPER(C$3))),"''","null"),SUBSTITUTE(VLOOKUP(C$2,convert!$A$1:$B$4,2,0),"@@@",C413))</f>
        <v>50</v>
      </c>
      <c r="S413" s="4" t="str">
        <f>IF(D413="",IF(ISNUMBER(SEARCH("NOT NULL",UPPER(D$3))),"''","null"),SUBSTITUTE(VLOOKUP(D$2,convert!$A$1:$B$4,2,0),"@@@",D413))</f>
        <v>85</v>
      </c>
      <c r="T413" s="4" t="str">
        <f>IF(E413="",IF(ISNUMBER(SEARCH("NOT NULL",UPPER(E$3))),"''","null"),SUBSTITUTE(VLOOKUP(E$2,convert!$A$1:$B$4,2,0),"@@@",E413))</f>
        <v>40</v>
      </c>
      <c r="U413" s="4" t="str">
        <f>IF(F413="",IF(ISNUMBER(SEARCH("NOT NULL",UPPER(F$3))),"''","null"),SUBSTITUTE(VLOOKUP(F$2,convert!$A$1:$B$4,2,0),"@@@",F413))</f>
        <v>85</v>
      </c>
      <c r="V413" s="4" t="str">
        <f>IF(G413="",IF(ISNUMBER(SEARCH("NOT NULL",UPPER(G$3))),"''","null"),SUBSTITUTE(VLOOKUP(G$2,convert!$A$1:$B$4,2,0),"@@@",G413))</f>
        <v>40</v>
      </c>
      <c r="W413" s="4" t="str">
        <f>IF(H413="",IF(ISNUMBER(SEARCH("NOT NULL",UPPER(H$3))),"''","null"),SUBSTITUTE(VLOOKUP(H$2,convert!$A$1:$B$4,2,0),"@@@",H413))</f>
        <v>35</v>
      </c>
      <c r="X413" s="4" t="str">
        <f>IF(I413="",IF(ISNUMBER(SEARCH("NOT NULL",UPPER(I$3))),"''","null"),SUBSTITUTE(VLOOKUP(I$2,convert!$A$1:$B$4,2,0),"@@@",I413))</f>
        <v>''</v>
      </c>
      <c r="Y413" s="4" t="str">
        <f>IF(J413="",IF(ISNUMBER(SEARCH("NOT NULL",UPPER(J$3))),"''","null"),SUBSTITUTE(VLOOKUP(J$2,convert!$A$1:$B$4,2,0),"@@@",J413))</f>
        <v>'grass'</v>
      </c>
      <c r="Z413" s="4" t="str">
        <f>IF(K413="",IF(ISNUMBER(SEARCH("NOT NULL",UPPER(K$3))),"''","null"),SUBSTITUTE(VLOOKUP(K$2,convert!$A$1:$B$4,2,0),"@@@",K413))</f>
        <v>null</v>
      </c>
      <c r="AA413" s="4" t="str">
        <f>IF(L413="",IF(ISNUMBER(SEARCH("NOT NULL",UPPER(L$3))),"''","null"),SUBSTITUTE(VLOOKUP(L$2,convert!$A$1:$B$4,2,0),"@@@",L413))</f>
        <v>'g3'</v>
      </c>
      <c r="AB413" s="4" t="str">
        <f>IF(M413="",IF(ISNUMBER(SEARCH("NOT NULL",UPPER(M$3))),"''","null"),SUBSTITUTE(VLOOKUP(M$2,convert!$A$1:$B$4,2,0),"@@@",M413))</f>
        <v>null</v>
      </c>
      <c r="AC413" s="4" t="str">
        <f>IF(N413="",IF(ISNUMBER(SEARCH("NOT NULL",UPPER(N$3))),"''","null"),SUBSTITUTE(VLOOKUP(N$2,convert!$A$1:$B$4,2,0),"@@@",N413))</f>
        <v>null</v>
      </c>
      <c r="AD413" s="4" t="str">
        <f>IF(O413="",IF(ISNUMBER(SEARCH("NOT NULL",UPPER(O$3))),"''","null"),SUBSTITUTE(VLOOKUP(O$2,convert!$A$1:$B$4,2,0),"@@@",O413))</f>
        <v>TRUE</v>
      </c>
      <c r="AE413" s="4" t="str">
        <f t="shared" si="6"/>
        <v>    ('0331N01', 'サボネア', 50, 85, 40, 85, 40, 35, '', 'grass', null, 'g3', null, null, TRUE),</v>
      </c>
    </row>
    <row r="414" spans="1:31">
      <c r="A414" s="4" t="s">
        <v>839</v>
      </c>
      <c r="B414" s="4" t="s">
        <v>840</v>
      </c>
      <c r="C414" s="5">
        <v>70</v>
      </c>
      <c r="D414" s="5">
        <v>115</v>
      </c>
      <c r="E414" s="5">
        <v>60</v>
      </c>
      <c r="F414" s="5">
        <v>115</v>
      </c>
      <c r="G414" s="5">
        <v>60</v>
      </c>
      <c r="H414" s="5">
        <v>55</v>
      </c>
      <c r="I414" s="5"/>
      <c r="J414" s="4" t="s">
        <v>30</v>
      </c>
      <c r="K414" s="4" t="s">
        <v>91</v>
      </c>
      <c r="L414" s="4" t="s">
        <v>656</v>
      </c>
      <c r="M414" s="5"/>
      <c r="N414" s="5"/>
      <c r="O414" s="5" t="b">
        <v>1</v>
      </c>
      <c r="P414" s="4" t="str">
        <f>IF(A414="",IF(ISNUMBER(SEARCH("NOT NULL",UPPER(A$3))),"''","null"),SUBSTITUTE(VLOOKUP(A$2,convert!$A$1:$B$4,2,0),"@@@",A414))</f>
        <v>'0332N01'</v>
      </c>
      <c r="Q414" s="4" t="str">
        <f>IF(B414="",IF(ISNUMBER(SEARCH("NOT NULL",UPPER(B$3))),"''","null"),SUBSTITUTE(VLOOKUP(B$2,convert!$A$1:$B$4,2,0),"@@@",B414))</f>
        <v>'ノクタス'</v>
      </c>
      <c r="R414" s="4" t="str">
        <f>IF(C414="",IF(ISNUMBER(SEARCH("NOT NULL",UPPER(C$3))),"''","null"),SUBSTITUTE(VLOOKUP(C$2,convert!$A$1:$B$4,2,0),"@@@",C414))</f>
        <v>70</v>
      </c>
      <c r="S414" s="4" t="str">
        <f>IF(D414="",IF(ISNUMBER(SEARCH("NOT NULL",UPPER(D$3))),"''","null"),SUBSTITUTE(VLOOKUP(D$2,convert!$A$1:$B$4,2,0),"@@@",D414))</f>
        <v>115</v>
      </c>
      <c r="T414" s="4" t="str">
        <f>IF(E414="",IF(ISNUMBER(SEARCH("NOT NULL",UPPER(E$3))),"''","null"),SUBSTITUTE(VLOOKUP(E$2,convert!$A$1:$B$4,2,0),"@@@",E414))</f>
        <v>60</v>
      </c>
      <c r="U414" s="4" t="str">
        <f>IF(F414="",IF(ISNUMBER(SEARCH("NOT NULL",UPPER(F$3))),"''","null"),SUBSTITUTE(VLOOKUP(F$2,convert!$A$1:$B$4,2,0),"@@@",F414))</f>
        <v>115</v>
      </c>
      <c r="V414" s="4" t="str">
        <f>IF(G414="",IF(ISNUMBER(SEARCH("NOT NULL",UPPER(G$3))),"''","null"),SUBSTITUTE(VLOOKUP(G$2,convert!$A$1:$B$4,2,0),"@@@",G414))</f>
        <v>60</v>
      </c>
      <c r="W414" s="4" t="str">
        <f>IF(H414="",IF(ISNUMBER(SEARCH("NOT NULL",UPPER(H$3))),"''","null"),SUBSTITUTE(VLOOKUP(H$2,convert!$A$1:$B$4,2,0),"@@@",H414))</f>
        <v>55</v>
      </c>
      <c r="X414" s="4" t="str">
        <f>IF(I414="",IF(ISNUMBER(SEARCH("NOT NULL",UPPER(I$3))),"''","null"),SUBSTITUTE(VLOOKUP(I$2,convert!$A$1:$B$4,2,0),"@@@",I414))</f>
        <v>''</v>
      </c>
      <c r="Y414" s="4" t="str">
        <f>IF(J414="",IF(ISNUMBER(SEARCH("NOT NULL",UPPER(J$3))),"''","null"),SUBSTITUTE(VLOOKUP(J$2,convert!$A$1:$B$4,2,0),"@@@",J414))</f>
        <v>'grass'</v>
      </c>
      <c r="Z414" s="4" t="str">
        <f>IF(K414="",IF(ISNUMBER(SEARCH("NOT NULL",UPPER(K$3))),"''","null"),SUBSTITUTE(VLOOKUP(K$2,convert!$A$1:$B$4,2,0),"@@@",K414))</f>
        <v>'dark'</v>
      </c>
      <c r="AA414" s="4" t="str">
        <f>IF(L414="",IF(ISNUMBER(SEARCH("NOT NULL",UPPER(L$3))),"''","null"),SUBSTITUTE(VLOOKUP(L$2,convert!$A$1:$B$4,2,0),"@@@",L414))</f>
        <v>'g3'</v>
      </c>
      <c r="AB414" s="4" t="str">
        <f>IF(M414="",IF(ISNUMBER(SEARCH("NOT NULL",UPPER(M$3))),"''","null"),SUBSTITUTE(VLOOKUP(M$2,convert!$A$1:$B$4,2,0),"@@@",M414))</f>
        <v>null</v>
      </c>
      <c r="AC414" s="4" t="str">
        <f>IF(N414="",IF(ISNUMBER(SEARCH("NOT NULL",UPPER(N$3))),"''","null"),SUBSTITUTE(VLOOKUP(N$2,convert!$A$1:$B$4,2,0),"@@@",N414))</f>
        <v>null</v>
      </c>
      <c r="AD414" s="4" t="str">
        <f>IF(O414="",IF(ISNUMBER(SEARCH("NOT NULL",UPPER(O$3))),"''","null"),SUBSTITUTE(VLOOKUP(O$2,convert!$A$1:$B$4,2,0),"@@@",O414))</f>
        <v>TRUE</v>
      </c>
      <c r="AE414" s="4" t="str">
        <f t="shared" si="6"/>
        <v>    ('0332N01', 'ノクタス', 70, 115, 60, 115, 60, 55, '', 'grass', 'dark', 'g3', null, null, TRUE),</v>
      </c>
    </row>
    <row r="415" spans="1:31">
      <c r="A415" s="4" t="s">
        <v>841</v>
      </c>
      <c r="B415" s="4" t="s">
        <v>842</v>
      </c>
      <c r="C415" s="5">
        <v>45</v>
      </c>
      <c r="D415" s="5">
        <v>40</v>
      </c>
      <c r="E415" s="5">
        <v>60</v>
      </c>
      <c r="F415" s="5">
        <v>40</v>
      </c>
      <c r="G415" s="5">
        <v>75</v>
      </c>
      <c r="H415" s="5">
        <v>50</v>
      </c>
      <c r="I415" s="5"/>
      <c r="J415" s="4" t="s">
        <v>80</v>
      </c>
      <c r="K415" s="4" t="s">
        <v>47</v>
      </c>
      <c r="L415" s="4" t="s">
        <v>656</v>
      </c>
      <c r="M415" s="5"/>
      <c r="N415" s="5"/>
      <c r="O415" s="5" t="b">
        <v>1</v>
      </c>
      <c r="P415" s="4" t="str">
        <f>IF(A415="",IF(ISNUMBER(SEARCH("NOT NULL",UPPER(A$3))),"''","null"),SUBSTITUTE(VLOOKUP(A$2,convert!$A$1:$B$4,2,0),"@@@",A415))</f>
        <v>'0333N01'</v>
      </c>
      <c r="Q415" s="4" t="str">
        <f>IF(B415="",IF(ISNUMBER(SEARCH("NOT NULL",UPPER(B$3))),"''","null"),SUBSTITUTE(VLOOKUP(B$2,convert!$A$1:$B$4,2,0),"@@@",B415))</f>
        <v>'チルット'</v>
      </c>
      <c r="R415" s="4" t="str">
        <f>IF(C415="",IF(ISNUMBER(SEARCH("NOT NULL",UPPER(C$3))),"''","null"),SUBSTITUTE(VLOOKUP(C$2,convert!$A$1:$B$4,2,0),"@@@",C415))</f>
        <v>45</v>
      </c>
      <c r="S415" s="4" t="str">
        <f>IF(D415="",IF(ISNUMBER(SEARCH("NOT NULL",UPPER(D$3))),"''","null"),SUBSTITUTE(VLOOKUP(D$2,convert!$A$1:$B$4,2,0),"@@@",D415))</f>
        <v>40</v>
      </c>
      <c r="T415" s="4" t="str">
        <f>IF(E415="",IF(ISNUMBER(SEARCH("NOT NULL",UPPER(E$3))),"''","null"),SUBSTITUTE(VLOOKUP(E$2,convert!$A$1:$B$4,2,0),"@@@",E415))</f>
        <v>60</v>
      </c>
      <c r="U415" s="4" t="str">
        <f>IF(F415="",IF(ISNUMBER(SEARCH("NOT NULL",UPPER(F$3))),"''","null"),SUBSTITUTE(VLOOKUP(F$2,convert!$A$1:$B$4,2,0),"@@@",F415))</f>
        <v>40</v>
      </c>
      <c r="V415" s="4" t="str">
        <f>IF(G415="",IF(ISNUMBER(SEARCH("NOT NULL",UPPER(G$3))),"''","null"),SUBSTITUTE(VLOOKUP(G$2,convert!$A$1:$B$4,2,0),"@@@",G415))</f>
        <v>75</v>
      </c>
      <c r="W415" s="4" t="str">
        <f>IF(H415="",IF(ISNUMBER(SEARCH("NOT NULL",UPPER(H$3))),"''","null"),SUBSTITUTE(VLOOKUP(H$2,convert!$A$1:$B$4,2,0),"@@@",H415))</f>
        <v>50</v>
      </c>
      <c r="X415" s="4" t="str">
        <f>IF(I415="",IF(ISNUMBER(SEARCH("NOT NULL",UPPER(I$3))),"''","null"),SUBSTITUTE(VLOOKUP(I$2,convert!$A$1:$B$4,2,0),"@@@",I415))</f>
        <v>''</v>
      </c>
      <c r="Y415" s="4" t="str">
        <f>IF(J415="",IF(ISNUMBER(SEARCH("NOT NULL",UPPER(J$3))),"''","null"),SUBSTITUTE(VLOOKUP(J$2,convert!$A$1:$B$4,2,0),"@@@",J415))</f>
        <v>'normal'</v>
      </c>
      <c r="Z415" s="4" t="str">
        <f>IF(K415="",IF(ISNUMBER(SEARCH("NOT NULL",UPPER(K$3))),"''","null"),SUBSTITUTE(VLOOKUP(K$2,convert!$A$1:$B$4,2,0),"@@@",K415))</f>
        <v>'flying'</v>
      </c>
      <c r="AA415" s="4" t="str">
        <f>IF(L415="",IF(ISNUMBER(SEARCH("NOT NULL",UPPER(L$3))),"''","null"),SUBSTITUTE(VLOOKUP(L$2,convert!$A$1:$B$4,2,0),"@@@",L415))</f>
        <v>'g3'</v>
      </c>
      <c r="AB415" s="4" t="str">
        <f>IF(M415="",IF(ISNUMBER(SEARCH("NOT NULL",UPPER(M$3))),"''","null"),SUBSTITUTE(VLOOKUP(M$2,convert!$A$1:$B$4,2,0),"@@@",M415))</f>
        <v>null</v>
      </c>
      <c r="AC415" s="4" t="str">
        <f>IF(N415="",IF(ISNUMBER(SEARCH("NOT NULL",UPPER(N$3))),"''","null"),SUBSTITUTE(VLOOKUP(N$2,convert!$A$1:$B$4,2,0),"@@@",N415))</f>
        <v>null</v>
      </c>
      <c r="AD415" s="4" t="str">
        <f>IF(O415="",IF(ISNUMBER(SEARCH("NOT NULL",UPPER(O$3))),"''","null"),SUBSTITUTE(VLOOKUP(O$2,convert!$A$1:$B$4,2,0),"@@@",O415))</f>
        <v>TRUE</v>
      </c>
      <c r="AE415" s="4" t="str">
        <f t="shared" si="6"/>
        <v>    ('0333N01', 'チルット', 45, 40, 60, 40, 75, 50, '', 'normal', 'flying', 'g3', null, null, TRUE),</v>
      </c>
    </row>
    <row r="416" spans="1:31">
      <c r="A416" s="4" t="s">
        <v>843</v>
      </c>
      <c r="B416" s="4" t="s">
        <v>844</v>
      </c>
      <c r="C416" s="5">
        <v>75</v>
      </c>
      <c r="D416" s="5">
        <v>70</v>
      </c>
      <c r="E416" s="5">
        <v>90</v>
      </c>
      <c r="F416" s="5">
        <v>70</v>
      </c>
      <c r="G416" s="5">
        <v>105</v>
      </c>
      <c r="H416" s="5">
        <v>80</v>
      </c>
      <c r="I416" s="5"/>
      <c r="J416" s="4" t="s">
        <v>50</v>
      </c>
      <c r="K416" s="4" t="s">
        <v>47</v>
      </c>
      <c r="L416" s="4" t="s">
        <v>656</v>
      </c>
      <c r="M416" s="5"/>
      <c r="N416" s="5"/>
      <c r="O416" s="5" t="b">
        <v>1</v>
      </c>
      <c r="P416" s="4" t="str">
        <f>IF(A416="",IF(ISNUMBER(SEARCH("NOT NULL",UPPER(A$3))),"''","null"),SUBSTITUTE(VLOOKUP(A$2,convert!$A$1:$B$4,2,0),"@@@",A416))</f>
        <v>'0334N01'</v>
      </c>
      <c r="Q416" s="4" t="str">
        <f>IF(B416="",IF(ISNUMBER(SEARCH("NOT NULL",UPPER(B$3))),"''","null"),SUBSTITUTE(VLOOKUP(B$2,convert!$A$1:$B$4,2,0),"@@@",B416))</f>
        <v>'チルタリス'</v>
      </c>
      <c r="R416" s="4" t="str">
        <f>IF(C416="",IF(ISNUMBER(SEARCH("NOT NULL",UPPER(C$3))),"''","null"),SUBSTITUTE(VLOOKUP(C$2,convert!$A$1:$B$4,2,0),"@@@",C416))</f>
        <v>75</v>
      </c>
      <c r="S416" s="4" t="str">
        <f>IF(D416="",IF(ISNUMBER(SEARCH("NOT NULL",UPPER(D$3))),"''","null"),SUBSTITUTE(VLOOKUP(D$2,convert!$A$1:$B$4,2,0),"@@@",D416))</f>
        <v>70</v>
      </c>
      <c r="T416" s="4" t="str">
        <f>IF(E416="",IF(ISNUMBER(SEARCH("NOT NULL",UPPER(E$3))),"''","null"),SUBSTITUTE(VLOOKUP(E$2,convert!$A$1:$B$4,2,0),"@@@",E416))</f>
        <v>90</v>
      </c>
      <c r="U416" s="4" t="str">
        <f>IF(F416="",IF(ISNUMBER(SEARCH("NOT NULL",UPPER(F$3))),"''","null"),SUBSTITUTE(VLOOKUP(F$2,convert!$A$1:$B$4,2,0),"@@@",F416))</f>
        <v>70</v>
      </c>
      <c r="V416" s="4" t="str">
        <f>IF(G416="",IF(ISNUMBER(SEARCH("NOT NULL",UPPER(G$3))),"''","null"),SUBSTITUTE(VLOOKUP(G$2,convert!$A$1:$B$4,2,0),"@@@",G416))</f>
        <v>105</v>
      </c>
      <c r="W416" s="4" t="str">
        <f>IF(H416="",IF(ISNUMBER(SEARCH("NOT NULL",UPPER(H$3))),"''","null"),SUBSTITUTE(VLOOKUP(H$2,convert!$A$1:$B$4,2,0),"@@@",H416))</f>
        <v>80</v>
      </c>
      <c r="X416" s="4" t="str">
        <f>IF(I416="",IF(ISNUMBER(SEARCH("NOT NULL",UPPER(I$3))),"''","null"),SUBSTITUTE(VLOOKUP(I$2,convert!$A$1:$B$4,2,0),"@@@",I416))</f>
        <v>''</v>
      </c>
      <c r="Y416" s="4" t="str">
        <f>IF(J416="",IF(ISNUMBER(SEARCH("NOT NULL",UPPER(J$3))),"''","null"),SUBSTITUTE(VLOOKUP(J$2,convert!$A$1:$B$4,2,0),"@@@",J416))</f>
        <v>'dragon'</v>
      </c>
      <c r="Z416" s="4" t="str">
        <f>IF(K416="",IF(ISNUMBER(SEARCH("NOT NULL",UPPER(K$3))),"''","null"),SUBSTITUTE(VLOOKUP(K$2,convert!$A$1:$B$4,2,0),"@@@",K416))</f>
        <v>'flying'</v>
      </c>
      <c r="AA416" s="4" t="str">
        <f>IF(L416="",IF(ISNUMBER(SEARCH("NOT NULL",UPPER(L$3))),"''","null"),SUBSTITUTE(VLOOKUP(L$2,convert!$A$1:$B$4,2,0),"@@@",L416))</f>
        <v>'g3'</v>
      </c>
      <c r="AB416" s="4" t="str">
        <f>IF(M416="",IF(ISNUMBER(SEARCH("NOT NULL",UPPER(M$3))),"''","null"),SUBSTITUTE(VLOOKUP(M$2,convert!$A$1:$B$4,2,0),"@@@",M416))</f>
        <v>null</v>
      </c>
      <c r="AC416" s="4" t="str">
        <f>IF(N416="",IF(ISNUMBER(SEARCH("NOT NULL",UPPER(N$3))),"''","null"),SUBSTITUTE(VLOOKUP(N$2,convert!$A$1:$B$4,2,0),"@@@",N416))</f>
        <v>null</v>
      </c>
      <c r="AD416" s="4" t="str">
        <f>IF(O416="",IF(ISNUMBER(SEARCH("NOT NULL",UPPER(O$3))),"''","null"),SUBSTITUTE(VLOOKUP(O$2,convert!$A$1:$B$4,2,0),"@@@",O416))</f>
        <v>TRUE</v>
      </c>
      <c r="AE416" s="4" t="str">
        <f t="shared" si="6"/>
        <v>    ('0334N01', 'チルタリス', 75, 70, 90, 70, 105, 80, '', 'dragon', 'flying', 'g3', null, null, TRUE),</v>
      </c>
    </row>
    <row r="417" spans="1:31">
      <c r="A417" s="4" t="s">
        <v>845</v>
      </c>
      <c r="B417" s="4" t="s">
        <v>846</v>
      </c>
      <c r="C417" s="5">
        <v>75</v>
      </c>
      <c r="D417" s="5">
        <v>110</v>
      </c>
      <c r="E417" s="5">
        <v>110</v>
      </c>
      <c r="F417" s="5">
        <v>110</v>
      </c>
      <c r="G417" s="5">
        <v>105</v>
      </c>
      <c r="H417" s="5">
        <v>80</v>
      </c>
      <c r="I417" s="5"/>
      <c r="J417" s="4" t="s">
        <v>50</v>
      </c>
      <c r="K417" s="4" t="s">
        <v>137</v>
      </c>
      <c r="L417" s="4" t="s">
        <v>77</v>
      </c>
      <c r="M417" s="5"/>
      <c r="N417" s="5"/>
      <c r="O417" s="5" t="b">
        <v>1</v>
      </c>
      <c r="P417" s="4" t="str">
        <f>IF(A417="",IF(ISNUMBER(SEARCH("NOT NULL",UPPER(A$3))),"''","null"),SUBSTITUTE(VLOOKUP(A$2,convert!$A$1:$B$4,2,0),"@@@",A417))</f>
        <v>'0334M01'</v>
      </c>
      <c r="Q417" s="4" t="str">
        <f>IF(B417="",IF(ISNUMBER(SEARCH("NOT NULL",UPPER(B$3))),"''","null"),SUBSTITUTE(VLOOKUP(B$2,convert!$A$1:$B$4,2,0),"@@@",B417))</f>
        <v>'メガチルタリス'</v>
      </c>
      <c r="R417" s="4" t="str">
        <f>IF(C417="",IF(ISNUMBER(SEARCH("NOT NULL",UPPER(C$3))),"''","null"),SUBSTITUTE(VLOOKUP(C$2,convert!$A$1:$B$4,2,0),"@@@",C417))</f>
        <v>75</v>
      </c>
      <c r="S417" s="4" t="str">
        <f>IF(D417="",IF(ISNUMBER(SEARCH("NOT NULL",UPPER(D$3))),"''","null"),SUBSTITUTE(VLOOKUP(D$2,convert!$A$1:$B$4,2,0),"@@@",D417))</f>
        <v>110</v>
      </c>
      <c r="T417" s="4" t="str">
        <f>IF(E417="",IF(ISNUMBER(SEARCH("NOT NULL",UPPER(E$3))),"''","null"),SUBSTITUTE(VLOOKUP(E$2,convert!$A$1:$B$4,2,0),"@@@",E417))</f>
        <v>110</v>
      </c>
      <c r="U417" s="4" t="str">
        <f>IF(F417="",IF(ISNUMBER(SEARCH("NOT NULL",UPPER(F$3))),"''","null"),SUBSTITUTE(VLOOKUP(F$2,convert!$A$1:$B$4,2,0),"@@@",F417))</f>
        <v>110</v>
      </c>
      <c r="V417" s="4" t="str">
        <f>IF(G417="",IF(ISNUMBER(SEARCH("NOT NULL",UPPER(G$3))),"''","null"),SUBSTITUTE(VLOOKUP(G$2,convert!$A$1:$B$4,2,0),"@@@",G417))</f>
        <v>105</v>
      </c>
      <c r="W417" s="4" t="str">
        <f>IF(H417="",IF(ISNUMBER(SEARCH("NOT NULL",UPPER(H$3))),"''","null"),SUBSTITUTE(VLOOKUP(H$2,convert!$A$1:$B$4,2,0),"@@@",H417))</f>
        <v>80</v>
      </c>
      <c r="X417" s="4" t="str">
        <f>IF(I417="",IF(ISNUMBER(SEARCH("NOT NULL",UPPER(I$3))),"''","null"),SUBSTITUTE(VLOOKUP(I$2,convert!$A$1:$B$4,2,0),"@@@",I417))</f>
        <v>''</v>
      </c>
      <c r="Y417" s="4" t="str">
        <f>IF(J417="",IF(ISNUMBER(SEARCH("NOT NULL",UPPER(J$3))),"''","null"),SUBSTITUTE(VLOOKUP(J$2,convert!$A$1:$B$4,2,0),"@@@",J417))</f>
        <v>'dragon'</v>
      </c>
      <c r="Z417" s="4" t="str">
        <f>IF(K417="",IF(ISNUMBER(SEARCH("NOT NULL",UPPER(K$3))),"''","null"),SUBSTITUTE(VLOOKUP(K$2,convert!$A$1:$B$4,2,0),"@@@",K417))</f>
        <v>'fairy'</v>
      </c>
      <c r="AA417" s="4" t="str">
        <f>IF(L417="",IF(ISNUMBER(SEARCH("NOT NULL",UPPER(L$3))),"''","null"),SUBSTITUTE(VLOOKUP(L$2,convert!$A$1:$B$4,2,0),"@@@",L417))</f>
        <v>'g6oras'</v>
      </c>
      <c r="AB417" s="4" t="str">
        <f>IF(M417="",IF(ISNUMBER(SEARCH("NOT NULL",UPPER(M$3))),"''","null"),SUBSTITUTE(VLOOKUP(M$2,convert!$A$1:$B$4,2,0),"@@@",M417))</f>
        <v>null</v>
      </c>
      <c r="AC417" s="4" t="str">
        <f>IF(N417="",IF(ISNUMBER(SEARCH("NOT NULL",UPPER(N$3))),"''","null"),SUBSTITUTE(VLOOKUP(N$2,convert!$A$1:$B$4,2,0),"@@@",N417))</f>
        <v>null</v>
      </c>
      <c r="AD417" s="4" t="str">
        <f>IF(O417="",IF(ISNUMBER(SEARCH("NOT NULL",UPPER(O$3))),"''","null"),SUBSTITUTE(VLOOKUP(O$2,convert!$A$1:$B$4,2,0),"@@@",O417))</f>
        <v>TRUE</v>
      </c>
      <c r="AE417" s="4" t="str">
        <f t="shared" si="6"/>
        <v>    ('0334M01', 'メガチルタリス', 75, 110, 110, 110, 105, 80, '', 'dragon', 'fairy', 'g6oras', null, null, TRUE),</v>
      </c>
    </row>
    <row r="418" spans="1:31">
      <c r="A418" s="4" t="s">
        <v>847</v>
      </c>
      <c r="B418" s="4" t="s">
        <v>848</v>
      </c>
      <c r="C418" s="5">
        <v>73</v>
      </c>
      <c r="D418" s="5">
        <v>115</v>
      </c>
      <c r="E418" s="5">
        <v>60</v>
      </c>
      <c r="F418" s="5">
        <v>60</v>
      </c>
      <c r="G418" s="5">
        <v>60</v>
      </c>
      <c r="H418" s="5">
        <v>90</v>
      </c>
      <c r="I418" s="5"/>
      <c r="J418" s="4" t="s">
        <v>80</v>
      </c>
      <c r="K418" s="5"/>
      <c r="L418" s="4" t="s">
        <v>656</v>
      </c>
      <c r="M418" s="5"/>
      <c r="N418" s="5"/>
      <c r="O418" s="5" t="b">
        <v>1</v>
      </c>
      <c r="P418" s="4" t="str">
        <f>IF(A418="",IF(ISNUMBER(SEARCH("NOT NULL",UPPER(A$3))),"''","null"),SUBSTITUTE(VLOOKUP(A$2,convert!$A$1:$B$4,2,0),"@@@",A418))</f>
        <v>'0335N01'</v>
      </c>
      <c r="Q418" s="4" t="str">
        <f>IF(B418="",IF(ISNUMBER(SEARCH("NOT NULL",UPPER(B$3))),"''","null"),SUBSTITUTE(VLOOKUP(B$2,convert!$A$1:$B$4,2,0),"@@@",B418))</f>
        <v>'ザングース'</v>
      </c>
      <c r="R418" s="4" t="str">
        <f>IF(C418="",IF(ISNUMBER(SEARCH("NOT NULL",UPPER(C$3))),"''","null"),SUBSTITUTE(VLOOKUP(C$2,convert!$A$1:$B$4,2,0),"@@@",C418))</f>
        <v>73</v>
      </c>
      <c r="S418" s="4" t="str">
        <f>IF(D418="",IF(ISNUMBER(SEARCH("NOT NULL",UPPER(D$3))),"''","null"),SUBSTITUTE(VLOOKUP(D$2,convert!$A$1:$B$4,2,0),"@@@",D418))</f>
        <v>115</v>
      </c>
      <c r="T418" s="4" t="str">
        <f>IF(E418="",IF(ISNUMBER(SEARCH("NOT NULL",UPPER(E$3))),"''","null"),SUBSTITUTE(VLOOKUP(E$2,convert!$A$1:$B$4,2,0),"@@@",E418))</f>
        <v>60</v>
      </c>
      <c r="U418" s="4" t="str">
        <f>IF(F418="",IF(ISNUMBER(SEARCH("NOT NULL",UPPER(F$3))),"''","null"),SUBSTITUTE(VLOOKUP(F$2,convert!$A$1:$B$4,2,0),"@@@",F418))</f>
        <v>60</v>
      </c>
      <c r="V418" s="4" t="str">
        <f>IF(G418="",IF(ISNUMBER(SEARCH("NOT NULL",UPPER(G$3))),"''","null"),SUBSTITUTE(VLOOKUP(G$2,convert!$A$1:$B$4,2,0),"@@@",G418))</f>
        <v>60</v>
      </c>
      <c r="W418" s="4" t="str">
        <f>IF(H418="",IF(ISNUMBER(SEARCH("NOT NULL",UPPER(H$3))),"''","null"),SUBSTITUTE(VLOOKUP(H$2,convert!$A$1:$B$4,2,0),"@@@",H418))</f>
        <v>90</v>
      </c>
      <c r="X418" s="4" t="str">
        <f>IF(I418="",IF(ISNUMBER(SEARCH("NOT NULL",UPPER(I$3))),"''","null"),SUBSTITUTE(VLOOKUP(I$2,convert!$A$1:$B$4,2,0),"@@@",I418))</f>
        <v>''</v>
      </c>
      <c r="Y418" s="4" t="str">
        <f>IF(J418="",IF(ISNUMBER(SEARCH("NOT NULL",UPPER(J$3))),"''","null"),SUBSTITUTE(VLOOKUP(J$2,convert!$A$1:$B$4,2,0),"@@@",J418))</f>
        <v>'normal'</v>
      </c>
      <c r="Z418" s="4" t="str">
        <f>IF(K418="",IF(ISNUMBER(SEARCH("NOT NULL",UPPER(K$3))),"''","null"),SUBSTITUTE(VLOOKUP(K$2,convert!$A$1:$B$4,2,0),"@@@",K418))</f>
        <v>null</v>
      </c>
      <c r="AA418" s="4" t="str">
        <f>IF(L418="",IF(ISNUMBER(SEARCH("NOT NULL",UPPER(L$3))),"''","null"),SUBSTITUTE(VLOOKUP(L$2,convert!$A$1:$B$4,2,0),"@@@",L418))</f>
        <v>'g3'</v>
      </c>
      <c r="AB418" s="4" t="str">
        <f>IF(M418="",IF(ISNUMBER(SEARCH("NOT NULL",UPPER(M$3))),"''","null"),SUBSTITUTE(VLOOKUP(M$2,convert!$A$1:$B$4,2,0),"@@@",M418))</f>
        <v>null</v>
      </c>
      <c r="AC418" s="4" t="str">
        <f>IF(N418="",IF(ISNUMBER(SEARCH("NOT NULL",UPPER(N$3))),"''","null"),SUBSTITUTE(VLOOKUP(N$2,convert!$A$1:$B$4,2,0),"@@@",N418))</f>
        <v>null</v>
      </c>
      <c r="AD418" s="4" t="str">
        <f>IF(O418="",IF(ISNUMBER(SEARCH("NOT NULL",UPPER(O$3))),"''","null"),SUBSTITUTE(VLOOKUP(O$2,convert!$A$1:$B$4,2,0),"@@@",O418))</f>
        <v>TRUE</v>
      </c>
      <c r="AE418" s="4" t="str">
        <f t="shared" si="6"/>
        <v>    ('0335N01', 'ザングース', 73, 115, 60, 60, 60, 90, '', 'normal', null, 'g3', null, null, TRUE),</v>
      </c>
    </row>
    <row r="419" spans="1:31">
      <c r="A419" s="4" t="s">
        <v>849</v>
      </c>
      <c r="B419" s="4" t="s">
        <v>850</v>
      </c>
      <c r="C419" s="5">
        <v>73</v>
      </c>
      <c r="D419" s="5">
        <v>100</v>
      </c>
      <c r="E419" s="5">
        <v>60</v>
      </c>
      <c r="F419" s="5">
        <v>100</v>
      </c>
      <c r="G419" s="5">
        <v>60</v>
      </c>
      <c r="H419" s="5">
        <v>65</v>
      </c>
      <c r="I419" s="5"/>
      <c r="J419" s="4" t="s">
        <v>31</v>
      </c>
      <c r="K419" s="5"/>
      <c r="L419" s="4" t="s">
        <v>656</v>
      </c>
      <c r="M419" s="5"/>
      <c r="N419" s="5"/>
      <c r="O419" s="5" t="b">
        <v>1</v>
      </c>
      <c r="P419" s="4" t="str">
        <f>IF(A419="",IF(ISNUMBER(SEARCH("NOT NULL",UPPER(A$3))),"''","null"),SUBSTITUTE(VLOOKUP(A$2,convert!$A$1:$B$4,2,0),"@@@",A419))</f>
        <v>'0336N01'</v>
      </c>
      <c r="Q419" s="4" t="str">
        <f>IF(B419="",IF(ISNUMBER(SEARCH("NOT NULL",UPPER(B$3))),"''","null"),SUBSTITUTE(VLOOKUP(B$2,convert!$A$1:$B$4,2,0),"@@@",B419))</f>
        <v>'ハブネーク'</v>
      </c>
      <c r="R419" s="4" t="str">
        <f>IF(C419="",IF(ISNUMBER(SEARCH("NOT NULL",UPPER(C$3))),"''","null"),SUBSTITUTE(VLOOKUP(C$2,convert!$A$1:$B$4,2,0),"@@@",C419))</f>
        <v>73</v>
      </c>
      <c r="S419" s="4" t="str">
        <f>IF(D419="",IF(ISNUMBER(SEARCH("NOT NULL",UPPER(D$3))),"''","null"),SUBSTITUTE(VLOOKUP(D$2,convert!$A$1:$B$4,2,0),"@@@",D419))</f>
        <v>100</v>
      </c>
      <c r="T419" s="4" t="str">
        <f>IF(E419="",IF(ISNUMBER(SEARCH("NOT NULL",UPPER(E$3))),"''","null"),SUBSTITUTE(VLOOKUP(E$2,convert!$A$1:$B$4,2,0),"@@@",E419))</f>
        <v>60</v>
      </c>
      <c r="U419" s="4" t="str">
        <f>IF(F419="",IF(ISNUMBER(SEARCH("NOT NULL",UPPER(F$3))),"''","null"),SUBSTITUTE(VLOOKUP(F$2,convert!$A$1:$B$4,2,0),"@@@",F419))</f>
        <v>100</v>
      </c>
      <c r="V419" s="4" t="str">
        <f>IF(G419="",IF(ISNUMBER(SEARCH("NOT NULL",UPPER(G$3))),"''","null"),SUBSTITUTE(VLOOKUP(G$2,convert!$A$1:$B$4,2,0),"@@@",G419))</f>
        <v>60</v>
      </c>
      <c r="W419" s="4" t="str">
        <f>IF(H419="",IF(ISNUMBER(SEARCH("NOT NULL",UPPER(H$3))),"''","null"),SUBSTITUTE(VLOOKUP(H$2,convert!$A$1:$B$4,2,0),"@@@",H419))</f>
        <v>65</v>
      </c>
      <c r="X419" s="4" t="str">
        <f>IF(I419="",IF(ISNUMBER(SEARCH("NOT NULL",UPPER(I$3))),"''","null"),SUBSTITUTE(VLOOKUP(I$2,convert!$A$1:$B$4,2,0),"@@@",I419))</f>
        <v>''</v>
      </c>
      <c r="Y419" s="4" t="str">
        <f>IF(J419="",IF(ISNUMBER(SEARCH("NOT NULL",UPPER(J$3))),"''","null"),SUBSTITUTE(VLOOKUP(J$2,convert!$A$1:$B$4,2,0),"@@@",J419))</f>
        <v>'poison'</v>
      </c>
      <c r="Z419" s="4" t="str">
        <f>IF(K419="",IF(ISNUMBER(SEARCH("NOT NULL",UPPER(K$3))),"''","null"),SUBSTITUTE(VLOOKUP(K$2,convert!$A$1:$B$4,2,0),"@@@",K419))</f>
        <v>null</v>
      </c>
      <c r="AA419" s="4" t="str">
        <f>IF(L419="",IF(ISNUMBER(SEARCH("NOT NULL",UPPER(L$3))),"''","null"),SUBSTITUTE(VLOOKUP(L$2,convert!$A$1:$B$4,2,0),"@@@",L419))</f>
        <v>'g3'</v>
      </c>
      <c r="AB419" s="4" t="str">
        <f>IF(M419="",IF(ISNUMBER(SEARCH("NOT NULL",UPPER(M$3))),"''","null"),SUBSTITUTE(VLOOKUP(M$2,convert!$A$1:$B$4,2,0),"@@@",M419))</f>
        <v>null</v>
      </c>
      <c r="AC419" s="4" t="str">
        <f>IF(N419="",IF(ISNUMBER(SEARCH("NOT NULL",UPPER(N$3))),"''","null"),SUBSTITUTE(VLOOKUP(N$2,convert!$A$1:$B$4,2,0),"@@@",N419))</f>
        <v>null</v>
      </c>
      <c r="AD419" s="4" t="str">
        <f>IF(O419="",IF(ISNUMBER(SEARCH("NOT NULL",UPPER(O$3))),"''","null"),SUBSTITUTE(VLOOKUP(O$2,convert!$A$1:$B$4,2,0),"@@@",O419))</f>
        <v>TRUE</v>
      </c>
      <c r="AE419" s="4" t="str">
        <f t="shared" si="6"/>
        <v>    ('0336N01', 'ハブネーク', 73, 100, 60, 100, 60, 65, '', 'poison', null, 'g3', null, null, TRUE),</v>
      </c>
    </row>
    <row r="420" spans="1:31">
      <c r="A420" s="4" t="s">
        <v>851</v>
      </c>
      <c r="B420" s="4" t="s">
        <v>852</v>
      </c>
      <c r="C420" s="5">
        <v>90</v>
      </c>
      <c r="D420" s="5">
        <v>55</v>
      </c>
      <c r="E420" s="5">
        <v>65</v>
      </c>
      <c r="F420" s="5">
        <v>95</v>
      </c>
      <c r="G420" s="5">
        <v>85</v>
      </c>
      <c r="H420" s="5">
        <v>70</v>
      </c>
      <c r="I420" s="5"/>
      <c r="J420" s="4" t="s">
        <v>196</v>
      </c>
      <c r="K420" s="4" t="s">
        <v>113</v>
      </c>
      <c r="L420" s="4" t="s">
        <v>656</v>
      </c>
      <c r="M420" s="5"/>
      <c r="N420" s="5"/>
      <c r="O420" s="5" t="b">
        <v>1</v>
      </c>
      <c r="P420" s="4" t="str">
        <f>IF(A420="",IF(ISNUMBER(SEARCH("NOT NULL",UPPER(A$3))),"''","null"),SUBSTITUTE(VLOOKUP(A$2,convert!$A$1:$B$4,2,0),"@@@",A420))</f>
        <v>'0337N01'</v>
      </c>
      <c r="Q420" s="4" t="str">
        <f>IF(B420="",IF(ISNUMBER(SEARCH("NOT NULL",UPPER(B$3))),"''","null"),SUBSTITUTE(VLOOKUP(B$2,convert!$A$1:$B$4,2,0),"@@@",B420))</f>
        <v>'ルナトーン'</v>
      </c>
      <c r="R420" s="4" t="str">
        <f>IF(C420="",IF(ISNUMBER(SEARCH("NOT NULL",UPPER(C$3))),"''","null"),SUBSTITUTE(VLOOKUP(C$2,convert!$A$1:$B$4,2,0),"@@@",C420))</f>
        <v>90</v>
      </c>
      <c r="S420" s="4" t="str">
        <f>IF(D420="",IF(ISNUMBER(SEARCH("NOT NULL",UPPER(D$3))),"''","null"),SUBSTITUTE(VLOOKUP(D$2,convert!$A$1:$B$4,2,0),"@@@",D420))</f>
        <v>55</v>
      </c>
      <c r="T420" s="4" t="str">
        <f>IF(E420="",IF(ISNUMBER(SEARCH("NOT NULL",UPPER(E$3))),"''","null"),SUBSTITUTE(VLOOKUP(E$2,convert!$A$1:$B$4,2,0),"@@@",E420))</f>
        <v>65</v>
      </c>
      <c r="U420" s="4" t="str">
        <f>IF(F420="",IF(ISNUMBER(SEARCH("NOT NULL",UPPER(F$3))),"''","null"),SUBSTITUTE(VLOOKUP(F$2,convert!$A$1:$B$4,2,0),"@@@",F420))</f>
        <v>95</v>
      </c>
      <c r="V420" s="4" t="str">
        <f>IF(G420="",IF(ISNUMBER(SEARCH("NOT NULL",UPPER(G$3))),"''","null"),SUBSTITUTE(VLOOKUP(G$2,convert!$A$1:$B$4,2,0),"@@@",G420))</f>
        <v>85</v>
      </c>
      <c r="W420" s="4" t="str">
        <f>IF(H420="",IF(ISNUMBER(SEARCH("NOT NULL",UPPER(H$3))),"''","null"),SUBSTITUTE(VLOOKUP(H$2,convert!$A$1:$B$4,2,0),"@@@",H420))</f>
        <v>70</v>
      </c>
      <c r="X420" s="4" t="str">
        <f>IF(I420="",IF(ISNUMBER(SEARCH("NOT NULL",UPPER(I$3))),"''","null"),SUBSTITUTE(VLOOKUP(I$2,convert!$A$1:$B$4,2,0),"@@@",I420))</f>
        <v>''</v>
      </c>
      <c r="Y420" s="4" t="str">
        <f>IF(J420="",IF(ISNUMBER(SEARCH("NOT NULL",UPPER(J$3))),"''","null"),SUBSTITUTE(VLOOKUP(J$2,convert!$A$1:$B$4,2,0),"@@@",J420))</f>
        <v>'rock'</v>
      </c>
      <c r="Z420" s="4" t="str">
        <f>IF(K420="",IF(ISNUMBER(SEARCH("NOT NULL",UPPER(K$3))),"''","null"),SUBSTITUTE(VLOOKUP(K$2,convert!$A$1:$B$4,2,0),"@@@",K420))</f>
        <v>'psychic'</v>
      </c>
      <c r="AA420" s="4" t="str">
        <f>IF(L420="",IF(ISNUMBER(SEARCH("NOT NULL",UPPER(L$3))),"''","null"),SUBSTITUTE(VLOOKUP(L$2,convert!$A$1:$B$4,2,0),"@@@",L420))</f>
        <v>'g3'</v>
      </c>
      <c r="AB420" s="4" t="str">
        <f>IF(M420="",IF(ISNUMBER(SEARCH("NOT NULL",UPPER(M$3))),"''","null"),SUBSTITUTE(VLOOKUP(M$2,convert!$A$1:$B$4,2,0),"@@@",M420))</f>
        <v>null</v>
      </c>
      <c r="AC420" s="4" t="str">
        <f>IF(N420="",IF(ISNUMBER(SEARCH("NOT NULL",UPPER(N$3))),"''","null"),SUBSTITUTE(VLOOKUP(N$2,convert!$A$1:$B$4,2,0),"@@@",N420))</f>
        <v>null</v>
      </c>
      <c r="AD420" s="4" t="str">
        <f>IF(O420="",IF(ISNUMBER(SEARCH("NOT NULL",UPPER(O$3))),"''","null"),SUBSTITUTE(VLOOKUP(O$2,convert!$A$1:$B$4,2,0),"@@@",O420))</f>
        <v>TRUE</v>
      </c>
      <c r="AE420" s="4" t="str">
        <f t="shared" si="6"/>
        <v>    ('0337N01', 'ルナトーン', 90, 55, 65, 95, 85, 70, '', 'rock', 'psychic', 'g3', null, null, TRUE),</v>
      </c>
    </row>
    <row r="421" spans="1:31">
      <c r="A421" s="4" t="s">
        <v>853</v>
      </c>
      <c r="B421" s="4" t="s">
        <v>854</v>
      </c>
      <c r="C421" s="5">
        <v>90</v>
      </c>
      <c r="D421" s="5">
        <v>95</v>
      </c>
      <c r="E421" s="5">
        <v>85</v>
      </c>
      <c r="F421" s="5">
        <v>55</v>
      </c>
      <c r="G421" s="5">
        <v>65</v>
      </c>
      <c r="H421" s="5">
        <v>70</v>
      </c>
      <c r="I421" s="5"/>
      <c r="J421" s="4" t="s">
        <v>196</v>
      </c>
      <c r="K421" s="4" t="s">
        <v>113</v>
      </c>
      <c r="L421" s="4" t="s">
        <v>656</v>
      </c>
      <c r="M421" s="5"/>
      <c r="N421" s="5"/>
      <c r="O421" s="5" t="b">
        <v>1</v>
      </c>
      <c r="P421" s="4" t="str">
        <f>IF(A421="",IF(ISNUMBER(SEARCH("NOT NULL",UPPER(A$3))),"''","null"),SUBSTITUTE(VLOOKUP(A$2,convert!$A$1:$B$4,2,0),"@@@",A421))</f>
        <v>'0338N01'</v>
      </c>
      <c r="Q421" s="4" t="str">
        <f>IF(B421="",IF(ISNUMBER(SEARCH("NOT NULL",UPPER(B$3))),"''","null"),SUBSTITUTE(VLOOKUP(B$2,convert!$A$1:$B$4,2,0),"@@@",B421))</f>
        <v>'ソルロック'</v>
      </c>
      <c r="R421" s="4" t="str">
        <f>IF(C421="",IF(ISNUMBER(SEARCH("NOT NULL",UPPER(C$3))),"''","null"),SUBSTITUTE(VLOOKUP(C$2,convert!$A$1:$B$4,2,0),"@@@",C421))</f>
        <v>90</v>
      </c>
      <c r="S421" s="4" t="str">
        <f>IF(D421="",IF(ISNUMBER(SEARCH("NOT NULL",UPPER(D$3))),"''","null"),SUBSTITUTE(VLOOKUP(D$2,convert!$A$1:$B$4,2,0),"@@@",D421))</f>
        <v>95</v>
      </c>
      <c r="T421" s="4" t="str">
        <f>IF(E421="",IF(ISNUMBER(SEARCH("NOT NULL",UPPER(E$3))),"''","null"),SUBSTITUTE(VLOOKUP(E$2,convert!$A$1:$B$4,2,0),"@@@",E421))</f>
        <v>85</v>
      </c>
      <c r="U421" s="4" t="str">
        <f>IF(F421="",IF(ISNUMBER(SEARCH("NOT NULL",UPPER(F$3))),"''","null"),SUBSTITUTE(VLOOKUP(F$2,convert!$A$1:$B$4,2,0),"@@@",F421))</f>
        <v>55</v>
      </c>
      <c r="V421" s="4" t="str">
        <f>IF(G421="",IF(ISNUMBER(SEARCH("NOT NULL",UPPER(G$3))),"''","null"),SUBSTITUTE(VLOOKUP(G$2,convert!$A$1:$B$4,2,0),"@@@",G421))</f>
        <v>65</v>
      </c>
      <c r="W421" s="4" t="str">
        <f>IF(H421="",IF(ISNUMBER(SEARCH("NOT NULL",UPPER(H$3))),"''","null"),SUBSTITUTE(VLOOKUP(H$2,convert!$A$1:$B$4,2,0),"@@@",H421))</f>
        <v>70</v>
      </c>
      <c r="X421" s="4" t="str">
        <f>IF(I421="",IF(ISNUMBER(SEARCH("NOT NULL",UPPER(I$3))),"''","null"),SUBSTITUTE(VLOOKUP(I$2,convert!$A$1:$B$4,2,0),"@@@",I421))</f>
        <v>''</v>
      </c>
      <c r="Y421" s="4" t="str">
        <f>IF(J421="",IF(ISNUMBER(SEARCH("NOT NULL",UPPER(J$3))),"''","null"),SUBSTITUTE(VLOOKUP(J$2,convert!$A$1:$B$4,2,0),"@@@",J421))</f>
        <v>'rock'</v>
      </c>
      <c r="Z421" s="4" t="str">
        <f>IF(K421="",IF(ISNUMBER(SEARCH("NOT NULL",UPPER(K$3))),"''","null"),SUBSTITUTE(VLOOKUP(K$2,convert!$A$1:$B$4,2,0),"@@@",K421))</f>
        <v>'psychic'</v>
      </c>
      <c r="AA421" s="4" t="str">
        <f>IF(L421="",IF(ISNUMBER(SEARCH("NOT NULL",UPPER(L$3))),"''","null"),SUBSTITUTE(VLOOKUP(L$2,convert!$A$1:$B$4,2,0),"@@@",L421))</f>
        <v>'g3'</v>
      </c>
      <c r="AB421" s="4" t="str">
        <f>IF(M421="",IF(ISNUMBER(SEARCH("NOT NULL",UPPER(M$3))),"''","null"),SUBSTITUTE(VLOOKUP(M$2,convert!$A$1:$B$4,2,0),"@@@",M421))</f>
        <v>null</v>
      </c>
      <c r="AC421" s="4" t="str">
        <f>IF(N421="",IF(ISNUMBER(SEARCH("NOT NULL",UPPER(N$3))),"''","null"),SUBSTITUTE(VLOOKUP(N$2,convert!$A$1:$B$4,2,0),"@@@",N421))</f>
        <v>null</v>
      </c>
      <c r="AD421" s="4" t="str">
        <f>IF(O421="",IF(ISNUMBER(SEARCH("NOT NULL",UPPER(O$3))),"''","null"),SUBSTITUTE(VLOOKUP(O$2,convert!$A$1:$B$4,2,0),"@@@",O421))</f>
        <v>TRUE</v>
      </c>
      <c r="AE421" s="4" t="str">
        <f t="shared" si="6"/>
        <v>    ('0338N01', 'ソルロック', 90, 95, 85, 55, 65, 70, '', 'rock', 'psychic', 'g3', null, null, TRUE),</v>
      </c>
    </row>
    <row r="422" spans="1:31">
      <c r="A422" s="4" t="s">
        <v>855</v>
      </c>
      <c r="B422" s="4" t="s">
        <v>856</v>
      </c>
      <c r="C422" s="5">
        <v>50</v>
      </c>
      <c r="D422" s="5">
        <v>48</v>
      </c>
      <c r="E422" s="5">
        <v>43</v>
      </c>
      <c r="F422" s="5">
        <v>46</v>
      </c>
      <c r="G422" s="5">
        <v>41</v>
      </c>
      <c r="H422" s="5">
        <v>60</v>
      </c>
      <c r="I422" s="5"/>
      <c r="J422" s="4" t="s">
        <v>55</v>
      </c>
      <c r="K422" s="4" t="s">
        <v>116</v>
      </c>
      <c r="L422" s="4" t="s">
        <v>656</v>
      </c>
      <c r="M422" s="5"/>
      <c r="N422" s="5"/>
      <c r="O422" s="5" t="b">
        <v>1</v>
      </c>
      <c r="P422" s="4" t="str">
        <f>IF(A422="",IF(ISNUMBER(SEARCH("NOT NULL",UPPER(A$3))),"''","null"),SUBSTITUTE(VLOOKUP(A$2,convert!$A$1:$B$4,2,0),"@@@",A422))</f>
        <v>'0339N01'</v>
      </c>
      <c r="Q422" s="4" t="str">
        <f>IF(B422="",IF(ISNUMBER(SEARCH("NOT NULL",UPPER(B$3))),"''","null"),SUBSTITUTE(VLOOKUP(B$2,convert!$A$1:$B$4,2,0),"@@@",B422))</f>
        <v>'ドジョッチ'</v>
      </c>
      <c r="R422" s="4" t="str">
        <f>IF(C422="",IF(ISNUMBER(SEARCH("NOT NULL",UPPER(C$3))),"''","null"),SUBSTITUTE(VLOOKUP(C$2,convert!$A$1:$B$4,2,0),"@@@",C422))</f>
        <v>50</v>
      </c>
      <c r="S422" s="4" t="str">
        <f>IF(D422="",IF(ISNUMBER(SEARCH("NOT NULL",UPPER(D$3))),"''","null"),SUBSTITUTE(VLOOKUP(D$2,convert!$A$1:$B$4,2,0),"@@@",D422))</f>
        <v>48</v>
      </c>
      <c r="T422" s="4" t="str">
        <f>IF(E422="",IF(ISNUMBER(SEARCH("NOT NULL",UPPER(E$3))),"''","null"),SUBSTITUTE(VLOOKUP(E$2,convert!$A$1:$B$4,2,0),"@@@",E422))</f>
        <v>43</v>
      </c>
      <c r="U422" s="4" t="str">
        <f>IF(F422="",IF(ISNUMBER(SEARCH("NOT NULL",UPPER(F$3))),"''","null"),SUBSTITUTE(VLOOKUP(F$2,convert!$A$1:$B$4,2,0),"@@@",F422))</f>
        <v>46</v>
      </c>
      <c r="V422" s="4" t="str">
        <f>IF(G422="",IF(ISNUMBER(SEARCH("NOT NULL",UPPER(G$3))),"''","null"),SUBSTITUTE(VLOOKUP(G$2,convert!$A$1:$B$4,2,0),"@@@",G422))</f>
        <v>41</v>
      </c>
      <c r="W422" s="4" t="str">
        <f>IF(H422="",IF(ISNUMBER(SEARCH("NOT NULL",UPPER(H$3))),"''","null"),SUBSTITUTE(VLOOKUP(H$2,convert!$A$1:$B$4,2,0),"@@@",H422))</f>
        <v>60</v>
      </c>
      <c r="X422" s="4" t="str">
        <f>IF(I422="",IF(ISNUMBER(SEARCH("NOT NULL",UPPER(I$3))),"''","null"),SUBSTITUTE(VLOOKUP(I$2,convert!$A$1:$B$4,2,0),"@@@",I422))</f>
        <v>''</v>
      </c>
      <c r="Y422" s="4" t="str">
        <f>IF(J422="",IF(ISNUMBER(SEARCH("NOT NULL",UPPER(J$3))),"''","null"),SUBSTITUTE(VLOOKUP(J$2,convert!$A$1:$B$4,2,0),"@@@",J422))</f>
        <v>'water'</v>
      </c>
      <c r="Z422" s="4" t="str">
        <f>IF(K422="",IF(ISNUMBER(SEARCH("NOT NULL",UPPER(K$3))),"''","null"),SUBSTITUTE(VLOOKUP(K$2,convert!$A$1:$B$4,2,0),"@@@",K422))</f>
        <v>'ground'</v>
      </c>
      <c r="AA422" s="4" t="str">
        <f>IF(L422="",IF(ISNUMBER(SEARCH("NOT NULL",UPPER(L$3))),"''","null"),SUBSTITUTE(VLOOKUP(L$2,convert!$A$1:$B$4,2,0),"@@@",L422))</f>
        <v>'g3'</v>
      </c>
      <c r="AB422" s="4" t="str">
        <f>IF(M422="",IF(ISNUMBER(SEARCH("NOT NULL",UPPER(M$3))),"''","null"),SUBSTITUTE(VLOOKUP(M$2,convert!$A$1:$B$4,2,0),"@@@",M422))</f>
        <v>null</v>
      </c>
      <c r="AC422" s="4" t="str">
        <f>IF(N422="",IF(ISNUMBER(SEARCH("NOT NULL",UPPER(N$3))),"''","null"),SUBSTITUTE(VLOOKUP(N$2,convert!$A$1:$B$4,2,0),"@@@",N422))</f>
        <v>null</v>
      </c>
      <c r="AD422" s="4" t="str">
        <f>IF(O422="",IF(ISNUMBER(SEARCH("NOT NULL",UPPER(O$3))),"''","null"),SUBSTITUTE(VLOOKUP(O$2,convert!$A$1:$B$4,2,0),"@@@",O422))</f>
        <v>TRUE</v>
      </c>
      <c r="AE422" s="4" t="str">
        <f t="shared" si="6"/>
        <v>    ('0339N01', 'ドジョッチ', 50, 48, 43, 46, 41, 60, '', 'water', 'ground', 'g3', null, null, TRUE),</v>
      </c>
    </row>
    <row r="423" spans="1:31">
      <c r="A423" s="4" t="s">
        <v>857</v>
      </c>
      <c r="B423" s="4" t="s">
        <v>858</v>
      </c>
      <c r="C423" s="5">
        <v>110</v>
      </c>
      <c r="D423" s="5">
        <v>78</v>
      </c>
      <c r="E423" s="5">
        <v>73</v>
      </c>
      <c r="F423" s="5">
        <v>76</v>
      </c>
      <c r="G423" s="5">
        <v>71</v>
      </c>
      <c r="H423" s="5">
        <v>60</v>
      </c>
      <c r="I423" s="5"/>
      <c r="J423" s="4" t="s">
        <v>55</v>
      </c>
      <c r="K423" s="4" t="s">
        <v>116</v>
      </c>
      <c r="L423" s="4" t="s">
        <v>656</v>
      </c>
      <c r="M423" s="5"/>
      <c r="N423" s="5"/>
      <c r="O423" s="5" t="b">
        <v>1</v>
      </c>
      <c r="P423" s="4" t="str">
        <f>IF(A423="",IF(ISNUMBER(SEARCH("NOT NULL",UPPER(A$3))),"''","null"),SUBSTITUTE(VLOOKUP(A$2,convert!$A$1:$B$4,2,0),"@@@",A423))</f>
        <v>'0340N01'</v>
      </c>
      <c r="Q423" s="4" t="str">
        <f>IF(B423="",IF(ISNUMBER(SEARCH("NOT NULL",UPPER(B$3))),"''","null"),SUBSTITUTE(VLOOKUP(B$2,convert!$A$1:$B$4,2,0),"@@@",B423))</f>
        <v>'ナマズン'</v>
      </c>
      <c r="R423" s="4" t="str">
        <f>IF(C423="",IF(ISNUMBER(SEARCH("NOT NULL",UPPER(C$3))),"''","null"),SUBSTITUTE(VLOOKUP(C$2,convert!$A$1:$B$4,2,0),"@@@",C423))</f>
        <v>110</v>
      </c>
      <c r="S423" s="4" t="str">
        <f>IF(D423="",IF(ISNUMBER(SEARCH("NOT NULL",UPPER(D$3))),"''","null"),SUBSTITUTE(VLOOKUP(D$2,convert!$A$1:$B$4,2,0),"@@@",D423))</f>
        <v>78</v>
      </c>
      <c r="T423" s="4" t="str">
        <f>IF(E423="",IF(ISNUMBER(SEARCH("NOT NULL",UPPER(E$3))),"''","null"),SUBSTITUTE(VLOOKUP(E$2,convert!$A$1:$B$4,2,0),"@@@",E423))</f>
        <v>73</v>
      </c>
      <c r="U423" s="4" t="str">
        <f>IF(F423="",IF(ISNUMBER(SEARCH("NOT NULL",UPPER(F$3))),"''","null"),SUBSTITUTE(VLOOKUP(F$2,convert!$A$1:$B$4,2,0),"@@@",F423))</f>
        <v>76</v>
      </c>
      <c r="V423" s="4" t="str">
        <f>IF(G423="",IF(ISNUMBER(SEARCH("NOT NULL",UPPER(G$3))),"''","null"),SUBSTITUTE(VLOOKUP(G$2,convert!$A$1:$B$4,2,0),"@@@",G423))</f>
        <v>71</v>
      </c>
      <c r="W423" s="4" t="str">
        <f>IF(H423="",IF(ISNUMBER(SEARCH("NOT NULL",UPPER(H$3))),"''","null"),SUBSTITUTE(VLOOKUP(H$2,convert!$A$1:$B$4,2,0),"@@@",H423))</f>
        <v>60</v>
      </c>
      <c r="X423" s="4" t="str">
        <f>IF(I423="",IF(ISNUMBER(SEARCH("NOT NULL",UPPER(I$3))),"''","null"),SUBSTITUTE(VLOOKUP(I$2,convert!$A$1:$B$4,2,0),"@@@",I423))</f>
        <v>''</v>
      </c>
      <c r="Y423" s="4" t="str">
        <f>IF(J423="",IF(ISNUMBER(SEARCH("NOT NULL",UPPER(J$3))),"''","null"),SUBSTITUTE(VLOOKUP(J$2,convert!$A$1:$B$4,2,0),"@@@",J423))</f>
        <v>'water'</v>
      </c>
      <c r="Z423" s="4" t="str">
        <f>IF(K423="",IF(ISNUMBER(SEARCH("NOT NULL",UPPER(K$3))),"''","null"),SUBSTITUTE(VLOOKUP(K$2,convert!$A$1:$B$4,2,0),"@@@",K423))</f>
        <v>'ground'</v>
      </c>
      <c r="AA423" s="4" t="str">
        <f>IF(L423="",IF(ISNUMBER(SEARCH("NOT NULL",UPPER(L$3))),"''","null"),SUBSTITUTE(VLOOKUP(L$2,convert!$A$1:$B$4,2,0),"@@@",L423))</f>
        <v>'g3'</v>
      </c>
      <c r="AB423" s="4" t="str">
        <f>IF(M423="",IF(ISNUMBER(SEARCH("NOT NULL",UPPER(M$3))),"''","null"),SUBSTITUTE(VLOOKUP(M$2,convert!$A$1:$B$4,2,0),"@@@",M423))</f>
        <v>null</v>
      </c>
      <c r="AC423" s="4" t="str">
        <f>IF(N423="",IF(ISNUMBER(SEARCH("NOT NULL",UPPER(N$3))),"''","null"),SUBSTITUTE(VLOOKUP(N$2,convert!$A$1:$B$4,2,0),"@@@",N423))</f>
        <v>null</v>
      </c>
      <c r="AD423" s="4" t="str">
        <f>IF(O423="",IF(ISNUMBER(SEARCH("NOT NULL",UPPER(O$3))),"''","null"),SUBSTITUTE(VLOOKUP(O$2,convert!$A$1:$B$4,2,0),"@@@",O423))</f>
        <v>TRUE</v>
      </c>
      <c r="AE423" s="4" t="str">
        <f t="shared" si="6"/>
        <v>    ('0340N01', 'ナマズン', 110, 78, 73, 76, 71, 60, '', 'water', 'ground', 'g3', null, null, TRUE),</v>
      </c>
    </row>
    <row r="424" spans="1:31">
      <c r="A424" s="4" t="s">
        <v>859</v>
      </c>
      <c r="B424" s="4" t="s">
        <v>860</v>
      </c>
      <c r="C424" s="5">
        <v>43</v>
      </c>
      <c r="D424" s="5">
        <v>80</v>
      </c>
      <c r="E424" s="5">
        <v>65</v>
      </c>
      <c r="F424" s="5">
        <v>50</v>
      </c>
      <c r="G424" s="5">
        <v>35</v>
      </c>
      <c r="H424" s="5">
        <v>35</v>
      </c>
      <c r="I424" s="5"/>
      <c r="J424" s="4" t="s">
        <v>55</v>
      </c>
      <c r="K424" s="5"/>
      <c r="L424" s="4" t="s">
        <v>656</v>
      </c>
      <c r="M424" s="5"/>
      <c r="N424" s="5"/>
      <c r="O424" s="5" t="b">
        <v>1</v>
      </c>
      <c r="P424" s="4" t="str">
        <f>IF(A424="",IF(ISNUMBER(SEARCH("NOT NULL",UPPER(A$3))),"''","null"),SUBSTITUTE(VLOOKUP(A$2,convert!$A$1:$B$4,2,0),"@@@",A424))</f>
        <v>'0341N01'</v>
      </c>
      <c r="Q424" s="4" t="str">
        <f>IF(B424="",IF(ISNUMBER(SEARCH("NOT NULL",UPPER(B$3))),"''","null"),SUBSTITUTE(VLOOKUP(B$2,convert!$A$1:$B$4,2,0),"@@@",B424))</f>
        <v>'ヘイガニ'</v>
      </c>
      <c r="R424" s="4" t="str">
        <f>IF(C424="",IF(ISNUMBER(SEARCH("NOT NULL",UPPER(C$3))),"''","null"),SUBSTITUTE(VLOOKUP(C$2,convert!$A$1:$B$4,2,0),"@@@",C424))</f>
        <v>43</v>
      </c>
      <c r="S424" s="4" t="str">
        <f>IF(D424="",IF(ISNUMBER(SEARCH("NOT NULL",UPPER(D$3))),"''","null"),SUBSTITUTE(VLOOKUP(D$2,convert!$A$1:$B$4,2,0),"@@@",D424))</f>
        <v>80</v>
      </c>
      <c r="T424" s="4" t="str">
        <f>IF(E424="",IF(ISNUMBER(SEARCH("NOT NULL",UPPER(E$3))),"''","null"),SUBSTITUTE(VLOOKUP(E$2,convert!$A$1:$B$4,2,0),"@@@",E424))</f>
        <v>65</v>
      </c>
      <c r="U424" s="4" t="str">
        <f>IF(F424="",IF(ISNUMBER(SEARCH("NOT NULL",UPPER(F$3))),"''","null"),SUBSTITUTE(VLOOKUP(F$2,convert!$A$1:$B$4,2,0),"@@@",F424))</f>
        <v>50</v>
      </c>
      <c r="V424" s="4" t="str">
        <f>IF(G424="",IF(ISNUMBER(SEARCH("NOT NULL",UPPER(G$3))),"''","null"),SUBSTITUTE(VLOOKUP(G$2,convert!$A$1:$B$4,2,0),"@@@",G424))</f>
        <v>35</v>
      </c>
      <c r="W424" s="4" t="str">
        <f>IF(H424="",IF(ISNUMBER(SEARCH("NOT NULL",UPPER(H$3))),"''","null"),SUBSTITUTE(VLOOKUP(H$2,convert!$A$1:$B$4,2,0),"@@@",H424))</f>
        <v>35</v>
      </c>
      <c r="X424" s="4" t="str">
        <f>IF(I424="",IF(ISNUMBER(SEARCH("NOT NULL",UPPER(I$3))),"''","null"),SUBSTITUTE(VLOOKUP(I$2,convert!$A$1:$B$4,2,0),"@@@",I424))</f>
        <v>''</v>
      </c>
      <c r="Y424" s="4" t="str">
        <f>IF(J424="",IF(ISNUMBER(SEARCH("NOT NULL",UPPER(J$3))),"''","null"),SUBSTITUTE(VLOOKUP(J$2,convert!$A$1:$B$4,2,0),"@@@",J424))</f>
        <v>'water'</v>
      </c>
      <c r="Z424" s="4" t="str">
        <f>IF(K424="",IF(ISNUMBER(SEARCH("NOT NULL",UPPER(K$3))),"''","null"),SUBSTITUTE(VLOOKUP(K$2,convert!$A$1:$B$4,2,0),"@@@",K424))</f>
        <v>null</v>
      </c>
      <c r="AA424" s="4" t="str">
        <f>IF(L424="",IF(ISNUMBER(SEARCH("NOT NULL",UPPER(L$3))),"''","null"),SUBSTITUTE(VLOOKUP(L$2,convert!$A$1:$B$4,2,0),"@@@",L424))</f>
        <v>'g3'</v>
      </c>
      <c r="AB424" s="4" t="str">
        <f>IF(M424="",IF(ISNUMBER(SEARCH("NOT NULL",UPPER(M$3))),"''","null"),SUBSTITUTE(VLOOKUP(M$2,convert!$A$1:$B$4,2,0),"@@@",M424))</f>
        <v>null</v>
      </c>
      <c r="AC424" s="4" t="str">
        <f>IF(N424="",IF(ISNUMBER(SEARCH("NOT NULL",UPPER(N$3))),"''","null"),SUBSTITUTE(VLOOKUP(N$2,convert!$A$1:$B$4,2,0),"@@@",N424))</f>
        <v>null</v>
      </c>
      <c r="AD424" s="4" t="str">
        <f>IF(O424="",IF(ISNUMBER(SEARCH("NOT NULL",UPPER(O$3))),"''","null"),SUBSTITUTE(VLOOKUP(O$2,convert!$A$1:$B$4,2,0),"@@@",O424))</f>
        <v>TRUE</v>
      </c>
      <c r="AE424" s="4" t="str">
        <f t="shared" si="6"/>
        <v>    ('0341N01', 'ヘイガニ', 43, 80, 65, 50, 35, 35, '', 'water', null, 'g3', null, null, TRUE),</v>
      </c>
    </row>
    <row r="425" spans="1:31">
      <c r="A425" s="4" t="s">
        <v>861</v>
      </c>
      <c r="B425" s="4" t="s">
        <v>862</v>
      </c>
      <c r="C425" s="5">
        <v>63</v>
      </c>
      <c r="D425" s="5">
        <v>120</v>
      </c>
      <c r="E425" s="5">
        <v>85</v>
      </c>
      <c r="F425" s="5">
        <v>90</v>
      </c>
      <c r="G425" s="5">
        <v>55</v>
      </c>
      <c r="H425" s="5">
        <v>55</v>
      </c>
      <c r="I425" s="5"/>
      <c r="J425" s="4" t="s">
        <v>55</v>
      </c>
      <c r="K425" s="4" t="s">
        <v>91</v>
      </c>
      <c r="L425" s="4" t="s">
        <v>656</v>
      </c>
      <c r="M425" s="5"/>
      <c r="N425" s="5"/>
      <c r="O425" s="5" t="b">
        <v>1</v>
      </c>
      <c r="P425" s="4" t="str">
        <f>IF(A425="",IF(ISNUMBER(SEARCH("NOT NULL",UPPER(A$3))),"''","null"),SUBSTITUTE(VLOOKUP(A$2,convert!$A$1:$B$4,2,0),"@@@",A425))</f>
        <v>'0342N01'</v>
      </c>
      <c r="Q425" s="4" t="str">
        <f>IF(B425="",IF(ISNUMBER(SEARCH("NOT NULL",UPPER(B$3))),"''","null"),SUBSTITUTE(VLOOKUP(B$2,convert!$A$1:$B$4,2,0),"@@@",B425))</f>
        <v>'シザリガー'</v>
      </c>
      <c r="R425" s="4" t="str">
        <f>IF(C425="",IF(ISNUMBER(SEARCH("NOT NULL",UPPER(C$3))),"''","null"),SUBSTITUTE(VLOOKUP(C$2,convert!$A$1:$B$4,2,0),"@@@",C425))</f>
        <v>63</v>
      </c>
      <c r="S425" s="4" t="str">
        <f>IF(D425="",IF(ISNUMBER(SEARCH("NOT NULL",UPPER(D$3))),"''","null"),SUBSTITUTE(VLOOKUP(D$2,convert!$A$1:$B$4,2,0),"@@@",D425))</f>
        <v>120</v>
      </c>
      <c r="T425" s="4" t="str">
        <f>IF(E425="",IF(ISNUMBER(SEARCH("NOT NULL",UPPER(E$3))),"''","null"),SUBSTITUTE(VLOOKUP(E$2,convert!$A$1:$B$4,2,0),"@@@",E425))</f>
        <v>85</v>
      </c>
      <c r="U425" s="4" t="str">
        <f>IF(F425="",IF(ISNUMBER(SEARCH("NOT NULL",UPPER(F$3))),"''","null"),SUBSTITUTE(VLOOKUP(F$2,convert!$A$1:$B$4,2,0),"@@@",F425))</f>
        <v>90</v>
      </c>
      <c r="V425" s="4" t="str">
        <f>IF(G425="",IF(ISNUMBER(SEARCH("NOT NULL",UPPER(G$3))),"''","null"),SUBSTITUTE(VLOOKUP(G$2,convert!$A$1:$B$4,2,0),"@@@",G425))</f>
        <v>55</v>
      </c>
      <c r="W425" s="4" t="str">
        <f>IF(H425="",IF(ISNUMBER(SEARCH("NOT NULL",UPPER(H$3))),"''","null"),SUBSTITUTE(VLOOKUP(H$2,convert!$A$1:$B$4,2,0),"@@@",H425))</f>
        <v>55</v>
      </c>
      <c r="X425" s="4" t="str">
        <f>IF(I425="",IF(ISNUMBER(SEARCH("NOT NULL",UPPER(I$3))),"''","null"),SUBSTITUTE(VLOOKUP(I$2,convert!$A$1:$B$4,2,0),"@@@",I425))</f>
        <v>''</v>
      </c>
      <c r="Y425" s="4" t="str">
        <f>IF(J425="",IF(ISNUMBER(SEARCH("NOT NULL",UPPER(J$3))),"''","null"),SUBSTITUTE(VLOOKUP(J$2,convert!$A$1:$B$4,2,0),"@@@",J425))</f>
        <v>'water'</v>
      </c>
      <c r="Z425" s="4" t="str">
        <f>IF(K425="",IF(ISNUMBER(SEARCH("NOT NULL",UPPER(K$3))),"''","null"),SUBSTITUTE(VLOOKUP(K$2,convert!$A$1:$B$4,2,0),"@@@",K425))</f>
        <v>'dark'</v>
      </c>
      <c r="AA425" s="4" t="str">
        <f>IF(L425="",IF(ISNUMBER(SEARCH("NOT NULL",UPPER(L$3))),"''","null"),SUBSTITUTE(VLOOKUP(L$2,convert!$A$1:$B$4,2,0),"@@@",L425))</f>
        <v>'g3'</v>
      </c>
      <c r="AB425" s="4" t="str">
        <f>IF(M425="",IF(ISNUMBER(SEARCH("NOT NULL",UPPER(M$3))),"''","null"),SUBSTITUTE(VLOOKUP(M$2,convert!$A$1:$B$4,2,0),"@@@",M425))</f>
        <v>null</v>
      </c>
      <c r="AC425" s="4" t="str">
        <f>IF(N425="",IF(ISNUMBER(SEARCH("NOT NULL",UPPER(N$3))),"''","null"),SUBSTITUTE(VLOOKUP(N$2,convert!$A$1:$B$4,2,0),"@@@",N425))</f>
        <v>null</v>
      </c>
      <c r="AD425" s="4" t="str">
        <f>IF(O425="",IF(ISNUMBER(SEARCH("NOT NULL",UPPER(O$3))),"''","null"),SUBSTITUTE(VLOOKUP(O$2,convert!$A$1:$B$4,2,0),"@@@",O425))</f>
        <v>TRUE</v>
      </c>
      <c r="AE425" s="4" t="str">
        <f t="shared" si="6"/>
        <v>    ('0342N01', 'シザリガー', 63, 120, 85, 90, 55, 55, '', 'water', 'dark', 'g3', null, null, TRUE),</v>
      </c>
    </row>
    <row r="426" spans="1:31">
      <c r="A426" s="4" t="s">
        <v>863</v>
      </c>
      <c r="B426" s="4" t="s">
        <v>864</v>
      </c>
      <c r="C426" s="5">
        <v>40</v>
      </c>
      <c r="D426" s="5">
        <v>40</v>
      </c>
      <c r="E426" s="5">
        <v>55</v>
      </c>
      <c r="F426" s="5">
        <v>40</v>
      </c>
      <c r="G426" s="5">
        <v>70</v>
      </c>
      <c r="H426" s="5">
        <v>55</v>
      </c>
      <c r="I426" s="5"/>
      <c r="J426" s="4" t="s">
        <v>116</v>
      </c>
      <c r="K426" s="4" t="s">
        <v>113</v>
      </c>
      <c r="L426" s="4" t="s">
        <v>656</v>
      </c>
      <c r="M426" s="5"/>
      <c r="N426" s="5"/>
      <c r="O426" s="5" t="b">
        <v>1</v>
      </c>
      <c r="P426" s="4" t="str">
        <f>IF(A426="",IF(ISNUMBER(SEARCH("NOT NULL",UPPER(A$3))),"''","null"),SUBSTITUTE(VLOOKUP(A$2,convert!$A$1:$B$4,2,0),"@@@",A426))</f>
        <v>'0343N01'</v>
      </c>
      <c r="Q426" s="4" t="str">
        <f>IF(B426="",IF(ISNUMBER(SEARCH("NOT NULL",UPPER(B$3))),"''","null"),SUBSTITUTE(VLOOKUP(B$2,convert!$A$1:$B$4,2,0),"@@@",B426))</f>
        <v>'ヤジロン'</v>
      </c>
      <c r="R426" s="4" t="str">
        <f>IF(C426="",IF(ISNUMBER(SEARCH("NOT NULL",UPPER(C$3))),"''","null"),SUBSTITUTE(VLOOKUP(C$2,convert!$A$1:$B$4,2,0),"@@@",C426))</f>
        <v>40</v>
      </c>
      <c r="S426" s="4" t="str">
        <f>IF(D426="",IF(ISNUMBER(SEARCH("NOT NULL",UPPER(D$3))),"''","null"),SUBSTITUTE(VLOOKUP(D$2,convert!$A$1:$B$4,2,0),"@@@",D426))</f>
        <v>40</v>
      </c>
      <c r="T426" s="4" t="str">
        <f>IF(E426="",IF(ISNUMBER(SEARCH("NOT NULL",UPPER(E$3))),"''","null"),SUBSTITUTE(VLOOKUP(E$2,convert!$A$1:$B$4,2,0),"@@@",E426))</f>
        <v>55</v>
      </c>
      <c r="U426" s="4" t="str">
        <f>IF(F426="",IF(ISNUMBER(SEARCH("NOT NULL",UPPER(F$3))),"''","null"),SUBSTITUTE(VLOOKUP(F$2,convert!$A$1:$B$4,2,0),"@@@",F426))</f>
        <v>40</v>
      </c>
      <c r="V426" s="4" t="str">
        <f>IF(G426="",IF(ISNUMBER(SEARCH("NOT NULL",UPPER(G$3))),"''","null"),SUBSTITUTE(VLOOKUP(G$2,convert!$A$1:$B$4,2,0),"@@@",G426))</f>
        <v>70</v>
      </c>
      <c r="W426" s="4" t="str">
        <f>IF(H426="",IF(ISNUMBER(SEARCH("NOT NULL",UPPER(H$3))),"''","null"),SUBSTITUTE(VLOOKUP(H$2,convert!$A$1:$B$4,2,0),"@@@",H426))</f>
        <v>55</v>
      </c>
      <c r="X426" s="4" t="str">
        <f>IF(I426="",IF(ISNUMBER(SEARCH("NOT NULL",UPPER(I$3))),"''","null"),SUBSTITUTE(VLOOKUP(I$2,convert!$A$1:$B$4,2,0),"@@@",I426))</f>
        <v>''</v>
      </c>
      <c r="Y426" s="4" t="str">
        <f>IF(J426="",IF(ISNUMBER(SEARCH("NOT NULL",UPPER(J$3))),"''","null"),SUBSTITUTE(VLOOKUP(J$2,convert!$A$1:$B$4,2,0),"@@@",J426))</f>
        <v>'ground'</v>
      </c>
      <c r="Z426" s="4" t="str">
        <f>IF(K426="",IF(ISNUMBER(SEARCH("NOT NULL",UPPER(K$3))),"''","null"),SUBSTITUTE(VLOOKUP(K$2,convert!$A$1:$B$4,2,0),"@@@",K426))</f>
        <v>'psychic'</v>
      </c>
      <c r="AA426" s="4" t="str">
        <f>IF(L426="",IF(ISNUMBER(SEARCH("NOT NULL",UPPER(L$3))),"''","null"),SUBSTITUTE(VLOOKUP(L$2,convert!$A$1:$B$4,2,0),"@@@",L426))</f>
        <v>'g3'</v>
      </c>
      <c r="AB426" s="4" t="str">
        <f>IF(M426="",IF(ISNUMBER(SEARCH("NOT NULL",UPPER(M$3))),"''","null"),SUBSTITUTE(VLOOKUP(M$2,convert!$A$1:$B$4,2,0),"@@@",M426))</f>
        <v>null</v>
      </c>
      <c r="AC426" s="4" t="str">
        <f>IF(N426="",IF(ISNUMBER(SEARCH("NOT NULL",UPPER(N$3))),"''","null"),SUBSTITUTE(VLOOKUP(N$2,convert!$A$1:$B$4,2,0),"@@@",N426))</f>
        <v>null</v>
      </c>
      <c r="AD426" s="4" t="str">
        <f>IF(O426="",IF(ISNUMBER(SEARCH("NOT NULL",UPPER(O$3))),"''","null"),SUBSTITUTE(VLOOKUP(O$2,convert!$A$1:$B$4,2,0),"@@@",O426))</f>
        <v>TRUE</v>
      </c>
      <c r="AE426" s="4" t="str">
        <f t="shared" si="6"/>
        <v>    ('0343N01', 'ヤジロン', 40, 40, 55, 40, 70, 55, '', 'ground', 'psychic', 'g3', null, null, TRUE),</v>
      </c>
    </row>
    <row r="427" spans="1:31">
      <c r="A427" s="4" t="s">
        <v>865</v>
      </c>
      <c r="B427" s="4" t="s">
        <v>866</v>
      </c>
      <c r="C427" s="5">
        <v>60</v>
      </c>
      <c r="D427" s="5">
        <v>70</v>
      </c>
      <c r="E427" s="5">
        <v>105</v>
      </c>
      <c r="F427" s="5">
        <v>70</v>
      </c>
      <c r="G427" s="5">
        <v>120</v>
      </c>
      <c r="H427" s="5">
        <v>75</v>
      </c>
      <c r="I427" s="5"/>
      <c r="J427" s="4" t="s">
        <v>116</v>
      </c>
      <c r="K427" s="4" t="s">
        <v>113</v>
      </c>
      <c r="L427" s="4" t="s">
        <v>656</v>
      </c>
      <c r="M427" s="5"/>
      <c r="N427" s="5"/>
      <c r="O427" s="5" t="b">
        <v>1</v>
      </c>
      <c r="P427" s="4" t="str">
        <f>IF(A427="",IF(ISNUMBER(SEARCH("NOT NULL",UPPER(A$3))),"''","null"),SUBSTITUTE(VLOOKUP(A$2,convert!$A$1:$B$4,2,0),"@@@",A427))</f>
        <v>'0344N01'</v>
      </c>
      <c r="Q427" s="4" t="str">
        <f>IF(B427="",IF(ISNUMBER(SEARCH("NOT NULL",UPPER(B$3))),"''","null"),SUBSTITUTE(VLOOKUP(B$2,convert!$A$1:$B$4,2,0),"@@@",B427))</f>
        <v>'ネンドール'</v>
      </c>
      <c r="R427" s="4" t="str">
        <f>IF(C427="",IF(ISNUMBER(SEARCH("NOT NULL",UPPER(C$3))),"''","null"),SUBSTITUTE(VLOOKUP(C$2,convert!$A$1:$B$4,2,0),"@@@",C427))</f>
        <v>60</v>
      </c>
      <c r="S427" s="4" t="str">
        <f>IF(D427="",IF(ISNUMBER(SEARCH("NOT NULL",UPPER(D$3))),"''","null"),SUBSTITUTE(VLOOKUP(D$2,convert!$A$1:$B$4,2,0),"@@@",D427))</f>
        <v>70</v>
      </c>
      <c r="T427" s="4" t="str">
        <f>IF(E427="",IF(ISNUMBER(SEARCH("NOT NULL",UPPER(E$3))),"''","null"),SUBSTITUTE(VLOOKUP(E$2,convert!$A$1:$B$4,2,0),"@@@",E427))</f>
        <v>105</v>
      </c>
      <c r="U427" s="4" t="str">
        <f>IF(F427="",IF(ISNUMBER(SEARCH("NOT NULL",UPPER(F$3))),"''","null"),SUBSTITUTE(VLOOKUP(F$2,convert!$A$1:$B$4,2,0),"@@@",F427))</f>
        <v>70</v>
      </c>
      <c r="V427" s="4" t="str">
        <f>IF(G427="",IF(ISNUMBER(SEARCH("NOT NULL",UPPER(G$3))),"''","null"),SUBSTITUTE(VLOOKUP(G$2,convert!$A$1:$B$4,2,0),"@@@",G427))</f>
        <v>120</v>
      </c>
      <c r="W427" s="4" t="str">
        <f>IF(H427="",IF(ISNUMBER(SEARCH("NOT NULL",UPPER(H$3))),"''","null"),SUBSTITUTE(VLOOKUP(H$2,convert!$A$1:$B$4,2,0),"@@@",H427))</f>
        <v>75</v>
      </c>
      <c r="X427" s="4" t="str">
        <f>IF(I427="",IF(ISNUMBER(SEARCH("NOT NULL",UPPER(I$3))),"''","null"),SUBSTITUTE(VLOOKUP(I$2,convert!$A$1:$B$4,2,0),"@@@",I427))</f>
        <v>''</v>
      </c>
      <c r="Y427" s="4" t="str">
        <f>IF(J427="",IF(ISNUMBER(SEARCH("NOT NULL",UPPER(J$3))),"''","null"),SUBSTITUTE(VLOOKUP(J$2,convert!$A$1:$B$4,2,0),"@@@",J427))</f>
        <v>'ground'</v>
      </c>
      <c r="Z427" s="4" t="str">
        <f>IF(K427="",IF(ISNUMBER(SEARCH("NOT NULL",UPPER(K$3))),"''","null"),SUBSTITUTE(VLOOKUP(K$2,convert!$A$1:$B$4,2,0),"@@@",K427))</f>
        <v>'psychic'</v>
      </c>
      <c r="AA427" s="4" t="str">
        <f>IF(L427="",IF(ISNUMBER(SEARCH("NOT NULL",UPPER(L$3))),"''","null"),SUBSTITUTE(VLOOKUP(L$2,convert!$A$1:$B$4,2,0),"@@@",L427))</f>
        <v>'g3'</v>
      </c>
      <c r="AB427" s="4" t="str">
        <f>IF(M427="",IF(ISNUMBER(SEARCH("NOT NULL",UPPER(M$3))),"''","null"),SUBSTITUTE(VLOOKUP(M$2,convert!$A$1:$B$4,2,0),"@@@",M427))</f>
        <v>null</v>
      </c>
      <c r="AC427" s="4" t="str">
        <f>IF(N427="",IF(ISNUMBER(SEARCH("NOT NULL",UPPER(N$3))),"''","null"),SUBSTITUTE(VLOOKUP(N$2,convert!$A$1:$B$4,2,0),"@@@",N427))</f>
        <v>null</v>
      </c>
      <c r="AD427" s="4" t="str">
        <f>IF(O427="",IF(ISNUMBER(SEARCH("NOT NULL",UPPER(O$3))),"''","null"),SUBSTITUTE(VLOOKUP(O$2,convert!$A$1:$B$4,2,0),"@@@",O427))</f>
        <v>TRUE</v>
      </c>
      <c r="AE427" s="4" t="str">
        <f t="shared" si="6"/>
        <v>    ('0344N01', 'ネンドール', 60, 70, 105, 70, 120, 75, '', 'ground', 'psychic', 'g3', null, null, TRUE),</v>
      </c>
    </row>
    <row r="428" spans="1:31">
      <c r="A428" s="4" t="s">
        <v>867</v>
      </c>
      <c r="B428" s="4" t="s">
        <v>868</v>
      </c>
      <c r="C428" s="5">
        <v>66</v>
      </c>
      <c r="D428" s="5">
        <v>41</v>
      </c>
      <c r="E428" s="5">
        <v>77</v>
      </c>
      <c r="F428" s="5">
        <v>61</v>
      </c>
      <c r="G428" s="5">
        <v>87</v>
      </c>
      <c r="H428" s="5">
        <v>23</v>
      </c>
      <c r="I428" s="5"/>
      <c r="J428" s="4" t="s">
        <v>196</v>
      </c>
      <c r="K428" s="4" t="s">
        <v>30</v>
      </c>
      <c r="L428" s="4" t="s">
        <v>656</v>
      </c>
      <c r="M428" s="5"/>
      <c r="N428" s="5"/>
      <c r="O428" s="5" t="b">
        <v>1</v>
      </c>
      <c r="P428" s="4" t="str">
        <f>IF(A428="",IF(ISNUMBER(SEARCH("NOT NULL",UPPER(A$3))),"''","null"),SUBSTITUTE(VLOOKUP(A$2,convert!$A$1:$B$4,2,0),"@@@",A428))</f>
        <v>'0345N01'</v>
      </c>
      <c r="Q428" s="4" t="str">
        <f>IF(B428="",IF(ISNUMBER(SEARCH("NOT NULL",UPPER(B$3))),"''","null"),SUBSTITUTE(VLOOKUP(B$2,convert!$A$1:$B$4,2,0),"@@@",B428))</f>
        <v>'リリーラ'</v>
      </c>
      <c r="R428" s="4" t="str">
        <f>IF(C428="",IF(ISNUMBER(SEARCH("NOT NULL",UPPER(C$3))),"''","null"),SUBSTITUTE(VLOOKUP(C$2,convert!$A$1:$B$4,2,0),"@@@",C428))</f>
        <v>66</v>
      </c>
      <c r="S428" s="4" t="str">
        <f>IF(D428="",IF(ISNUMBER(SEARCH("NOT NULL",UPPER(D$3))),"''","null"),SUBSTITUTE(VLOOKUP(D$2,convert!$A$1:$B$4,2,0),"@@@",D428))</f>
        <v>41</v>
      </c>
      <c r="T428" s="4" t="str">
        <f>IF(E428="",IF(ISNUMBER(SEARCH("NOT NULL",UPPER(E$3))),"''","null"),SUBSTITUTE(VLOOKUP(E$2,convert!$A$1:$B$4,2,0),"@@@",E428))</f>
        <v>77</v>
      </c>
      <c r="U428" s="4" t="str">
        <f>IF(F428="",IF(ISNUMBER(SEARCH("NOT NULL",UPPER(F$3))),"''","null"),SUBSTITUTE(VLOOKUP(F$2,convert!$A$1:$B$4,2,0),"@@@",F428))</f>
        <v>61</v>
      </c>
      <c r="V428" s="4" t="str">
        <f>IF(G428="",IF(ISNUMBER(SEARCH("NOT NULL",UPPER(G$3))),"''","null"),SUBSTITUTE(VLOOKUP(G$2,convert!$A$1:$B$4,2,0),"@@@",G428))</f>
        <v>87</v>
      </c>
      <c r="W428" s="4" t="str">
        <f>IF(H428="",IF(ISNUMBER(SEARCH("NOT NULL",UPPER(H$3))),"''","null"),SUBSTITUTE(VLOOKUP(H$2,convert!$A$1:$B$4,2,0),"@@@",H428))</f>
        <v>23</v>
      </c>
      <c r="X428" s="4" t="str">
        <f>IF(I428="",IF(ISNUMBER(SEARCH("NOT NULL",UPPER(I$3))),"''","null"),SUBSTITUTE(VLOOKUP(I$2,convert!$A$1:$B$4,2,0),"@@@",I428))</f>
        <v>''</v>
      </c>
      <c r="Y428" s="4" t="str">
        <f>IF(J428="",IF(ISNUMBER(SEARCH("NOT NULL",UPPER(J$3))),"''","null"),SUBSTITUTE(VLOOKUP(J$2,convert!$A$1:$B$4,2,0),"@@@",J428))</f>
        <v>'rock'</v>
      </c>
      <c r="Z428" s="4" t="str">
        <f>IF(K428="",IF(ISNUMBER(SEARCH("NOT NULL",UPPER(K$3))),"''","null"),SUBSTITUTE(VLOOKUP(K$2,convert!$A$1:$B$4,2,0),"@@@",K428))</f>
        <v>'grass'</v>
      </c>
      <c r="AA428" s="4" t="str">
        <f>IF(L428="",IF(ISNUMBER(SEARCH("NOT NULL",UPPER(L$3))),"''","null"),SUBSTITUTE(VLOOKUP(L$2,convert!$A$1:$B$4,2,0),"@@@",L428))</f>
        <v>'g3'</v>
      </c>
      <c r="AB428" s="4" t="str">
        <f>IF(M428="",IF(ISNUMBER(SEARCH("NOT NULL",UPPER(M$3))),"''","null"),SUBSTITUTE(VLOOKUP(M$2,convert!$A$1:$B$4,2,0),"@@@",M428))</f>
        <v>null</v>
      </c>
      <c r="AC428" s="4" t="str">
        <f>IF(N428="",IF(ISNUMBER(SEARCH("NOT NULL",UPPER(N$3))),"''","null"),SUBSTITUTE(VLOOKUP(N$2,convert!$A$1:$B$4,2,0),"@@@",N428))</f>
        <v>null</v>
      </c>
      <c r="AD428" s="4" t="str">
        <f>IF(O428="",IF(ISNUMBER(SEARCH("NOT NULL",UPPER(O$3))),"''","null"),SUBSTITUTE(VLOOKUP(O$2,convert!$A$1:$B$4,2,0),"@@@",O428))</f>
        <v>TRUE</v>
      </c>
      <c r="AE428" s="4" t="str">
        <f t="shared" si="6"/>
        <v>    ('0345N01', 'リリーラ', 66, 41, 77, 61, 87, 23, '', 'rock', 'grass', 'g3', null, null, TRUE),</v>
      </c>
    </row>
    <row r="429" spans="1:31">
      <c r="A429" s="4" t="s">
        <v>869</v>
      </c>
      <c r="B429" s="4" t="s">
        <v>870</v>
      </c>
      <c r="C429" s="5">
        <v>86</v>
      </c>
      <c r="D429" s="5">
        <v>81</v>
      </c>
      <c r="E429" s="5">
        <v>97</v>
      </c>
      <c r="F429" s="5">
        <v>81</v>
      </c>
      <c r="G429" s="5">
        <v>107</v>
      </c>
      <c r="H429" s="5">
        <v>43</v>
      </c>
      <c r="I429" s="5"/>
      <c r="J429" s="4" t="s">
        <v>196</v>
      </c>
      <c r="K429" s="4" t="s">
        <v>30</v>
      </c>
      <c r="L429" s="4" t="s">
        <v>656</v>
      </c>
      <c r="M429" s="5"/>
      <c r="N429" s="5"/>
      <c r="O429" s="5" t="b">
        <v>1</v>
      </c>
      <c r="P429" s="4" t="str">
        <f>IF(A429="",IF(ISNUMBER(SEARCH("NOT NULL",UPPER(A$3))),"''","null"),SUBSTITUTE(VLOOKUP(A$2,convert!$A$1:$B$4,2,0),"@@@",A429))</f>
        <v>'0346N01'</v>
      </c>
      <c r="Q429" s="4" t="str">
        <f>IF(B429="",IF(ISNUMBER(SEARCH("NOT NULL",UPPER(B$3))),"''","null"),SUBSTITUTE(VLOOKUP(B$2,convert!$A$1:$B$4,2,0),"@@@",B429))</f>
        <v>'ユレイドル'</v>
      </c>
      <c r="R429" s="4" t="str">
        <f>IF(C429="",IF(ISNUMBER(SEARCH("NOT NULL",UPPER(C$3))),"''","null"),SUBSTITUTE(VLOOKUP(C$2,convert!$A$1:$B$4,2,0),"@@@",C429))</f>
        <v>86</v>
      </c>
      <c r="S429" s="4" t="str">
        <f>IF(D429="",IF(ISNUMBER(SEARCH("NOT NULL",UPPER(D$3))),"''","null"),SUBSTITUTE(VLOOKUP(D$2,convert!$A$1:$B$4,2,0),"@@@",D429))</f>
        <v>81</v>
      </c>
      <c r="T429" s="4" t="str">
        <f>IF(E429="",IF(ISNUMBER(SEARCH("NOT NULL",UPPER(E$3))),"''","null"),SUBSTITUTE(VLOOKUP(E$2,convert!$A$1:$B$4,2,0),"@@@",E429))</f>
        <v>97</v>
      </c>
      <c r="U429" s="4" t="str">
        <f>IF(F429="",IF(ISNUMBER(SEARCH("NOT NULL",UPPER(F$3))),"''","null"),SUBSTITUTE(VLOOKUP(F$2,convert!$A$1:$B$4,2,0),"@@@",F429))</f>
        <v>81</v>
      </c>
      <c r="V429" s="4" t="str">
        <f>IF(G429="",IF(ISNUMBER(SEARCH("NOT NULL",UPPER(G$3))),"''","null"),SUBSTITUTE(VLOOKUP(G$2,convert!$A$1:$B$4,2,0),"@@@",G429))</f>
        <v>107</v>
      </c>
      <c r="W429" s="4" t="str">
        <f>IF(H429="",IF(ISNUMBER(SEARCH("NOT NULL",UPPER(H$3))),"''","null"),SUBSTITUTE(VLOOKUP(H$2,convert!$A$1:$B$4,2,0),"@@@",H429))</f>
        <v>43</v>
      </c>
      <c r="X429" s="4" t="str">
        <f>IF(I429="",IF(ISNUMBER(SEARCH("NOT NULL",UPPER(I$3))),"''","null"),SUBSTITUTE(VLOOKUP(I$2,convert!$A$1:$B$4,2,0),"@@@",I429))</f>
        <v>''</v>
      </c>
      <c r="Y429" s="4" t="str">
        <f>IF(J429="",IF(ISNUMBER(SEARCH("NOT NULL",UPPER(J$3))),"''","null"),SUBSTITUTE(VLOOKUP(J$2,convert!$A$1:$B$4,2,0),"@@@",J429))</f>
        <v>'rock'</v>
      </c>
      <c r="Z429" s="4" t="str">
        <f>IF(K429="",IF(ISNUMBER(SEARCH("NOT NULL",UPPER(K$3))),"''","null"),SUBSTITUTE(VLOOKUP(K$2,convert!$A$1:$B$4,2,0),"@@@",K429))</f>
        <v>'grass'</v>
      </c>
      <c r="AA429" s="4" t="str">
        <f>IF(L429="",IF(ISNUMBER(SEARCH("NOT NULL",UPPER(L$3))),"''","null"),SUBSTITUTE(VLOOKUP(L$2,convert!$A$1:$B$4,2,0),"@@@",L429))</f>
        <v>'g3'</v>
      </c>
      <c r="AB429" s="4" t="str">
        <f>IF(M429="",IF(ISNUMBER(SEARCH("NOT NULL",UPPER(M$3))),"''","null"),SUBSTITUTE(VLOOKUP(M$2,convert!$A$1:$B$4,2,0),"@@@",M429))</f>
        <v>null</v>
      </c>
      <c r="AC429" s="4" t="str">
        <f>IF(N429="",IF(ISNUMBER(SEARCH("NOT NULL",UPPER(N$3))),"''","null"),SUBSTITUTE(VLOOKUP(N$2,convert!$A$1:$B$4,2,0),"@@@",N429))</f>
        <v>null</v>
      </c>
      <c r="AD429" s="4" t="str">
        <f>IF(O429="",IF(ISNUMBER(SEARCH("NOT NULL",UPPER(O$3))),"''","null"),SUBSTITUTE(VLOOKUP(O$2,convert!$A$1:$B$4,2,0),"@@@",O429))</f>
        <v>TRUE</v>
      </c>
      <c r="AE429" s="4" t="str">
        <f t="shared" si="6"/>
        <v>    ('0346N01', 'ユレイドル', 86, 81, 97, 81, 107, 43, '', 'rock', 'grass', 'g3', null, null, TRUE),</v>
      </c>
    </row>
    <row r="430" spans="1:31">
      <c r="A430" s="4" t="s">
        <v>871</v>
      </c>
      <c r="B430" s="4" t="s">
        <v>872</v>
      </c>
      <c r="C430" s="5">
        <v>45</v>
      </c>
      <c r="D430" s="5">
        <v>95</v>
      </c>
      <c r="E430" s="5">
        <v>50</v>
      </c>
      <c r="F430" s="5">
        <v>40</v>
      </c>
      <c r="G430" s="5">
        <v>50</v>
      </c>
      <c r="H430" s="5">
        <v>75</v>
      </c>
      <c r="I430" s="5"/>
      <c r="J430" s="4" t="s">
        <v>196</v>
      </c>
      <c r="K430" s="4" t="s">
        <v>64</v>
      </c>
      <c r="L430" s="4" t="s">
        <v>656</v>
      </c>
      <c r="M430" s="5"/>
      <c r="N430" s="5"/>
      <c r="O430" s="5" t="b">
        <v>1</v>
      </c>
      <c r="P430" s="4" t="str">
        <f>IF(A430="",IF(ISNUMBER(SEARCH("NOT NULL",UPPER(A$3))),"''","null"),SUBSTITUTE(VLOOKUP(A$2,convert!$A$1:$B$4,2,0),"@@@",A430))</f>
        <v>'0347N01'</v>
      </c>
      <c r="Q430" s="4" t="str">
        <f>IF(B430="",IF(ISNUMBER(SEARCH("NOT NULL",UPPER(B$3))),"''","null"),SUBSTITUTE(VLOOKUP(B$2,convert!$A$1:$B$4,2,0),"@@@",B430))</f>
        <v>'アノプス'</v>
      </c>
      <c r="R430" s="4" t="str">
        <f>IF(C430="",IF(ISNUMBER(SEARCH("NOT NULL",UPPER(C$3))),"''","null"),SUBSTITUTE(VLOOKUP(C$2,convert!$A$1:$B$4,2,0),"@@@",C430))</f>
        <v>45</v>
      </c>
      <c r="S430" s="4" t="str">
        <f>IF(D430="",IF(ISNUMBER(SEARCH("NOT NULL",UPPER(D$3))),"''","null"),SUBSTITUTE(VLOOKUP(D$2,convert!$A$1:$B$4,2,0),"@@@",D430))</f>
        <v>95</v>
      </c>
      <c r="T430" s="4" t="str">
        <f>IF(E430="",IF(ISNUMBER(SEARCH("NOT NULL",UPPER(E$3))),"''","null"),SUBSTITUTE(VLOOKUP(E$2,convert!$A$1:$B$4,2,0),"@@@",E430))</f>
        <v>50</v>
      </c>
      <c r="U430" s="4" t="str">
        <f>IF(F430="",IF(ISNUMBER(SEARCH("NOT NULL",UPPER(F$3))),"''","null"),SUBSTITUTE(VLOOKUP(F$2,convert!$A$1:$B$4,2,0),"@@@",F430))</f>
        <v>40</v>
      </c>
      <c r="V430" s="4" t="str">
        <f>IF(G430="",IF(ISNUMBER(SEARCH("NOT NULL",UPPER(G$3))),"''","null"),SUBSTITUTE(VLOOKUP(G$2,convert!$A$1:$B$4,2,0),"@@@",G430))</f>
        <v>50</v>
      </c>
      <c r="W430" s="4" t="str">
        <f>IF(H430="",IF(ISNUMBER(SEARCH("NOT NULL",UPPER(H$3))),"''","null"),SUBSTITUTE(VLOOKUP(H$2,convert!$A$1:$B$4,2,0),"@@@",H430))</f>
        <v>75</v>
      </c>
      <c r="X430" s="4" t="str">
        <f>IF(I430="",IF(ISNUMBER(SEARCH("NOT NULL",UPPER(I$3))),"''","null"),SUBSTITUTE(VLOOKUP(I$2,convert!$A$1:$B$4,2,0),"@@@",I430))</f>
        <v>''</v>
      </c>
      <c r="Y430" s="4" t="str">
        <f>IF(J430="",IF(ISNUMBER(SEARCH("NOT NULL",UPPER(J$3))),"''","null"),SUBSTITUTE(VLOOKUP(J$2,convert!$A$1:$B$4,2,0),"@@@",J430))</f>
        <v>'rock'</v>
      </c>
      <c r="Z430" s="4" t="str">
        <f>IF(K430="",IF(ISNUMBER(SEARCH("NOT NULL",UPPER(K$3))),"''","null"),SUBSTITUTE(VLOOKUP(K$2,convert!$A$1:$B$4,2,0),"@@@",K430))</f>
        <v>'bug'</v>
      </c>
      <c r="AA430" s="4" t="str">
        <f>IF(L430="",IF(ISNUMBER(SEARCH("NOT NULL",UPPER(L$3))),"''","null"),SUBSTITUTE(VLOOKUP(L$2,convert!$A$1:$B$4,2,0),"@@@",L430))</f>
        <v>'g3'</v>
      </c>
      <c r="AB430" s="4" t="str">
        <f>IF(M430="",IF(ISNUMBER(SEARCH("NOT NULL",UPPER(M$3))),"''","null"),SUBSTITUTE(VLOOKUP(M$2,convert!$A$1:$B$4,2,0),"@@@",M430))</f>
        <v>null</v>
      </c>
      <c r="AC430" s="4" t="str">
        <f>IF(N430="",IF(ISNUMBER(SEARCH("NOT NULL",UPPER(N$3))),"''","null"),SUBSTITUTE(VLOOKUP(N$2,convert!$A$1:$B$4,2,0),"@@@",N430))</f>
        <v>null</v>
      </c>
      <c r="AD430" s="4" t="str">
        <f>IF(O430="",IF(ISNUMBER(SEARCH("NOT NULL",UPPER(O$3))),"''","null"),SUBSTITUTE(VLOOKUP(O$2,convert!$A$1:$B$4,2,0),"@@@",O430))</f>
        <v>TRUE</v>
      </c>
      <c r="AE430" s="4" t="str">
        <f t="shared" si="6"/>
        <v>    ('0347N01', 'アノプス', 45, 95, 50, 40, 50, 75, '', 'rock', 'bug', 'g3', null, null, TRUE),</v>
      </c>
    </row>
    <row r="431" spans="1:31">
      <c r="A431" s="4" t="s">
        <v>873</v>
      </c>
      <c r="B431" s="4" t="s">
        <v>874</v>
      </c>
      <c r="C431" s="5">
        <v>75</v>
      </c>
      <c r="D431" s="5">
        <v>125</v>
      </c>
      <c r="E431" s="5">
        <v>100</v>
      </c>
      <c r="F431" s="5">
        <v>70</v>
      </c>
      <c r="G431" s="5">
        <v>80</v>
      </c>
      <c r="H431" s="5">
        <v>45</v>
      </c>
      <c r="I431" s="5"/>
      <c r="J431" s="4" t="s">
        <v>196</v>
      </c>
      <c r="K431" s="4" t="s">
        <v>64</v>
      </c>
      <c r="L431" s="4" t="s">
        <v>656</v>
      </c>
      <c r="M431" s="5"/>
      <c r="N431" s="5"/>
      <c r="O431" s="5" t="b">
        <v>1</v>
      </c>
      <c r="P431" s="4" t="str">
        <f>IF(A431="",IF(ISNUMBER(SEARCH("NOT NULL",UPPER(A$3))),"''","null"),SUBSTITUTE(VLOOKUP(A$2,convert!$A$1:$B$4,2,0),"@@@",A431))</f>
        <v>'0348N01'</v>
      </c>
      <c r="Q431" s="4" t="str">
        <f>IF(B431="",IF(ISNUMBER(SEARCH("NOT NULL",UPPER(B$3))),"''","null"),SUBSTITUTE(VLOOKUP(B$2,convert!$A$1:$B$4,2,0),"@@@",B431))</f>
        <v>'アーマルド'</v>
      </c>
      <c r="R431" s="4" t="str">
        <f>IF(C431="",IF(ISNUMBER(SEARCH("NOT NULL",UPPER(C$3))),"''","null"),SUBSTITUTE(VLOOKUP(C$2,convert!$A$1:$B$4,2,0),"@@@",C431))</f>
        <v>75</v>
      </c>
      <c r="S431" s="4" t="str">
        <f>IF(D431="",IF(ISNUMBER(SEARCH("NOT NULL",UPPER(D$3))),"''","null"),SUBSTITUTE(VLOOKUP(D$2,convert!$A$1:$B$4,2,0),"@@@",D431))</f>
        <v>125</v>
      </c>
      <c r="T431" s="4" t="str">
        <f>IF(E431="",IF(ISNUMBER(SEARCH("NOT NULL",UPPER(E$3))),"''","null"),SUBSTITUTE(VLOOKUP(E$2,convert!$A$1:$B$4,2,0),"@@@",E431))</f>
        <v>100</v>
      </c>
      <c r="U431" s="4" t="str">
        <f>IF(F431="",IF(ISNUMBER(SEARCH("NOT NULL",UPPER(F$3))),"''","null"),SUBSTITUTE(VLOOKUP(F$2,convert!$A$1:$B$4,2,0),"@@@",F431))</f>
        <v>70</v>
      </c>
      <c r="V431" s="4" t="str">
        <f>IF(G431="",IF(ISNUMBER(SEARCH("NOT NULL",UPPER(G$3))),"''","null"),SUBSTITUTE(VLOOKUP(G$2,convert!$A$1:$B$4,2,0),"@@@",G431))</f>
        <v>80</v>
      </c>
      <c r="W431" s="4" t="str">
        <f>IF(H431="",IF(ISNUMBER(SEARCH("NOT NULL",UPPER(H$3))),"''","null"),SUBSTITUTE(VLOOKUP(H$2,convert!$A$1:$B$4,2,0),"@@@",H431))</f>
        <v>45</v>
      </c>
      <c r="X431" s="4" t="str">
        <f>IF(I431="",IF(ISNUMBER(SEARCH("NOT NULL",UPPER(I$3))),"''","null"),SUBSTITUTE(VLOOKUP(I$2,convert!$A$1:$B$4,2,0),"@@@",I431))</f>
        <v>''</v>
      </c>
      <c r="Y431" s="4" t="str">
        <f>IF(J431="",IF(ISNUMBER(SEARCH("NOT NULL",UPPER(J$3))),"''","null"),SUBSTITUTE(VLOOKUP(J$2,convert!$A$1:$B$4,2,0),"@@@",J431))</f>
        <v>'rock'</v>
      </c>
      <c r="Z431" s="4" t="str">
        <f>IF(K431="",IF(ISNUMBER(SEARCH("NOT NULL",UPPER(K$3))),"''","null"),SUBSTITUTE(VLOOKUP(K$2,convert!$A$1:$B$4,2,0),"@@@",K431))</f>
        <v>'bug'</v>
      </c>
      <c r="AA431" s="4" t="str">
        <f>IF(L431="",IF(ISNUMBER(SEARCH("NOT NULL",UPPER(L$3))),"''","null"),SUBSTITUTE(VLOOKUP(L$2,convert!$A$1:$B$4,2,0),"@@@",L431))</f>
        <v>'g3'</v>
      </c>
      <c r="AB431" s="4" t="str">
        <f>IF(M431="",IF(ISNUMBER(SEARCH("NOT NULL",UPPER(M$3))),"''","null"),SUBSTITUTE(VLOOKUP(M$2,convert!$A$1:$B$4,2,0),"@@@",M431))</f>
        <v>null</v>
      </c>
      <c r="AC431" s="4" t="str">
        <f>IF(N431="",IF(ISNUMBER(SEARCH("NOT NULL",UPPER(N$3))),"''","null"),SUBSTITUTE(VLOOKUP(N$2,convert!$A$1:$B$4,2,0),"@@@",N431))</f>
        <v>null</v>
      </c>
      <c r="AD431" s="4" t="str">
        <f>IF(O431="",IF(ISNUMBER(SEARCH("NOT NULL",UPPER(O$3))),"''","null"),SUBSTITUTE(VLOOKUP(O$2,convert!$A$1:$B$4,2,0),"@@@",O431))</f>
        <v>TRUE</v>
      </c>
      <c r="AE431" s="4" t="str">
        <f t="shared" si="6"/>
        <v>    ('0348N01', 'アーマルド', 75, 125, 100, 70, 80, 45, '', 'rock', 'bug', 'g3', null, null, TRUE),</v>
      </c>
    </row>
    <row r="432" spans="1:31">
      <c r="A432" s="4" t="s">
        <v>875</v>
      </c>
      <c r="B432" s="4" t="s">
        <v>876</v>
      </c>
      <c r="C432" s="5">
        <v>20</v>
      </c>
      <c r="D432" s="5">
        <v>15</v>
      </c>
      <c r="E432" s="5">
        <v>20</v>
      </c>
      <c r="F432" s="5">
        <v>10</v>
      </c>
      <c r="G432" s="5">
        <v>55</v>
      </c>
      <c r="H432" s="5">
        <v>80</v>
      </c>
      <c r="I432" s="5"/>
      <c r="J432" s="4" t="s">
        <v>55</v>
      </c>
      <c r="K432" s="5"/>
      <c r="L432" s="4" t="s">
        <v>656</v>
      </c>
      <c r="M432" s="5"/>
      <c r="N432" s="5"/>
      <c r="O432" s="5" t="b">
        <v>1</v>
      </c>
      <c r="P432" s="4" t="str">
        <f>IF(A432="",IF(ISNUMBER(SEARCH("NOT NULL",UPPER(A$3))),"''","null"),SUBSTITUTE(VLOOKUP(A$2,convert!$A$1:$B$4,2,0),"@@@",A432))</f>
        <v>'0349N01'</v>
      </c>
      <c r="Q432" s="4" t="str">
        <f>IF(B432="",IF(ISNUMBER(SEARCH("NOT NULL",UPPER(B$3))),"''","null"),SUBSTITUTE(VLOOKUP(B$2,convert!$A$1:$B$4,2,0),"@@@",B432))</f>
        <v>'ヒンバス'</v>
      </c>
      <c r="R432" s="4" t="str">
        <f>IF(C432="",IF(ISNUMBER(SEARCH("NOT NULL",UPPER(C$3))),"''","null"),SUBSTITUTE(VLOOKUP(C$2,convert!$A$1:$B$4,2,0),"@@@",C432))</f>
        <v>20</v>
      </c>
      <c r="S432" s="4" t="str">
        <f>IF(D432="",IF(ISNUMBER(SEARCH("NOT NULL",UPPER(D$3))),"''","null"),SUBSTITUTE(VLOOKUP(D$2,convert!$A$1:$B$4,2,0),"@@@",D432))</f>
        <v>15</v>
      </c>
      <c r="T432" s="4" t="str">
        <f>IF(E432="",IF(ISNUMBER(SEARCH("NOT NULL",UPPER(E$3))),"''","null"),SUBSTITUTE(VLOOKUP(E$2,convert!$A$1:$B$4,2,0),"@@@",E432))</f>
        <v>20</v>
      </c>
      <c r="U432" s="4" t="str">
        <f>IF(F432="",IF(ISNUMBER(SEARCH("NOT NULL",UPPER(F$3))),"''","null"),SUBSTITUTE(VLOOKUP(F$2,convert!$A$1:$B$4,2,0),"@@@",F432))</f>
        <v>10</v>
      </c>
      <c r="V432" s="4" t="str">
        <f>IF(G432="",IF(ISNUMBER(SEARCH("NOT NULL",UPPER(G$3))),"''","null"),SUBSTITUTE(VLOOKUP(G$2,convert!$A$1:$B$4,2,0),"@@@",G432))</f>
        <v>55</v>
      </c>
      <c r="W432" s="4" t="str">
        <f>IF(H432="",IF(ISNUMBER(SEARCH("NOT NULL",UPPER(H$3))),"''","null"),SUBSTITUTE(VLOOKUP(H$2,convert!$A$1:$B$4,2,0),"@@@",H432))</f>
        <v>80</v>
      </c>
      <c r="X432" s="4" t="str">
        <f>IF(I432="",IF(ISNUMBER(SEARCH("NOT NULL",UPPER(I$3))),"''","null"),SUBSTITUTE(VLOOKUP(I$2,convert!$A$1:$B$4,2,0),"@@@",I432))</f>
        <v>''</v>
      </c>
      <c r="Y432" s="4" t="str">
        <f>IF(J432="",IF(ISNUMBER(SEARCH("NOT NULL",UPPER(J$3))),"''","null"),SUBSTITUTE(VLOOKUP(J$2,convert!$A$1:$B$4,2,0),"@@@",J432))</f>
        <v>'water'</v>
      </c>
      <c r="Z432" s="4" t="str">
        <f>IF(K432="",IF(ISNUMBER(SEARCH("NOT NULL",UPPER(K$3))),"''","null"),SUBSTITUTE(VLOOKUP(K$2,convert!$A$1:$B$4,2,0),"@@@",K432))</f>
        <v>null</v>
      </c>
      <c r="AA432" s="4" t="str">
        <f>IF(L432="",IF(ISNUMBER(SEARCH("NOT NULL",UPPER(L$3))),"''","null"),SUBSTITUTE(VLOOKUP(L$2,convert!$A$1:$B$4,2,0),"@@@",L432))</f>
        <v>'g3'</v>
      </c>
      <c r="AB432" s="4" t="str">
        <f>IF(M432="",IF(ISNUMBER(SEARCH("NOT NULL",UPPER(M$3))),"''","null"),SUBSTITUTE(VLOOKUP(M$2,convert!$A$1:$B$4,2,0),"@@@",M432))</f>
        <v>null</v>
      </c>
      <c r="AC432" s="4" t="str">
        <f>IF(N432="",IF(ISNUMBER(SEARCH("NOT NULL",UPPER(N$3))),"''","null"),SUBSTITUTE(VLOOKUP(N$2,convert!$A$1:$B$4,2,0),"@@@",N432))</f>
        <v>null</v>
      </c>
      <c r="AD432" s="4" t="str">
        <f>IF(O432="",IF(ISNUMBER(SEARCH("NOT NULL",UPPER(O$3))),"''","null"),SUBSTITUTE(VLOOKUP(O$2,convert!$A$1:$B$4,2,0),"@@@",O432))</f>
        <v>TRUE</v>
      </c>
      <c r="AE432" s="4" t="str">
        <f t="shared" si="6"/>
        <v>    ('0349N01', 'ヒンバス', 20, 15, 20, 10, 55, 80, '', 'water', null, 'g3', null, null, TRUE),</v>
      </c>
    </row>
    <row r="433" spans="1:31">
      <c r="A433" s="4" t="s">
        <v>877</v>
      </c>
      <c r="B433" s="4" t="s">
        <v>878</v>
      </c>
      <c r="C433" s="5">
        <v>95</v>
      </c>
      <c r="D433" s="5">
        <v>60</v>
      </c>
      <c r="E433" s="5">
        <v>79</v>
      </c>
      <c r="F433" s="5">
        <v>100</v>
      </c>
      <c r="G433" s="5">
        <v>125</v>
      </c>
      <c r="H433" s="5">
        <v>81</v>
      </c>
      <c r="I433" s="5"/>
      <c r="J433" s="4" t="s">
        <v>55</v>
      </c>
      <c r="K433" s="5"/>
      <c r="L433" s="4" t="s">
        <v>656</v>
      </c>
      <c r="M433" s="5"/>
      <c r="N433" s="5"/>
      <c r="O433" s="5" t="b">
        <v>1</v>
      </c>
      <c r="P433" s="4" t="str">
        <f>IF(A433="",IF(ISNUMBER(SEARCH("NOT NULL",UPPER(A$3))),"''","null"),SUBSTITUTE(VLOOKUP(A$2,convert!$A$1:$B$4,2,0),"@@@",A433))</f>
        <v>'0350N01'</v>
      </c>
      <c r="Q433" s="4" t="str">
        <f>IF(B433="",IF(ISNUMBER(SEARCH("NOT NULL",UPPER(B$3))),"''","null"),SUBSTITUTE(VLOOKUP(B$2,convert!$A$1:$B$4,2,0),"@@@",B433))</f>
        <v>'ミロカロス'</v>
      </c>
      <c r="R433" s="4" t="str">
        <f>IF(C433="",IF(ISNUMBER(SEARCH("NOT NULL",UPPER(C$3))),"''","null"),SUBSTITUTE(VLOOKUP(C$2,convert!$A$1:$B$4,2,0),"@@@",C433))</f>
        <v>95</v>
      </c>
      <c r="S433" s="4" t="str">
        <f>IF(D433="",IF(ISNUMBER(SEARCH("NOT NULL",UPPER(D$3))),"''","null"),SUBSTITUTE(VLOOKUP(D$2,convert!$A$1:$B$4,2,0),"@@@",D433))</f>
        <v>60</v>
      </c>
      <c r="T433" s="4" t="str">
        <f>IF(E433="",IF(ISNUMBER(SEARCH("NOT NULL",UPPER(E$3))),"''","null"),SUBSTITUTE(VLOOKUP(E$2,convert!$A$1:$B$4,2,0),"@@@",E433))</f>
        <v>79</v>
      </c>
      <c r="U433" s="4" t="str">
        <f>IF(F433="",IF(ISNUMBER(SEARCH("NOT NULL",UPPER(F$3))),"''","null"),SUBSTITUTE(VLOOKUP(F$2,convert!$A$1:$B$4,2,0),"@@@",F433))</f>
        <v>100</v>
      </c>
      <c r="V433" s="4" t="str">
        <f>IF(G433="",IF(ISNUMBER(SEARCH("NOT NULL",UPPER(G$3))),"''","null"),SUBSTITUTE(VLOOKUP(G$2,convert!$A$1:$B$4,2,0),"@@@",G433))</f>
        <v>125</v>
      </c>
      <c r="W433" s="4" t="str">
        <f>IF(H433="",IF(ISNUMBER(SEARCH("NOT NULL",UPPER(H$3))),"''","null"),SUBSTITUTE(VLOOKUP(H$2,convert!$A$1:$B$4,2,0),"@@@",H433))</f>
        <v>81</v>
      </c>
      <c r="X433" s="4" t="str">
        <f>IF(I433="",IF(ISNUMBER(SEARCH("NOT NULL",UPPER(I$3))),"''","null"),SUBSTITUTE(VLOOKUP(I$2,convert!$A$1:$B$4,2,0),"@@@",I433))</f>
        <v>''</v>
      </c>
      <c r="Y433" s="4" t="str">
        <f>IF(J433="",IF(ISNUMBER(SEARCH("NOT NULL",UPPER(J$3))),"''","null"),SUBSTITUTE(VLOOKUP(J$2,convert!$A$1:$B$4,2,0),"@@@",J433))</f>
        <v>'water'</v>
      </c>
      <c r="Z433" s="4" t="str">
        <f>IF(K433="",IF(ISNUMBER(SEARCH("NOT NULL",UPPER(K$3))),"''","null"),SUBSTITUTE(VLOOKUP(K$2,convert!$A$1:$B$4,2,0),"@@@",K433))</f>
        <v>null</v>
      </c>
      <c r="AA433" s="4" t="str">
        <f>IF(L433="",IF(ISNUMBER(SEARCH("NOT NULL",UPPER(L$3))),"''","null"),SUBSTITUTE(VLOOKUP(L$2,convert!$A$1:$B$4,2,0),"@@@",L433))</f>
        <v>'g3'</v>
      </c>
      <c r="AB433" s="4" t="str">
        <f>IF(M433="",IF(ISNUMBER(SEARCH("NOT NULL",UPPER(M$3))),"''","null"),SUBSTITUTE(VLOOKUP(M$2,convert!$A$1:$B$4,2,0),"@@@",M433))</f>
        <v>null</v>
      </c>
      <c r="AC433" s="4" t="str">
        <f>IF(N433="",IF(ISNUMBER(SEARCH("NOT NULL",UPPER(N$3))),"''","null"),SUBSTITUTE(VLOOKUP(N$2,convert!$A$1:$B$4,2,0),"@@@",N433))</f>
        <v>null</v>
      </c>
      <c r="AD433" s="4" t="str">
        <f>IF(O433="",IF(ISNUMBER(SEARCH("NOT NULL",UPPER(O$3))),"''","null"),SUBSTITUTE(VLOOKUP(O$2,convert!$A$1:$B$4,2,0),"@@@",O433))</f>
        <v>TRUE</v>
      </c>
      <c r="AE433" s="4" t="str">
        <f t="shared" si="6"/>
        <v>    ('0350N01', 'ミロカロス', 95, 60, 79, 100, 125, 81, '', 'water', null, 'g3', null, null, TRUE),</v>
      </c>
    </row>
    <row r="434" spans="1:31">
      <c r="A434" s="4" t="s">
        <v>879</v>
      </c>
      <c r="B434" s="4" t="s">
        <v>880</v>
      </c>
      <c r="C434" s="5">
        <v>70</v>
      </c>
      <c r="D434" s="5">
        <v>70</v>
      </c>
      <c r="E434" s="5">
        <v>70</v>
      </c>
      <c r="F434" s="5">
        <v>70</v>
      </c>
      <c r="G434" s="5">
        <v>70</v>
      </c>
      <c r="H434" s="5">
        <v>70</v>
      </c>
      <c r="I434" s="5"/>
      <c r="J434" s="4" t="s">
        <v>80</v>
      </c>
      <c r="K434" s="5"/>
      <c r="L434" s="4" t="s">
        <v>656</v>
      </c>
      <c r="M434" s="5"/>
      <c r="N434" s="5"/>
      <c r="O434" s="5" t="b">
        <v>1</v>
      </c>
      <c r="P434" s="4" t="str">
        <f>IF(A434="",IF(ISNUMBER(SEARCH("NOT NULL",UPPER(A$3))),"''","null"),SUBSTITUTE(VLOOKUP(A$2,convert!$A$1:$B$4,2,0),"@@@",A434))</f>
        <v>'0351N01'</v>
      </c>
      <c r="Q434" s="4" t="str">
        <f>IF(B434="",IF(ISNUMBER(SEARCH("NOT NULL",UPPER(B$3))),"''","null"),SUBSTITUTE(VLOOKUP(B$2,convert!$A$1:$B$4,2,0),"@@@",B434))</f>
        <v>'ポワルン'</v>
      </c>
      <c r="R434" s="4" t="str">
        <f>IF(C434="",IF(ISNUMBER(SEARCH("NOT NULL",UPPER(C$3))),"''","null"),SUBSTITUTE(VLOOKUP(C$2,convert!$A$1:$B$4,2,0),"@@@",C434))</f>
        <v>70</v>
      </c>
      <c r="S434" s="4" t="str">
        <f>IF(D434="",IF(ISNUMBER(SEARCH("NOT NULL",UPPER(D$3))),"''","null"),SUBSTITUTE(VLOOKUP(D$2,convert!$A$1:$B$4,2,0),"@@@",D434))</f>
        <v>70</v>
      </c>
      <c r="T434" s="4" t="str">
        <f>IF(E434="",IF(ISNUMBER(SEARCH("NOT NULL",UPPER(E$3))),"''","null"),SUBSTITUTE(VLOOKUP(E$2,convert!$A$1:$B$4,2,0),"@@@",E434))</f>
        <v>70</v>
      </c>
      <c r="U434" s="4" t="str">
        <f>IF(F434="",IF(ISNUMBER(SEARCH("NOT NULL",UPPER(F$3))),"''","null"),SUBSTITUTE(VLOOKUP(F$2,convert!$A$1:$B$4,2,0),"@@@",F434))</f>
        <v>70</v>
      </c>
      <c r="V434" s="4" t="str">
        <f>IF(G434="",IF(ISNUMBER(SEARCH("NOT NULL",UPPER(G$3))),"''","null"),SUBSTITUTE(VLOOKUP(G$2,convert!$A$1:$B$4,2,0),"@@@",G434))</f>
        <v>70</v>
      </c>
      <c r="W434" s="4" t="str">
        <f>IF(H434="",IF(ISNUMBER(SEARCH("NOT NULL",UPPER(H$3))),"''","null"),SUBSTITUTE(VLOOKUP(H$2,convert!$A$1:$B$4,2,0),"@@@",H434))</f>
        <v>70</v>
      </c>
      <c r="X434" s="4" t="str">
        <f>IF(I434="",IF(ISNUMBER(SEARCH("NOT NULL",UPPER(I$3))),"''","null"),SUBSTITUTE(VLOOKUP(I$2,convert!$A$1:$B$4,2,0),"@@@",I434))</f>
        <v>''</v>
      </c>
      <c r="Y434" s="4" t="str">
        <f>IF(J434="",IF(ISNUMBER(SEARCH("NOT NULL",UPPER(J$3))),"''","null"),SUBSTITUTE(VLOOKUP(J$2,convert!$A$1:$B$4,2,0),"@@@",J434))</f>
        <v>'normal'</v>
      </c>
      <c r="Z434" s="4" t="str">
        <f>IF(K434="",IF(ISNUMBER(SEARCH("NOT NULL",UPPER(K$3))),"''","null"),SUBSTITUTE(VLOOKUP(K$2,convert!$A$1:$B$4,2,0),"@@@",K434))</f>
        <v>null</v>
      </c>
      <c r="AA434" s="4" t="str">
        <f>IF(L434="",IF(ISNUMBER(SEARCH("NOT NULL",UPPER(L$3))),"''","null"),SUBSTITUTE(VLOOKUP(L$2,convert!$A$1:$B$4,2,0),"@@@",L434))</f>
        <v>'g3'</v>
      </c>
      <c r="AB434" s="4" t="str">
        <f>IF(M434="",IF(ISNUMBER(SEARCH("NOT NULL",UPPER(M$3))),"''","null"),SUBSTITUTE(VLOOKUP(M$2,convert!$A$1:$B$4,2,0),"@@@",M434))</f>
        <v>null</v>
      </c>
      <c r="AC434" s="4" t="str">
        <f>IF(N434="",IF(ISNUMBER(SEARCH("NOT NULL",UPPER(N$3))),"''","null"),SUBSTITUTE(VLOOKUP(N$2,convert!$A$1:$B$4,2,0),"@@@",N434))</f>
        <v>null</v>
      </c>
      <c r="AD434" s="4" t="str">
        <f>IF(O434="",IF(ISNUMBER(SEARCH("NOT NULL",UPPER(O$3))),"''","null"),SUBSTITUTE(VLOOKUP(O$2,convert!$A$1:$B$4,2,0),"@@@",O434))</f>
        <v>TRUE</v>
      </c>
      <c r="AE434" s="4" t="str">
        <f t="shared" si="6"/>
        <v>    ('0351N01', 'ポワルン', 70, 70, 70, 70, 70, 70, '', 'normal', null, 'g3', null, null, TRUE),</v>
      </c>
    </row>
    <row r="435" spans="1:31">
      <c r="A435" s="4" t="s">
        <v>881</v>
      </c>
      <c r="B435" s="4" t="s">
        <v>880</v>
      </c>
      <c r="C435" s="5">
        <v>70</v>
      </c>
      <c r="D435" s="5">
        <v>70</v>
      </c>
      <c r="E435" s="5">
        <v>70</v>
      </c>
      <c r="F435" s="5">
        <v>70</v>
      </c>
      <c r="G435" s="5">
        <v>70</v>
      </c>
      <c r="H435" s="5">
        <v>70</v>
      </c>
      <c r="I435" s="4" t="s">
        <v>882</v>
      </c>
      <c r="J435" s="4" t="s">
        <v>42</v>
      </c>
      <c r="K435" s="5"/>
      <c r="L435" s="4" t="s">
        <v>656</v>
      </c>
      <c r="M435" s="5"/>
      <c r="N435" s="5"/>
      <c r="O435" s="5" t="b">
        <v>1</v>
      </c>
      <c r="P435" s="4" t="str">
        <f>IF(A435="",IF(ISNUMBER(SEARCH("NOT NULL",UPPER(A$3))),"''","null"),SUBSTITUTE(VLOOKUP(A$2,convert!$A$1:$B$4,2,0),"@@@",A435))</f>
        <v>'0351N02'</v>
      </c>
      <c r="Q435" s="4" t="str">
        <f>IF(B435="",IF(ISNUMBER(SEARCH("NOT NULL",UPPER(B$3))),"''","null"),SUBSTITUTE(VLOOKUP(B$2,convert!$A$1:$B$4,2,0),"@@@",B435))</f>
        <v>'ポワルン'</v>
      </c>
      <c r="R435" s="4" t="str">
        <f>IF(C435="",IF(ISNUMBER(SEARCH("NOT NULL",UPPER(C$3))),"''","null"),SUBSTITUTE(VLOOKUP(C$2,convert!$A$1:$B$4,2,0),"@@@",C435))</f>
        <v>70</v>
      </c>
      <c r="S435" s="4" t="str">
        <f>IF(D435="",IF(ISNUMBER(SEARCH("NOT NULL",UPPER(D$3))),"''","null"),SUBSTITUTE(VLOOKUP(D$2,convert!$A$1:$B$4,2,0),"@@@",D435))</f>
        <v>70</v>
      </c>
      <c r="T435" s="4" t="str">
        <f>IF(E435="",IF(ISNUMBER(SEARCH("NOT NULL",UPPER(E$3))),"''","null"),SUBSTITUTE(VLOOKUP(E$2,convert!$A$1:$B$4,2,0),"@@@",E435))</f>
        <v>70</v>
      </c>
      <c r="U435" s="4" t="str">
        <f>IF(F435="",IF(ISNUMBER(SEARCH("NOT NULL",UPPER(F$3))),"''","null"),SUBSTITUTE(VLOOKUP(F$2,convert!$A$1:$B$4,2,0),"@@@",F435))</f>
        <v>70</v>
      </c>
      <c r="V435" s="4" t="str">
        <f>IF(G435="",IF(ISNUMBER(SEARCH("NOT NULL",UPPER(G$3))),"''","null"),SUBSTITUTE(VLOOKUP(G$2,convert!$A$1:$B$4,2,0),"@@@",G435))</f>
        <v>70</v>
      </c>
      <c r="W435" s="4" t="str">
        <f>IF(H435="",IF(ISNUMBER(SEARCH("NOT NULL",UPPER(H$3))),"''","null"),SUBSTITUTE(VLOOKUP(H$2,convert!$A$1:$B$4,2,0),"@@@",H435))</f>
        <v>70</v>
      </c>
      <c r="X435" s="4" t="str">
        <f>IF(I435="",IF(ISNUMBER(SEARCH("NOT NULL",UPPER(I$3))),"''","null"),SUBSTITUTE(VLOOKUP(I$2,convert!$A$1:$B$4,2,0),"@@@",I435))</f>
        <v>'たいようのすがた'</v>
      </c>
      <c r="Y435" s="4" t="str">
        <f>IF(J435="",IF(ISNUMBER(SEARCH("NOT NULL",UPPER(J$3))),"''","null"),SUBSTITUTE(VLOOKUP(J$2,convert!$A$1:$B$4,2,0),"@@@",J435))</f>
        <v>'fire'</v>
      </c>
      <c r="Z435" s="4" t="str">
        <f>IF(K435="",IF(ISNUMBER(SEARCH("NOT NULL",UPPER(K$3))),"''","null"),SUBSTITUTE(VLOOKUP(K$2,convert!$A$1:$B$4,2,0),"@@@",K435))</f>
        <v>null</v>
      </c>
      <c r="AA435" s="4" t="str">
        <f>IF(L435="",IF(ISNUMBER(SEARCH("NOT NULL",UPPER(L$3))),"''","null"),SUBSTITUTE(VLOOKUP(L$2,convert!$A$1:$B$4,2,0),"@@@",L435))</f>
        <v>'g3'</v>
      </c>
      <c r="AB435" s="4" t="str">
        <f>IF(M435="",IF(ISNUMBER(SEARCH("NOT NULL",UPPER(M$3))),"''","null"),SUBSTITUTE(VLOOKUP(M$2,convert!$A$1:$B$4,2,0),"@@@",M435))</f>
        <v>null</v>
      </c>
      <c r="AC435" s="4" t="str">
        <f>IF(N435="",IF(ISNUMBER(SEARCH("NOT NULL",UPPER(N$3))),"''","null"),SUBSTITUTE(VLOOKUP(N$2,convert!$A$1:$B$4,2,0),"@@@",N435))</f>
        <v>null</v>
      </c>
      <c r="AD435" s="4" t="str">
        <f>IF(O435="",IF(ISNUMBER(SEARCH("NOT NULL",UPPER(O$3))),"''","null"),SUBSTITUTE(VLOOKUP(O$2,convert!$A$1:$B$4,2,0),"@@@",O435))</f>
        <v>TRUE</v>
      </c>
      <c r="AE435" s="4" t="str">
        <f t="shared" si="6"/>
        <v>    ('0351N02', 'ポワルン', 70, 70, 70, 70, 70, 70, 'たいようのすがた', 'fire', null, 'g3', null, null, TRUE),</v>
      </c>
    </row>
    <row r="436" spans="1:31">
      <c r="A436" s="4" t="s">
        <v>883</v>
      </c>
      <c r="B436" s="4" t="s">
        <v>880</v>
      </c>
      <c r="C436" s="5">
        <v>70</v>
      </c>
      <c r="D436" s="5">
        <v>70</v>
      </c>
      <c r="E436" s="5">
        <v>70</v>
      </c>
      <c r="F436" s="5">
        <v>70</v>
      </c>
      <c r="G436" s="5">
        <v>70</v>
      </c>
      <c r="H436" s="5">
        <v>70</v>
      </c>
      <c r="I436" s="4" t="s">
        <v>884</v>
      </c>
      <c r="J436" s="4" t="s">
        <v>55</v>
      </c>
      <c r="K436" s="5"/>
      <c r="L436" s="4" t="s">
        <v>656</v>
      </c>
      <c r="M436" s="5"/>
      <c r="N436" s="5"/>
      <c r="O436" s="5" t="b">
        <v>1</v>
      </c>
      <c r="P436" s="4" t="str">
        <f>IF(A436="",IF(ISNUMBER(SEARCH("NOT NULL",UPPER(A$3))),"''","null"),SUBSTITUTE(VLOOKUP(A$2,convert!$A$1:$B$4,2,0),"@@@",A436))</f>
        <v>'0351N03'</v>
      </c>
      <c r="Q436" s="4" t="str">
        <f>IF(B436="",IF(ISNUMBER(SEARCH("NOT NULL",UPPER(B$3))),"''","null"),SUBSTITUTE(VLOOKUP(B$2,convert!$A$1:$B$4,2,0),"@@@",B436))</f>
        <v>'ポワルン'</v>
      </c>
      <c r="R436" s="4" t="str">
        <f>IF(C436="",IF(ISNUMBER(SEARCH("NOT NULL",UPPER(C$3))),"''","null"),SUBSTITUTE(VLOOKUP(C$2,convert!$A$1:$B$4,2,0),"@@@",C436))</f>
        <v>70</v>
      </c>
      <c r="S436" s="4" t="str">
        <f>IF(D436="",IF(ISNUMBER(SEARCH("NOT NULL",UPPER(D$3))),"''","null"),SUBSTITUTE(VLOOKUP(D$2,convert!$A$1:$B$4,2,0),"@@@",D436))</f>
        <v>70</v>
      </c>
      <c r="T436" s="4" t="str">
        <f>IF(E436="",IF(ISNUMBER(SEARCH("NOT NULL",UPPER(E$3))),"''","null"),SUBSTITUTE(VLOOKUP(E$2,convert!$A$1:$B$4,2,0),"@@@",E436))</f>
        <v>70</v>
      </c>
      <c r="U436" s="4" t="str">
        <f>IF(F436="",IF(ISNUMBER(SEARCH("NOT NULL",UPPER(F$3))),"''","null"),SUBSTITUTE(VLOOKUP(F$2,convert!$A$1:$B$4,2,0),"@@@",F436))</f>
        <v>70</v>
      </c>
      <c r="V436" s="4" t="str">
        <f>IF(G436="",IF(ISNUMBER(SEARCH("NOT NULL",UPPER(G$3))),"''","null"),SUBSTITUTE(VLOOKUP(G$2,convert!$A$1:$B$4,2,0),"@@@",G436))</f>
        <v>70</v>
      </c>
      <c r="W436" s="4" t="str">
        <f>IF(H436="",IF(ISNUMBER(SEARCH("NOT NULL",UPPER(H$3))),"''","null"),SUBSTITUTE(VLOOKUP(H$2,convert!$A$1:$B$4,2,0),"@@@",H436))</f>
        <v>70</v>
      </c>
      <c r="X436" s="4" t="str">
        <f>IF(I436="",IF(ISNUMBER(SEARCH("NOT NULL",UPPER(I$3))),"''","null"),SUBSTITUTE(VLOOKUP(I$2,convert!$A$1:$B$4,2,0),"@@@",I436))</f>
        <v>'あまみずのすがた'</v>
      </c>
      <c r="Y436" s="4" t="str">
        <f>IF(J436="",IF(ISNUMBER(SEARCH("NOT NULL",UPPER(J$3))),"''","null"),SUBSTITUTE(VLOOKUP(J$2,convert!$A$1:$B$4,2,0),"@@@",J436))</f>
        <v>'water'</v>
      </c>
      <c r="Z436" s="4" t="str">
        <f>IF(K436="",IF(ISNUMBER(SEARCH("NOT NULL",UPPER(K$3))),"''","null"),SUBSTITUTE(VLOOKUP(K$2,convert!$A$1:$B$4,2,0),"@@@",K436))</f>
        <v>null</v>
      </c>
      <c r="AA436" s="4" t="str">
        <f>IF(L436="",IF(ISNUMBER(SEARCH("NOT NULL",UPPER(L$3))),"''","null"),SUBSTITUTE(VLOOKUP(L$2,convert!$A$1:$B$4,2,0),"@@@",L436))</f>
        <v>'g3'</v>
      </c>
      <c r="AB436" s="4" t="str">
        <f>IF(M436="",IF(ISNUMBER(SEARCH("NOT NULL",UPPER(M$3))),"''","null"),SUBSTITUTE(VLOOKUP(M$2,convert!$A$1:$B$4,2,0),"@@@",M436))</f>
        <v>null</v>
      </c>
      <c r="AC436" s="4" t="str">
        <f>IF(N436="",IF(ISNUMBER(SEARCH("NOT NULL",UPPER(N$3))),"''","null"),SUBSTITUTE(VLOOKUP(N$2,convert!$A$1:$B$4,2,0),"@@@",N436))</f>
        <v>null</v>
      </c>
      <c r="AD436" s="4" t="str">
        <f>IF(O436="",IF(ISNUMBER(SEARCH("NOT NULL",UPPER(O$3))),"''","null"),SUBSTITUTE(VLOOKUP(O$2,convert!$A$1:$B$4,2,0),"@@@",O436))</f>
        <v>TRUE</v>
      </c>
      <c r="AE436" s="4" t="str">
        <f t="shared" si="6"/>
        <v>    ('0351N03', 'ポワルン', 70, 70, 70, 70, 70, 70, 'あまみずのすがた', 'water', null, 'g3', null, null, TRUE),</v>
      </c>
    </row>
    <row r="437" spans="1:31">
      <c r="A437" s="4" t="s">
        <v>885</v>
      </c>
      <c r="B437" s="4" t="s">
        <v>880</v>
      </c>
      <c r="C437" s="5">
        <v>70</v>
      </c>
      <c r="D437" s="5">
        <v>70</v>
      </c>
      <c r="E437" s="5">
        <v>70</v>
      </c>
      <c r="F437" s="5">
        <v>70</v>
      </c>
      <c r="G437" s="5">
        <v>70</v>
      </c>
      <c r="H437" s="5">
        <v>70</v>
      </c>
      <c r="I437" s="4" t="s">
        <v>886</v>
      </c>
      <c r="J437" s="4" t="s">
        <v>118</v>
      </c>
      <c r="K437" s="5"/>
      <c r="L437" s="4" t="s">
        <v>656</v>
      </c>
      <c r="M437" s="5"/>
      <c r="N437" s="5"/>
      <c r="O437" s="5" t="b">
        <v>1</v>
      </c>
      <c r="P437" s="4" t="str">
        <f>IF(A437="",IF(ISNUMBER(SEARCH("NOT NULL",UPPER(A$3))),"''","null"),SUBSTITUTE(VLOOKUP(A$2,convert!$A$1:$B$4,2,0),"@@@",A437))</f>
        <v>'0351N04'</v>
      </c>
      <c r="Q437" s="4" t="str">
        <f>IF(B437="",IF(ISNUMBER(SEARCH("NOT NULL",UPPER(B$3))),"''","null"),SUBSTITUTE(VLOOKUP(B$2,convert!$A$1:$B$4,2,0),"@@@",B437))</f>
        <v>'ポワルン'</v>
      </c>
      <c r="R437" s="4" t="str">
        <f>IF(C437="",IF(ISNUMBER(SEARCH("NOT NULL",UPPER(C$3))),"''","null"),SUBSTITUTE(VLOOKUP(C$2,convert!$A$1:$B$4,2,0),"@@@",C437))</f>
        <v>70</v>
      </c>
      <c r="S437" s="4" t="str">
        <f>IF(D437="",IF(ISNUMBER(SEARCH("NOT NULL",UPPER(D$3))),"''","null"),SUBSTITUTE(VLOOKUP(D$2,convert!$A$1:$B$4,2,0),"@@@",D437))</f>
        <v>70</v>
      </c>
      <c r="T437" s="4" t="str">
        <f>IF(E437="",IF(ISNUMBER(SEARCH("NOT NULL",UPPER(E$3))),"''","null"),SUBSTITUTE(VLOOKUP(E$2,convert!$A$1:$B$4,2,0),"@@@",E437))</f>
        <v>70</v>
      </c>
      <c r="U437" s="4" t="str">
        <f>IF(F437="",IF(ISNUMBER(SEARCH("NOT NULL",UPPER(F$3))),"''","null"),SUBSTITUTE(VLOOKUP(F$2,convert!$A$1:$B$4,2,0),"@@@",F437))</f>
        <v>70</v>
      </c>
      <c r="V437" s="4" t="str">
        <f>IF(G437="",IF(ISNUMBER(SEARCH("NOT NULL",UPPER(G$3))),"''","null"),SUBSTITUTE(VLOOKUP(G$2,convert!$A$1:$B$4,2,0),"@@@",G437))</f>
        <v>70</v>
      </c>
      <c r="W437" s="4" t="str">
        <f>IF(H437="",IF(ISNUMBER(SEARCH("NOT NULL",UPPER(H$3))),"''","null"),SUBSTITUTE(VLOOKUP(H$2,convert!$A$1:$B$4,2,0),"@@@",H437))</f>
        <v>70</v>
      </c>
      <c r="X437" s="4" t="str">
        <f>IF(I437="",IF(ISNUMBER(SEARCH("NOT NULL",UPPER(I$3))),"''","null"),SUBSTITUTE(VLOOKUP(I$2,convert!$A$1:$B$4,2,0),"@@@",I437))</f>
        <v>'ゆきぐものすがた'</v>
      </c>
      <c r="Y437" s="4" t="str">
        <f>IF(J437="",IF(ISNUMBER(SEARCH("NOT NULL",UPPER(J$3))),"''","null"),SUBSTITUTE(VLOOKUP(J$2,convert!$A$1:$B$4,2,0),"@@@",J437))</f>
        <v>'ice'</v>
      </c>
      <c r="Z437" s="4" t="str">
        <f>IF(K437="",IF(ISNUMBER(SEARCH("NOT NULL",UPPER(K$3))),"''","null"),SUBSTITUTE(VLOOKUP(K$2,convert!$A$1:$B$4,2,0),"@@@",K437))</f>
        <v>null</v>
      </c>
      <c r="AA437" s="4" t="str">
        <f>IF(L437="",IF(ISNUMBER(SEARCH("NOT NULL",UPPER(L$3))),"''","null"),SUBSTITUTE(VLOOKUP(L$2,convert!$A$1:$B$4,2,0),"@@@",L437))</f>
        <v>'g3'</v>
      </c>
      <c r="AB437" s="4" t="str">
        <f>IF(M437="",IF(ISNUMBER(SEARCH("NOT NULL",UPPER(M$3))),"''","null"),SUBSTITUTE(VLOOKUP(M$2,convert!$A$1:$B$4,2,0),"@@@",M437))</f>
        <v>null</v>
      </c>
      <c r="AC437" s="4" t="str">
        <f>IF(N437="",IF(ISNUMBER(SEARCH("NOT NULL",UPPER(N$3))),"''","null"),SUBSTITUTE(VLOOKUP(N$2,convert!$A$1:$B$4,2,0),"@@@",N437))</f>
        <v>null</v>
      </c>
      <c r="AD437" s="4" t="str">
        <f>IF(O437="",IF(ISNUMBER(SEARCH("NOT NULL",UPPER(O$3))),"''","null"),SUBSTITUTE(VLOOKUP(O$2,convert!$A$1:$B$4,2,0),"@@@",O437))</f>
        <v>TRUE</v>
      </c>
      <c r="AE437" s="4" t="str">
        <f t="shared" si="6"/>
        <v>    ('0351N04', 'ポワルン', 70, 70, 70, 70, 70, 70, 'ゆきぐものすがた', 'ice', null, 'g3', null, null, TRUE),</v>
      </c>
    </row>
    <row r="438" spans="1:31">
      <c r="A438" s="4" t="s">
        <v>887</v>
      </c>
      <c r="B438" s="4" t="s">
        <v>888</v>
      </c>
      <c r="C438" s="5">
        <v>60</v>
      </c>
      <c r="D438" s="5">
        <v>90</v>
      </c>
      <c r="E438" s="5">
        <v>70</v>
      </c>
      <c r="F438" s="5">
        <v>60</v>
      </c>
      <c r="G438" s="5">
        <v>120</v>
      </c>
      <c r="H438" s="5">
        <v>40</v>
      </c>
      <c r="I438" s="5"/>
      <c r="J438" s="4" t="s">
        <v>80</v>
      </c>
      <c r="K438" s="5"/>
      <c r="L438" s="4" t="s">
        <v>656</v>
      </c>
      <c r="M438" s="5"/>
      <c r="N438" s="5"/>
      <c r="O438" s="5" t="b">
        <v>1</v>
      </c>
      <c r="P438" s="4" t="str">
        <f>IF(A438="",IF(ISNUMBER(SEARCH("NOT NULL",UPPER(A$3))),"''","null"),SUBSTITUTE(VLOOKUP(A$2,convert!$A$1:$B$4,2,0),"@@@",A438))</f>
        <v>'0352N01'</v>
      </c>
      <c r="Q438" s="4" t="str">
        <f>IF(B438="",IF(ISNUMBER(SEARCH("NOT NULL",UPPER(B$3))),"''","null"),SUBSTITUTE(VLOOKUP(B$2,convert!$A$1:$B$4,2,0),"@@@",B438))</f>
        <v>'カクレオン'</v>
      </c>
      <c r="R438" s="4" t="str">
        <f>IF(C438="",IF(ISNUMBER(SEARCH("NOT NULL",UPPER(C$3))),"''","null"),SUBSTITUTE(VLOOKUP(C$2,convert!$A$1:$B$4,2,0),"@@@",C438))</f>
        <v>60</v>
      </c>
      <c r="S438" s="4" t="str">
        <f>IF(D438="",IF(ISNUMBER(SEARCH("NOT NULL",UPPER(D$3))),"''","null"),SUBSTITUTE(VLOOKUP(D$2,convert!$A$1:$B$4,2,0),"@@@",D438))</f>
        <v>90</v>
      </c>
      <c r="T438" s="4" t="str">
        <f>IF(E438="",IF(ISNUMBER(SEARCH("NOT NULL",UPPER(E$3))),"''","null"),SUBSTITUTE(VLOOKUP(E$2,convert!$A$1:$B$4,2,0),"@@@",E438))</f>
        <v>70</v>
      </c>
      <c r="U438" s="4" t="str">
        <f>IF(F438="",IF(ISNUMBER(SEARCH("NOT NULL",UPPER(F$3))),"''","null"),SUBSTITUTE(VLOOKUP(F$2,convert!$A$1:$B$4,2,0),"@@@",F438))</f>
        <v>60</v>
      </c>
      <c r="V438" s="4" t="str">
        <f>IF(G438="",IF(ISNUMBER(SEARCH("NOT NULL",UPPER(G$3))),"''","null"),SUBSTITUTE(VLOOKUP(G$2,convert!$A$1:$B$4,2,0),"@@@",G438))</f>
        <v>120</v>
      </c>
      <c r="W438" s="4" t="str">
        <f>IF(H438="",IF(ISNUMBER(SEARCH("NOT NULL",UPPER(H$3))),"''","null"),SUBSTITUTE(VLOOKUP(H$2,convert!$A$1:$B$4,2,0),"@@@",H438))</f>
        <v>40</v>
      </c>
      <c r="X438" s="4" t="str">
        <f>IF(I438="",IF(ISNUMBER(SEARCH("NOT NULL",UPPER(I$3))),"''","null"),SUBSTITUTE(VLOOKUP(I$2,convert!$A$1:$B$4,2,0),"@@@",I438))</f>
        <v>''</v>
      </c>
      <c r="Y438" s="4" t="str">
        <f>IF(J438="",IF(ISNUMBER(SEARCH("NOT NULL",UPPER(J$3))),"''","null"),SUBSTITUTE(VLOOKUP(J$2,convert!$A$1:$B$4,2,0),"@@@",J438))</f>
        <v>'normal'</v>
      </c>
      <c r="Z438" s="4" t="str">
        <f>IF(K438="",IF(ISNUMBER(SEARCH("NOT NULL",UPPER(K$3))),"''","null"),SUBSTITUTE(VLOOKUP(K$2,convert!$A$1:$B$4,2,0),"@@@",K438))</f>
        <v>null</v>
      </c>
      <c r="AA438" s="4" t="str">
        <f>IF(L438="",IF(ISNUMBER(SEARCH("NOT NULL",UPPER(L$3))),"''","null"),SUBSTITUTE(VLOOKUP(L$2,convert!$A$1:$B$4,2,0),"@@@",L438))</f>
        <v>'g3'</v>
      </c>
      <c r="AB438" s="4" t="str">
        <f>IF(M438="",IF(ISNUMBER(SEARCH("NOT NULL",UPPER(M$3))),"''","null"),SUBSTITUTE(VLOOKUP(M$2,convert!$A$1:$B$4,2,0),"@@@",M438))</f>
        <v>null</v>
      </c>
      <c r="AC438" s="4" t="str">
        <f>IF(N438="",IF(ISNUMBER(SEARCH("NOT NULL",UPPER(N$3))),"''","null"),SUBSTITUTE(VLOOKUP(N$2,convert!$A$1:$B$4,2,0),"@@@",N438))</f>
        <v>null</v>
      </c>
      <c r="AD438" s="4" t="str">
        <f>IF(O438="",IF(ISNUMBER(SEARCH("NOT NULL",UPPER(O$3))),"''","null"),SUBSTITUTE(VLOOKUP(O$2,convert!$A$1:$B$4,2,0),"@@@",O438))</f>
        <v>TRUE</v>
      </c>
      <c r="AE438" s="4" t="str">
        <f t="shared" si="6"/>
        <v>    ('0352N01', 'カクレオン', 60, 90, 70, 60, 120, 40, '', 'normal', null, 'g3', null, null, TRUE),</v>
      </c>
    </row>
    <row r="439" spans="1:31">
      <c r="A439" s="4" t="s">
        <v>889</v>
      </c>
      <c r="B439" s="4" t="s">
        <v>890</v>
      </c>
      <c r="C439" s="5">
        <v>44</v>
      </c>
      <c r="D439" s="5">
        <v>75</v>
      </c>
      <c r="E439" s="5">
        <v>35</v>
      </c>
      <c r="F439" s="5">
        <v>63</v>
      </c>
      <c r="G439" s="5">
        <v>33</v>
      </c>
      <c r="H439" s="5">
        <v>45</v>
      </c>
      <c r="I439" s="5"/>
      <c r="J439" s="4" t="s">
        <v>281</v>
      </c>
      <c r="K439" s="5"/>
      <c r="L439" s="4" t="s">
        <v>656</v>
      </c>
      <c r="M439" s="5"/>
      <c r="N439" s="5"/>
      <c r="O439" s="5" t="b">
        <v>1</v>
      </c>
      <c r="P439" s="4" t="str">
        <f>IF(A439="",IF(ISNUMBER(SEARCH("NOT NULL",UPPER(A$3))),"''","null"),SUBSTITUTE(VLOOKUP(A$2,convert!$A$1:$B$4,2,0),"@@@",A439))</f>
        <v>'0353N01'</v>
      </c>
      <c r="Q439" s="4" t="str">
        <f>IF(B439="",IF(ISNUMBER(SEARCH("NOT NULL",UPPER(B$3))),"''","null"),SUBSTITUTE(VLOOKUP(B$2,convert!$A$1:$B$4,2,0),"@@@",B439))</f>
        <v>'カゲボウズ'</v>
      </c>
      <c r="R439" s="4" t="str">
        <f>IF(C439="",IF(ISNUMBER(SEARCH("NOT NULL",UPPER(C$3))),"''","null"),SUBSTITUTE(VLOOKUP(C$2,convert!$A$1:$B$4,2,0),"@@@",C439))</f>
        <v>44</v>
      </c>
      <c r="S439" s="4" t="str">
        <f>IF(D439="",IF(ISNUMBER(SEARCH("NOT NULL",UPPER(D$3))),"''","null"),SUBSTITUTE(VLOOKUP(D$2,convert!$A$1:$B$4,2,0),"@@@",D439))</f>
        <v>75</v>
      </c>
      <c r="T439" s="4" t="str">
        <f>IF(E439="",IF(ISNUMBER(SEARCH("NOT NULL",UPPER(E$3))),"''","null"),SUBSTITUTE(VLOOKUP(E$2,convert!$A$1:$B$4,2,0),"@@@",E439))</f>
        <v>35</v>
      </c>
      <c r="U439" s="4" t="str">
        <f>IF(F439="",IF(ISNUMBER(SEARCH("NOT NULL",UPPER(F$3))),"''","null"),SUBSTITUTE(VLOOKUP(F$2,convert!$A$1:$B$4,2,0),"@@@",F439))</f>
        <v>63</v>
      </c>
      <c r="V439" s="4" t="str">
        <f>IF(G439="",IF(ISNUMBER(SEARCH("NOT NULL",UPPER(G$3))),"''","null"),SUBSTITUTE(VLOOKUP(G$2,convert!$A$1:$B$4,2,0),"@@@",G439))</f>
        <v>33</v>
      </c>
      <c r="W439" s="4" t="str">
        <f>IF(H439="",IF(ISNUMBER(SEARCH("NOT NULL",UPPER(H$3))),"''","null"),SUBSTITUTE(VLOOKUP(H$2,convert!$A$1:$B$4,2,0),"@@@",H439))</f>
        <v>45</v>
      </c>
      <c r="X439" s="4" t="str">
        <f>IF(I439="",IF(ISNUMBER(SEARCH("NOT NULL",UPPER(I$3))),"''","null"),SUBSTITUTE(VLOOKUP(I$2,convert!$A$1:$B$4,2,0),"@@@",I439))</f>
        <v>''</v>
      </c>
      <c r="Y439" s="4" t="str">
        <f>IF(J439="",IF(ISNUMBER(SEARCH("NOT NULL",UPPER(J$3))),"''","null"),SUBSTITUTE(VLOOKUP(J$2,convert!$A$1:$B$4,2,0),"@@@",J439))</f>
        <v>'ghost'</v>
      </c>
      <c r="Z439" s="4" t="str">
        <f>IF(K439="",IF(ISNUMBER(SEARCH("NOT NULL",UPPER(K$3))),"''","null"),SUBSTITUTE(VLOOKUP(K$2,convert!$A$1:$B$4,2,0),"@@@",K439))</f>
        <v>null</v>
      </c>
      <c r="AA439" s="4" t="str">
        <f>IF(L439="",IF(ISNUMBER(SEARCH("NOT NULL",UPPER(L$3))),"''","null"),SUBSTITUTE(VLOOKUP(L$2,convert!$A$1:$B$4,2,0),"@@@",L439))</f>
        <v>'g3'</v>
      </c>
      <c r="AB439" s="4" t="str">
        <f>IF(M439="",IF(ISNUMBER(SEARCH("NOT NULL",UPPER(M$3))),"''","null"),SUBSTITUTE(VLOOKUP(M$2,convert!$A$1:$B$4,2,0),"@@@",M439))</f>
        <v>null</v>
      </c>
      <c r="AC439" s="4" t="str">
        <f>IF(N439="",IF(ISNUMBER(SEARCH("NOT NULL",UPPER(N$3))),"''","null"),SUBSTITUTE(VLOOKUP(N$2,convert!$A$1:$B$4,2,0),"@@@",N439))</f>
        <v>null</v>
      </c>
      <c r="AD439" s="4" t="str">
        <f>IF(O439="",IF(ISNUMBER(SEARCH("NOT NULL",UPPER(O$3))),"''","null"),SUBSTITUTE(VLOOKUP(O$2,convert!$A$1:$B$4,2,0),"@@@",O439))</f>
        <v>TRUE</v>
      </c>
      <c r="AE439" s="4" t="str">
        <f t="shared" si="6"/>
        <v>    ('0353N01', 'カゲボウズ', 44, 75, 35, 63, 33, 45, '', 'ghost', null, 'g3', null, null, TRUE),</v>
      </c>
    </row>
    <row r="440" spans="1:31">
      <c r="A440" s="4" t="s">
        <v>891</v>
      </c>
      <c r="B440" s="4" t="s">
        <v>892</v>
      </c>
      <c r="C440" s="5">
        <v>64</v>
      </c>
      <c r="D440" s="5">
        <v>115</v>
      </c>
      <c r="E440" s="5">
        <v>65</v>
      </c>
      <c r="F440" s="5">
        <v>83</v>
      </c>
      <c r="G440" s="5">
        <v>63</v>
      </c>
      <c r="H440" s="5">
        <v>65</v>
      </c>
      <c r="I440" s="5"/>
      <c r="J440" s="4" t="s">
        <v>281</v>
      </c>
      <c r="K440" s="5"/>
      <c r="L440" s="4" t="s">
        <v>656</v>
      </c>
      <c r="M440" s="5"/>
      <c r="N440" s="5"/>
      <c r="O440" s="5" t="b">
        <v>1</v>
      </c>
      <c r="P440" s="4" t="str">
        <f>IF(A440="",IF(ISNUMBER(SEARCH("NOT NULL",UPPER(A$3))),"''","null"),SUBSTITUTE(VLOOKUP(A$2,convert!$A$1:$B$4,2,0),"@@@",A440))</f>
        <v>'0354N01'</v>
      </c>
      <c r="Q440" s="4" t="str">
        <f>IF(B440="",IF(ISNUMBER(SEARCH("NOT NULL",UPPER(B$3))),"''","null"),SUBSTITUTE(VLOOKUP(B$2,convert!$A$1:$B$4,2,0),"@@@",B440))</f>
        <v>'ジュペッタ'</v>
      </c>
      <c r="R440" s="4" t="str">
        <f>IF(C440="",IF(ISNUMBER(SEARCH("NOT NULL",UPPER(C$3))),"''","null"),SUBSTITUTE(VLOOKUP(C$2,convert!$A$1:$B$4,2,0),"@@@",C440))</f>
        <v>64</v>
      </c>
      <c r="S440" s="4" t="str">
        <f>IF(D440="",IF(ISNUMBER(SEARCH("NOT NULL",UPPER(D$3))),"''","null"),SUBSTITUTE(VLOOKUP(D$2,convert!$A$1:$B$4,2,0),"@@@",D440))</f>
        <v>115</v>
      </c>
      <c r="T440" s="4" t="str">
        <f>IF(E440="",IF(ISNUMBER(SEARCH("NOT NULL",UPPER(E$3))),"''","null"),SUBSTITUTE(VLOOKUP(E$2,convert!$A$1:$B$4,2,0),"@@@",E440))</f>
        <v>65</v>
      </c>
      <c r="U440" s="4" t="str">
        <f>IF(F440="",IF(ISNUMBER(SEARCH("NOT NULL",UPPER(F$3))),"''","null"),SUBSTITUTE(VLOOKUP(F$2,convert!$A$1:$B$4,2,0),"@@@",F440))</f>
        <v>83</v>
      </c>
      <c r="V440" s="4" t="str">
        <f>IF(G440="",IF(ISNUMBER(SEARCH("NOT NULL",UPPER(G$3))),"''","null"),SUBSTITUTE(VLOOKUP(G$2,convert!$A$1:$B$4,2,0),"@@@",G440))</f>
        <v>63</v>
      </c>
      <c r="W440" s="4" t="str">
        <f>IF(H440="",IF(ISNUMBER(SEARCH("NOT NULL",UPPER(H$3))),"''","null"),SUBSTITUTE(VLOOKUP(H$2,convert!$A$1:$B$4,2,0),"@@@",H440))</f>
        <v>65</v>
      </c>
      <c r="X440" s="4" t="str">
        <f>IF(I440="",IF(ISNUMBER(SEARCH("NOT NULL",UPPER(I$3))),"''","null"),SUBSTITUTE(VLOOKUP(I$2,convert!$A$1:$B$4,2,0),"@@@",I440))</f>
        <v>''</v>
      </c>
      <c r="Y440" s="4" t="str">
        <f>IF(J440="",IF(ISNUMBER(SEARCH("NOT NULL",UPPER(J$3))),"''","null"),SUBSTITUTE(VLOOKUP(J$2,convert!$A$1:$B$4,2,0),"@@@",J440))</f>
        <v>'ghost'</v>
      </c>
      <c r="Z440" s="4" t="str">
        <f>IF(K440="",IF(ISNUMBER(SEARCH("NOT NULL",UPPER(K$3))),"''","null"),SUBSTITUTE(VLOOKUP(K$2,convert!$A$1:$B$4,2,0),"@@@",K440))</f>
        <v>null</v>
      </c>
      <c r="AA440" s="4" t="str">
        <f>IF(L440="",IF(ISNUMBER(SEARCH("NOT NULL",UPPER(L$3))),"''","null"),SUBSTITUTE(VLOOKUP(L$2,convert!$A$1:$B$4,2,0),"@@@",L440))</f>
        <v>'g3'</v>
      </c>
      <c r="AB440" s="4" t="str">
        <f>IF(M440="",IF(ISNUMBER(SEARCH("NOT NULL",UPPER(M$3))),"''","null"),SUBSTITUTE(VLOOKUP(M$2,convert!$A$1:$B$4,2,0),"@@@",M440))</f>
        <v>null</v>
      </c>
      <c r="AC440" s="4" t="str">
        <f>IF(N440="",IF(ISNUMBER(SEARCH("NOT NULL",UPPER(N$3))),"''","null"),SUBSTITUTE(VLOOKUP(N$2,convert!$A$1:$B$4,2,0),"@@@",N440))</f>
        <v>null</v>
      </c>
      <c r="AD440" s="4" t="str">
        <f>IF(O440="",IF(ISNUMBER(SEARCH("NOT NULL",UPPER(O$3))),"''","null"),SUBSTITUTE(VLOOKUP(O$2,convert!$A$1:$B$4,2,0),"@@@",O440))</f>
        <v>TRUE</v>
      </c>
      <c r="AE440" s="4" t="str">
        <f t="shared" si="6"/>
        <v>    ('0354N01', 'ジュペッタ', 64, 115, 65, 83, 63, 65, '', 'ghost', null, 'g3', null, null, TRUE),</v>
      </c>
    </row>
    <row r="441" spans="1:31">
      <c r="A441" s="4" t="s">
        <v>893</v>
      </c>
      <c r="B441" s="4" t="s">
        <v>894</v>
      </c>
      <c r="C441" s="5">
        <v>64</v>
      </c>
      <c r="D441" s="5">
        <v>165</v>
      </c>
      <c r="E441" s="5">
        <v>75</v>
      </c>
      <c r="F441" s="5">
        <v>93</v>
      </c>
      <c r="G441" s="5">
        <v>83</v>
      </c>
      <c r="H441" s="5">
        <v>75</v>
      </c>
      <c r="I441" s="5"/>
      <c r="J441" s="4" t="s">
        <v>281</v>
      </c>
      <c r="K441" s="5"/>
      <c r="L441" s="4" t="s">
        <v>39</v>
      </c>
      <c r="M441" s="5"/>
      <c r="N441" s="5"/>
      <c r="O441" s="5" t="b">
        <v>1</v>
      </c>
      <c r="P441" s="4" t="str">
        <f>IF(A441="",IF(ISNUMBER(SEARCH("NOT NULL",UPPER(A$3))),"''","null"),SUBSTITUTE(VLOOKUP(A$2,convert!$A$1:$B$4,2,0),"@@@",A441))</f>
        <v>'0354M01'</v>
      </c>
      <c r="Q441" s="4" t="str">
        <f>IF(B441="",IF(ISNUMBER(SEARCH("NOT NULL",UPPER(B$3))),"''","null"),SUBSTITUTE(VLOOKUP(B$2,convert!$A$1:$B$4,2,0),"@@@",B441))</f>
        <v>'メガジュペッタ'</v>
      </c>
      <c r="R441" s="4" t="str">
        <f>IF(C441="",IF(ISNUMBER(SEARCH("NOT NULL",UPPER(C$3))),"''","null"),SUBSTITUTE(VLOOKUP(C$2,convert!$A$1:$B$4,2,0),"@@@",C441))</f>
        <v>64</v>
      </c>
      <c r="S441" s="4" t="str">
        <f>IF(D441="",IF(ISNUMBER(SEARCH("NOT NULL",UPPER(D$3))),"''","null"),SUBSTITUTE(VLOOKUP(D$2,convert!$A$1:$B$4,2,0),"@@@",D441))</f>
        <v>165</v>
      </c>
      <c r="T441" s="4" t="str">
        <f>IF(E441="",IF(ISNUMBER(SEARCH("NOT NULL",UPPER(E$3))),"''","null"),SUBSTITUTE(VLOOKUP(E$2,convert!$A$1:$B$4,2,0),"@@@",E441))</f>
        <v>75</v>
      </c>
      <c r="U441" s="4" t="str">
        <f>IF(F441="",IF(ISNUMBER(SEARCH("NOT NULL",UPPER(F$3))),"''","null"),SUBSTITUTE(VLOOKUP(F$2,convert!$A$1:$B$4,2,0),"@@@",F441))</f>
        <v>93</v>
      </c>
      <c r="V441" s="4" t="str">
        <f>IF(G441="",IF(ISNUMBER(SEARCH("NOT NULL",UPPER(G$3))),"''","null"),SUBSTITUTE(VLOOKUP(G$2,convert!$A$1:$B$4,2,0),"@@@",G441))</f>
        <v>83</v>
      </c>
      <c r="W441" s="4" t="str">
        <f>IF(H441="",IF(ISNUMBER(SEARCH("NOT NULL",UPPER(H$3))),"''","null"),SUBSTITUTE(VLOOKUP(H$2,convert!$A$1:$B$4,2,0),"@@@",H441))</f>
        <v>75</v>
      </c>
      <c r="X441" s="4" t="str">
        <f>IF(I441="",IF(ISNUMBER(SEARCH("NOT NULL",UPPER(I$3))),"''","null"),SUBSTITUTE(VLOOKUP(I$2,convert!$A$1:$B$4,2,0),"@@@",I441))</f>
        <v>''</v>
      </c>
      <c r="Y441" s="4" t="str">
        <f>IF(J441="",IF(ISNUMBER(SEARCH("NOT NULL",UPPER(J$3))),"''","null"),SUBSTITUTE(VLOOKUP(J$2,convert!$A$1:$B$4,2,0),"@@@",J441))</f>
        <v>'ghost'</v>
      </c>
      <c r="Z441" s="4" t="str">
        <f>IF(K441="",IF(ISNUMBER(SEARCH("NOT NULL",UPPER(K$3))),"''","null"),SUBSTITUTE(VLOOKUP(K$2,convert!$A$1:$B$4,2,0),"@@@",K441))</f>
        <v>null</v>
      </c>
      <c r="AA441" s="4" t="str">
        <f>IF(L441="",IF(ISNUMBER(SEARCH("NOT NULL",UPPER(L$3))),"''","null"),SUBSTITUTE(VLOOKUP(L$2,convert!$A$1:$B$4,2,0),"@@@",L441))</f>
        <v>'g6'</v>
      </c>
      <c r="AB441" s="4" t="str">
        <f>IF(M441="",IF(ISNUMBER(SEARCH("NOT NULL",UPPER(M$3))),"''","null"),SUBSTITUTE(VLOOKUP(M$2,convert!$A$1:$B$4,2,0),"@@@",M441))</f>
        <v>null</v>
      </c>
      <c r="AC441" s="4" t="str">
        <f>IF(N441="",IF(ISNUMBER(SEARCH("NOT NULL",UPPER(N$3))),"''","null"),SUBSTITUTE(VLOOKUP(N$2,convert!$A$1:$B$4,2,0),"@@@",N441))</f>
        <v>null</v>
      </c>
      <c r="AD441" s="4" t="str">
        <f>IF(O441="",IF(ISNUMBER(SEARCH("NOT NULL",UPPER(O$3))),"''","null"),SUBSTITUTE(VLOOKUP(O$2,convert!$A$1:$B$4,2,0),"@@@",O441))</f>
        <v>TRUE</v>
      </c>
      <c r="AE441" s="4" t="str">
        <f t="shared" si="6"/>
        <v>    ('0354M01', 'メガジュペッタ', 64, 165, 75, 93, 83, 75, '', 'ghost', null, 'g6', null, null, TRUE),</v>
      </c>
    </row>
    <row r="442" spans="1:31">
      <c r="A442" s="4" t="s">
        <v>895</v>
      </c>
      <c r="B442" s="4" t="s">
        <v>896</v>
      </c>
      <c r="C442" s="5">
        <v>20</v>
      </c>
      <c r="D442" s="5">
        <v>40</v>
      </c>
      <c r="E442" s="5">
        <v>90</v>
      </c>
      <c r="F442" s="5">
        <v>30</v>
      </c>
      <c r="G442" s="5">
        <v>90</v>
      </c>
      <c r="H442" s="5">
        <v>25</v>
      </c>
      <c r="I442" s="5"/>
      <c r="J442" s="4" t="s">
        <v>281</v>
      </c>
      <c r="K442" s="5"/>
      <c r="L442" s="4" t="s">
        <v>656</v>
      </c>
      <c r="M442" s="5"/>
      <c r="N442" s="5"/>
      <c r="O442" s="5" t="b">
        <v>1</v>
      </c>
      <c r="P442" s="4" t="str">
        <f>IF(A442="",IF(ISNUMBER(SEARCH("NOT NULL",UPPER(A$3))),"''","null"),SUBSTITUTE(VLOOKUP(A$2,convert!$A$1:$B$4,2,0),"@@@",A442))</f>
        <v>'0355N01'</v>
      </c>
      <c r="Q442" s="4" t="str">
        <f>IF(B442="",IF(ISNUMBER(SEARCH("NOT NULL",UPPER(B$3))),"''","null"),SUBSTITUTE(VLOOKUP(B$2,convert!$A$1:$B$4,2,0),"@@@",B442))</f>
        <v>'ヨマワル'</v>
      </c>
      <c r="R442" s="4" t="str">
        <f>IF(C442="",IF(ISNUMBER(SEARCH("NOT NULL",UPPER(C$3))),"''","null"),SUBSTITUTE(VLOOKUP(C$2,convert!$A$1:$B$4,2,0),"@@@",C442))</f>
        <v>20</v>
      </c>
      <c r="S442" s="4" t="str">
        <f>IF(D442="",IF(ISNUMBER(SEARCH("NOT NULL",UPPER(D$3))),"''","null"),SUBSTITUTE(VLOOKUP(D$2,convert!$A$1:$B$4,2,0),"@@@",D442))</f>
        <v>40</v>
      </c>
      <c r="T442" s="4" t="str">
        <f>IF(E442="",IF(ISNUMBER(SEARCH("NOT NULL",UPPER(E$3))),"''","null"),SUBSTITUTE(VLOOKUP(E$2,convert!$A$1:$B$4,2,0),"@@@",E442))</f>
        <v>90</v>
      </c>
      <c r="U442" s="4" t="str">
        <f>IF(F442="",IF(ISNUMBER(SEARCH("NOT NULL",UPPER(F$3))),"''","null"),SUBSTITUTE(VLOOKUP(F$2,convert!$A$1:$B$4,2,0),"@@@",F442))</f>
        <v>30</v>
      </c>
      <c r="V442" s="4" t="str">
        <f>IF(G442="",IF(ISNUMBER(SEARCH("NOT NULL",UPPER(G$3))),"''","null"),SUBSTITUTE(VLOOKUP(G$2,convert!$A$1:$B$4,2,0),"@@@",G442))</f>
        <v>90</v>
      </c>
      <c r="W442" s="4" t="str">
        <f>IF(H442="",IF(ISNUMBER(SEARCH("NOT NULL",UPPER(H$3))),"''","null"),SUBSTITUTE(VLOOKUP(H$2,convert!$A$1:$B$4,2,0),"@@@",H442))</f>
        <v>25</v>
      </c>
      <c r="X442" s="4" t="str">
        <f>IF(I442="",IF(ISNUMBER(SEARCH("NOT NULL",UPPER(I$3))),"''","null"),SUBSTITUTE(VLOOKUP(I$2,convert!$A$1:$B$4,2,0),"@@@",I442))</f>
        <v>''</v>
      </c>
      <c r="Y442" s="4" t="str">
        <f>IF(J442="",IF(ISNUMBER(SEARCH("NOT NULL",UPPER(J$3))),"''","null"),SUBSTITUTE(VLOOKUP(J$2,convert!$A$1:$B$4,2,0),"@@@",J442))</f>
        <v>'ghost'</v>
      </c>
      <c r="Z442" s="4" t="str">
        <f>IF(K442="",IF(ISNUMBER(SEARCH("NOT NULL",UPPER(K$3))),"''","null"),SUBSTITUTE(VLOOKUP(K$2,convert!$A$1:$B$4,2,0),"@@@",K442))</f>
        <v>null</v>
      </c>
      <c r="AA442" s="4" t="str">
        <f>IF(L442="",IF(ISNUMBER(SEARCH("NOT NULL",UPPER(L$3))),"''","null"),SUBSTITUTE(VLOOKUP(L$2,convert!$A$1:$B$4,2,0),"@@@",L442))</f>
        <v>'g3'</v>
      </c>
      <c r="AB442" s="4" t="str">
        <f>IF(M442="",IF(ISNUMBER(SEARCH("NOT NULL",UPPER(M$3))),"''","null"),SUBSTITUTE(VLOOKUP(M$2,convert!$A$1:$B$4,2,0),"@@@",M442))</f>
        <v>null</v>
      </c>
      <c r="AC442" s="4" t="str">
        <f>IF(N442="",IF(ISNUMBER(SEARCH("NOT NULL",UPPER(N$3))),"''","null"),SUBSTITUTE(VLOOKUP(N$2,convert!$A$1:$B$4,2,0),"@@@",N442))</f>
        <v>null</v>
      </c>
      <c r="AD442" s="4" t="str">
        <f>IF(O442="",IF(ISNUMBER(SEARCH("NOT NULL",UPPER(O$3))),"''","null"),SUBSTITUTE(VLOOKUP(O$2,convert!$A$1:$B$4,2,0),"@@@",O442))</f>
        <v>TRUE</v>
      </c>
      <c r="AE442" s="4" t="str">
        <f t="shared" si="6"/>
        <v>    ('0355N01', 'ヨマワル', 20, 40, 90, 30, 90, 25, '', 'ghost', null, 'g3', null, null, TRUE),</v>
      </c>
    </row>
    <row r="443" spans="1:31">
      <c r="A443" s="4" t="s">
        <v>897</v>
      </c>
      <c r="B443" s="4" t="s">
        <v>898</v>
      </c>
      <c r="C443" s="5">
        <v>40</v>
      </c>
      <c r="D443" s="5">
        <v>70</v>
      </c>
      <c r="E443" s="5">
        <v>130</v>
      </c>
      <c r="F443" s="5">
        <v>60</v>
      </c>
      <c r="G443" s="5">
        <v>130</v>
      </c>
      <c r="H443" s="5">
        <v>25</v>
      </c>
      <c r="I443" s="5"/>
      <c r="J443" s="4" t="s">
        <v>281</v>
      </c>
      <c r="K443" s="5"/>
      <c r="L443" s="4" t="s">
        <v>656</v>
      </c>
      <c r="M443" s="5"/>
      <c r="N443" s="5"/>
      <c r="O443" s="5" t="b">
        <v>1</v>
      </c>
      <c r="P443" s="4" t="str">
        <f>IF(A443="",IF(ISNUMBER(SEARCH("NOT NULL",UPPER(A$3))),"''","null"),SUBSTITUTE(VLOOKUP(A$2,convert!$A$1:$B$4,2,0),"@@@",A443))</f>
        <v>'0356N01'</v>
      </c>
      <c r="Q443" s="4" t="str">
        <f>IF(B443="",IF(ISNUMBER(SEARCH("NOT NULL",UPPER(B$3))),"''","null"),SUBSTITUTE(VLOOKUP(B$2,convert!$A$1:$B$4,2,0),"@@@",B443))</f>
        <v>'サマヨール'</v>
      </c>
      <c r="R443" s="4" t="str">
        <f>IF(C443="",IF(ISNUMBER(SEARCH("NOT NULL",UPPER(C$3))),"''","null"),SUBSTITUTE(VLOOKUP(C$2,convert!$A$1:$B$4,2,0),"@@@",C443))</f>
        <v>40</v>
      </c>
      <c r="S443" s="4" t="str">
        <f>IF(D443="",IF(ISNUMBER(SEARCH("NOT NULL",UPPER(D$3))),"''","null"),SUBSTITUTE(VLOOKUP(D$2,convert!$A$1:$B$4,2,0),"@@@",D443))</f>
        <v>70</v>
      </c>
      <c r="T443" s="4" t="str">
        <f>IF(E443="",IF(ISNUMBER(SEARCH("NOT NULL",UPPER(E$3))),"''","null"),SUBSTITUTE(VLOOKUP(E$2,convert!$A$1:$B$4,2,0),"@@@",E443))</f>
        <v>130</v>
      </c>
      <c r="U443" s="4" t="str">
        <f>IF(F443="",IF(ISNUMBER(SEARCH("NOT NULL",UPPER(F$3))),"''","null"),SUBSTITUTE(VLOOKUP(F$2,convert!$A$1:$B$4,2,0),"@@@",F443))</f>
        <v>60</v>
      </c>
      <c r="V443" s="4" t="str">
        <f>IF(G443="",IF(ISNUMBER(SEARCH("NOT NULL",UPPER(G$3))),"''","null"),SUBSTITUTE(VLOOKUP(G$2,convert!$A$1:$B$4,2,0),"@@@",G443))</f>
        <v>130</v>
      </c>
      <c r="W443" s="4" t="str">
        <f>IF(H443="",IF(ISNUMBER(SEARCH("NOT NULL",UPPER(H$3))),"''","null"),SUBSTITUTE(VLOOKUP(H$2,convert!$A$1:$B$4,2,0),"@@@",H443))</f>
        <v>25</v>
      </c>
      <c r="X443" s="4" t="str">
        <f>IF(I443="",IF(ISNUMBER(SEARCH("NOT NULL",UPPER(I$3))),"''","null"),SUBSTITUTE(VLOOKUP(I$2,convert!$A$1:$B$4,2,0),"@@@",I443))</f>
        <v>''</v>
      </c>
      <c r="Y443" s="4" t="str">
        <f>IF(J443="",IF(ISNUMBER(SEARCH("NOT NULL",UPPER(J$3))),"''","null"),SUBSTITUTE(VLOOKUP(J$2,convert!$A$1:$B$4,2,0),"@@@",J443))</f>
        <v>'ghost'</v>
      </c>
      <c r="Z443" s="4" t="str">
        <f>IF(K443="",IF(ISNUMBER(SEARCH("NOT NULL",UPPER(K$3))),"''","null"),SUBSTITUTE(VLOOKUP(K$2,convert!$A$1:$B$4,2,0),"@@@",K443))</f>
        <v>null</v>
      </c>
      <c r="AA443" s="4" t="str">
        <f>IF(L443="",IF(ISNUMBER(SEARCH("NOT NULL",UPPER(L$3))),"''","null"),SUBSTITUTE(VLOOKUP(L$2,convert!$A$1:$B$4,2,0),"@@@",L443))</f>
        <v>'g3'</v>
      </c>
      <c r="AB443" s="4" t="str">
        <f>IF(M443="",IF(ISNUMBER(SEARCH("NOT NULL",UPPER(M$3))),"''","null"),SUBSTITUTE(VLOOKUP(M$2,convert!$A$1:$B$4,2,0),"@@@",M443))</f>
        <v>null</v>
      </c>
      <c r="AC443" s="4" t="str">
        <f>IF(N443="",IF(ISNUMBER(SEARCH("NOT NULL",UPPER(N$3))),"''","null"),SUBSTITUTE(VLOOKUP(N$2,convert!$A$1:$B$4,2,0),"@@@",N443))</f>
        <v>null</v>
      </c>
      <c r="AD443" s="4" t="str">
        <f>IF(O443="",IF(ISNUMBER(SEARCH("NOT NULL",UPPER(O$3))),"''","null"),SUBSTITUTE(VLOOKUP(O$2,convert!$A$1:$B$4,2,0),"@@@",O443))</f>
        <v>TRUE</v>
      </c>
      <c r="AE443" s="4" t="str">
        <f t="shared" si="6"/>
        <v>    ('0356N01', 'サマヨール', 40, 70, 130, 60, 130, 25, '', 'ghost', null, 'g3', null, null, TRUE),</v>
      </c>
    </row>
    <row r="444" spans="1:31">
      <c r="A444" s="4" t="s">
        <v>899</v>
      </c>
      <c r="B444" s="4" t="s">
        <v>900</v>
      </c>
      <c r="C444" s="5">
        <v>99</v>
      </c>
      <c r="D444" s="5">
        <v>68</v>
      </c>
      <c r="E444" s="5">
        <v>83</v>
      </c>
      <c r="F444" s="5">
        <v>72</v>
      </c>
      <c r="G444" s="5">
        <v>87</v>
      </c>
      <c r="H444" s="5">
        <v>51</v>
      </c>
      <c r="I444" s="5"/>
      <c r="J444" s="4" t="s">
        <v>30</v>
      </c>
      <c r="K444" s="4" t="s">
        <v>47</v>
      </c>
      <c r="L444" s="4" t="s">
        <v>656</v>
      </c>
      <c r="M444" s="5"/>
      <c r="N444" s="5"/>
      <c r="O444" s="5" t="b">
        <v>1</v>
      </c>
      <c r="P444" s="4" t="str">
        <f>IF(A444="",IF(ISNUMBER(SEARCH("NOT NULL",UPPER(A$3))),"''","null"),SUBSTITUTE(VLOOKUP(A$2,convert!$A$1:$B$4,2,0),"@@@",A444))</f>
        <v>'0357N01'</v>
      </c>
      <c r="Q444" s="4" t="str">
        <f>IF(B444="",IF(ISNUMBER(SEARCH("NOT NULL",UPPER(B$3))),"''","null"),SUBSTITUTE(VLOOKUP(B$2,convert!$A$1:$B$4,2,0),"@@@",B444))</f>
        <v>'トロピウス'</v>
      </c>
      <c r="R444" s="4" t="str">
        <f>IF(C444="",IF(ISNUMBER(SEARCH("NOT NULL",UPPER(C$3))),"''","null"),SUBSTITUTE(VLOOKUP(C$2,convert!$A$1:$B$4,2,0),"@@@",C444))</f>
        <v>99</v>
      </c>
      <c r="S444" s="4" t="str">
        <f>IF(D444="",IF(ISNUMBER(SEARCH("NOT NULL",UPPER(D$3))),"''","null"),SUBSTITUTE(VLOOKUP(D$2,convert!$A$1:$B$4,2,0),"@@@",D444))</f>
        <v>68</v>
      </c>
      <c r="T444" s="4" t="str">
        <f>IF(E444="",IF(ISNUMBER(SEARCH("NOT NULL",UPPER(E$3))),"''","null"),SUBSTITUTE(VLOOKUP(E$2,convert!$A$1:$B$4,2,0),"@@@",E444))</f>
        <v>83</v>
      </c>
      <c r="U444" s="4" t="str">
        <f>IF(F444="",IF(ISNUMBER(SEARCH("NOT NULL",UPPER(F$3))),"''","null"),SUBSTITUTE(VLOOKUP(F$2,convert!$A$1:$B$4,2,0),"@@@",F444))</f>
        <v>72</v>
      </c>
      <c r="V444" s="4" t="str">
        <f>IF(G444="",IF(ISNUMBER(SEARCH("NOT NULL",UPPER(G$3))),"''","null"),SUBSTITUTE(VLOOKUP(G$2,convert!$A$1:$B$4,2,0),"@@@",G444))</f>
        <v>87</v>
      </c>
      <c r="W444" s="4" t="str">
        <f>IF(H444="",IF(ISNUMBER(SEARCH("NOT NULL",UPPER(H$3))),"''","null"),SUBSTITUTE(VLOOKUP(H$2,convert!$A$1:$B$4,2,0),"@@@",H444))</f>
        <v>51</v>
      </c>
      <c r="X444" s="4" t="str">
        <f>IF(I444="",IF(ISNUMBER(SEARCH("NOT NULL",UPPER(I$3))),"''","null"),SUBSTITUTE(VLOOKUP(I$2,convert!$A$1:$B$4,2,0),"@@@",I444))</f>
        <v>''</v>
      </c>
      <c r="Y444" s="4" t="str">
        <f>IF(J444="",IF(ISNUMBER(SEARCH("NOT NULL",UPPER(J$3))),"''","null"),SUBSTITUTE(VLOOKUP(J$2,convert!$A$1:$B$4,2,0),"@@@",J444))</f>
        <v>'grass'</v>
      </c>
      <c r="Z444" s="4" t="str">
        <f>IF(K444="",IF(ISNUMBER(SEARCH("NOT NULL",UPPER(K$3))),"''","null"),SUBSTITUTE(VLOOKUP(K$2,convert!$A$1:$B$4,2,0),"@@@",K444))</f>
        <v>'flying'</v>
      </c>
      <c r="AA444" s="4" t="str">
        <f>IF(L444="",IF(ISNUMBER(SEARCH("NOT NULL",UPPER(L$3))),"''","null"),SUBSTITUTE(VLOOKUP(L$2,convert!$A$1:$B$4,2,0),"@@@",L444))</f>
        <v>'g3'</v>
      </c>
      <c r="AB444" s="4" t="str">
        <f>IF(M444="",IF(ISNUMBER(SEARCH("NOT NULL",UPPER(M$3))),"''","null"),SUBSTITUTE(VLOOKUP(M$2,convert!$A$1:$B$4,2,0),"@@@",M444))</f>
        <v>null</v>
      </c>
      <c r="AC444" s="4" t="str">
        <f>IF(N444="",IF(ISNUMBER(SEARCH("NOT NULL",UPPER(N$3))),"''","null"),SUBSTITUTE(VLOOKUP(N$2,convert!$A$1:$B$4,2,0),"@@@",N444))</f>
        <v>null</v>
      </c>
      <c r="AD444" s="4" t="str">
        <f>IF(O444="",IF(ISNUMBER(SEARCH("NOT NULL",UPPER(O$3))),"''","null"),SUBSTITUTE(VLOOKUP(O$2,convert!$A$1:$B$4,2,0),"@@@",O444))</f>
        <v>TRUE</v>
      </c>
      <c r="AE444" s="4" t="str">
        <f t="shared" si="6"/>
        <v>    ('0357N01', 'トロピウス', 99, 68, 83, 72, 87, 51, '', 'grass', 'flying', 'g3', null, null, TRUE),</v>
      </c>
    </row>
    <row r="445" spans="1:31">
      <c r="A445" s="4" t="s">
        <v>901</v>
      </c>
      <c r="B445" s="4" t="s">
        <v>902</v>
      </c>
      <c r="C445" s="5">
        <v>75</v>
      </c>
      <c r="D445" s="5">
        <v>50</v>
      </c>
      <c r="E445" s="5">
        <v>80</v>
      </c>
      <c r="F445" s="5">
        <v>95</v>
      </c>
      <c r="G445" s="5">
        <v>90</v>
      </c>
      <c r="H445" s="5">
        <v>65</v>
      </c>
      <c r="I445" s="5"/>
      <c r="J445" s="4" t="s">
        <v>113</v>
      </c>
      <c r="K445" s="5"/>
      <c r="L445" s="4" t="s">
        <v>656</v>
      </c>
      <c r="M445" s="5"/>
      <c r="N445" s="5"/>
      <c r="O445" s="5" t="b">
        <v>1</v>
      </c>
      <c r="P445" s="4" t="str">
        <f>IF(A445="",IF(ISNUMBER(SEARCH("NOT NULL",UPPER(A$3))),"''","null"),SUBSTITUTE(VLOOKUP(A$2,convert!$A$1:$B$4,2,0),"@@@",A445))</f>
        <v>'0358N01'</v>
      </c>
      <c r="Q445" s="4" t="str">
        <f>IF(B445="",IF(ISNUMBER(SEARCH("NOT NULL",UPPER(B$3))),"''","null"),SUBSTITUTE(VLOOKUP(B$2,convert!$A$1:$B$4,2,0),"@@@",B445))</f>
        <v>'チリーン'</v>
      </c>
      <c r="R445" s="4" t="str">
        <f>IF(C445="",IF(ISNUMBER(SEARCH("NOT NULL",UPPER(C$3))),"''","null"),SUBSTITUTE(VLOOKUP(C$2,convert!$A$1:$B$4,2,0),"@@@",C445))</f>
        <v>75</v>
      </c>
      <c r="S445" s="4" t="str">
        <f>IF(D445="",IF(ISNUMBER(SEARCH("NOT NULL",UPPER(D$3))),"''","null"),SUBSTITUTE(VLOOKUP(D$2,convert!$A$1:$B$4,2,0),"@@@",D445))</f>
        <v>50</v>
      </c>
      <c r="T445" s="4" t="str">
        <f>IF(E445="",IF(ISNUMBER(SEARCH("NOT NULL",UPPER(E$3))),"''","null"),SUBSTITUTE(VLOOKUP(E$2,convert!$A$1:$B$4,2,0),"@@@",E445))</f>
        <v>80</v>
      </c>
      <c r="U445" s="4" t="str">
        <f>IF(F445="",IF(ISNUMBER(SEARCH("NOT NULL",UPPER(F$3))),"''","null"),SUBSTITUTE(VLOOKUP(F$2,convert!$A$1:$B$4,2,0),"@@@",F445))</f>
        <v>95</v>
      </c>
      <c r="V445" s="4" t="str">
        <f>IF(G445="",IF(ISNUMBER(SEARCH("NOT NULL",UPPER(G$3))),"''","null"),SUBSTITUTE(VLOOKUP(G$2,convert!$A$1:$B$4,2,0),"@@@",G445))</f>
        <v>90</v>
      </c>
      <c r="W445" s="4" t="str">
        <f>IF(H445="",IF(ISNUMBER(SEARCH("NOT NULL",UPPER(H$3))),"''","null"),SUBSTITUTE(VLOOKUP(H$2,convert!$A$1:$B$4,2,0),"@@@",H445))</f>
        <v>65</v>
      </c>
      <c r="X445" s="4" t="str">
        <f>IF(I445="",IF(ISNUMBER(SEARCH("NOT NULL",UPPER(I$3))),"''","null"),SUBSTITUTE(VLOOKUP(I$2,convert!$A$1:$B$4,2,0),"@@@",I445))</f>
        <v>''</v>
      </c>
      <c r="Y445" s="4" t="str">
        <f>IF(J445="",IF(ISNUMBER(SEARCH("NOT NULL",UPPER(J$3))),"''","null"),SUBSTITUTE(VLOOKUP(J$2,convert!$A$1:$B$4,2,0),"@@@",J445))</f>
        <v>'psychic'</v>
      </c>
      <c r="Z445" s="4" t="str">
        <f>IF(K445="",IF(ISNUMBER(SEARCH("NOT NULL",UPPER(K$3))),"''","null"),SUBSTITUTE(VLOOKUP(K$2,convert!$A$1:$B$4,2,0),"@@@",K445))</f>
        <v>null</v>
      </c>
      <c r="AA445" s="4" t="str">
        <f>IF(L445="",IF(ISNUMBER(SEARCH("NOT NULL",UPPER(L$3))),"''","null"),SUBSTITUTE(VLOOKUP(L$2,convert!$A$1:$B$4,2,0),"@@@",L445))</f>
        <v>'g3'</v>
      </c>
      <c r="AB445" s="4" t="str">
        <f>IF(M445="",IF(ISNUMBER(SEARCH("NOT NULL",UPPER(M$3))),"''","null"),SUBSTITUTE(VLOOKUP(M$2,convert!$A$1:$B$4,2,0),"@@@",M445))</f>
        <v>null</v>
      </c>
      <c r="AC445" s="4" t="str">
        <f>IF(N445="",IF(ISNUMBER(SEARCH("NOT NULL",UPPER(N$3))),"''","null"),SUBSTITUTE(VLOOKUP(N$2,convert!$A$1:$B$4,2,0),"@@@",N445))</f>
        <v>null</v>
      </c>
      <c r="AD445" s="4" t="str">
        <f>IF(O445="",IF(ISNUMBER(SEARCH("NOT NULL",UPPER(O$3))),"''","null"),SUBSTITUTE(VLOOKUP(O$2,convert!$A$1:$B$4,2,0),"@@@",O445))</f>
        <v>TRUE</v>
      </c>
      <c r="AE445" s="4" t="str">
        <f t="shared" si="6"/>
        <v>    ('0358N01', 'チリーン', 75, 50, 80, 95, 90, 65, '', 'psychic', null, 'g3', null, null, TRUE),</v>
      </c>
    </row>
    <row r="446" spans="1:31">
      <c r="A446" s="4" t="s">
        <v>903</v>
      </c>
      <c r="B446" s="4" t="s">
        <v>904</v>
      </c>
      <c r="C446" s="5">
        <v>65</v>
      </c>
      <c r="D446" s="5">
        <v>130</v>
      </c>
      <c r="E446" s="5">
        <v>60</v>
      </c>
      <c r="F446" s="5">
        <v>75</v>
      </c>
      <c r="G446" s="5">
        <v>60</v>
      </c>
      <c r="H446" s="5">
        <v>75</v>
      </c>
      <c r="I446" s="5"/>
      <c r="J446" s="4" t="s">
        <v>91</v>
      </c>
      <c r="K446" s="5"/>
      <c r="L446" s="4" t="s">
        <v>656</v>
      </c>
      <c r="M446" s="5"/>
      <c r="N446" s="5"/>
      <c r="O446" s="5" t="b">
        <v>1</v>
      </c>
      <c r="P446" s="4" t="str">
        <f>IF(A446="",IF(ISNUMBER(SEARCH("NOT NULL",UPPER(A$3))),"''","null"),SUBSTITUTE(VLOOKUP(A$2,convert!$A$1:$B$4,2,0),"@@@",A446))</f>
        <v>'0359N01'</v>
      </c>
      <c r="Q446" s="4" t="str">
        <f>IF(B446="",IF(ISNUMBER(SEARCH("NOT NULL",UPPER(B$3))),"''","null"),SUBSTITUTE(VLOOKUP(B$2,convert!$A$1:$B$4,2,0),"@@@",B446))</f>
        <v>'アブソル'</v>
      </c>
      <c r="R446" s="4" t="str">
        <f>IF(C446="",IF(ISNUMBER(SEARCH("NOT NULL",UPPER(C$3))),"''","null"),SUBSTITUTE(VLOOKUP(C$2,convert!$A$1:$B$4,2,0),"@@@",C446))</f>
        <v>65</v>
      </c>
      <c r="S446" s="4" t="str">
        <f>IF(D446="",IF(ISNUMBER(SEARCH("NOT NULL",UPPER(D$3))),"''","null"),SUBSTITUTE(VLOOKUP(D$2,convert!$A$1:$B$4,2,0),"@@@",D446))</f>
        <v>130</v>
      </c>
      <c r="T446" s="4" t="str">
        <f>IF(E446="",IF(ISNUMBER(SEARCH("NOT NULL",UPPER(E$3))),"''","null"),SUBSTITUTE(VLOOKUP(E$2,convert!$A$1:$B$4,2,0),"@@@",E446))</f>
        <v>60</v>
      </c>
      <c r="U446" s="4" t="str">
        <f>IF(F446="",IF(ISNUMBER(SEARCH("NOT NULL",UPPER(F$3))),"''","null"),SUBSTITUTE(VLOOKUP(F$2,convert!$A$1:$B$4,2,0),"@@@",F446))</f>
        <v>75</v>
      </c>
      <c r="V446" s="4" t="str">
        <f>IF(G446="",IF(ISNUMBER(SEARCH("NOT NULL",UPPER(G$3))),"''","null"),SUBSTITUTE(VLOOKUP(G$2,convert!$A$1:$B$4,2,0),"@@@",G446))</f>
        <v>60</v>
      </c>
      <c r="W446" s="4" t="str">
        <f>IF(H446="",IF(ISNUMBER(SEARCH("NOT NULL",UPPER(H$3))),"''","null"),SUBSTITUTE(VLOOKUP(H$2,convert!$A$1:$B$4,2,0),"@@@",H446))</f>
        <v>75</v>
      </c>
      <c r="X446" s="4" t="str">
        <f>IF(I446="",IF(ISNUMBER(SEARCH("NOT NULL",UPPER(I$3))),"''","null"),SUBSTITUTE(VLOOKUP(I$2,convert!$A$1:$B$4,2,0),"@@@",I446))</f>
        <v>''</v>
      </c>
      <c r="Y446" s="4" t="str">
        <f>IF(J446="",IF(ISNUMBER(SEARCH("NOT NULL",UPPER(J$3))),"''","null"),SUBSTITUTE(VLOOKUP(J$2,convert!$A$1:$B$4,2,0),"@@@",J446))</f>
        <v>'dark'</v>
      </c>
      <c r="Z446" s="4" t="str">
        <f>IF(K446="",IF(ISNUMBER(SEARCH("NOT NULL",UPPER(K$3))),"''","null"),SUBSTITUTE(VLOOKUP(K$2,convert!$A$1:$B$4,2,0),"@@@",K446))</f>
        <v>null</v>
      </c>
      <c r="AA446" s="4" t="str">
        <f>IF(L446="",IF(ISNUMBER(SEARCH("NOT NULL",UPPER(L$3))),"''","null"),SUBSTITUTE(VLOOKUP(L$2,convert!$A$1:$B$4,2,0),"@@@",L446))</f>
        <v>'g3'</v>
      </c>
      <c r="AB446" s="4" t="str">
        <f>IF(M446="",IF(ISNUMBER(SEARCH("NOT NULL",UPPER(M$3))),"''","null"),SUBSTITUTE(VLOOKUP(M$2,convert!$A$1:$B$4,2,0),"@@@",M446))</f>
        <v>null</v>
      </c>
      <c r="AC446" s="4" t="str">
        <f>IF(N446="",IF(ISNUMBER(SEARCH("NOT NULL",UPPER(N$3))),"''","null"),SUBSTITUTE(VLOOKUP(N$2,convert!$A$1:$B$4,2,0),"@@@",N446))</f>
        <v>null</v>
      </c>
      <c r="AD446" s="4" t="str">
        <f>IF(O446="",IF(ISNUMBER(SEARCH("NOT NULL",UPPER(O$3))),"''","null"),SUBSTITUTE(VLOOKUP(O$2,convert!$A$1:$B$4,2,0),"@@@",O446))</f>
        <v>TRUE</v>
      </c>
      <c r="AE446" s="4" t="str">
        <f t="shared" si="6"/>
        <v>    ('0359N01', 'アブソル', 65, 130, 60, 75, 60, 75, '', 'dark', null, 'g3', null, null, TRUE),</v>
      </c>
    </row>
    <row r="447" spans="1:31">
      <c r="A447" s="4" t="s">
        <v>905</v>
      </c>
      <c r="B447" s="4" t="s">
        <v>906</v>
      </c>
      <c r="C447" s="5">
        <v>65</v>
      </c>
      <c r="D447" s="5">
        <v>150</v>
      </c>
      <c r="E447" s="5">
        <v>60</v>
      </c>
      <c r="F447" s="5">
        <v>115</v>
      </c>
      <c r="G447" s="5">
        <v>60</v>
      </c>
      <c r="H447" s="5">
        <v>115</v>
      </c>
      <c r="I447" s="5"/>
      <c r="J447" s="4" t="s">
        <v>91</v>
      </c>
      <c r="K447" s="5"/>
      <c r="L447" s="4" t="s">
        <v>39</v>
      </c>
      <c r="M447" s="5"/>
      <c r="N447" s="5"/>
      <c r="O447" s="5" t="b">
        <v>1</v>
      </c>
      <c r="P447" s="4" t="str">
        <f>IF(A447="",IF(ISNUMBER(SEARCH("NOT NULL",UPPER(A$3))),"''","null"),SUBSTITUTE(VLOOKUP(A$2,convert!$A$1:$B$4,2,0),"@@@",A447))</f>
        <v>'0359M01'</v>
      </c>
      <c r="Q447" s="4" t="str">
        <f>IF(B447="",IF(ISNUMBER(SEARCH("NOT NULL",UPPER(B$3))),"''","null"),SUBSTITUTE(VLOOKUP(B$2,convert!$A$1:$B$4,2,0),"@@@",B447))</f>
        <v>'メガアブソル'</v>
      </c>
      <c r="R447" s="4" t="str">
        <f>IF(C447="",IF(ISNUMBER(SEARCH("NOT NULL",UPPER(C$3))),"''","null"),SUBSTITUTE(VLOOKUP(C$2,convert!$A$1:$B$4,2,0),"@@@",C447))</f>
        <v>65</v>
      </c>
      <c r="S447" s="4" t="str">
        <f>IF(D447="",IF(ISNUMBER(SEARCH("NOT NULL",UPPER(D$3))),"''","null"),SUBSTITUTE(VLOOKUP(D$2,convert!$A$1:$B$4,2,0),"@@@",D447))</f>
        <v>150</v>
      </c>
      <c r="T447" s="4" t="str">
        <f>IF(E447="",IF(ISNUMBER(SEARCH("NOT NULL",UPPER(E$3))),"''","null"),SUBSTITUTE(VLOOKUP(E$2,convert!$A$1:$B$4,2,0),"@@@",E447))</f>
        <v>60</v>
      </c>
      <c r="U447" s="4" t="str">
        <f>IF(F447="",IF(ISNUMBER(SEARCH("NOT NULL",UPPER(F$3))),"''","null"),SUBSTITUTE(VLOOKUP(F$2,convert!$A$1:$B$4,2,0),"@@@",F447))</f>
        <v>115</v>
      </c>
      <c r="V447" s="4" t="str">
        <f>IF(G447="",IF(ISNUMBER(SEARCH("NOT NULL",UPPER(G$3))),"''","null"),SUBSTITUTE(VLOOKUP(G$2,convert!$A$1:$B$4,2,0),"@@@",G447))</f>
        <v>60</v>
      </c>
      <c r="W447" s="4" t="str">
        <f>IF(H447="",IF(ISNUMBER(SEARCH("NOT NULL",UPPER(H$3))),"''","null"),SUBSTITUTE(VLOOKUP(H$2,convert!$A$1:$B$4,2,0),"@@@",H447))</f>
        <v>115</v>
      </c>
      <c r="X447" s="4" t="str">
        <f>IF(I447="",IF(ISNUMBER(SEARCH("NOT NULL",UPPER(I$3))),"''","null"),SUBSTITUTE(VLOOKUP(I$2,convert!$A$1:$B$4,2,0),"@@@",I447))</f>
        <v>''</v>
      </c>
      <c r="Y447" s="4" t="str">
        <f>IF(J447="",IF(ISNUMBER(SEARCH("NOT NULL",UPPER(J$3))),"''","null"),SUBSTITUTE(VLOOKUP(J$2,convert!$A$1:$B$4,2,0),"@@@",J447))</f>
        <v>'dark'</v>
      </c>
      <c r="Z447" s="4" t="str">
        <f>IF(K447="",IF(ISNUMBER(SEARCH("NOT NULL",UPPER(K$3))),"''","null"),SUBSTITUTE(VLOOKUP(K$2,convert!$A$1:$B$4,2,0),"@@@",K447))</f>
        <v>null</v>
      </c>
      <c r="AA447" s="4" t="str">
        <f>IF(L447="",IF(ISNUMBER(SEARCH("NOT NULL",UPPER(L$3))),"''","null"),SUBSTITUTE(VLOOKUP(L$2,convert!$A$1:$B$4,2,0),"@@@",L447))</f>
        <v>'g6'</v>
      </c>
      <c r="AB447" s="4" t="str">
        <f>IF(M447="",IF(ISNUMBER(SEARCH("NOT NULL",UPPER(M$3))),"''","null"),SUBSTITUTE(VLOOKUP(M$2,convert!$A$1:$B$4,2,0),"@@@",M447))</f>
        <v>null</v>
      </c>
      <c r="AC447" s="4" t="str">
        <f>IF(N447="",IF(ISNUMBER(SEARCH("NOT NULL",UPPER(N$3))),"''","null"),SUBSTITUTE(VLOOKUP(N$2,convert!$A$1:$B$4,2,0),"@@@",N447))</f>
        <v>null</v>
      </c>
      <c r="AD447" s="4" t="str">
        <f>IF(O447="",IF(ISNUMBER(SEARCH("NOT NULL",UPPER(O$3))),"''","null"),SUBSTITUTE(VLOOKUP(O$2,convert!$A$1:$B$4,2,0),"@@@",O447))</f>
        <v>TRUE</v>
      </c>
      <c r="AE447" s="4" t="str">
        <f t="shared" si="6"/>
        <v>    ('0359M01', 'メガアブソル', 65, 150, 60, 115, 60, 115, '', 'dark', null, 'g6', null, null, TRUE),</v>
      </c>
    </row>
    <row r="448" spans="1:31">
      <c r="A448" s="4" t="s">
        <v>907</v>
      </c>
      <c r="B448" s="4" t="s">
        <v>908</v>
      </c>
      <c r="C448" s="5">
        <v>95</v>
      </c>
      <c r="D448" s="5">
        <v>23</v>
      </c>
      <c r="E448" s="5">
        <v>48</v>
      </c>
      <c r="F448" s="5">
        <v>23</v>
      </c>
      <c r="G448" s="5">
        <v>48</v>
      </c>
      <c r="H448" s="5">
        <v>23</v>
      </c>
      <c r="I448" s="5"/>
      <c r="J448" s="4" t="s">
        <v>113</v>
      </c>
      <c r="K448" s="5"/>
      <c r="L448" s="4" t="s">
        <v>656</v>
      </c>
      <c r="M448" s="5"/>
      <c r="N448" s="5"/>
      <c r="O448" s="5" t="b">
        <v>1</v>
      </c>
      <c r="P448" s="4" t="str">
        <f>IF(A448="",IF(ISNUMBER(SEARCH("NOT NULL",UPPER(A$3))),"''","null"),SUBSTITUTE(VLOOKUP(A$2,convert!$A$1:$B$4,2,0),"@@@",A448))</f>
        <v>'0360N01'</v>
      </c>
      <c r="Q448" s="4" t="str">
        <f>IF(B448="",IF(ISNUMBER(SEARCH("NOT NULL",UPPER(B$3))),"''","null"),SUBSTITUTE(VLOOKUP(B$2,convert!$A$1:$B$4,2,0),"@@@",B448))</f>
        <v>'ソーナノ'</v>
      </c>
      <c r="R448" s="4" t="str">
        <f>IF(C448="",IF(ISNUMBER(SEARCH("NOT NULL",UPPER(C$3))),"''","null"),SUBSTITUTE(VLOOKUP(C$2,convert!$A$1:$B$4,2,0),"@@@",C448))</f>
        <v>95</v>
      </c>
      <c r="S448" s="4" t="str">
        <f>IF(D448="",IF(ISNUMBER(SEARCH("NOT NULL",UPPER(D$3))),"''","null"),SUBSTITUTE(VLOOKUP(D$2,convert!$A$1:$B$4,2,0),"@@@",D448))</f>
        <v>23</v>
      </c>
      <c r="T448" s="4" t="str">
        <f>IF(E448="",IF(ISNUMBER(SEARCH("NOT NULL",UPPER(E$3))),"''","null"),SUBSTITUTE(VLOOKUP(E$2,convert!$A$1:$B$4,2,0),"@@@",E448))</f>
        <v>48</v>
      </c>
      <c r="U448" s="4" t="str">
        <f>IF(F448="",IF(ISNUMBER(SEARCH("NOT NULL",UPPER(F$3))),"''","null"),SUBSTITUTE(VLOOKUP(F$2,convert!$A$1:$B$4,2,0),"@@@",F448))</f>
        <v>23</v>
      </c>
      <c r="V448" s="4" t="str">
        <f>IF(G448="",IF(ISNUMBER(SEARCH("NOT NULL",UPPER(G$3))),"''","null"),SUBSTITUTE(VLOOKUP(G$2,convert!$A$1:$B$4,2,0),"@@@",G448))</f>
        <v>48</v>
      </c>
      <c r="W448" s="4" t="str">
        <f>IF(H448="",IF(ISNUMBER(SEARCH("NOT NULL",UPPER(H$3))),"''","null"),SUBSTITUTE(VLOOKUP(H$2,convert!$A$1:$B$4,2,0),"@@@",H448))</f>
        <v>23</v>
      </c>
      <c r="X448" s="4" t="str">
        <f>IF(I448="",IF(ISNUMBER(SEARCH("NOT NULL",UPPER(I$3))),"''","null"),SUBSTITUTE(VLOOKUP(I$2,convert!$A$1:$B$4,2,0),"@@@",I448))</f>
        <v>''</v>
      </c>
      <c r="Y448" s="4" t="str">
        <f>IF(J448="",IF(ISNUMBER(SEARCH("NOT NULL",UPPER(J$3))),"''","null"),SUBSTITUTE(VLOOKUP(J$2,convert!$A$1:$B$4,2,0),"@@@",J448))</f>
        <v>'psychic'</v>
      </c>
      <c r="Z448" s="4" t="str">
        <f>IF(K448="",IF(ISNUMBER(SEARCH("NOT NULL",UPPER(K$3))),"''","null"),SUBSTITUTE(VLOOKUP(K$2,convert!$A$1:$B$4,2,0),"@@@",K448))</f>
        <v>null</v>
      </c>
      <c r="AA448" s="4" t="str">
        <f>IF(L448="",IF(ISNUMBER(SEARCH("NOT NULL",UPPER(L$3))),"''","null"),SUBSTITUTE(VLOOKUP(L$2,convert!$A$1:$B$4,2,0),"@@@",L448))</f>
        <v>'g3'</v>
      </c>
      <c r="AB448" s="4" t="str">
        <f>IF(M448="",IF(ISNUMBER(SEARCH("NOT NULL",UPPER(M$3))),"''","null"),SUBSTITUTE(VLOOKUP(M$2,convert!$A$1:$B$4,2,0),"@@@",M448))</f>
        <v>null</v>
      </c>
      <c r="AC448" s="4" t="str">
        <f>IF(N448="",IF(ISNUMBER(SEARCH("NOT NULL",UPPER(N$3))),"''","null"),SUBSTITUTE(VLOOKUP(N$2,convert!$A$1:$B$4,2,0),"@@@",N448))</f>
        <v>null</v>
      </c>
      <c r="AD448" s="4" t="str">
        <f>IF(O448="",IF(ISNUMBER(SEARCH("NOT NULL",UPPER(O$3))),"''","null"),SUBSTITUTE(VLOOKUP(O$2,convert!$A$1:$B$4,2,0),"@@@",O448))</f>
        <v>TRUE</v>
      </c>
      <c r="AE448" s="4" t="str">
        <f t="shared" si="6"/>
        <v>    ('0360N01', 'ソーナノ', 95, 23, 48, 23, 48, 23, '', 'psychic', null, 'g3', null, null, TRUE),</v>
      </c>
    </row>
    <row r="449" spans="1:31">
      <c r="A449" s="4" t="s">
        <v>909</v>
      </c>
      <c r="B449" s="4" t="s">
        <v>910</v>
      </c>
      <c r="C449" s="5">
        <v>50</v>
      </c>
      <c r="D449" s="5">
        <v>50</v>
      </c>
      <c r="E449" s="5">
        <v>50</v>
      </c>
      <c r="F449" s="5">
        <v>50</v>
      </c>
      <c r="G449" s="5">
        <v>50</v>
      </c>
      <c r="H449" s="5">
        <v>50</v>
      </c>
      <c r="I449" s="5"/>
      <c r="J449" s="4" t="s">
        <v>118</v>
      </c>
      <c r="K449" s="5"/>
      <c r="L449" s="4" t="s">
        <v>656</v>
      </c>
      <c r="M449" s="5"/>
      <c r="N449" s="5"/>
      <c r="O449" s="5" t="b">
        <v>1</v>
      </c>
      <c r="P449" s="4" t="str">
        <f>IF(A449="",IF(ISNUMBER(SEARCH("NOT NULL",UPPER(A$3))),"''","null"),SUBSTITUTE(VLOOKUP(A$2,convert!$A$1:$B$4,2,0),"@@@",A449))</f>
        <v>'0361N01'</v>
      </c>
      <c r="Q449" s="4" t="str">
        <f>IF(B449="",IF(ISNUMBER(SEARCH("NOT NULL",UPPER(B$3))),"''","null"),SUBSTITUTE(VLOOKUP(B$2,convert!$A$1:$B$4,2,0),"@@@",B449))</f>
        <v>'ユキワラシ'</v>
      </c>
      <c r="R449" s="4" t="str">
        <f>IF(C449="",IF(ISNUMBER(SEARCH("NOT NULL",UPPER(C$3))),"''","null"),SUBSTITUTE(VLOOKUP(C$2,convert!$A$1:$B$4,2,0),"@@@",C449))</f>
        <v>50</v>
      </c>
      <c r="S449" s="4" t="str">
        <f>IF(D449="",IF(ISNUMBER(SEARCH("NOT NULL",UPPER(D$3))),"''","null"),SUBSTITUTE(VLOOKUP(D$2,convert!$A$1:$B$4,2,0),"@@@",D449))</f>
        <v>50</v>
      </c>
      <c r="T449" s="4" t="str">
        <f>IF(E449="",IF(ISNUMBER(SEARCH("NOT NULL",UPPER(E$3))),"''","null"),SUBSTITUTE(VLOOKUP(E$2,convert!$A$1:$B$4,2,0),"@@@",E449))</f>
        <v>50</v>
      </c>
      <c r="U449" s="4" t="str">
        <f>IF(F449="",IF(ISNUMBER(SEARCH("NOT NULL",UPPER(F$3))),"''","null"),SUBSTITUTE(VLOOKUP(F$2,convert!$A$1:$B$4,2,0),"@@@",F449))</f>
        <v>50</v>
      </c>
      <c r="V449" s="4" t="str">
        <f>IF(G449="",IF(ISNUMBER(SEARCH("NOT NULL",UPPER(G$3))),"''","null"),SUBSTITUTE(VLOOKUP(G$2,convert!$A$1:$B$4,2,0),"@@@",G449))</f>
        <v>50</v>
      </c>
      <c r="W449" s="4" t="str">
        <f>IF(H449="",IF(ISNUMBER(SEARCH("NOT NULL",UPPER(H$3))),"''","null"),SUBSTITUTE(VLOOKUP(H$2,convert!$A$1:$B$4,2,0),"@@@",H449))</f>
        <v>50</v>
      </c>
      <c r="X449" s="4" t="str">
        <f>IF(I449="",IF(ISNUMBER(SEARCH("NOT NULL",UPPER(I$3))),"''","null"),SUBSTITUTE(VLOOKUP(I$2,convert!$A$1:$B$4,2,0),"@@@",I449))</f>
        <v>''</v>
      </c>
      <c r="Y449" s="4" t="str">
        <f>IF(J449="",IF(ISNUMBER(SEARCH("NOT NULL",UPPER(J$3))),"''","null"),SUBSTITUTE(VLOOKUP(J$2,convert!$A$1:$B$4,2,0),"@@@",J449))</f>
        <v>'ice'</v>
      </c>
      <c r="Z449" s="4" t="str">
        <f>IF(K449="",IF(ISNUMBER(SEARCH("NOT NULL",UPPER(K$3))),"''","null"),SUBSTITUTE(VLOOKUP(K$2,convert!$A$1:$B$4,2,0),"@@@",K449))</f>
        <v>null</v>
      </c>
      <c r="AA449" s="4" t="str">
        <f>IF(L449="",IF(ISNUMBER(SEARCH("NOT NULL",UPPER(L$3))),"''","null"),SUBSTITUTE(VLOOKUP(L$2,convert!$A$1:$B$4,2,0),"@@@",L449))</f>
        <v>'g3'</v>
      </c>
      <c r="AB449" s="4" t="str">
        <f>IF(M449="",IF(ISNUMBER(SEARCH("NOT NULL",UPPER(M$3))),"''","null"),SUBSTITUTE(VLOOKUP(M$2,convert!$A$1:$B$4,2,0),"@@@",M449))</f>
        <v>null</v>
      </c>
      <c r="AC449" s="4" t="str">
        <f>IF(N449="",IF(ISNUMBER(SEARCH("NOT NULL",UPPER(N$3))),"''","null"),SUBSTITUTE(VLOOKUP(N$2,convert!$A$1:$B$4,2,0),"@@@",N449))</f>
        <v>null</v>
      </c>
      <c r="AD449" s="4" t="str">
        <f>IF(O449="",IF(ISNUMBER(SEARCH("NOT NULL",UPPER(O$3))),"''","null"),SUBSTITUTE(VLOOKUP(O$2,convert!$A$1:$B$4,2,0),"@@@",O449))</f>
        <v>TRUE</v>
      </c>
      <c r="AE449" s="4" t="str">
        <f t="shared" si="6"/>
        <v>    ('0361N01', 'ユキワラシ', 50, 50, 50, 50, 50, 50, '', 'ice', null, 'g3', null, null, TRUE),</v>
      </c>
    </row>
    <row r="450" spans="1:31">
      <c r="A450" s="4" t="s">
        <v>911</v>
      </c>
      <c r="B450" s="4" t="s">
        <v>912</v>
      </c>
      <c r="C450" s="5">
        <v>80</v>
      </c>
      <c r="D450" s="5">
        <v>80</v>
      </c>
      <c r="E450" s="5">
        <v>80</v>
      </c>
      <c r="F450" s="5">
        <v>80</v>
      </c>
      <c r="G450" s="5">
        <v>80</v>
      </c>
      <c r="H450" s="5">
        <v>80</v>
      </c>
      <c r="I450" s="5"/>
      <c r="J450" s="4" t="s">
        <v>118</v>
      </c>
      <c r="K450" s="5"/>
      <c r="L450" s="4" t="s">
        <v>656</v>
      </c>
      <c r="M450" s="5"/>
      <c r="N450" s="5"/>
      <c r="O450" s="5" t="b">
        <v>1</v>
      </c>
      <c r="P450" s="4" t="str">
        <f>IF(A450="",IF(ISNUMBER(SEARCH("NOT NULL",UPPER(A$3))),"''","null"),SUBSTITUTE(VLOOKUP(A$2,convert!$A$1:$B$4,2,0),"@@@",A450))</f>
        <v>'0362N01'</v>
      </c>
      <c r="Q450" s="4" t="str">
        <f>IF(B450="",IF(ISNUMBER(SEARCH("NOT NULL",UPPER(B$3))),"''","null"),SUBSTITUTE(VLOOKUP(B$2,convert!$A$1:$B$4,2,0),"@@@",B450))</f>
        <v>'オニゴーリ'</v>
      </c>
      <c r="R450" s="4" t="str">
        <f>IF(C450="",IF(ISNUMBER(SEARCH("NOT NULL",UPPER(C$3))),"''","null"),SUBSTITUTE(VLOOKUP(C$2,convert!$A$1:$B$4,2,0),"@@@",C450))</f>
        <v>80</v>
      </c>
      <c r="S450" s="4" t="str">
        <f>IF(D450="",IF(ISNUMBER(SEARCH("NOT NULL",UPPER(D$3))),"''","null"),SUBSTITUTE(VLOOKUP(D$2,convert!$A$1:$B$4,2,0),"@@@",D450))</f>
        <v>80</v>
      </c>
      <c r="T450" s="4" t="str">
        <f>IF(E450="",IF(ISNUMBER(SEARCH("NOT NULL",UPPER(E$3))),"''","null"),SUBSTITUTE(VLOOKUP(E$2,convert!$A$1:$B$4,2,0),"@@@",E450))</f>
        <v>80</v>
      </c>
      <c r="U450" s="4" t="str">
        <f>IF(F450="",IF(ISNUMBER(SEARCH("NOT NULL",UPPER(F$3))),"''","null"),SUBSTITUTE(VLOOKUP(F$2,convert!$A$1:$B$4,2,0),"@@@",F450))</f>
        <v>80</v>
      </c>
      <c r="V450" s="4" t="str">
        <f>IF(G450="",IF(ISNUMBER(SEARCH("NOT NULL",UPPER(G$3))),"''","null"),SUBSTITUTE(VLOOKUP(G$2,convert!$A$1:$B$4,2,0),"@@@",G450))</f>
        <v>80</v>
      </c>
      <c r="W450" s="4" t="str">
        <f>IF(H450="",IF(ISNUMBER(SEARCH("NOT NULL",UPPER(H$3))),"''","null"),SUBSTITUTE(VLOOKUP(H$2,convert!$A$1:$B$4,2,0),"@@@",H450))</f>
        <v>80</v>
      </c>
      <c r="X450" s="4" t="str">
        <f>IF(I450="",IF(ISNUMBER(SEARCH("NOT NULL",UPPER(I$3))),"''","null"),SUBSTITUTE(VLOOKUP(I$2,convert!$A$1:$B$4,2,0),"@@@",I450))</f>
        <v>''</v>
      </c>
      <c r="Y450" s="4" t="str">
        <f>IF(J450="",IF(ISNUMBER(SEARCH("NOT NULL",UPPER(J$3))),"''","null"),SUBSTITUTE(VLOOKUP(J$2,convert!$A$1:$B$4,2,0),"@@@",J450))</f>
        <v>'ice'</v>
      </c>
      <c r="Z450" s="4" t="str">
        <f>IF(K450="",IF(ISNUMBER(SEARCH("NOT NULL",UPPER(K$3))),"''","null"),SUBSTITUTE(VLOOKUP(K$2,convert!$A$1:$B$4,2,0),"@@@",K450))</f>
        <v>null</v>
      </c>
      <c r="AA450" s="4" t="str">
        <f>IF(L450="",IF(ISNUMBER(SEARCH("NOT NULL",UPPER(L$3))),"''","null"),SUBSTITUTE(VLOOKUP(L$2,convert!$A$1:$B$4,2,0),"@@@",L450))</f>
        <v>'g3'</v>
      </c>
      <c r="AB450" s="4" t="str">
        <f>IF(M450="",IF(ISNUMBER(SEARCH("NOT NULL",UPPER(M$3))),"''","null"),SUBSTITUTE(VLOOKUP(M$2,convert!$A$1:$B$4,2,0),"@@@",M450))</f>
        <v>null</v>
      </c>
      <c r="AC450" s="4" t="str">
        <f>IF(N450="",IF(ISNUMBER(SEARCH("NOT NULL",UPPER(N$3))),"''","null"),SUBSTITUTE(VLOOKUP(N$2,convert!$A$1:$B$4,2,0),"@@@",N450))</f>
        <v>null</v>
      </c>
      <c r="AD450" s="4" t="str">
        <f>IF(O450="",IF(ISNUMBER(SEARCH("NOT NULL",UPPER(O$3))),"''","null"),SUBSTITUTE(VLOOKUP(O$2,convert!$A$1:$B$4,2,0),"@@@",O450))</f>
        <v>TRUE</v>
      </c>
      <c r="AE450" s="4" t="str">
        <f t="shared" si="6"/>
        <v>    ('0362N01', 'オニゴーリ', 80, 80, 80, 80, 80, 80, '', 'ice', null, 'g3', null, null, TRUE),</v>
      </c>
    </row>
    <row r="451" spans="1:31">
      <c r="A451" s="4" t="s">
        <v>913</v>
      </c>
      <c r="B451" s="4" t="s">
        <v>914</v>
      </c>
      <c r="C451" s="5">
        <v>80</v>
      </c>
      <c r="D451" s="5">
        <v>120</v>
      </c>
      <c r="E451" s="5">
        <v>80</v>
      </c>
      <c r="F451" s="5">
        <v>120</v>
      </c>
      <c r="G451" s="5">
        <v>80</v>
      </c>
      <c r="H451" s="5">
        <v>100</v>
      </c>
      <c r="I451" s="5"/>
      <c r="J451" s="4" t="s">
        <v>118</v>
      </c>
      <c r="K451" s="5"/>
      <c r="L451" s="4" t="s">
        <v>77</v>
      </c>
      <c r="M451" s="5"/>
      <c r="N451" s="5"/>
      <c r="O451" s="5" t="b">
        <v>1</v>
      </c>
      <c r="P451" s="4" t="str">
        <f>IF(A451="",IF(ISNUMBER(SEARCH("NOT NULL",UPPER(A$3))),"''","null"),SUBSTITUTE(VLOOKUP(A$2,convert!$A$1:$B$4,2,0),"@@@",A451))</f>
        <v>'0362M01'</v>
      </c>
      <c r="Q451" s="4" t="str">
        <f>IF(B451="",IF(ISNUMBER(SEARCH("NOT NULL",UPPER(B$3))),"''","null"),SUBSTITUTE(VLOOKUP(B$2,convert!$A$1:$B$4,2,0),"@@@",B451))</f>
        <v>'メガオニゴーリ'</v>
      </c>
      <c r="R451" s="4" t="str">
        <f>IF(C451="",IF(ISNUMBER(SEARCH("NOT NULL",UPPER(C$3))),"''","null"),SUBSTITUTE(VLOOKUP(C$2,convert!$A$1:$B$4,2,0),"@@@",C451))</f>
        <v>80</v>
      </c>
      <c r="S451" s="4" t="str">
        <f>IF(D451="",IF(ISNUMBER(SEARCH("NOT NULL",UPPER(D$3))),"''","null"),SUBSTITUTE(VLOOKUP(D$2,convert!$A$1:$B$4,2,0),"@@@",D451))</f>
        <v>120</v>
      </c>
      <c r="T451" s="4" t="str">
        <f>IF(E451="",IF(ISNUMBER(SEARCH("NOT NULL",UPPER(E$3))),"''","null"),SUBSTITUTE(VLOOKUP(E$2,convert!$A$1:$B$4,2,0),"@@@",E451))</f>
        <v>80</v>
      </c>
      <c r="U451" s="4" t="str">
        <f>IF(F451="",IF(ISNUMBER(SEARCH("NOT NULL",UPPER(F$3))),"''","null"),SUBSTITUTE(VLOOKUP(F$2,convert!$A$1:$B$4,2,0),"@@@",F451))</f>
        <v>120</v>
      </c>
      <c r="V451" s="4" t="str">
        <f>IF(G451="",IF(ISNUMBER(SEARCH("NOT NULL",UPPER(G$3))),"''","null"),SUBSTITUTE(VLOOKUP(G$2,convert!$A$1:$B$4,2,0),"@@@",G451))</f>
        <v>80</v>
      </c>
      <c r="W451" s="4" t="str">
        <f>IF(H451="",IF(ISNUMBER(SEARCH("NOT NULL",UPPER(H$3))),"''","null"),SUBSTITUTE(VLOOKUP(H$2,convert!$A$1:$B$4,2,0),"@@@",H451))</f>
        <v>100</v>
      </c>
      <c r="X451" s="4" t="str">
        <f>IF(I451="",IF(ISNUMBER(SEARCH("NOT NULL",UPPER(I$3))),"''","null"),SUBSTITUTE(VLOOKUP(I$2,convert!$A$1:$B$4,2,0),"@@@",I451))</f>
        <v>''</v>
      </c>
      <c r="Y451" s="4" t="str">
        <f>IF(J451="",IF(ISNUMBER(SEARCH("NOT NULL",UPPER(J$3))),"''","null"),SUBSTITUTE(VLOOKUP(J$2,convert!$A$1:$B$4,2,0),"@@@",J451))</f>
        <v>'ice'</v>
      </c>
      <c r="Z451" s="4" t="str">
        <f>IF(K451="",IF(ISNUMBER(SEARCH("NOT NULL",UPPER(K$3))),"''","null"),SUBSTITUTE(VLOOKUP(K$2,convert!$A$1:$B$4,2,0),"@@@",K451))</f>
        <v>null</v>
      </c>
      <c r="AA451" s="4" t="str">
        <f>IF(L451="",IF(ISNUMBER(SEARCH("NOT NULL",UPPER(L$3))),"''","null"),SUBSTITUTE(VLOOKUP(L$2,convert!$A$1:$B$4,2,0),"@@@",L451))</f>
        <v>'g6oras'</v>
      </c>
      <c r="AB451" s="4" t="str">
        <f>IF(M451="",IF(ISNUMBER(SEARCH("NOT NULL",UPPER(M$3))),"''","null"),SUBSTITUTE(VLOOKUP(M$2,convert!$A$1:$B$4,2,0),"@@@",M451))</f>
        <v>null</v>
      </c>
      <c r="AC451" s="4" t="str">
        <f>IF(N451="",IF(ISNUMBER(SEARCH("NOT NULL",UPPER(N$3))),"''","null"),SUBSTITUTE(VLOOKUP(N$2,convert!$A$1:$B$4,2,0),"@@@",N451))</f>
        <v>null</v>
      </c>
      <c r="AD451" s="4" t="str">
        <f>IF(O451="",IF(ISNUMBER(SEARCH("NOT NULL",UPPER(O$3))),"''","null"),SUBSTITUTE(VLOOKUP(O$2,convert!$A$1:$B$4,2,0),"@@@",O451))</f>
        <v>TRUE</v>
      </c>
      <c r="AE451" s="4" t="str">
        <f t="shared" si="6"/>
        <v>    ('0362M01', 'メガオニゴーリ', 80, 120, 80, 120, 80, 100, '', 'ice', null, 'g6oras', null, null, TRUE),</v>
      </c>
    </row>
    <row r="452" spans="1:31">
      <c r="A452" s="4" t="s">
        <v>915</v>
      </c>
      <c r="B452" s="4" t="s">
        <v>916</v>
      </c>
      <c r="C452" s="5">
        <v>70</v>
      </c>
      <c r="D452" s="5">
        <v>40</v>
      </c>
      <c r="E452" s="5">
        <v>50</v>
      </c>
      <c r="F452" s="5">
        <v>55</v>
      </c>
      <c r="G452" s="5">
        <v>50</v>
      </c>
      <c r="H452" s="5">
        <v>25</v>
      </c>
      <c r="I452" s="5"/>
      <c r="J452" s="4" t="s">
        <v>118</v>
      </c>
      <c r="K452" s="4" t="s">
        <v>55</v>
      </c>
      <c r="L452" s="4" t="s">
        <v>656</v>
      </c>
      <c r="M452" s="5"/>
      <c r="N452" s="5"/>
      <c r="O452" s="5" t="b">
        <v>1</v>
      </c>
      <c r="P452" s="4" t="str">
        <f>IF(A452="",IF(ISNUMBER(SEARCH("NOT NULL",UPPER(A$3))),"''","null"),SUBSTITUTE(VLOOKUP(A$2,convert!$A$1:$B$4,2,0),"@@@",A452))</f>
        <v>'0363N01'</v>
      </c>
      <c r="Q452" s="4" t="str">
        <f>IF(B452="",IF(ISNUMBER(SEARCH("NOT NULL",UPPER(B$3))),"''","null"),SUBSTITUTE(VLOOKUP(B$2,convert!$A$1:$B$4,2,0),"@@@",B452))</f>
        <v>'タマザラシ'</v>
      </c>
      <c r="R452" s="4" t="str">
        <f>IF(C452="",IF(ISNUMBER(SEARCH("NOT NULL",UPPER(C$3))),"''","null"),SUBSTITUTE(VLOOKUP(C$2,convert!$A$1:$B$4,2,0),"@@@",C452))</f>
        <v>70</v>
      </c>
      <c r="S452" s="4" t="str">
        <f>IF(D452="",IF(ISNUMBER(SEARCH("NOT NULL",UPPER(D$3))),"''","null"),SUBSTITUTE(VLOOKUP(D$2,convert!$A$1:$B$4,2,0),"@@@",D452))</f>
        <v>40</v>
      </c>
      <c r="T452" s="4" t="str">
        <f>IF(E452="",IF(ISNUMBER(SEARCH("NOT NULL",UPPER(E$3))),"''","null"),SUBSTITUTE(VLOOKUP(E$2,convert!$A$1:$B$4,2,0),"@@@",E452))</f>
        <v>50</v>
      </c>
      <c r="U452" s="4" t="str">
        <f>IF(F452="",IF(ISNUMBER(SEARCH("NOT NULL",UPPER(F$3))),"''","null"),SUBSTITUTE(VLOOKUP(F$2,convert!$A$1:$B$4,2,0),"@@@",F452))</f>
        <v>55</v>
      </c>
      <c r="V452" s="4" t="str">
        <f>IF(G452="",IF(ISNUMBER(SEARCH("NOT NULL",UPPER(G$3))),"''","null"),SUBSTITUTE(VLOOKUP(G$2,convert!$A$1:$B$4,2,0),"@@@",G452))</f>
        <v>50</v>
      </c>
      <c r="W452" s="4" t="str">
        <f>IF(H452="",IF(ISNUMBER(SEARCH("NOT NULL",UPPER(H$3))),"''","null"),SUBSTITUTE(VLOOKUP(H$2,convert!$A$1:$B$4,2,0),"@@@",H452))</f>
        <v>25</v>
      </c>
      <c r="X452" s="4" t="str">
        <f>IF(I452="",IF(ISNUMBER(SEARCH("NOT NULL",UPPER(I$3))),"''","null"),SUBSTITUTE(VLOOKUP(I$2,convert!$A$1:$B$4,2,0),"@@@",I452))</f>
        <v>''</v>
      </c>
      <c r="Y452" s="4" t="str">
        <f>IF(J452="",IF(ISNUMBER(SEARCH("NOT NULL",UPPER(J$3))),"''","null"),SUBSTITUTE(VLOOKUP(J$2,convert!$A$1:$B$4,2,0),"@@@",J452))</f>
        <v>'ice'</v>
      </c>
      <c r="Z452" s="4" t="str">
        <f>IF(K452="",IF(ISNUMBER(SEARCH("NOT NULL",UPPER(K$3))),"''","null"),SUBSTITUTE(VLOOKUP(K$2,convert!$A$1:$B$4,2,0),"@@@",K452))</f>
        <v>'water'</v>
      </c>
      <c r="AA452" s="4" t="str">
        <f>IF(L452="",IF(ISNUMBER(SEARCH("NOT NULL",UPPER(L$3))),"''","null"),SUBSTITUTE(VLOOKUP(L$2,convert!$A$1:$B$4,2,0),"@@@",L452))</f>
        <v>'g3'</v>
      </c>
      <c r="AB452" s="4" t="str">
        <f>IF(M452="",IF(ISNUMBER(SEARCH("NOT NULL",UPPER(M$3))),"''","null"),SUBSTITUTE(VLOOKUP(M$2,convert!$A$1:$B$4,2,0),"@@@",M452))</f>
        <v>null</v>
      </c>
      <c r="AC452" s="4" t="str">
        <f>IF(N452="",IF(ISNUMBER(SEARCH("NOT NULL",UPPER(N$3))),"''","null"),SUBSTITUTE(VLOOKUP(N$2,convert!$A$1:$B$4,2,0),"@@@",N452))</f>
        <v>null</v>
      </c>
      <c r="AD452" s="4" t="str">
        <f>IF(O452="",IF(ISNUMBER(SEARCH("NOT NULL",UPPER(O$3))),"''","null"),SUBSTITUTE(VLOOKUP(O$2,convert!$A$1:$B$4,2,0),"@@@",O452))</f>
        <v>TRUE</v>
      </c>
      <c r="AE452" s="4" t="str">
        <f t="shared" si="6"/>
        <v>    ('0363N01', 'タマザラシ', 70, 40, 50, 55, 50, 25, '', 'ice', 'water', 'g3', null, null, TRUE),</v>
      </c>
    </row>
    <row r="453" spans="1:31">
      <c r="A453" s="4" t="s">
        <v>917</v>
      </c>
      <c r="B453" s="4" t="s">
        <v>918</v>
      </c>
      <c r="C453" s="5">
        <v>90</v>
      </c>
      <c r="D453" s="5">
        <v>60</v>
      </c>
      <c r="E453" s="5">
        <v>70</v>
      </c>
      <c r="F453" s="5">
        <v>75</v>
      </c>
      <c r="G453" s="5">
        <v>70</v>
      </c>
      <c r="H453" s="5">
        <v>45</v>
      </c>
      <c r="I453" s="5"/>
      <c r="J453" s="4" t="s">
        <v>118</v>
      </c>
      <c r="K453" s="4" t="s">
        <v>55</v>
      </c>
      <c r="L453" s="4" t="s">
        <v>656</v>
      </c>
      <c r="M453" s="5"/>
      <c r="N453" s="5"/>
      <c r="O453" s="5" t="b">
        <v>1</v>
      </c>
      <c r="P453" s="4" t="str">
        <f>IF(A453="",IF(ISNUMBER(SEARCH("NOT NULL",UPPER(A$3))),"''","null"),SUBSTITUTE(VLOOKUP(A$2,convert!$A$1:$B$4,2,0),"@@@",A453))</f>
        <v>'0364N01'</v>
      </c>
      <c r="Q453" s="4" t="str">
        <f>IF(B453="",IF(ISNUMBER(SEARCH("NOT NULL",UPPER(B$3))),"''","null"),SUBSTITUTE(VLOOKUP(B$2,convert!$A$1:$B$4,2,0),"@@@",B453))</f>
        <v>'トドグラー'</v>
      </c>
      <c r="R453" s="4" t="str">
        <f>IF(C453="",IF(ISNUMBER(SEARCH("NOT NULL",UPPER(C$3))),"''","null"),SUBSTITUTE(VLOOKUP(C$2,convert!$A$1:$B$4,2,0),"@@@",C453))</f>
        <v>90</v>
      </c>
      <c r="S453" s="4" t="str">
        <f>IF(D453="",IF(ISNUMBER(SEARCH("NOT NULL",UPPER(D$3))),"''","null"),SUBSTITUTE(VLOOKUP(D$2,convert!$A$1:$B$4,2,0),"@@@",D453))</f>
        <v>60</v>
      </c>
      <c r="T453" s="4" t="str">
        <f>IF(E453="",IF(ISNUMBER(SEARCH("NOT NULL",UPPER(E$3))),"''","null"),SUBSTITUTE(VLOOKUP(E$2,convert!$A$1:$B$4,2,0),"@@@",E453))</f>
        <v>70</v>
      </c>
      <c r="U453" s="4" t="str">
        <f>IF(F453="",IF(ISNUMBER(SEARCH("NOT NULL",UPPER(F$3))),"''","null"),SUBSTITUTE(VLOOKUP(F$2,convert!$A$1:$B$4,2,0),"@@@",F453))</f>
        <v>75</v>
      </c>
      <c r="V453" s="4" t="str">
        <f>IF(G453="",IF(ISNUMBER(SEARCH("NOT NULL",UPPER(G$3))),"''","null"),SUBSTITUTE(VLOOKUP(G$2,convert!$A$1:$B$4,2,0),"@@@",G453))</f>
        <v>70</v>
      </c>
      <c r="W453" s="4" t="str">
        <f>IF(H453="",IF(ISNUMBER(SEARCH("NOT NULL",UPPER(H$3))),"''","null"),SUBSTITUTE(VLOOKUP(H$2,convert!$A$1:$B$4,2,0),"@@@",H453))</f>
        <v>45</v>
      </c>
      <c r="X453" s="4" t="str">
        <f>IF(I453="",IF(ISNUMBER(SEARCH("NOT NULL",UPPER(I$3))),"''","null"),SUBSTITUTE(VLOOKUP(I$2,convert!$A$1:$B$4,2,0),"@@@",I453))</f>
        <v>''</v>
      </c>
      <c r="Y453" s="4" t="str">
        <f>IF(J453="",IF(ISNUMBER(SEARCH("NOT NULL",UPPER(J$3))),"''","null"),SUBSTITUTE(VLOOKUP(J$2,convert!$A$1:$B$4,2,0),"@@@",J453))</f>
        <v>'ice'</v>
      </c>
      <c r="Z453" s="4" t="str">
        <f>IF(K453="",IF(ISNUMBER(SEARCH("NOT NULL",UPPER(K$3))),"''","null"),SUBSTITUTE(VLOOKUP(K$2,convert!$A$1:$B$4,2,0),"@@@",K453))</f>
        <v>'water'</v>
      </c>
      <c r="AA453" s="4" t="str">
        <f>IF(L453="",IF(ISNUMBER(SEARCH("NOT NULL",UPPER(L$3))),"''","null"),SUBSTITUTE(VLOOKUP(L$2,convert!$A$1:$B$4,2,0),"@@@",L453))</f>
        <v>'g3'</v>
      </c>
      <c r="AB453" s="4" t="str">
        <f>IF(M453="",IF(ISNUMBER(SEARCH("NOT NULL",UPPER(M$3))),"''","null"),SUBSTITUTE(VLOOKUP(M$2,convert!$A$1:$B$4,2,0),"@@@",M453))</f>
        <v>null</v>
      </c>
      <c r="AC453" s="4" t="str">
        <f>IF(N453="",IF(ISNUMBER(SEARCH("NOT NULL",UPPER(N$3))),"''","null"),SUBSTITUTE(VLOOKUP(N$2,convert!$A$1:$B$4,2,0),"@@@",N453))</f>
        <v>null</v>
      </c>
      <c r="AD453" s="4" t="str">
        <f>IF(O453="",IF(ISNUMBER(SEARCH("NOT NULL",UPPER(O$3))),"''","null"),SUBSTITUTE(VLOOKUP(O$2,convert!$A$1:$B$4,2,0),"@@@",O453))</f>
        <v>TRUE</v>
      </c>
      <c r="AE453" s="4" t="str">
        <f t="shared" ref="AE453:AE516" si="7">"    ("&amp;_xlfn.TEXTJOIN(", ",FALSE,P453:AD453)&amp;"),"</f>
        <v>    ('0364N01', 'トドグラー', 90, 60, 70, 75, 70, 45, '', 'ice', 'water', 'g3', null, null, TRUE),</v>
      </c>
    </row>
    <row r="454" spans="1:31">
      <c r="A454" s="4" t="s">
        <v>919</v>
      </c>
      <c r="B454" s="4" t="s">
        <v>920</v>
      </c>
      <c r="C454" s="5">
        <v>110</v>
      </c>
      <c r="D454" s="5">
        <v>80</v>
      </c>
      <c r="E454" s="5">
        <v>90</v>
      </c>
      <c r="F454" s="5">
        <v>95</v>
      </c>
      <c r="G454" s="5">
        <v>90</v>
      </c>
      <c r="H454" s="5">
        <v>65</v>
      </c>
      <c r="I454" s="5"/>
      <c r="J454" s="4" t="s">
        <v>118</v>
      </c>
      <c r="K454" s="4" t="s">
        <v>55</v>
      </c>
      <c r="L454" s="4" t="s">
        <v>656</v>
      </c>
      <c r="M454" s="5"/>
      <c r="N454" s="5"/>
      <c r="O454" s="5" t="b">
        <v>1</v>
      </c>
      <c r="P454" s="4" t="str">
        <f>IF(A454="",IF(ISNUMBER(SEARCH("NOT NULL",UPPER(A$3))),"''","null"),SUBSTITUTE(VLOOKUP(A$2,convert!$A$1:$B$4,2,0),"@@@",A454))</f>
        <v>'0365N01'</v>
      </c>
      <c r="Q454" s="4" t="str">
        <f>IF(B454="",IF(ISNUMBER(SEARCH("NOT NULL",UPPER(B$3))),"''","null"),SUBSTITUTE(VLOOKUP(B$2,convert!$A$1:$B$4,2,0),"@@@",B454))</f>
        <v>'トドゼルガ'</v>
      </c>
      <c r="R454" s="4" t="str">
        <f>IF(C454="",IF(ISNUMBER(SEARCH("NOT NULL",UPPER(C$3))),"''","null"),SUBSTITUTE(VLOOKUP(C$2,convert!$A$1:$B$4,2,0),"@@@",C454))</f>
        <v>110</v>
      </c>
      <c r="S454" s="4" t="str">
        <f>IF(D454="",IF(ISNUMBER(SEARCH("NOT NULL",UPPER(D$3))),"''","null"),SUBSTITUTE(VLOOKUP(D$2,convert!$A$1:$B$4,2,0),"@@@",D454))</f>
        <v>80</v>
      </c>
      <c r="T454" s="4" t="str">
        <f>IF(E454="",IF(ISNUMBER(SEARCH("NOT NULL",UPPER(E$3))),"''","null"),SUBSTITUTE(VLOOKUP(E$2,convert!$A$1:$B$4,2,0),"@@@",E454))</f>
        <v>90</v>
      </c>
      <c r="U454" s="4" t="str">
        <f>IF(F454="",IF(ISNUMBER(SEARCH("NOT NULL",UPPER(F$3))),"''","null"),SUBSTITUTE(VLOOKUP(F$2,convert!$A$1:$B$4,2,0),"@@@",F454))</f>
        <v>95</v>
      </c>
      <c r="V454" s="4" t="str">
        <f>IF(G454="",IF(ISNUMBER(SEARCH("NOT NULL",UPPER(G$3))),"''","null"),SUBSTITUTE(VLOOKUP(G$2,convert!$A$1:$B$4,2,0),"@@@",G454))</f>
        <v>90</v>
      </c>
      <c r="W454" s="4" t="str">
        <f>IF(H454="",IF(ISNUMBER(SEARCH("NOT NULL",UPPER(H$3))),"''","null"),SUBSTITUTE(VLOOKUP(H$2,convert!$A$1:$B$4,2,0),"@@@",H454))</f>
        <v>65</v>
      </c>
      <c r="X454" s="4" t="str">
        <f>IF(I454="",IF(ISNUMBER(SEARCH("NOT NULL",UPPER(I$3))),"''","null"),SUBSTITUTE(VLOOKUP(I$2,convert!$A$1:$B$4,2,0),"@@@",I454))</f>
        <v>''</v>
      </c>
      <c r="Y454" s="4" t="str">
        <f>IF(J454="",IF(ISNUMBER(SEARCH("NOT NULL",UPPER(J$3))),"''","null"),SUBSTITUTE(VLOOKUP(J$2,convert!$A$1:$B$4,2,0),"@@@",J454))</f>
        <v>'ice'</v>
      </c>
      <c r="Z454" s="4" t="str">
        <f>IF(K454="",IF(ISNUMBER(SEARCH("NOT NULL",UPPER(K$3))),"''","null"),SUBSTITUTE(VLOOKUP(K$2,convert!$A$1:$B$4,2,0),"@@@",K454))</f>
        <v>'water'</v>
      </c>
      <c r="AA454" s="4" t="str">
        <f>IF(L454="",IF(ISNUMBER(SEARCH("NOT NULL",UPPER(L$3))),"''","null"),SUBSTITUTE(VLOOKUP(L$2,convert!$A$1:$B$4,2,0),"@@@",L454))</f>
        <v>'g3'</v>
      </c>
      <c r="AB454" s="4" t="str">
        <f>IF(M454="",IF(ISNUMBER(SEARCH("NOT NULL",UPPER(M$3))),"''","null"),SUBSTITUTE(VLOOKUP(M$2,convert!$A$1:$B$4,2,0),"@@@",M454))</f>
        <v>null</v>
      </c>
      <c r="AC454" s="4" t="str">
        <f>IF(N454="",IF(ISNUMBER(SEARCH("NOT NULL",UPPER(N$3))),"''","null"),SUBSTITUTE(VLOOKUP(N$2,convert!$A$1:$B$4,2,0),"@@@",N454))</f>
        <v>null</v>
      </c>
      <c r="AD454" s="4" t="str">
        <f>IF(O454="",IF(ISNUMBER(SEARCH("NOT NULL",UPPER(O$3))),"''","null"),SUBSTITUTE(VLOOKUP(O$2,convert!$A$1:$B$4,2,0),"@@@",O454))</f>
        <v>TRUE</v>
      </c>
      <c r="AE454" s="4" t="str">
        <f t="shared" si="7"/>
        <v>    ('0365N01', 'トドゼルガ', 110, 80, 90, 95, 90, 65, '', 'ice', 'water', 'g3', null, null, TRUE),</v>
      </c>
    </row>
    <row r="455" spans="1:31">
      <c r="A455" s="4" t="s">
        <v>921</v>
      </c>
      <c r="B455" s="4" t="s">
        <v>922</v>
      </c>
      <c r="C455" s="5">
        <v>35</v>
      </c>
      <c r="D455" s="5">
        <v>64</v>
      </c>
      <c r="E455" s="5">
        <v>85</v>
      </c>
      <c r="F455" s="5">
        <v>74</v>
      </c>
      <c r="G455" s="5">
        <v>55</v>
      </c>
      <c r="H455" s="5">
        <v>32</v>
      </c>
      <c r="I455" s="5"/>
      <c r="J455" s="4" t="s">
        <v>55</v>
      </c>
      <c r="K455" s="5"/>
      <c r="L455" s="4" t="s">
        <v>656</v>
      </c>
      <c r="M455" s="5"/>
      <c r="N455" s="5"/>
      <c r="O455" s="5" t="b">
        <v>1</v>
      </c>
      <c r="P455" s="4" t="str">
        <f>IF(A455="",IF(ISNUMBER(SEARCH("NOT NULL",UPPER(A$3))),"''","null"),SUBSTITUTE(VLOOKUP(A$2,convert!$A$1:$B$4,2,0),"@@@",A455))</f>
        <v>'0366N01'</v>
      </c>
      <c r="Q455" s="4" t="str">
        <f>IF(B455="",IF(ISNUMBER(SEARCH("NOT NULL",UPPER(B$3))),"''","null"),SUBSTITUTE(VLOOKUP(B$2,convert!$A$1:$B$4,2,0),"@@@",B455))</f>
        <v>'パールル'</v>
      </c>
      <c r="R455" s="4" t="str">
        <f>IF(C455="",IF(ISNUMBER(SEARCH("NOT NULL",UPPER(C$3))),"''","null"),SUBSTITUTE(VLOOKUP(C$2,convert!$A$1:$B$4,2,0),"@@@",C455))</f>
        <v>35</v>
      </c>
      <c r="S455" s="4" t="str">
        <f>IF(D455="",IF(ISNUMBER(SEARCH("NOT NULL",UPPER(D$3))),"''","null"),SUBSTITUTE(VLOOKUP(D$2,convert!$A$1:$B$4,2,0),"@@@",D455))</f>
        <v>64</v>
      </c>
      <c r="T455" s="4" t="str">
        <f>IF(E455="",IF(ISNUMBER(SEARCH("NOT NULL",UPPER(E$3))),"''","null"),SUBSTITUTE(VLOOKUP(E$2,convert!$A$1:$B$4,2,0),"@@@",E455))</f>
        <v>85</v>
      </c>
      <c r="U455" s="4" t="str">
        <f>IF(F455="",IF(ISNUMBER(SEARCH("NOT NULL",UPPER(F$3))),"''","null"),SUBSTITUTE(VLOOKUP(F$2,convert!$A$1:$B$4,2,0),"@@@",F455))</f>
        <v>74</v>
      </c>
      <c r="V455" s="4" t="str">
        <f>IF(G455="",IF(ISNUMBER(SEARCH("NOT NULL",UPPER(G$3))),"''","null"),SUBSTITUTE(VLOOKUP(G$2,convert!$A$1:$B$4,2,0),"@@@",G455))</f>
        <v>55</v>
      </c>
      <c r="W455" s="4" t="str">
        <f>IF(H455="",IF(ISNUMBER(SEARCH("NOT NULL",UPPER(H$3))),"''","null"),SUBSTITUTE(VLOOKUP(H$2,convert!$A$1:$B$4,2,0),"@@@",H455))</f>
        <v>32</v>
      </c>
      <c r="X455" s="4" t="str">
        <f>IF(I455="",IF(ISNUMBER(SEARCH("NOT NULL",UPPER(I$3))),"''","null"),SUBSTITUTE(VLOOKUP(I$2,convert!$A$1:$B$4,2,0),"@@@",I455))</f>
        <v>''</v>
      </c>
      <c r="Y455" s="4" t="str">
        <f>IF(J455="",IF(ISNUMBER(SEARCH("NOT NULL",UPPER(J$3))),"''","null"),SUBSTITUTE(VLOOKUP(J$2,convert!$A$1:$B$4,2,0),"@@@",J455))</f>
        <v>'water'</v>
      </c>
      <c r="Z455" s="4" t="str">
        <f>IF(K455="",IF(ISNUMBER(SEARCH("NOT NULL",UPPER(K$3))),"''","null"),SUBSTITUTE(VLOOKUP(K$2,convert!$A$1:$B$4,2,0),"@@@",K455))</f>
        <v>null</v>
      </c>
      <c r="AA455" s="4" t="str">
        <f>IF(L455="",IF(ISNUMBER(SEARCH("NOT NULL",UPPER(L$3))),"''","null"),SUBSTITUTE(VLOOKUP(L$2,convert!$A$1:$B$4,2,0),"@@@",L455))</f>
        <v>'g3'</v>
      </c>
      <c r="AB455" s="4" t="str">
        <f>IF(M455="",IF(ISNUMBER(SEARCH("NOT NULL",UPPER(M$3))),"''","null"),SUBSTITUTE(VLOOKUP(M$2,convert!$A$1:$B$4,2,0),"@@@",M455))</f>
        <v>null</v>
      </c>
      <c r="AC455" s="4" t="str">
        <f>IF(N455="",IF(ISNUMBER(SEARCH("NOT NULL",UPPER(N$3))),"''","null"),SUBSTITUTE(VLOOKUP(N$2,convert!$A$1:$B$4,2,0),"@@@",N455))</f>
        <v>null</v>
      </c>
      <c r="AD455" s="4" t="str">
        <f>IF(O455="",IF(ISNUMBER(SEARCH("NOT NULL",UPPER(O$3))),"''","null"),SUBSTITUTE(VLOOKUP(O$2,convert!$A$1:$B$4,2,0),"@@@",O455))</f>
        <v>TRUE</v>
      </c>
      <c r="AE455" s="4" t="str">
        <f t="shared" si="7"/>
        <v>    ('0366N01', 'パールル', 35, 64, 85, 74, 55, 32, '', 'water', null, 'g3', null, null, TRUE),</v>
      </c>
    </row>
    <row r="456" spans="1:31">
      <c r="A456" s="4" t="s">
        <v>923</v>
      </c>
      <c r="B456" s="4" t="s">
        <v>924</v>
      </c>
      <c r="C456" s="5">
        <v>55</v>
      </c>
      <c r="D456" s="5">
        <v>104</v>
      </c>
      <c r="E456" s="5">
        <v>105</v>
      </c>
      <c r="F456" s="5">
        <v>94</v>
      </c>
      <c r="G456" s="5">
        <v>75</v>
      </c>
      <c r="H456" s="5">
        <v>52</v>
      </c>
      <c r="I456" s="5"/>
      <c r="J456" s="4" t="s">
        <v>55</v>
      </c>
      <c r="K456" s="5"/>
      <c r="L456" s="4" t="s">
        <v>656</v>
      </c>
      <c r="M456" s="5"/>
      <c r="N456" s="5"/>
      <c r="O456" s="5" t="b">
        <v>1</v>
      </c>
      <c r="P456" s="4" t="str">
        <f>IF(A456="",IF(ISNUMBER(SEARCH("NOT NULL",UPPER(A$3))),"''","null"),SUBSTITUTE(VLOOKUP(A$2,convert!$A$1:$B$4,2,0),"@@@",A456))</f>
        <v>'0367N01'</v>
      </c>
      <c r="Q456" s="4" t="str">
        <f>IF(B456="",IF(ISNUMBER(SEARCH("NOT NULL",UPPER(B$3))),"''","null"),SUBSTITUTE(VLOOKUP(B$2,convert!$A$1:$B$4,2,0),"@@@",B456))</f>
        <v>'ハンテール'</v>
      </c>
      <c r="R456" s="4" t="str">
        <f>IF(C456="",IF(ISNUMBER(SEARCH("NOT NULL",UPPER(C$3))),"''","null"),SUBSTITUTE(VLOOKUP(C$2,convert!$A$1:$B$4,2,0),"@@@",C456))</f>
        <v>55</v>
      </c>
      <c r="S456" s="4" t="str">
        <f>IF(D456="",IF(ISNUMBER(SEARCH("NOT NULL",UPPER(D$3))),"''","null"),SUBSTITUTE(VLOOKUP(D$2,convert!$A$1:$B$4,2,0),"@@@",D456))</f>
        <v>104</v>
      </c>
      <c r="T456" s="4" t="str">
        <f>IF(E456="",IF(ISNUMBER(SEARCH("NOT NULL",UPPER(E$3))),"''","null"),SUBSTITUTE(VLOOKUP(E$2,convert!$A$1:$B$4,2,0),"@@@",E456))</f>
        <v>105</v>
      </c>
      <c r="U456" s="4" t="str">
        <f>IF(F456="",IF(ISNUMBER(SEARCH("NOT NULL",UPPER(F$3))),"''","null"),SUBSTITUTE(VLOOKUP(F$2,convert!$A$1:$B$4,2,0),"@@@",F456))</f>
        <v>94</v>
      </c>
      <c r="V456" s="4" t="str">
        <f>IF(G456="",IF(ISNUMBER(SEARCH("NOT NULL",UPPER(G$3))),"''","null"),SUBSTITUTE(VLOOKUP(G$2,convert!$A$1:$B$4,2,0),"@@@",G456))</f>
        <v>75</v>
      </c>
      <c r="W456" s="4" t="str">
        <f>IF(H456="",IF(ISNUMBER(SEARCH("NOT NULL",UPPER(H$3))),"''","null"),SUBSTITUTE(VLOOKUP(H$2,convert!$A$1:$B$4,2,0),"@@@",H456))</f>
        <v>52</v>
      </c>
      <c r="X456" s="4" t="str">
        <f>IF(I456="",IF(ISNUMBER(SEARCH("NOT NULL",UPPER(I$3))),"''","null"),SUBSTITUTE(VLOOKUP(I$2,convert!$A$1:$B$4,2,0),"@@@",I456))</f>
        <v>''</v>
      </c>
      <c r="Y456" s="4" t="str">
        <f>IF(J456="",IF(ISNUMBER(SEARCH("NOT NULL",UPPER(J$3))),"''","null"),SUBSTITUTE(VLOOKUP(J$2,convert!$A$1:$B$4,2,0),"@@@",J456))</f>
        <v>'water'</v>
      </c>
      <c r="Z456" s="4" t="str">
        <f>IF(K456="",IF(ISNUMBER(SEARCH("NOT NULL",UPPER(K$3))),"''","null"),SUBSTITUTE(VLOOKUP(K$2,convert!$A$1:$B$4,2,0),"@@@",K456))</f>
        <v>null</v>
      </c>
      <c r="AA456" s="4" t="str">
        <f>IF(L456="",IF(ISNUMBER(SEARCH("NOT NULL",UPPER(L$3))),"''","null"),SUBSTITUTE(VLOOKUP(L$2,convert!$A$1:$B$4,2,0),"@@@",L456))</f>
        <v>'g3'</v>
      </c>
      <c r="AB456" s="4" t="str">
        <f>IF(M456="",IF(ISNUMBER(SEARCH("NOT NULL",UPPER(M$3))),"''","null"),SUBSTITUTE(VLOOKUP(M$2,convert!$A$1:$B$4,2,0),"@@@",M456))</f>
        <v>null</v>
      </c>
      <c r="AC456" s="4" t="str">
        <f>IF(N456="",IF(ISNUMBER(SEARCH("NOT NULL",UPPER(N$3))),"''","null"),SUBSTITUTE(VLOOKUP(N$2,convert!$A$1:$B$4,2,0),"@@@",N456))</f>
        <v>null</v>
      </c>
      <c r="AD456" s="4" t="str">
        <f>IF(O456="",IF(ISNUMBER(SEARCH("NOT NULL",UPPER(O$3))),"''","null"),SUBSTITUTE(VLOOKUP(O$2,convert!$A$1:$B$4,2,0),"@@@",O456))</f>
        <v>TRUE</v>
      </c>
      <c r="AE456" s="4" t="str">
        <f t="shared" si="7"/>
        <v>    ('0367N01', 'ハンテール', 55, 104, 105, 94, 75, 52, '', 'water', null, 'g3', null, null, TRUE),</v>
      </c>
    </row>
    <row r="457" spans="1:31">
      <c r="A457" s="4" t="s">
        <v>925</v>
      </c>
      <c r="B457" s="4" t="s">
        <v>926</v>
      </c>
      <c r="C457" s="5">
        <v>55</v>
      </c>
      <c r="D457" s="5">
        <v>84</v>
      </c>
      <c r="E457" s="5">
        <v>105</v>
      </c>
      <c r="F457" s="5">
        <v>114</v>
      </c>
      <c r="G457" s="5">
        <v>75</v>
      </c>
      <c r="H457" s="5">
        <v>52</v>
      </c>
      <c r="I457" s="5"/>
      <c r="J457" s="4" t="s">
        <v>55</v>
      </c>
      <c r="K457" s="5"/>
      <c r="L457" s="4" t="s">
        <v>656</v>
      </c>
      <c r="M457" s="5"/>
      <c r="N457" s="5"/>
      <c r="O457" s="5" t="b">
        <v>1</v>
      </c>
      <c r="P457" s="4" t="str">
        <f>IF(A457="",IF(ISNUMBER(SEARCH("NOT NULL",UPPER(A$3))),"''","null"),SUBSTITUTE(VLOOKUP(A$2,convert!$A$1:$B$4,2,0),"@@@",A457))</f>
        <v>'0368N01'</v>
      </c>
      <c r="Q457" s="4" t="str">
        <f>IF(B457="",IF(ISNUMBER(SEARCH("NOT NULL",UPPER(B$3))),"''","null"),SUBSTITUTE(VLOOKUP(B$2,convert!$A$1:$B$4,2,0),"@@@",B457))</f>
        <v>'サクラビス'</v>
      </c>
      <c r="R457" s="4" t="str">
        <f>IF(C457="",IF(ISNUMBER(SEARCH("NOT NULL",UPPER(C$3))),"''","null"),SUBSTITUTE(VLOOKUP(C$2,convert!$A$1:$B$4,2,0),"@@@",C457))</f>
        <v>55</v>
      </c>
      <c r="S457" s="4" t="str">
        <f>IF(D457="",IF(ISNUMBER(SEARCH("NOT NULL",UPPER(D$3))),"''","null"),SUBSTITUTE(VLOOKUP(D$2,convert!$A$1:$B$4,2,0),"@@@",D457))</f>
        <v>84</v>
      </c>
      <c r="T457" s="4" t="str">
        <f>IF(E457="",IF(ISNUMBER(SEARCH("NOT NULL",UPPER(E$3))),"''","null"),SUBSTITUTE(VLOOKUP(E$2,convert!$A$1:$B$4,2,0),"@@@",E457))</f>
        <v>105</v>
      </c>
      <c r="U457" s="4" t="str">
        <f>IF(F457="",IF(ISNUMBER(SEARCH("NOT NULL",UPPER(F$3))),"''","null"),SUBSTITUTE(VLOOKUP(F$2,convert!$A$1:$B$4,2,0),"@@@",F457))</f>
        <v>114</v>
      </c>
      <c r="V457" s="4" t="str">
        <f>IF(G457="",IF(ISNUMBER(SEARCH("NOT NULL",UPPER(G$3))),"''","null"),SUBSTITUTE(VLOOKUP(G$2,convert!$A$1:$B$4,2,0),"@@@",G457))</f>
        <v>75</v>
      </c>
      <c r="W457" s="4" t="str">
        <f>IF(H457="",IF(ISNUMBER(SEARCH("NOT NULL",UPPER(H$3))),"''","null"),SUBSTITUTE(VLOOKUP(H$2,convert!$A$1:$B$4,2,0),"@@@",H457))</f>
        <v>52</v>
      </c>
      <c r="X457" s="4" t="str">
        <f>IF(I457="",IF(ISNUMBER(SEARCH("NOT NULL",UPPER(I$3))),"''","null"),SUBSTITUTE(VLOOKUP(I$2,convert!$A$1:$B$4,2,0),"@@@",I457))</f>
        <v>''</v>
      </c>
      <c r="Y457" s="4" t="str">
        <f>IF(J457="",IF(ISNUMBER(SEARCH("NOT NULL",UPPER(J$3))),"''","null"),SUBSTITUTE(VLOOKUP(J$2,convert!$A$1:$B$4,2,0),"@@@",J457))</f>
        <v>'water'</v>
      </c>
      <c r="Z457" s="4" t="str">
        <f>IF(K457="",IF(ISNUMBER(SEARCH("NOT NULL",UPPER(K$3))),"''","null"),SUBSTITUTE(VLOOKUP(K$2,convert!$A$1:$B$4,2,0),"@@@",K457))</f>
        <v>null</v>
      </c>
      <c r="AA457" s="4" t="str">
        <f>IF(L457="",IF(ISNUMBER(SEARCH("NOT NULL",UPPER(L$3))),"''","null"),SUBSTITUTE(VLOOKUP(L$2,convert!$A$1:$B$4,2,0),"@@@",L457))</f>
        <v>'g3'</v>
      </c>
      <c r="AB457" s="4" t="str">
        <f>IF(M457="",IF(ISNUMBER(SEARCH("NOT NULL",UPPER(M$3))),"''","null"),SUBSTITUTE(VLOOKUP(M$2,convert!$A$1:$B$4,2,0),"@@@",M457))</f>
        <v>null</v>
      </c>
      <c r="AC457" s="4" t="str">
        <f>IF(N457="",IF(ISNUMBER(SEARCH("NOT NULL",UPPER(N$3))),"''","null"),SUBSTITUTE(VLOOKUP(N$2,convert!$A$1:$B$4,2,0),"@@@",N457))</f>
        <v>null</v>
      </c>
      <c r="AD457" s="4" t="str">
        <f>IF(O457="",IF(ISNUMBER(SEARCH("NOT NULL",UPPER(O$3))),"''","null"),SUBSTITUTE(VLOOKUP(O$2,convert!$A$1:$B$4,2,0),"@@@",O457))</f>
        <v>TRUE</v>
      </c>
      <c r="AE457" s="4" t="str">
        <f t="shared" si="7"/>
        <v>    ('0368N01', 'サクラビス', 55, 84, 105, 114, 75, 52, '', 'water', null, 'g3', null, null, TRUE),</v>
      </c>
    </row>
    <row r="458" spans="1:31">
      <c r="A458" s="4" t="s">
        <v>927</v>
      </c>
      <c r="B458" s="4" t="s">
        <v>928</v>
      </c>
      <c r="C458" s="5">
        <v>100</v>
      </c>
      <c r="D458" s="5">
        <v>90</v>
      </c>
      <c r="E458" s="5">
        <v>130</v>
      </c>
      <c r="F458" s="5">
        <v>45</v>
      </c>
      <c r="G458" s="5">
        <v>65</v>
      </c>
      <c r="H458" s="5">
        <v>55</v>
      </c>
      <c r="I458" s="5"/>
      <c r="J458" s="4" t="s">
        <v>55</v>
      </c>
      <c r="K458" s="4" t="s">
        <v>196</v>
      </c>
      <c r="L458" s="4" t="s">
        <v>656</v>
      </c>
      <c r="M458" s="5"/>
      <c r="N458" s="5"/>
      <c r="O458" s="5" t="b">
        <v>1</v>
      </c>
      <c r="P458" s="4" t="str">
        <f>IF(A458="",IF(ISNUMBER(SEARCH("NOT NULL",UPPER(A$3))),"''","null"),SUBSTITUTE(VLOOKUP(A$2,convert!$A$1:$B$4,2,0),"@@@",A458))</f>
        <v>'0369N01'</v>
      </c>
      <c r="Q458" s="4" t="str">
        <f>IF(B458="",IF(ISNUMBER(SEARCH("NOT NULL",UPPER(B$3))),"''","null"),SUBSTITUTE(VLOOKUP(B$2,convert!$A$1:$B$4,2,0),"@@@",B458))</f>
        <v>'ジーランス'</v>
      </c>
      <c r="R458" s="4" t="str">
        <f>IF(C458="",IF(ISNUMBER(SEARCH("NOT NULL",UPPER(C$3))),"''","null"),SUBSTITUTE(VLOOKUP(C$2,convert!$A$1:$B$4,2,0),"@@@",C458))</f>
        <v>100</v>
      </c>
      <c r="S458" s="4" t="str">
        <f>IF(D458="",IF(ISNUMBER(SEARCH("NOT NULL",UPPER(D$3))),"''","null"),SUBSTITUTE(VLOOKUP(D$2,convert!$A$1:$B$4,2,0),"@@@",D458))</f>
        <v>90</v>
      </c>
      <c r="T458" s="4" t="str">
        <f>IF(E458="",IF(ISNUMBER(SEARCH("NOT NULL",UPPER(E$3))),"''","null"),SUBSTITUTE(VLOOKUP(E$2,convert!$A$1:$B$4,2,0),"@@@",E458))</f>
        <v>130</v>
      </c>
      <c r="U458" s="4" t="str">
        <f>IF(F458="",IF(ISNUMBER(SEARCH("NOT NULL",UPPER(F$3))),"''","null"),SUBSTITUTE(VLOOKUP(F$2,convert!$A$1:$B$4,2,0),"@@@",F458))</f>
        <v>45</v>
      </c>
      <c r="V458" s="4" t="str">
        <f>IF(G458="",IF(ISNUMBER(SEARCH("NOT NULL",UPPER(G$3))),"''","null"),SUBSTITUTE(VLOOKUP(G$2,convert!$A$1:$B$4,2,0),"@@@",G458))</f>
        <v>65</v>
      </c>
      <c r="W458" s="4" t="str">
        <f>IF(H458="",IF(ISNUMBER(SEARCH("NOT NULL",UPPER(H$3))),"''","null"),SUBSTITUTE(VLOOKUP(H$2,convert!$A$1:$B$4,2,0),"@@@",H458))</f>
        <v>55</v>
      </c>
      <c r="X458" s="4" t="str">
        <f>IF(I458="",IF(ISNUMBER(SEARCH("NOT NULL",UPPER(I$3))),"''","null"),SUBSTITUTE(VLOOKUP(I$2,convert!$A$1:$B$4,2,0),"@@@",I458))</f>
        <v>''</v>
      </c>
      <c r="Y458" s="4" t="str">
        <f>IF(J458="",IF(ISNUMBER(SEARCH("NOT NULL",UPPER(J$3))),"''","null"),SUBSTITUTE(VLOOKUP(J$2,convert!$A$1:$B$4,2,0),"@@@",J458))</f>
        <v>'water'</v>
      </c>
      <c r="Z458" s="4" t="str">
        <f>IF(K458="",IF(ISNUMBER(SEARCH("NOT NULL",UPPER(K$3))),"''","null"),SUBSTITUTE(VLOOKUP(K$2,convert!$A$1:$B$4,2,0),"@@@",K458))</f>
        <v>'rock'</v>
      </c>
      <c r="AA458" s="4" t="str">
        <f>IF(L458="",IF(ISNUMBER(SEARCH("NOT NULL",UPPER(L$3))),"''","null"),SUBSTITUTE(VLOOKUP(L$2,convert!$A$1:$B$4,2,0),"@@@",L458))</f>
        <v>'g3'</v>
      </c>
      <c r="AB458" s="4" t="str">
        <f>IF(M458="",IF(ISNUMBER(SEARCH("NOT NULL",UPPER(M$3))),"''","null"),SUBSTITUTE(VLOOKUP(M$2,convert!$A$1:$B$4,2,0),"@@@",M458))</f>
        <v>null</v>
      </c>
      <c r="AC458" s="4" t="str">
        <f>IF(N458="",IF(ISNUMBER(SEARCH("NOT NULL",UPPER(N$3))),"''","null"),SUBSTITUTE(VLOOKUP(N$2,convert!$A$1:$B$4,2,0),"@@@",N458))</f>
        <v>null</v>
      </c>
      <c r="AD458" s="4" t="str">
        <f>IF(O458="",IF(ISNUMBER(SEARCH("NOT NULL",UPPER(O$3))),"''","null"),SUBSTITUTE(VLOOKUP(O$2,convert!$A$1:$B$4,2,0),"@@@",O458))</f>
        <v>TRUE</v>
      </c>
      <c r="AE458" s="4" t="str">
        <f t="shared" si="7"/>
        <v>    ('0369N01', 'ジーランス', 100, 90, 130, 45, 65, 55, '', 'water', 'rock', 'g3', null, null, TRUE),</v>
      </c>
    </row>
    <row r="459" spans="1:31">
      <c r="A459" s="4" t="s">
        <v>929</v>
      </c>
      <c r="B459" s="4" t="s">
        <v>930</v>
      </c>
      <c r="C459" s="5">
        <v>43</v>
      </c>
      <c r="D459" s="5">
        <v>30</v>
      </c>
      <c r="E459" s="5">
        <v>55</v>
      </c>
      <c r="F459" s="5">
        <v>40</v>
      </c>
      <c r="G459" s="5">
        <v>65</v>
      </c>
      <c r="H459" s="5">
        <v>97</v>
      </c>
      <c r="I459" s="5"/>
      <c r="J459" s="4" t="s">
        <v>55</v>
      </c>
      <c r="K459" s="5"/>
      <c r="L459" s="4" t="s">
        <v>656</v>
      </c>
      <c r="M459" s="5"/>
      <c r="N459" s="5"/>
      <c r="O459" s="5" t="b">
        <v>1</v>
      </c>
      <c r="P459" s="4" t="str">
        <f>IF(A459="",IF(ISNUMBER(SEARCH("NOT NULL",UPPER(A$3))),"''","null"),SUBSTITUTE(VLOOKUP(A$2,convert!$A$1:$B$4,2,0),"@@@",A459))</f>
        <v>'0370N01'</v>
      </c>
      <c r="Q459" s="4" t="str">
        <f>IF(B459="",IF(ISNUMBER(SEARCH("NOT NULL",UPPER(B$3))),"''","null"),SUBSTITUTE(VLOOKUP(B$2,convert!$A$1:$B$4,2,0),"@@@",B459))</f>
        <v>'ラブカス'</v>
      </c>
      <c r="R459" s="4" t="str">
        <f>IF(C459="",IF(ISNUMBER(SEARCH("NOT NULL",UPPER(C$3))),"''","null"),SUBSTITUTE(VLOOKUP(C$2,convert!$A$1:$B$4,2,0),"@@@",C459))</f>
        <v>43</v>
      </c>
      <c r="S459" s="4" t="str">
        <f>IF(D459="",IF(ISNUMBER(SEARCH("NOT NULL",UPPER(D$3))),"''","null"),SUBSTITUTE(VLOOKUP(D$2,convert!$A$1:$B$4,2,0),"@@@",D459))</f>
        <v>30</v>
      </c>
      <c r="T459" s="4" t="str">
        <f>IF(E459="",IF(ISNUMBER(SEARCH("NOT NULL",UPPER(E$3))),"''","null"),SUBSTITUTE(VLOOKUP(E$2,convert!$A$1:$B$4,2,0),"@@@",E459))</f>
        <v>55</v>
      </c>
      <c r="U459" s="4" t="str">
        <f>IF(F459="",IF(ISNUMBER(SEARCH("NOT NULL",UPPER(F$3))),"''","null"),SUBSTITUTE(VLOOKUP(F$2,convert!$A$1:$B$4,2,0),"@@@",F459))</f>
        <v>40</v>
      </c>
      <c r="V459" s="4" t="str">
        <f>IF(G459="",IF(ISNUMBER(SEARCH("NOT NULL",UPPER(G$3))),"''","null"),SUBSTITUTE(VLOOKUP(G$2,convert!$A$1:$B$4,2,0),"@@@",G459))</f>
        <v>65</v>
      </c>
      <c r="W459" s="4" t="str">
        <f>IF(H459="",IF(ISNUMBER(SEARCH("NOT NULL",UPPER(H$3))),"''","null"),SUBSTITUTE(VLOOKUP(H$2,convert!$A$1:$B$4,2,0),"@@@",H459))</f>
        <v>97</v>
      </c>
      <c r="X459" s="4" t="str">
        <f>IF(I459="",IF(ISNUMBER(SEARCH("NOT NULL",UPPER(I$3))),"''","null"),SUBSTITUTE(VLOOKUP(I$2,convert!$A$1:$B$4,2,0),"@@@",I459))</f>
        <v>''</v>
      </c>
      <c r="Y459" s="4" t="str">
        <f>IF(J459="",IF(ISNUMBER(SEARCH("NOT NULL",UPPER(J$3))),"''","null"),SUBSTITUTE(VLOOKUP(J$2,convert!$A$1:$B$4,2,0),"@@@",J459))</f>
        <v>'water'</v>
      </c>
      <c r="Z459" s="4" t="str">
        <f>IF(K459="",IF(ISNUMBER(SEARCH("NOT NULL",UPPER(K$3))),"''","null"),SUBSTITUTE(VLOOKUP(K$2,convert!$A$1:$B$4,2,0),"@@@",K459))</f>
        <v>null</v>
      </c>
      <c r="AA459" s="4" t="str">
        <f>IF(L459="",IF(ISNUMBER(SEARCH("NOT NULL",UPPER(L$3))),"''","null"),SUBSTITUTE(VLOOKUP(L$2,convert!$A$1:$B$4,2,0),"@@@",L459))</f>
        <v>'g3'</v>
      </c>
      <c r="AB459" s="4" t="str">
        <f>IF(M459="",IF(ISNUMBER(SEARCH("NOT NULL",UPPER(M$3))),"''","null"),SUBSTITUTE(VLOOKUP(M$2,convert!$A$1:$B$4,2,0),"@@@",M459))</f>
        <v>null</v>
      </c>
      <c r="AC459" s="4" t="str">
        <f>IF(N459="",IF(ISNUMBER(SEARCH("NOT NULL",UPPER(N$3))),"''","null"),SUBSTITUTE(VLOOKUP(N$2,convert!$A$1:$B$4,2,0),"@@@",N459))</f>
        <v>null</v>
      </c>
      <c r="AD459" s="4" t="str">
        <f>IF(O459="",IF(ISNUMBER(SEARCH("NOT NULL",UPPER(O$3))),"''","null"),SUBSTITUTE(VLOOKUP(O$2,convert!$A$1:$B$4,2,0),"@@@",O459))</f>
        <v>TRUE</v>
      </c>
      <c r="AE459" s="4" t="str">
        <f t="shared" si="7"/>
        <v>    ('0370N01', 'ラブカス', 43, 30, 55, 40, 65, 97, '', 'water', null, 'g3', null, null, TRUE),</v>
      </c>
    </row>
    <row r="460" spans="1:31">
      <c r="A460" s="4" t="s">
        <v>931</v>
      </c>
      <c r="B460" s="4" t="s">
        <v>932</v>
      </c>
      <c r="C460" s="5">
        <v>45</v>
      </c>
      <c r="D460" s="5">
        <v>75</v>
      </c>
      <c r="E460" s="5">
        <v>60</v>
      </c>
      <c r="F460" s="5">
        <v>40</v>
      </c>
      <c r="G460" s="5">
        <v>30</v>
      </c>
      <c r="H460" s="5">
        <v>50</v>
      </c>
      <c r="I460" s="5"/>
      <c r="J460" s="4" t="s">
        <v>50</v>
      </c>
      <c r="K460" s="5"/>
      <c r="L460" s="4" t="s">
        <v>656</v>
      </c>
      <c r="M460" s="5"/>
      <c r="N460" s="5"/>
      <c r="O460" s="5" t="b">
        <v>1</v>
      </c>
      <c r="P460" s="4" t="str">
        <f>IF(A460="",IF(ISNUMBER(SEARCH("NOT NULL",UPPER(A$3))),"''","null"),SUBSTITUTE(VLOOKUP(A$2,convert!$A$1:$B$4,2,0),"@@@",A460))</f>
        <v>'0371N01'</v>
      </c>
      <c r="Q460" s="4" t="str">
        <f>IF(B460="",IF(ISNUMBER(SEARCH("NOT NULL",UPPER(B$3))),"''","null"),SUBSTITUTE(VLOOKUP(B$2,convert!$A$1:$B$4,2,0),"@@@",B460))</f>
        <v>'タツベイ'</v>
      </c>
      <c r="R460" s="4" t="str">
        <f>IF(C460="",IF(ISNUMBER(SEARCH("NOT NULL",UPPER(C$3))),"''","null"),SUBSTITUTE(VLOOKUP(C$2,convert!$A$1:$B$4,2,0),"@@@",C460))</f>
        <v>45</v>
      </c>
      <c r="S460" s="4" t="str">
        <f>IF(D460="",IF(ISNUMBER(SEARCH("NOT NULL",UPPER(D$3))),"''","null"),SUBSTITUTE(VLOOKUP(D$2,convert!$A$1:$B$4,2,0),"@@@",D460))</f>
        <v>75</v>
      </c>
      <c r="T460" s="4" t="str">
        <f>IF(E460="",IF(ISNUMBER(SEARCH("NOT NULL",UPPER(E$3))),"''","null"),SUBSTITUTE(VLOOKUP(E$2,convert!$A$1:$B$4,2,0),"@@@",E460))</f>
        <v>60</v>
      </c>
      <c r="U460" s="4" t="str">
        <f>IF(F460="",IF(ISNUMBER(SEARCH("NOT NULL",UPPER(F$3))),"''","null"),SUBSTITUTE(VLOOKUP(F$2,convert!$A$1:$B$4,2,0),"@@@",F460))</f>
        <v>40</v>
      </c>
      <c r="V460" s="4" t="str">
        <f>IF(G460="",IF(ISNUMBER(SEARCH("NOT NULL",UPPER(G$3))),"''","null"),SUBSTITUTE(VLOOKUP(G$2,convert!$A$1:$B$4,2,0),"@@@",G460))</f>
        <v>30</v>
      </c>
      <c r="W460" s="4" t="str">
        <f>IF(H460="",IF(ISNUMBER(SEARCH("NOT NULL",UPPER(H$3))),"''","null"),SUBSTITUTE(VLOOKUP(H$2,convert!$A$1:$B$4,2,0),"@@@",H460))</f>
        <v>50</v>
      </c>
      <c r="X460" s="4" t="str">
        <f>IF(I460="",IF(ISNUMBER(SEARCH("NOT NULL",UPPER(I$3))),"''","null"),SUBSTITUTE(VLOOKUP(I$2,convert!$A$1:$B$4,2,0),"@@@",I460))</f>
        <v>''</v>
      </c>
      <c r="Y460" s="4" t="str">
        <f>IF(J460="",IF(ISNUMBER(SEARCH("NOT NULL",UPPER(J$3))),"''","null"),SUBSTITUTE(VLOOKUP(J$2,convert!$A$1:$B$4,2,0),"@@@",J460))</f>
        <v>'dragon'</v>
      </c>
      <c r="Z460" s="4" t="str">
        <f>IF(K460="",IF(ISNUMBER(SEARCH("NOT NULL",UPPER(K$3))),"''","null"),SUBSTITUTE(VLOOKUP(K$2,convert!$A$1:$B$4,2,0),"@@@",K460))</f>
        <v>null</v>
      </c>
      <c r="AA460" s="4" t="str">
        <f>IF(L460="",IF(ISNUMBER(SEARCH("NOT NULL",UPPER(L$3))),"''","null"),SUBSTITUTE(VLOOKUP(L$2,convert!$A$1:$B$4,2,0),"@@@",L460))</f>
        <v>'g3'</v>
      </c>
      <c r="AB460" s="4" t="str">
        <f>IF(M460="",IF(ISNUMBER(SEARCH("NOT NULL",UPPER(M$3))),"''","null"),SUBSTITUTE(VLOOKUP(M$2,convert!$A$1:$B$4,2,0),"@@@",M460))</f>
        <v>null</v>
      </c>
      <c r="AC460" s="4" t="str">
        <f>IF(N460="",IF(ISNUMBER(SEARCH("NOT NULL",UPPER(N$3))),"''","null"),SUBSTITUTE(VLOOKUP(N$2,convert!$A$1:$B$4,2,0),"@@@",N460))</f>
        <v>null</v>
      </c>
      <c r="AD460" s="4" t="str">
        <f>IF(O460="",IF(ISNUMBER(SEARCH("NOT NULL",UPPER(O$3))),"''","null"),SUBSTITUTE(VLOOKUP(O$2,convert!$A$1:$B$4,2,0),"@@@",O460))</f>
        <v>TRUE</v>
      </c>
      <c r="AE460" s="4" t="str">
        <f t="shared" si="7"/>
        <v>    ('0371N01', 'タツベイ', 45, 75, 60, 40, 30, 50, '', 'dragon', null, 'g3', null, null, TRUE),</v>
      </c>
    </row>
    <row r="461" spans="1:31">
      <c r="A461" s="4" t="s">
        <v>933</v>
      </c>
      <c r="B461" s="4" t="s">
        <v>934</v>
      </c>
      <c r="C461" s="5">
        <v>65</v>
      </c>
      <c r="D461" s="5">
        <v>95</v>
      </c>
      <c r="E461" s="5">
        <v>100</v>
      </c>
      <c r="F461" s="5">
        <v>60</v>
      </c>
      <c r="G461" s="5">
        <v>50</v>
      </c>
      <c r="H461" s="5">
        <v>50</v>
      </c>
      <c r="I461" s="5"/>
      <c r="J461" s="4" t="s">
        <v>50</v>
      </c>
      <c r="K461" s="5"/>
      <c r="L461" s="4" t="s">
        <v>656</v>
      </c>
      <c r="M461" s="5"/>
      <c r="N461" s="5"/>
      <c r="O461" s="5" t="b">
        <v>1</v>
      </c>
      <c r="P461" s="4" t="str">
        <f>IF(A461="",IF(ISNUMBER(SEARCH("NOT NULL",UPPER(A$3))),"''","null"),SUBSTITUTE(VLOOKUP(A$2,convert!$A$1:$B$4,2,0),"@@@",A461))</f>
        <v>'0372N01'</v>
      </c>
      <c r="Q461" s="4" t="str">
        <f>IF(B461="",IF(ISNUMBER(SEARCH("NOT NULL",UPPER(B$3))),"''","null"),SUBSTITUTE(VLOOKUP(B$2,convert!$A$1:$B$4,2,0),"@@@",B461))</f>
        <v>'コモルー'</v>
      </c>
      <c r="R461" s="4" t="str">
        <f>IF(C461="",IF(ISNUMBER(SEARCH("NOT NULL",UPPER(C$3))),"''","null"),SUBSTITUTE(VLOOKUP(C$2,convert!$A$1:$B$4,2,0),"@@@",C461))</f>
        <v>65</v>
      </c>
      <c r="S461" s="4" t="str">
        <f>IF(D461="",IF(ISNUMBER(SEARCH("NOT NULL",UPPER(D$3))),"''","null"),SUBSTITUTE(VLOOKUP(D$2,convert!$A$1:$B$4,2,0),"@@@",D461))</f>
        <v>95</v>
      </c>
      <c r="T461" s="4" t="str">
        <f>IF(E461="",IF(ISNUMBER(SEARCH("NOT NULL",UPPER(E$3))),"''","null"),SUBSTITUTE(VLOOKUP(E$2,convert!$A$1:$B$4,2,0),"@@@",E461))</f>
        <v>100</v>
      </c>
      <c r="U461" s="4" t="str">
        <f>IF(F461="",IF(ISNUMBER(SEARCH("NOT NULL",UPPER(F$3))),"''","null"),SUBSTITUTE(VLOOKUP(F$2,convert!$A$1:$B$4,2,0),"@@@",F461))</f>
        <v>60</v>
      </c>
      <c r="V461" s="4" t="str">
        <f>IF(G461="",IF(ISNUMBER(SEARCH("NOT NULL",UPPER(G$3))),"''","null"),SUBSTITUTE(VLOOKUP(G$2,convert!$A$1:$B$4,2,0),"@@@",G461))</f>
        <v>50</v>
      </c>
      <c r="W461" s="4" t="str">
        <f>IF(H461="",IF(ISNUMBER(SEARCH("NOT NULL",UPPER(H$3))),"''","null"),SUBSTITUTE(VLOOKUP(H$2,convert!$A$1:$B$4,2,0),"@@@",H461))</f>
        <v>50</v>
      </c>
      <c r="X461" s="4" t="str">
        <f>IF(I461="",IF(ISNUMBER(SEARCH("NOT NULL",UPPER(I$3))),"''","null"),SUBSTITUTE(VLOOKUP(I$2,convert!$A$1:$B$4,2,0),"@@@",I461))</f>
        <v>''</v>
      </c>
      <c r="Y461" s="4" t="str">
        <f>IF(J461="",IF(ISNUMBER(SEARCH("NOT NULL",UPPER(J$3))),"''","null"),SUBSTITUTE(VLOOKUP(J$2,convert!$A$1:$B$4,2,0),"@@@",J461))</f>
        <v>'dragon'</v>
      </c>
      <c r="Z461" s="4" t="str">
        <f>IF(K461="",IF(ISNUMBER(SEARCH("NOT NULL",UPPER(K$3))),"''","null"),SUBSTITUTE(VLOOKUP(K$2,convert!$A$1:$B$4,2,0),"@@@",K461))</f>
        <v>null</v>
      </c>
      <c r="AA461" s="4" t="str">
        <f>IF(L461="",IF(ISNUMBER(SEARCH("NOT NULL",UPPER(L$3))),"''","null"),SUBSTITUTE(VLOOKUP(L$2,convert!$A$1:$B$4,2,0),"@@@",L461))</f>
        <v>'g3'</v>
      </c>
      <c r="AB461" s="4" t="str">
        <f>IF(M461="",IF(ISNUMBER(SEARCH("NOT NULL",UPPER(M$3))),"''","null"),SUBSTITUTE(VLOOKUP(M$2,convert!$A$1:$B$4,2,0),"@@@",M461))</f>
        <v>null</v>
      </c>
      <c r="AC461" s="4" t="str">
        <f>IF(N461="",IF(ISNUMBER(SEARCH("NOT NULL",UPPER(N$3))),"''","null"),SUBSTITUTE(VLOOKUP(N$2,convert!$A$1:$B$4,2,0),"@@@",N461))</f>
        <v>null</v>
      </c>
      <c r="AD461" s="4" t="str">
        <f>IF(O461="",IF(ISNUMBER(SEARCH("NOT NULL",UPPER(O$3))),"''","null"),SUBSTITUTE(VLOOKUP(O$2,convert!$A$1:$B$4,2,0),"@@@",O461))</f>
        <v>TRUE</v>
      </c>
      <c r="AE461" s="4" t="str">
        <f t="shared" si="7"/>
        <v>    ('0372N01', 'コモルー', 65, 95, 100, 60, 50, 50, '', 'dragon', null, 'g3', null, null, TRUE),</v>
      </c>
    </row>
    <row r="462" spans="1:31">
      <c r="A462" s="4" t="s">
        <v>935</v>
      </c>
      <c r="B462" s="4" t="s">
        <v>936</v>
      </c>
      <c r="C462" s="5">
        <v>95</v>
      </c>
      <c r="D462" s="5">
        <v>135</v>
      </c>
      <c r="E462" s="5">
        <v>80</v>
      </c>
      <c r="F462" s="5">
        <v>110</v>
      </c>
      <c r="G462" s="5">
        <v>80</v>
      </c>
      <c r="H462" s="5">
        <v>100</v>
      </c>
      <c r="I462" s="5"/>
      <c r="J462" s="4" t="s">
        <v>50</v>
      </c>
      <c r="K462" s="4" t="s">
        <v>47</v>
      </c>
      <c r="L462" s="4" t="s">
        <v>656</v>
      </c>
      <c r="M462" s="5"/>
      <c r="N462" s="5"/>
      <c r="O462" s="5" t="b">
        <v>1</v>
      </c>
      <c r="P462" s="4" t="str">
        <f>IF(A462="",IF(ISNUMBER(SEARCH("NOT NULL",UPPER(A$3))),"''","null"),SUBSTITUTE(VLOOKUP(A$2,convert!$A$1:$B$4,2,0),"@@@",A462))</f>
        <v>'0373N01'</v>
      </c>
      <c r="Q462" s="4" t="str">
        <f>IF(B462="",IF(ISNUMBER(SEARCH("NOT NULL",UPPER(B$3))),"''","null"),SUBSTITUTE(VLOOKUP(B$2,convert!$A$1:$B$4,2,0),"@@@",B462))</f>
        <v>'ボーマンダ'</v>
      </c>
      <c r="R462" s="4" t="str">
        <f>IF(C462="",IF(ISNUMBER(SEARCH("NOT NULL",UPPER(C$3))),"''","null"),SUBSTITUTE(VLOOKUP(C$2,convert!$A$1:$B$4,2,0),"@@@",C462))</f>
        <v>95</v>
      </c>
      <c r="S462" s="4" t="str">
        <f>IF(D462="",IF(ISNUMBER(SEARCH("NOT NULL",UPPER(D$3))),"''","null"),SUBSTITUTE(VLOOKUP(D$2,convert!$A$1:$B$4,2,0),"@@@",D462))</f>
        <v>135</v>
      </c>
      <c r="T462" s="4" t="str">
        <f>IF(E462="",IF(ISNUMBER(SEARCH("NOT NULL",UPPER(E$3))),"''","null"),SUBSTITUTE(VLOOKUP(E$2,convert!$A$1:$B$4,2,0),"@@@",E462))</f>
        <v>80</v>
      </c>
      <c r="U462" s="4" t="str">
        <f>IF(F462="",IF(ISNUMBER(SEARCH("NOT NULL",UPPER(F$3))),"''","null"),SUBSTITUTE(VLOOKUP(F$2,convert!$A$1:$B$4,2,0),"@@@",F462))</f>
        <v>110</v>
      </c>
      <c r="V462" s="4" t="str">
        <f>IF(G462="",IF(ISNUMBER(SEARCH("NOT NULL",UPPER(G$3))),"''","null"),SUBSTITUTE(VLOOKUP(G$2,convert!$A$1:$B$4,2,0),"@@@",G462))</f>
        <v>80</v>
      </c>
      <c r="W462" s="4" t="str">
        <f>IF(H462="",IF(ISNUMBER(SEARCH("NOT NULL",UPPER(H$3))),"''","null"),SUBSTITUTE(VLOOKUP(H$2,convert!$A$1:$B$4,2,0),"@@@",H462))</f>
        <v>100</v>
      </c>
      <c r="X462" s="4" t="str">
        <f>IF(I462="",IF(ISNUMBER(SEARCH("NOT NULL",UPPER(I$3))),"''","null"),SUBSTITUTE(VLOOKUP(I$2,convert!$A$1:$B$4,2,0),"@@@",I462))</f>
        <v>''</v>
      </c>
      <c r="Y462" s="4" t="str">
        <f>IF(J462="",IF(ISNUMBER(SEARCH("NOT NULL",UPPER(J$3))),"''","null"),SUBSTITUTE(VLOOKUP(J$2,convert!$A$1:$B$4,2,0),"@@@",J462))</f>
        <v>'dragon'</v>
      </c>
      <c r="Z462" s="4" t="str">
        <f>IF(K462="",IF(ISNUMBER(SEARCH("NOT NULL",UPPER(K$3))),"''","null"),SUBSTITUTE(VLOOKUP(K$2,convert!$A$1:$B$4,2,0),"@@@",K462))</f>
        <v>'flying'</v>
      </c>
      <c r="AA462" s="4" t="str">
        <f>IF(L462="",IF(ISNUMBER(SEARCH("NOT NULL",UPPER(L$3))),"''","null"),SUBSTITUTE(VLOOKUP(L$2,convert!$A$1:$B$4,2,0),"@@@",L462))</f>
        <v>'g3'</v>
      </c>
      <c r="AB462" s="4" t="str">
        <f>IF(M462="",IF(ISNUMBER(SEARCH("NOT NULL",UPPER(M$3))),"''","null"),SUBSTITUTE(VLOOKUP(M$2,convert!$A$1:$B$4,2,0),"@@@",M462))</f>
        <v>null</v>
      </c>
      <c r="AC462" s="4" t="str">
        <f>IF(N462="",IF(ISNUMBER(SEARCH("NOT NULL",UPPER(N$3))),"''","null"),SUBSTITUTE(VLOOKUP(N$2,convert!$A$1:$B$4,2,0),"@@@",N462))</f>
        <v>null</v>
      </c>
      <c r="AD462" s="4" t="str">
        <f>IF(O462="",IF(ISNUMBER(SEARCH("NOT NULL",UPPER(O$3))),"''","null"),SUBSTITUTE(VLOOKUP(O$2,convert!$A$1:$B$4,2,0),"@@@",O462))</f>
        <v>TRUE</v>
      </c>
      <c r="AE462" s="4" t="str">
        <f t="shared" si="7"/>
        <v>    ('0373N01', 'ボーマンダ', 95, 135, 80, 110, 80, 100, '', 'dragon', 'flying', 'g3', null, null, TRUE),</v>
      </c>
    </row>
    <row r="463" spans="1:31">
      <c r="A463" s="4" t="s">
        <v>937</v>
      </c>
      <c r="B463" s="4" t="s">
        <v>938</v>
      </c>
      <c r="C463" s="5">
        <v>95</v>
      </c>
      <c r="D463" s="5">
        <v>145</v>
      </c>
      <c r="E463" s="5">
        <v>130</v>
      </c>
      <c r="F463" s="5">
        <v>120</v>
      </c>
      <c r="G463" s="5">
        <v>90</v>
      </c>
      <c r="H463" s="5">
        <v>120</v>
      </c>
      <c r="I463" s="5"/>
      <c r="J463" s="4" t="s">
        <v>50</v>
      </c>
      <c r="K463" s="4" t="s">
        <v>47</v>
      </c>
      <c r="L463" s="4" t="s">
        <v>77</v>
      </c>
      <c r="M463" s="5"/>
      <c r="N463" s="5"/>
      <c r="O463" s="5" t="b">
        <v>1</v>
      </c>
      <c r="P463" s="4" t="str">
        <f>IF(A463="",IF(ISNUMBER(SEARCH("NOT NULL",UPPER(A$3))),"''","null"),SUBSTITUTE(VLOOKUP(A$2,convert!$A$1:$B$4,2,0),"@@@",A463))</f>
        <v>'0373M01'</v>
      </c>
      <c r="Q463" s="4" t="str">
        <f>IF(B463="",IF(ISNUMBER(SEARCH("NOT NULL",UPPER(B$3))),"''","null"),SUBSTITUTE(VLOOKUP(B$2,convert!$A$1:$B$4,2,0),"@@@",B463))</f>
        <v>'メガボーマンダ'</v>
      </c>
      <c r="R463" s="4" t="str">
        <f>IF(C463="",IF(ISNUMBER(SEARCH("NOT NULL",UPPER(C$3))),"''","null"),SUBSTITUTE(VLOOKUP(C$2,convert!$A$1:$B$4,2,0),"@@@",C463))</f>
        <v>95</v>
      </c>
      <c r="S463" s="4" t="str">
        <f>IF(D463="",IF(ISNUMBER(SEARCH("NOT NULL",UPPER(D$3))),"''","null"),SUBSTITUTE(VLOOKUP(D$2,convert!$A$1:$B$4,2,0),"@@@",D463))</f>
        <v>145</v>
      </c>
      <c r="T463" s="4" t="str">
        <f>IF(E463="",IF(ISNUMBER(SEARCH("NOT NULL",UPPER(E$3))),"''","null"),SUBSTITUTE(VLOOKUP(E$2,convert!$A$1:$B$4,2,0),"@@@",E463))</f>
        <v>130</v>
      </c>
      <c r="U463" s="4" t="str">
        <f>IF(F463="",IF(ISNUMBER(SEARCH("NOT NULL",UPPER(F$3))),"''","null"),SUBSTITUTE(VLOOKUP(F$2,convert!$A$1:$B$4,2,0),"@@@",F463))</f>
        <v>120</v>
      </c>
      <c r="V463" s="4" t="str">
        <f>IF(G463="",IF(ISNUMBER(SEARCH("NOT NULL",UPPER(G$3))),"''","null"),SUBSTITUTE(VLOOKUP(G$2,convert!$A$1:$B$4,2,0),"@@@",G463))</f>
        <v>90</v>
      </c>
      <c r="W463" s="4" t="str">
        <f>IF(H463="",IF(ISNUMBER(SEARCH("NOT NULL",UPPER(H$3))),"''","null"),SUBSTITUTE(VLOOKUP(H$2,convert!$A$1:$B$4,2,0),"@@@",H463))</f>
        <v>120</v>
      </c>
      <c r="X463" s="4" t="str">
        <f>IF(I463="",IF(ISNUMBER(SEARCH("NOT NULL",UPPER(I$3))),"''","null"),SUBSTITUTE(VLOOKUP(I$2,convert!$A$1:$B$4,2,0),"@@@",I463))</f>
        <v>''</v>
      </c>
      <c r="Y463" s="4" t="str">
        <f>IF(J463="",IF(ISNUMBER(SEARCH("NOT NULL",UPPER(J$3))),"''","null"),SUBSTITUTE(VLOOKUP(J$2,convert!$A$1:$B$4,2,0),"@@@",J463))</f>
        <v>'dragon'</v>
      </c>
      <c r="Z463" s="4" t="str">
        <f>IF(K463="",IF(ISNUMBER(SEARCH("NOT NULL",UPPER(K$3))),"''","null"),SUBSTITUTE(VLOOKUP(K$2,convert!$A$1:$B$4,2,0),"@@@",K463))</f>
        <v>'flying'</v>
      </c>
      <c r="AA463" s="4" t="str">
        <f>IF(L463="",IF(ISNUMBER(SEARCH("NOT NULL",UPPER(L$3))),"''","null"),SUBSTITUTE(VLOOKUP(L$2,convert!$A$1:$B$4,2,0),"@@@",L463))</f>
        <v>'g6oras'</v>
      </c>
      <c r="AB463" s="4" t="str">
        <f>IF(M463="",IF(ISNUMBER(SEARCH("NOT NULL",UPPER(M$3))),"''","null"),SUBSTITUTE(VLOOKUP(M$2,convert!$A$1:$B$4,2,0),"@@@",M463))</f>
        <v>null</v>
      </c>
      <c r="AC463" s="4" t="str">
        <f>IF(N463="",IF(ISNUMBER(SEARCH("NOT NULL",UPPER(N$3))),"''","null"),SUBSTITUTE(VLOOKUP(N$2,convert!$A$1:$B$4,2,0),"@@@",N463))</f>
        <v>null</v>
      </c>
      <c r="AD463" s="4" t="str">
        <f>IF(O463="",IF(ISNUMBER(SEARCH("NOT NULL",UPPER(O$3))),"''","null"),SUBSTITUTE(VLOOKUP(O$2,convert!$A$1:$B$4,2,0),"@@@",O463))</f>
        <v>TRUE</v>
      </c>
      <c r="AE463" s="4" t="str">
        <f t="shared" si="7"/>
        <v>    ('0373M01', 'メガボーマンダ', 95, 145, 130, 120, 90, 120, '', 'dragon', 'flying', 'g6oras', null, null, TRUE),</v>
      </c>
    </row>
    <row r="464" spans="1:31">
      <c r="A464" s="4" t="s">
        <v>939</v>
      </c>
      <c r="B464" s="4" t="s">
        <v>940</v>
      </c>
      <c r="C464" s="5">
        <v>40</v>
      </c>
      <c r="D464" s="5">
        <v>55</v>
      </c>
      <c r="E464" s="5">
        <v>80</v>
      </c>
      <c r="F464" s="5">
        <v>35</v>
      </c>
      <c r="G464" s="5">
        <v>60</v>
      </c>
      <c r="H464" s="5">
        <v>30</v>
      </c>
      <c r="I464" s="5"/>
      <c r="J464" s="4" t="s">
        <v>119</v>
      </c>
      <c r="K464" s="4" t="s">
        <v>113</v>
      </c>
      <c r="L464" s="4" t="s">
        <v>656</v>
      </c>
      <c r="M464" s="5"/>
      <c r="N464" s="5"/>
      <c r="O464" s="5" t="b">
        <v>1</v>
      </c>
      <c r="P464" s="4" t="str">
        <f>IF(A464="",IF(ISNUMBER(SEARCH("NOT NULL",UPPER(A$3))),"''","null"),SUBSTITUTE(VLOOKUP(A$2,convert!$A$1:$B$4,2,0),"@@@",A464))</f>
        <v>'0374N01'</v>
      </c>
      <c r="Q464" s="4" t="str">
        <f>IF(B464="",IF(ISNUMBER(SEARCH("NOT NULL",UPPER(B$3))),"''","null"),SUBSTITUTE(VLOOKUP(B$2,convert!$A$1:$B$4,2,0),"@@@",B464))</f>
        <v>'ダンバル'</v>
      </c>
      <c r="R464" s="4" t="str">
        <f>IF(C464="",IF(ISNUMBER(SEARCH("NOT NULL",UPPER(C$3))),"''","null"),SUBSTITUTE(VLOOKUP(C$2,convert!$A$1:$B$4,2,0),"@@@",C464))</f>
        <v>40</v>
      </c>
      <c r="S464" s="4" t="str">
        <f>IF(D464="",IF(ISNUMBER(SEARCH("NOT NULL",UPPER(D$3))),"''","null"),SUBSTITUTE(VLOOKUP(D$2,convert!$A$1:$B$4,2,0),"@@@",D464))</f>
        <v>55</v>
      </c>
      <c r="T464" s="4" t="str">
        <f>IF(E464="",IF(ISNUMBER(SEARCH("NOT NULL",UPPER(E$3))),"''","null"),SUBSTITUTE(VLOOKUP(E$2,convert!$A$1:$B$4,2,0),"@@@",E464))</f>
        <v>80</v>
      </c>
      <c r="U464" s="4" t="str">
        <f>IF(F464="",IF(ISNUMBER(SEARCH("NOT NULL",UPPER(F$3))),"''","null"),SUBSTITUTE(VLOOKUP(F$2,convert!$A$1:$B$4,2,0),"@@@",F464))</f>
        <v>35</v>
      </c>
      <c r="V464" s="4" t="str">
        <f>IF(G464="",IF(ISNUMBER(SEARCH("NOT NULL",UPPER(G$3))),"''","null"),SUBSTITUTE(VLOOKUP(G$2,convert!$A$1:$B$4,2,0),"@@@",G464))</f>
        <v>60</v>
      </c>
      <c r="W464" s="4" t="str">
        <f>IF(H464="",IF(ISNUMBER(SEARCH("NOT NULL",UPPER(H$3))),"''","null"),SUBSTITUTE(VLOOKUP(H$2,convert!$A$1:$B$4,2,0),"@@@",H464))</f>
        <v>30</v>
      </c>
      <c r="X464" s="4" t="str">
        <f>IF(I464="",IF(ISNUMBER(SEARCH("NOT NULL",UPPER(I$3))),"''","null"),SUBSTITUTE(VLOOKUP(I$2,convert!$A$1:$B$4,2,0),"@@@",I464))</f>
        <v>''</v>
      </c>
      <c r="Y464" s="4" t="str">
        <f>IF(J464="",IF(ISNUMBER(SEARCH("NOT NULL",UPPER(J$3))),"''","null"),SUBSTITUTE(VLOOKUP(J$2,convert!$A$1:$B$4,2,0),"@@@",J464))</f>
        <v>'steel'</v>
      </c>
      <c r="Z464" s="4" t="str">
        <f>IF(K464="",IF(ISNUMBER(SEARCH("NOT NULL",UPPER(K$3))),"''","null"),SUBSTITUTE(VLOOKUP(K$2,convert!$A$1:$B$4,2,0),"@@@",K464))</f>
        <v>'psychic'</v>
      </c>
      <c r="AA464" s="4" t="str">
        <f>IF(L464="",IF(ISNUMBER(SEARCH("NOT NULL",UPPER(L$3))),"''","null"),SUBSTITUTE(VLOOKUP(L$2,convert!$A$1:$B$4,2,0),"@@@",L464))</f>
        <v>'g3'</v>
      </c>
      <c r="AB464" s="4" t="str">
        <f>IF(M464="",IF(ISNUMBER(SEARCH("NOT NULL",UPPER(M$3))),"''","null"),SUBSTITUTE(VLOOKUP(M$2,convert!$A$1:$B$4,2,0),"@@@",M464))</f>
        <v>null</v>
      </c>
      <c r="AC464" s="4" t="str">
        <f>IF(N464="",IF(ISNUMBER(SEARCH("NOT NULL",UPPER(N$3))),"''","null"),SUBSTITUTE(VLOOKUP(N$2,convert!$A$1:$B$4,2,0),"@@@",N464))</f>
        <v>null</v>
      </c>
      <c r="AD464" s="4" t="str">
        <f>IF(O464="",IF(ISNUMBER(SEARCH("NOT NULL",UPPER(O$3))),"''","null"),SUBSTITUTE(VLOOKUP(O$2,convert!$A$1:$B$4,2,0),"@@@",O464))</f>
        <v>TRUE</v>
      </c>
      <c r="AE464" s="4" t="str">
        <f t="shared" si="7"/>
        <v>    ('0374N01', 'ダンバル', 40, 55, 80, 35, 60, 30, '', 'steel', 'psychic', 'g3', null, null, TRUE),</v>
      </c>
    </row>
    <row r="465" spans="1:31">
      <c r="A465" s="4" t="s">
        <v>941</v>
      </c>
      <c r="B465" s="4" t="s">
        <v>942</v>
      </c>
      <c r="C465" s="5">
        <v>60</v>
      </c>
      <c r="D465" s="5">
        <v>75</v>
      </c>
      <c r="E465" s="5">
        <v>100</v>
      </c>
      <c r="F465" s="5">
        <v>55</v>
      </c>
      <c r="G465" s="5">
        <v>80</v>
      </c>
      <c r="H465" s="5">
        <v>50</v>
      </c>
      <c r="I465" s="5"/>
      <c r="J465" s="4" t="s">
        <v>119</v>
      </c>
      <c r="K465" s="4" t="s">
        <v>113</v>
      </c>
      <c r="L465" s="4" t="s">
        <v>656</v>
      </c>
      <c r="M465" s="5"/>
      <c r="N465" s="5"/>
      <c r="O465" s="5" t="b">
        <v>1</v>
      </c>
      <c r="P465" s="4" t="str">
        <f>IF(A465="",IF(ISNUMBER(SEARCH("NOT NULL",UPPER(A$3))),"''","null"),SUBSTITUTE(VLOOKUP(A$2,convert!$A$1:$B$4,2,0),"@@@",A465))</f>
        <v>'0375N01'</v>
      </c>
      <c r="Q465" s="4" t="str">
        <f>IF(B465="",IF(ISNUMBER(SEARCH("NOT NULL",UPPER(B$3))),"''","null"),SUBSTITUTE(VLOOKUP(B$2,convert!$A$1:$B$4,2,0),"@@@",B465))</f>
        <v>'メタング'</v>
      </c>
      <c r="R465" s="4" t="str">
        <f>IF(C465="",IF(ISNUMBER(SEARCH("NOT NULL",UPPER(C$3))),"''","null"),SUBSTITUTE(VLOOKUP(C$2,convert!$A$1:$B$4,2,0),"@@@",C465))</f>
        <v>60</v>
      </c>
      <c r="S465" s="4" t="str">
        <f>IF(D465="",IF(ISNUMBER(SEARCH("NOT NULL",UPPER(D$3))),"''","null"),SUBSTITUTE(VLOOKUP(D$2,convert!$A$1:$B$4,2,0),"@@@",D465))</f>
        <v>75</v>
      </c>
      <c r="T465" s="4" t="str">
        <f>IF(E465="",IF(ISNUMBER(SEARCH("NOT NULL",UPPER(E$3))),"''","null"),SUBSTITUTE(VLOOKUP(E$2,convert!$A$1:$B$4,2,0),"@@@",E465))</f>
        <v>100</v>
      </c>
      <c r="U465" s="4" t="str">
        <f>IF(F465="",IF(ISNUMBER(SEARCH("NOT NULL",UPPER(F$3))),"''","null"),SUBSTITUTE(VLOOKUP(F$2,convert!$A$1:$B$4,2,0),"@@@",F465))</f>
        <v>55</v>
      </c>
      <c r="V465" s="4" t="str">
        <f>IF(G465="",IF(ISNUMBER(SEARCH("NOT NULL",UPPER(G$3))),"''","null"),SUBSTITUTE(VLOOKUP(G$2,convert!$A$1:$B$4,2,0),"@@@",G465))</f>
        <v>80</v>
      </c>
      <c r="W465" s="4" t="str">
        <f>IF(H465="",IF(ISNUMBER(SEARCH("NOT NULL",UPPER(H$3))),"''","null"),SUBSTITUTE(VLOOKUP(H$2,convert!$A$1:$B$4,2,0),"@@@",H465))</f>
        <v>50</v>
      </c>
      <c r="X465" s="4" t="str">
        <f>IF(I465="",IF(ISNUMBER(SEARCH("NOT NULL",UPPER(I$3))),"''","null"),SUBSTITUTE(VLOOKUP(I$2,convert!$A$1:$B$4,2,0),"@@@",I465))</f>
        <v>''</v>
      </c>
      <c r="Y465" s="4" t="str">
        <f>IF(J465="",IF(ISNUMBER(SEARCH("NOT NULL",UPPER(J$3))),"''","null"),SUBSTITUTE(VLOOKUP(J$2,convert!$A$1:$B$4,2,0),"@@@",J465))</f>
        <v>'steel'</v>
      </c>
      <c r="Z465" s="4" t="str">
        <f>IF(K465="",IF(ISNUMBER(SEARCH("NOT NULL",UPPER(K$3))),"''","null"),SUBSTITUTE(VLOOKUP(K$2,convert!$A$1:$B$4,2,0),"@@@",K465))</f>
        <v>'psychic'</v>
      </c>
      <c r="AA465" s="4" t="str">
        <f>IF(L465="",IF(ISNUMBER(SEARCH("NOT NULL",UPPER(L$3))),"''","null"),SUBSTITUTE(VLOOKUP(L$2,convert!$A$1:$B$4,2,0),"@@@",L465))</f>
        <v>'g3'</v>
      </c>
      <c r="AB465" s="4" t="str">
        <f>IF(M465="",IF(ISNUMBER(SEARCH("NOT NULL",UPPER(M$3))),"''","null"),SUBSTITUTE(VLOOKUP(M$2,convert!$A$1:$B$4,2,0),"@@@",M465))</f>
        <v>null</v>
      </c>
      <c r="AC465" s="4" t="str">
        <f>IF(N465="",IF(ISNUMBER(SEARCH("NOT NULL",UPPER(N$3))),"''","null"),SUBSTITUTE(VLOOKUP(N$2,convert!$A$1:$B$4,2,0),"@@@",N465))</f>
        <v>null</v>
      </c>
      <c r="AD465" s="4" t="str">
        <f>IF(O465="",IF(ISNUMBER(SEARCH("NOT NULL",UPPER(O$3))),"''","null"),SUBSTITUTE(VLOOKUP(O$2,convert!$A$1:$B$4,2,0),"@@@",O465))</f>
        <v>TRUE</v>
      </c>
      <c r="AE465" s="4" t="str">
        <f t="shared" si="7"/>
        <v>    ('0375N01', 'メタング', 60, 75, 100, 55, 80, 50, '', 'steel', 'psychic', 'g3', null, null, TRUE),</v>
      </c>
    </row>
    <row r="466" spans="1:31">
      <c r="A466" s="4" t="s">
        <v>943</v>
      </c>
      <c r="B466" s="4" t="s">
        <v>944</v>
      </c>
      <c r="C466" s="5">
        <v>80</v>
      </c>
      <c r="D466" s="5">
        <v>135</v>
      </c>
      <c r="E466" s="5">
        <v>130</v>
      </c>
      <c r="F466" s="5">
        <v>95</v>
      </c>
      <c r="G466" s="5">
        <v>90</v>
      </c>
      <c r="H466" s="5">
        <v>70</v>
      </c>
      <c r="I466" s="5"/>
      <c r="J466" s="4" t="s">
        <v>119</v>
      </c>
      <c r="K466" s="4" t="s">
        <v>113</v>
      </c>
      <c r="L466" s="4" t="s">
        <v>656</v>
      </c>
      <c r="M466" s="5"/>
      <c r="N466" s="5"/>
      <c r="O466" s="5" t="b">
        <v>1</v>
      </c>
      <c r="P466" s="4" t="str">
        <f>IF(A466="",IF(ISNUMBER(SEARCH("NOT NULL",UPPER(A$3))),"''","null"),SUBSTITUTE(VLOOKUP(A$2,convert!$A$1:$B$4,2,0),"@@@",A466))</f>
        <v>'0376N01'</v>
      </c>
      <c r="Q466" s="4" t="str">
        <f>IF(B466="",IF(ISNUMBER(SEARCH("NOT NULL",UPPER(B$3))),"''","null"),SUBSTITUTE(VLOOKUP(B$2,convert!$A$1:$B$4,2,0),"@@@",B466))</f>
        <v>'メタグロス'</v>
      </c>
      <c r="R466" s="4" t="str">
        <f>IF(C466="",IF(ISNUMBER(SEARCH("NOT NULL",UPPER(C$3))),"''","null"),SUBSTITUTE(VLOOKUP(C$2,convert!$A$1:$B$4,2,0),"@@@",C466))</f>
        <v>80</v>
      </c>
      <c r="S466" s="4" t="str">
        <f>IF(D466="",IF(ISNUMBER(SEARCH("NOT NULL",UPPER(D$3))),"''","null"),SUBSTITUTE(VLOOKUP(D$2,convert!$A$1:$B$4,2,0),"@@@",D466))</f>
        <v>135</v>
      </c>
      <c r="T466" s="4" t="str">
        <f>IF(E466="",IF(ISNUMBER(SEARCH("NOT NULL",UPPER(E$3))),"''","null"),SUBSTITUTE(VLOOKUP(E$2,convert!$A$1:$B$4,2,0),"@@@",E466))</f>
        <v>130</v>
      </c>
      <c r="U466" s="4" t="str">
        <f>IF(F466="",IF(ISNUMBER(SEARCH("NOT NULL",UPPER(F$3))),"''","null"),SUBSTITUTE(VLOOKUP(F$2,convert!$A$1:$B$4,2,0),"@@@",F466))</f>
        <v>95</v>
      </c>
      <c r="V466" s="4" t="str">
        <f>IF(G466="",IF(ISNUMBER(SEARCH("NOT NULL",UPPER(G$3))),"''","null"),SUBSTITUTE(VLOOKUP(G$2,convert!$A$1:$B$4,2,0),"@@@",G466))</f>
        <v>90</v>
      </c>
      <c r="W466" s="4" t="str">
        <f>IF(H466="",IF(ISNUMBER(SEARCH("NOT NULL",UPPER(H$3))),"''","null"),SUBSTITUTE(VLOOKUP(H$2,convert!$A$1:$B$4,2,0),"@@@",H466))</f>
        <v>70</v>
      </c>
      <c r="X466" s="4" t="str">
        <f>IF(I466="",IF(ISNUMBER(SEARCH("NOT NULL",UPPER(I$3))),"''","null"),SUBSTITUTE(VLOOKUP(I$2,convert!$A$1:$B$4,2,0),"@@@",I466))</f>
        <v>''</v>
      </c>
      <c r="Y466" s="4" t="str">
        <f>IF(J466="",IF(ISNUMBER(SEARCH("NOT NULL",UPPER(J$3))),"''","null"),SUBSTITUTE(VLOOKUP(J$2,convert!$A$1:$B$4,2,0),"@@@",J466))</f>
        <v>'steel'</v>
      </c>
      <c r="Z466" s="4" t="str">
        <f>IF(K466="",IF(ISNUMBER(SEARCH("NOT NULL",UPPER(K$3))),"''","null"),SUBSTITUTE(VLOOKUP(K$2,convert!$A$1:$B$4,2,0),"@@@",K466))</f>
        <v>'psychic'</v>
      </c>
      <c r="AA466" s="4" t="str">
        <f>IF(L466="",IF(ISNUMBER(SEARCH("NOT NULL",UPPER(L$3))),"''","null"),SUBSTITUTE(VLOOKUP(L$2,convert!$A$1:$B$4,2,0),"@@@",L466))</f>
        <v>'g3'</v>
      </c>
      <c r="AB466" s="4" t="str">
        <f>IF(M466="",IF(ISNUMBER(SEARCH("NOT NULL",UPPER(M$3))),"''","null"),SUBSTITUTE(VLOOKUP(M$2,convert!$A$1:$B$4,2,0),"@@@",M466))</f>
        <v>null</v>
      </c>
      <c r="AC466" s="4" t="str">
        <f>IF(N466="",IF(ISNUMBER(SEARCH("NOT NULL",UPPER(N$3))),"''","null"),SUBSTITUTE(VLOOKUP(N$2,convert!$A$1:$B$4,2,0),"@@@",N466))</f>
        <v>null</v>
      </c>
      <c r="AD466" s="4" t="str">
        <f>IF(O466="",IF(ISNUMBER(SEARCH("NOT NULL",UPPER(O$3))),"''","null"),SUBSTITUTE(VLOOKUP(O$2,convert!$A$1:$B$4,2,0),"@@@",O466))</f>
        <v>TRUE</v>
      </c>
      <c r="AE466" s="4" t="str">
        <f t="shared" si="7"/>
        <v>    ('0376N01', 'メタグロス', 80, 135, 130, 95, 90, 70, '', 'steel', 'psychic', 'g3', null, null, TRUE),</v>
      </c>
    </row>
    <row r="467" spans="1:31">
      <c r="A467" s="4" t="s">
        <v>945</v>
      </c>
      <c r="B467" s="4" t="s">
        <v>946</v>
      </c>
      <c r="C467" s="5">
        <v>80</v>
      </c>
      <c r="D467" s="5">
        <v>145</v>
      </c>
      <c r="E467" s="5">
        <v>150</v>
      </c>
      <c r="F467" s="5">
        <v>105</v>
      </c>
      <c r="G467" s="5">
        <v>110</v>
      </c>
      <c r="H467" s="5">
        <v>110</v>
      </c>
      <c r="I467" s="5"/>
      <c r="J467" s="4" t="s">
        <v>119</v>
      </c>
      <c r="K467" s="4" t="s">
        <v>113</v>
      </c>
      <c r="L467" s="4" t="s">
        <v>77</v>
      </c>
      <c r="M467" s="5"/>
      <c r="N467" s="5"/>
      <c r="O467" s="5" t="b">
        <v>0</v>
      </c>
      <c r="P467" s="4" t="str">
        <f>IF(A467="",IF(ISNUMBER(SEARCH("NOT NULL",UPPER(A$3))),"''","null"),SUBSTITUTE(VLOOKUP(A$2,convert!$A$1:$B$4,2,0),"@@@",A467))</f>
        <v>'0376M01'</v>
      </c>
      <c r="Q467" s="4" t="str">
        <f>IF(B467="",IF(ISNUMBER(SEARCH("NOT NULL",UPPER(B$3))),"''","null"),SUBSTITUTE(VLOOKUP(B$2,convert!$A$1:$B$4,2,0),"@@@",B467))</f>
        <v>'メガメタグロス'</v>
      </c>
      <c r="R467" s="4" t="str">
        <f>IF(C467="",IF(ISNUMBER(SEARCH("NOT NULL",UPPER(C$3))),"''","null"),SUBSTITUTE(VLOOKUP(C$2,convert!$A$1:$B$4,2,0),"@@@",C467))</f>
        <v>80</v>
      </c>
      <c r="S467" s="4" t="str">
        <f>IF(D467="",IF(ISNUMBER(SEARCH("NOT NULL",UPPER(D$3))),"''","null"),SUBSTITUTE(VLOOKUP(D$2,convert!$A$1:$B$4,2,0),"@@@",D467))</f>
        <v>145</v>
      </c>
      <c r="T467" s="4" t="str">
        <f>IF(E467="",IF(ISNUMBER(SEARCH("NOT NULL",UPPER(E$3))),"''","null"),SUBSTITUTE(VLOOKUP(E$2,convert!$A$1:$B$4,2,0),"@@@",E467))</f>
        <v>150</v>
      </c>
      <c r="U467" s="4" t="str">
        <f>IF(F467="",IF(ISNUMBER(SEARCH("NOT NULL",UPPER(F$3))),"''","null"),SUBSTITUTE(VLOOKUP(F$2,convert!$A$1:$B$4,2,0),"@@@",F467))</f>
        <v>105</v>
      </c>
      <c r="V467" s="4" t="str">
        <f>IF(G467="",IF(ISNUMBER(SEARCH("NOT NULL",UPPER(G$3))),"''","null"),SUBSTITUTE(VLOOKUP(G$2,convert!$A$1:$B$4,2,0),"@@@",G467))</f>
        <v>110</v>
      </c>
      <c r="W467" s="4" t="str">
        <f>IF(H467="",IF(ISNUMBER(SEARCH("NOT NULL",UPPER(H$3))),"''","null"),SUBSTITUTE(VLOOKUP(H$2,convert!$A$1:$B$4,2,0),"@@@",H467))</f>
        <v>110</v>
      </c>
      <c r="X467" s="4" t="str">
        <f>IF(I467="",IF(ISNUMBER(SEARCH("NOT NULL",UPPER(I$3))),"''","null"),SUBSTITUTE(VLOOKUP(I$2,convert!$A$1:$B$4,2,0),"@@@",I467))</f>
        <v>''</v>
      </c>
      <c r="Y467" s="4" t="str">
        <f>IF(J467="",IF(ISNUMBER(SEARCH("NOT NULL",UPPER(J$3))),"''","null"),SUBSTITUTE(VLOOKUP(J$2,convert!$A$1:$B$4,2,0),"@@@",J467))</f>
        <v>'steel'</v>
      </c>
      <c r="Z467" s="4" t="str">
        <f>IF(K467="",IF(ISNUMBER(SEARCH("NOT NULL",UPPER(K$3))),"''","null"),SUBSTITUTE(VLOOKUP(K$2,convert!$A$1:$B$4,2,0),"@@@",K467))</f>
        <v>'psychic'</v>
      </c>
      <c r="AA467" s="4" t="str">
        <f>IF(L467="",IF(ISNUMBER(SEARCH("NOT NULL",UPPER(L$3))),"''","null"),SUBSTITUTE(VLOOKUP(L$2,convert!$A$1:$B$4,2,0),"@@@",L467))</f>
        <v>'g6oras'</v>
      </c>
      <c r="AB467" s="4" t="str">
        <f>IF(M467="",IF(ISNUMBER(SEARCH("NOT NULL",UPPER(M$3))),"''","null"),SUBSTITUTE(VLOOKUP(M$2,convert!$A$1:$B$4,2,0),"@@@",M467))</f>
        <v>null</v>
      </c>
      <c r="AC467" s="4" t="str">
        <f>IF(N467="",IF(ISNUMBER(SEARCH("NOT NULL",UPPER(N$3))),"''","null"),SUBSTITUTE(VLOOKUP(N$2,convert!$A$1:$B$4,2,0),"@@@",N467))</f>
        <v>null</v>
      </c>
      <c r="AD467" s="4" t="str">
        <f>IF(O467="",IF(ISNUMBER(SEARCH("NOT NULL",UPPER(O$3))),"''","null"),SUBSTITUTE(VLOOKUP(O$2,convert!$A$1:$B$4,2,0),"@@@",O467))</f>
        <v>FALSE</v>
      </c>
      <c r="AE467" s="4" t="str">
        <f t="shared" si="7"/>
        <v>    ('0376M01', 'メガメタグロス', 80, 145, 150, 105, 110, 110, '', 'steel', 'psychic', 'g6oras', null, null, FALSE),</v>
      </c>
    </row>
    <row r="468" spans="1:31">
      <c r="A468" s="4" t="s">
        <v>947</v>
      </c>
      <c r="B468" s="4" t="s">
        <v>948</v>
      </c>
      <c r="C468" s="5">
        <v>80</v>
      </c>
      <c r="D468" s="5">
        <v>100</v>
      </c>
      <c r="E468" s="5">
        <v>200</v>
      </c>
      <c r="F468" s="5">
        <v>50</v>
      </c>
      <c r="G468" s="5">
        <v>100</v>
      </c>
      <c r="H468" s="5">
        <v>50</v>
      </c>
      <c r="I468" s="5"/>
      <c r="J468" s="4" t="s">
        <v>196</v>
      </c>
      <c r="K468" s="5"/>
      <c r="L468" s="4" t="s">
        <v>656</v>
      </c>
      <c r="M468" s="5"/>
      <c r="N468" s="5"/>
      <c r="O468" s="5" t="b">
        <v>1</v>
      </c>
      <c r="P468" s="4" t="str">
        <f>IF(A468="",IF(ISNUMBER(SEARCH("NOT NULL",UPPER(A$3))),"''","null"),SUBSTITUTE(VLOOKUP(A$2,convert!$A$1:$B$4,2,0),"@@@",A468))</f>
        <v>'0377N01'</v>
      </c>
      <c r="Q468" s="4" t="str">
        <f>IF(B468="",IF(ISNUMBER(SEARCH("NOT NULL",UPPER(B$3))),"''","null"),SUBSTITUTE(VLOOKUP(B$2,convert!$A$1:$B$4,2,0),"@@@",B468))</f>
        <v>'レジロック'</v>
      </c>
      <c r="R468" s="4" t="str">
        <f>IF(C468="",IF(ISNUMBER(SEARCH("NOT NULL",UPPER(C$3))),"''","null"),SUBSTITUTE(VLOOKUP(C$2,convert!$A$1:$B$4,2,0),"@@@",C468))</f>
        <v>80</v>
      </c>
      <c r="S468" s="4" t="str">
        <f>IF(D468="",IF(ISNUMBER(SEARCH("NOT NULL",UPPER(D$3))),"''","null"),SUBSTITUTE(VLOOKUP(D$2,convert!$A$1:$B$4,2,0),"@@@",D468))</f>
        <v>100</v>
      </c>
      <c r="T468" s="4" t="str">
        <f>IF(E468="",IF(ISNUMBER(SEARCH("NOT NULL",UPPER(E$3))),"''","null"),SUBSTITUTE(VLOOKUP(E$2,convert!$A$1:$B$4,2,0),"@@@",E468))</f>
        <v>200</v>
      </c>
      <c r="U468" s="4" t="str">
        <f>IF(F468="",IF(ISNUMBER(SEARCH("NOT NULL",UPPER(F$3))),"''","null"),SUBSTITUTE(VLOOKUP(F$2,convert!$A$1:$B$4,2,0),"@@@",F468))</f>
        <v>50</v>
      </c>
      <c r="V468" s="4" t="str">
        <f>IF(G468="",IF(ISNUMBER(SEARCH("NOT NULL",UPPER(G$3))),"''","null"),SUBSTITUTE(VLOOKUP(G$2,convert!$A$1:$B$4,2,0),"@@@",G468))</f>
        <v>100</v>
      </c>
      <c r="W468" s="4" t="str">
        <f>IF(H468="",IF(ISNUMBER(SEARCH("NOT NULL",UPPER(H$3))),"''","null"),SUBSTITUTE(VLOOKUP(H$2,convert!$A$1:$B$4,2,0),"@@@",H468))</f>
        <v>50</v>
      </c>
      <c r="X468" s="4" t="str">
        <f>IF(I468="",IF(ISNUMBER(SEARCH("NOT NULL",UPPER(I$3))),"''","null"),SUBSTITUTE(VLOOKUP(I$2,convert!$A$1:$B$4,2,0),"@@@",I468))</f>
        <v>''</v>
      </c>
      <c r="Y468" s="4" t="str">
        <f>IF(J468="",IF(ISNUMBER(SEARCH("NOT NULL",UPPER(J$3))),"''","null"),SUBSTITUTE(VLOOKUP(J$2,convert!$A$1:$B$4,2,0),"@@@",J468))</f>
        <v>'rock'</v>
      </c>
      <c r="Z468" s="4" t="str">
        <f>IF(K468="",IF(ISNUMBER(SEARCH("NOT NULL",UPPER(K$3))),"''","null"),SUBSTITUTE(VLOOKUP(K$2,convert!$A$1:$B$4,2,0),"@@@",K468))</f>
        <v>null</v>
      </c>
      <c r="AA468" s="4" t="str">
        <f>IF(L468="",IF(ISNUMBER(SEARCH("NOT NULL",UPPER(L$3))),"''","null"),SUBSTITUTE(VLOOKUP(L$2,convert!$A$1:$B$4,2,0),"@@@",L468))</f>
        <v>'g3'</v>
      </c>
      <c r="AB468" s="4" t="str">
        <f>IF(M468="",IF(ISNUMBER(SEARCH("NOT NULL",UPPER(M$3))),"''","null"),SUBSTITUTE(VLOOKUP(M$2,convert!$A$1:$B$4,2,0),"@@@",M468))</f>
        <v>null</v>
      </c>
      <c r="AC468" s="4" t="str">
        <f>IF(N468="",IF(ISNUMBER(SEARCH("NOT NULL",UPPER(N$3))),"''","null"),SUBSTITUTE(VLOOKUP(N$2,convert!$A$1:$B$4,2,0),"@@@",N468))</f>
        <v>null</v>
      </c>
      <c r="AD468" s="4" t="str">
        <f>IF(O468="",IF(ISNUMBER(SEARCH("NOT NULL",UPPER(O$3))),"''","null"),SUBSTITUTE(VLOOKUP(O$2,convert!$A$1:$B$4,2,0),"@@@",O468))</f>
        <v>TRUE</v>
      </c>
      <c r="AE468" s="4" t="str">
        <f t="shared" si="7"/>
        <v>    ('0377N01', 'レジロック', 80, 100, 200, 50, 100, 50, '', 'rock', null, 'g3', null, null, TRUE),</v>
      </c>
    </row>
    <row r="469" spans="1:31">
      <c r="A469" s="4" t="s">
        <v>949</v>
      </c>
      <c r="B469" s="4" t="s">
        <v>950</v>
      </c>
      <c r="C469" s="5">
        <v>80</v>
      </c>
      <c r="D469" s="5">
        <v>50</v>
      </c>
      <c r="E469" s="5">
        <v>100</v>
      </c>
      <c r="F469" s="5">
        <v>100</v>
      </c>
      <c r="G469" s="5">
        <v>200</v>
      </c>
      <c r="H469" s="5">
        <v>50</v>
      </c>
      <c r="I469" s="5"/>
      <c r="J469" s="4" t="s">
        <v>118</v>
      </c>
      <c r="K469" s="5"/>
      <c r="L469" s="4" t="s">
        <v>656</v>
      </c>
      <c r="M469" s="5"/>
      <c r="N469" s="5"/>
      <c r="O469" s="5" t="b">
        <v>1</v>
      </c>
      <c r="P469" s="4" t="str">
        <f>IF(A469="",IF(ISNUMBER(SEARCH("NOT NULL",UPPER(A$3))),"''","null"),SUBSTITUTE(VLOOKUP(A$2,convert!$A$1:$B$4,2,0),"@@@",A469))</f>
        <v>'0378N01'</v>
      </c>
      <c r="Q469" s="4" t="str">
        <f>IF(B469="",IF(ISNUMBER(SEARCH("NOT NULL",UPPER(B$3))),"''","null"),SUBSTITUTE(VLOOKUP(B$2,convert!$A$1:$B$4,2,0),"@@@",B469))</f>
        <v>'レジアイス'</v>
      </c>
      <c r="R469" s="4" t="str">
        <f>IF(C469="",IF(ISNUMBER(SEARCH("NOT NULL",UPPER(C$3))),"''","null"),SUBSTITUTE(VLOOKUP(C$2,convert!$A$1:$B$4,2,0),"@@@",C469))</f>
        <v>80</v>
      </c>
      <c r="S469" s="4" t="str">
        <f>IF(D469="",IF(ISNUMBER(SEARCH("NOT NULL",UPPER(D$3))),"''","null"),SUBSTITUTE(VLOOKUP(D$2,convert!$A$1:$B$4,2,0),"@@@",D469))</f>
        <v>50</v>
      </c>
      <c r="T469" s="4" t="str">
        <f>IF(E469="",IF(ISNUMBER(SEARCH("NOT NULL",UPPER(E$3))),"''","null"),SUBSTITUTE(VLOOKUP(E$2,convert!$A$1:$B$4,2,0),"@@@",E469))</f>
        <v>100</v>
      </c>
      <c r="U469" s="4" t="str">
        <f>IF(F469="",IF(ISNUMBER(SEARCH("NOT NULL",UPPER(F$3))),"''","null"),SUBSTITUTE(VLOOKUP(F$2,convert!$A$1:$B$4,2,0),"@@@",F469))</f>
        <v>100</v>
      </c>
      <c r="V469" s="4" t="str">
        <f>IF(G469="",IF(ISNUMBER(SEARCH("NOT NULL",UPPER(G$3))),"''","null"),SUBSTITUTE(VLOOKUP(G$2,convert!$A$1:$B$4,2,0),"@@@",G469))</f>
        <v>200</v>
      </c>
      <c r="W469" s="4" t="str">
        <f>IF(H469="",IF(ISNUMBER(SEARCH("NOT NULL",UPPER(H$3))),"''","null"),SUBSTITUTE(VLOOKUP(H$2,convert!$A$1:$B$4,2,0),"@@@",H469))</f>
        <v>50</v>
      </c>
      <c r="X469" s="4" t="str">
        <f>IF(I469="",IF(ISNUMBER(SEARCH("NOT NULL",UPPER(I$3))),"''","null"),SUBSTITUTE(VLOOKUP(I$2,convert!$A$1:$B$4,2,0),"@@@",I469))</f>
        <v>''</v>
      </c>
      <c r="Y469" s="4" t="str">
        <f>IF(J469="",IF(ISNUMBER(SEARCH("NOT NULL",UPPER(J$3))),"''","null"),SUBSTITUTE(VLOOKUP(J$2,convert!$A$1:$B$4,2,0),"@@@",J469))</f>
        <v>'ice'</v>
      </c>
      <c r="Z469" s="4" t="str">
        <f>IF(K469="",IF(ISNUMBER(SEARCH("NOT NULL",UPPER(K$3))),"''","null"),SUBSTITUTE(VLOOKUP(K$2,convert!$A$1:$B$4,2,0),"@@@",K469))</f>
        <v>null</v>
      </c>
      <c r="AA469" s="4" t="str">
        <f>IF(L469="",IF(ISNUMBER(SEARCH("NOT NULL",UPPER(L$3))),"''","null"),SUBSTITUTE(VLOOKUP(L$2,convert!$A$1:$B$4,2,0),"@@@",L469))</f>
        <v>'g3'</v>
      </c>
      <c r="AB469" s="4" t="str">
        <f>IF(M469="",IF(ISNUMBER(SEARCH("NOT NULL",UPPER(M$3))),"''","null"),SUBSTITUTE(VLOOKUP(M$2,convert!$A$1:$B$4,2,0),"@@@",M469))</f>
        <v>null</v>
      </c>
      <c r="AC469" s="4" t="str">
        <f>IF(N469="",IF(ISNUMBER(SEARCH("NOT NULL",UPPER(N$3))),"''","null"),SUBSTITUTE(VLOOKUP(N$2,convert!$A$1:$B$4,2,0),"@@@",N469))</f>
        <v>null</v>
      </c>
      <c r="AD469" s="4" t="str">
        <f>IF(O469="",IF(ISNUMBER(SEARCH("NOT NULL",UPPER(O$3))),"''","null"),SUBSTITUTE(VLOOKUP(O$2,convert!$A$1:$B$4,2,0),"@@@",O469))</f>
        <v>TRUE</v>
      </c>
      <c r="AE469" s="4" t="str">
        <f t="shared" si="7"/>
        <v>    ('0378N01', 'レジアイス', 80, 50, 100, 100, 200, 50, '', 'ice', null, 'g3', null, null, TRUE),</v>
      </c>
    </row>
    <row r="470" spans="1:31">
      <c r="A470" s="4" t="s">
        <v>951</v>
      </c>
      <c r="B470" s="4" t="s">
        <v>952</v>
      </c>
      <c r="C470" s="5">
        <v>80</v>
      </c>
      <c r="D470" s="5">
        <v>75</v>
      </c>
      <c r="E470" s="5">
        <v>150</v>
      </c>
      <c r="F470" s="5">
        <v>75</v>
      </c>
      <c r="G470" s="5">
        <v>150</v>
      </c>
      <c r="H470" s="5">
        <v>50</v>
      </c>
      <c r="I470" s="5"/>
      <c r="J470" s="4" t="s">
        <v>119</v>
      </c>
      <c r="K470" s="5"/>
      <c r="L470" s="4" t="s">
        <v>656</v>
      </c>
      <c r="M470" s="5"/>
      <c r="N470" s="5"/>
      <c r="O470" s="5" t="b">
        <v>1</v>
      </c>
      <c r="P470" s="4" t="str">
        <f>IF(A470="",IF(ISNUMBER(SEARCH("NOT NULL",UPPER(A$3))),"''","null"),SUBSTITUTE(VLOOKUP(A$2,convert!$A$1:$B$4,2,0),"@@@",A470))</f>
        <v>'0379N01'</v>
      </c>
      <c r="Q470" s="4" t="str">
        <f>IF(B470="",IF(ISNUMBER(SEARCH("NOT NULL",UPPER(B$3))),"''","null"),SUBSTITUTE(VLOOKUP(B$2,convert!$A$1:$B$4,2,0),"@@@",B470))</f>
        <v>'レジスチル'</v>
      </c>
      <c r="R470" s="4" t="str">
        <f>IF(C470="",IF(ISNUMBER(SEARCH("NOT NULL",UPPER(C$3))),"''","null"),SUBSTITUTE(VLOOKUP(C$2,convert!$A$1:$B$4,2,0),"@@@",C470))</f>
        <v>80</v>
      </c>
      <c r="S470" s="4" t="str">
        <f>IF(D470="",IF(ISNUMBER(SEARCH("NOT NULL",UPPER(D$3))),"''","null"),SUBSTITUTE(VLOOKUP(D$2,convert!$A$1:$B$4,2,0),"@@@",D470))</f>
        <v>75</v>
      </c>
      <c r="T470" s="4" t="str">
        <f>IF(E470="",IF(ISNUMBER(SEARCH("NOT NULL",UPPER(E$3))),"''","null"),SUBSTITUTE(VLOOKUP(E$2,convert!$A$1:$B$4,2,0),"@@@",E470))</f>
        <v>150</v>
      </c>
      <c r="U470" s="4" t="str">
        <f>IF(F470="",IF(ISNUMBER(SEARCH("NOT NULL",UPPER(F$3))),"''","null"),SUBSTITUTE(VLOOKUP(F$2,convert!$A$1:$B$4,2,0),"@@@",F470))</f>
        <v>75</v>
      </c>
      <c r="V470" s="4" t="str">
        <f>IF(G470="",IF(ISNUMBER(SEARCH("NOT NULL",UPPER(G$3))),"''","null"),SUBSTITUTE(VLOOKUP(G$2,convert!$A$1:$B$4,2,0),"@@@",G470))</f>
        <v>150</v>
      </c>
      <c r="W470" s="4" t="str">
        <f>IF(H470="",IF(ISNUMBER(SEARCH("NOT NULL",UPPER(H$3))),"''","null"),SUBSTITUTE(VLOOKUP(H$2,convert!$A$1:$B$4,2,0),"@@@",H470))</f>
        <v>50</v>
      </c>
      <c r="X470" s="4" t="str">
        <f>IF(I470="",IF(ISNUMBER(SEARCH("NOT NULL",UPPER(I$3))),"''","null"),SUBSTITUTE(VLOOKUP(I$2,convert!$A$1:$B$4,2,0),"@@@",I470))</f>
        <v>''</v>
      </c>
      <c r="Y470" s="4" t="str">
        <f>IF(J470="",IF(ISNUMBER(SEARCH("NOT NULL",UPPER(J$3))),"''","null"),SUBSTITUTE(VLOOKUP(J$2,convert!$A$1:$B$4,2,0),"@@@",J470))</f>
        <v>'steel'</v>
      </c>
      <c r="Z470" s="4" t="str">
        <f>IF(K470="",IF(ISNUMBER(SEARCH("NOT NULL",UPPER(K$3))),"''","null"),SUBSTITUTE(VLOOKUP(K$2,convert!$A$1:$B$4,2,0),"@@@",K470))</f>
        <v>null</v>
      </c>
      <c r="AA470" s="4" t="str">
        <f>IF(L470="",IF(ISNUMBER(SEARCH("NOT NULL",UPPER(L$3))),"''","null"),SUBSTITUTE(VLOOKUP(L$2,convert!$A$1:$B$4,2,0),"@@@",L470))</f>
        <v>'g3'</v>
      </c>
      <c r="AB470" s="4" t="str">
        <f>IF(M470="",IF(ISNUMBER(SEARCH("NOT NULL",UPPER(M$3))),"''","null"),SUBSTITUTE(VLOOKUP(M$2,convert!$A$1:$B$4,2,0),"@@@",M470))</f>
        <v>null</v>
      </c>
      <c r="AC470" s="4" t="str">
        <f>IF(N470="",IF(ISNUMBER(SEARCH("NOT NULL",UPPER(N$3))),"''","null"),SUBSTITUTE(VLOOKUP(N$2,convert!$A$1:$B$4,2,0),"@@@",N470))</f>
        <v>null</v>
      </c>
      <c r="AD470" s="4" t="str">
        <f>IF(O470="",IF(ISNUMBER(SEARCH("NOT NULL",UPPER(O$3))),"''","null"),SUBSTITUTE(VLOOKUP(O$2,convert!$A$1:$B$4,2,0),"@@@",O470))</f>
        <v>TRUE</v>
      </c>
      <c r="AE470" s="4" t="str">
        <f t="shared" si="7"/>
        <v>    ('0379N01', 'レジスチル', 80, 75, 150, 75, 150, 50, '', 'steel', null, 'g3', null, null, TRUE),</v>
      </c>
    </row>
    <row r="471" spans="1:31">
      <c r="A471" s="4" t="s">
        <v>953</v>
      </c>
      <c r="B471" s="4" t="s">
        <v>954</v>
      </c>
      <c r="C471" s="5">
        <v>80</v>
      </c>
      <c r="D471" s="5">
        <v>80</v>
      </c>
      <c r="E471" s="5">
        <v>90</v>
      </c>
      <c r="F471" s="5">
        <v>110</v>
      </c>
      <c r="G471" s="5">
        <v>130</v>
      </c>
      <c r="H471" s="5">
        <v>110</v>
      </c>
      <c r="I471" s="5"/>
      <c r="J471" s="4" t="s">
        <v>50</v>
      </c>
      <c r="K471" s="4" t="s">
        <v>113</v>
      </c>
      <c r="L471" s="4" t="s">
        <v>656</v>
      </c>
      <c r="M471" s="5"/>
      <c r="N471" s="5"/>
      <c r="O471" s="5" t="b">
        <v>1</v>
      </c>
      <c r="P471" s="4" t="str">
        <f>IF(A471="",IF(ISNUMBER(SEARCH("NOT NULL",UPPER(A$3))),"''","null"),SUBSTITUTE(VLOOKUP(A$2,convert!$A$1:$B$4,2,0),"@@@",A471))</f>
        <v>'0380N01'</v>
      </c>
      <c r="Q471" s="4" t="str">
        <f>IF(B471="",IF(ISNUMBER(SEARCH("NOT NULL",UPPER(B$3))),"''","null"),SUBSTITUTE(VLOOKUP(B$2,convert!$A$1:$B$4,2,0),"@@@",B471))</f>
        <v>'ラティアス'</v>
      </c>
      <c r="R471" s="4" t="str">
        <f>IF(C471="",IF(ISNUMBER(SEARCH("NOT NULL",UPPER(C$3))),"''","null"),SUBSTITUTE(VLOOKUP(C$2,convert!$A$1:$B$4,2,0),"@@@",C471))</f>
        <v>80</v>
      </c>
      <c r="S471" s="4" t="str">
        <f>IF(D471="",IF(ISNUMBER(SEARCH("NOT NULL",UPPER(D$3))),"''","null"),SUBSTITUTE(VLOOKUP(D$2,convert!$A$1:$B$4,2,0),"@@@",D471))</f>
        <v>80</v>
      </c>
      <c r="T471" s="4" t="str">
        <f>IF(E471="",IF(ISNUMBER(SEARCH("NOT NULL",UPPER(E$3))),"''","null"),SUBSTITUTE(VLOOKUP(E$2,convert!$A$1:$B$4,2,0),"@@@",E471))</f>
        <v>90</v>
      </c>
      <c r="U471" s="4" t="str">
        <f>IF(F471="",IF(ISNUMBER(SEARCH("NOT NULL",UPPER(F$3))),"''","null"),SUBSTITUTE(VLOOKUP(F$2,convert!$A$1:$B$4,2,0),"@@@",F471))</f>
        <v>110</v>
      </c>
      <c r="V471" s="4" t="str">
        <f>IF(G471="",IF(ISNUMBER(SEARCH("NOT NULL",UPPER(G$3))),"''","null"),SUBSTITUTE(VLOOKUP(G$2,convert!$A$1:$B$4,2,0),"@@@",G471))</f>
        <v>130</v>
      </c>
      <c r="W471" s="4" t="str">
        <f>IF(H471="",IF(ISNUMBER(SEARCH("NOT NULL",UPPER(H$3))),"''","null"),SUBSTITUTE(VLOOKUP(H$2,convert!$A$1:$B$4,2,0),"@@@",H471))</f>
        <v>110</v>
      </c>
      <c r="X471" s="4" t="str">
        <f>IF(I471="",IF(ISNUMBER(SEARCH("NOT NULL",UPPER(I$3))),"''","null"),SUBSTITUTE(VLOOKUP(I$2,convert!$A$1:$B$4,2,0),"@@@",I471))</f>
        <v>''</v>
      </c>
      <c r="Y471" s="4" t="str">
        <f>IF(J471="",IF(ISNUMBER(SEARCH("NOT NULL",UPPER(J$3))),"''","null"),SUBSTITUTE(VLOOKUP(J$2,convert!$A$1:$B$4,2,0),"@@@",J471))</f>
        <v>'dragon'</v>
      </c>
      <c r="Z471" s="4" t="str">
        <f>IF(K471="",IF(ISNUMBER(SEARCH("NOT NULL",UPPER(K$3))),"''","null"),SUBSTITUTE(VLOOKUP(K$2,convert!$A$1:$B$4,2,0),"@@@",K471))</f>
        <v>'psychic'</v>
      </c>
      <c r="AA471" s="4" t="str">
        <f>IF(L471="",IF(ISNUMBER(SEARCH("NOT NULL",UPPER(L$3))),"''","null"),SUBSTITUTE(VLOOKUP(L$2,convert!$A$1:$B$4,2,0),"@@@",L471))</f>
        <v>'g3'</v>
      </c>
      <c r="AB471" s="4" t="str">
        <f>IF(M471="",IF(ISNUMBER(SEARCH("NOT NULL",UPPER(M$3))),"''","null"),SUBSTITUTE(VLOOKUP(M$2,convert!$A$1:$B$4,2,0),"@@@",M471))</f>
        <v>null</v>
      </c>
      <c r="AC471" s="4" t="str">
        <f>IF(N471="",IF(ISNUMBER(SEARCH("NOT NULL",UPPER(N$3))),"''","null"),SUBSTITUTE(VLOOKUP(N$2,convert!$A$1:$B$4,2,0),"@@@",N471))</f>
        <v>null</v>
      </c>
      <c r="AD471" s="4" t="str">
        <f>IF(O471="",IF(ISNUMBER(SEARCH("NOT NULL",UPPER(O$3))),"''","null"),SUBSTITUTE(VLOOKUP(O$2,convert!$A$1:$B$4,2,0),"@@@",O471))</f>
        <v>TRUE</v>
      </c>
      <c r="AE471" s="4" t="str">
        <f t="shared" si="7"/>
        <v>    ('0380N01', 'ラティアス', 80, 80, 90, 110, 130, 110, '', 'dragon', 'psychic', 'g3', null, null, TRUE),</v>
      </c>
    </row>
    <row r="472" spans="1:31">
      <c r="A472" s="4" t="s">
        <v>955</v>
      </c>
      <c r="B472" s="4" t="s">
        <v>956</v>
      </c>
      <c r="C472" s="5">
        <v>80</v>
      </c>
      <c r="D472" s="5">
        <v>100</v>
      </c>
      <c r="E472" s="5">
        <v>120</v>
      </c>
      <c r="F472" s="5">
        <v>140</v>
      </c>
      <c r="G472" s="5">
        <v>150</v>
      </c>
      <c r="H472" s="5">
        <v>110</v>
      </c>
      <c r="I472" s="5"/>
      <c r="J472" s="4" t="s">
        <v>50</v>
      </c>
      <c r="K472" s="4" t="s">
        <v>113</v>
      </c>
      <c r="L472" s="4" t="s">
        <v>77</v>
      </c>
      <c r="M472" s="5"/>
      <c r="N472" s="5"/>
      <c r="O472" s="5" t="b">
        <v>1</v>
      </c>
      <c r="P472" s="4" t="str">
        <f>IF(A472="",IF(ISNUMBER(SEARCH("NOT NULL",UPPER(A$3))),"''","null"),SUBSTITUTE(VLOOKUP(A$2,convert!$A$1:$B$4,2,0),"@@@",A472))</f>
        <v>'0380M01'</v>
      </c>
      <c r="Q472" s="4" t="str">
        <f>IF(B472="",IF(ISNUMBER(SEARCH("NOT NULL",UPPER(B$3))),"''","null"),SUBSTITUTE(VLOOKUP(B$2,convert!$A$1:$B$4,2,0),"@@@",B472))</f>
        <v>'メガラティアス'</v>
      </c>
      <c r="R472" s="4" t="str">
        <f>IF(C472="",IF(ISNUMBER(SEARCH("NOT NULL",UPPER(C$3))),"''","null"),SUBSTITUTE(VLOOKUP(C$2,convert!$A$1:$B$4,2,0),"@@@",C472))</f>
        <v>80</v>
      </c>
      <c r="S472" s="4" t="str">
        <f>IF(D472="",IF(ISNUMBER(SEARCH("NOT NULL",UPPER(D$3))),"''","null"),SUBSTITUTE(VLOOKUP(D$2,convert!$A$1:$B$4,2,0),"@@@",D472))</f>
        <v>100</v>
      </c>
      <c r="T472" s="4" t="str">
        <f>IF(E472="",IF(ISNUMBER(SEARCH("NOT NULL",UPPER(E$3))),"''","null"),SUBSTITUTE(VLOOKUP(E$2,convert!$A$1:$B$4,2,0),"@@@",E472))</f>
        <v>120</v>
      </c>
      <c r="U472" s="4" t="str">
        <f>IF(F472="",IF(ISNUMBER(SEARCH("NOT NULL",UPPER(F$3))),"''","null"),SUBSTITUTE(VLOOKUP(F$2,convert!$A$1:$B$4,2,0),"@@@",F472))</f>
        <v>140</v>
      </c>
      <c r="V472" s="4" t="str">
        <f>IF(G472="",IF(ISNUMBER(SEARCH("NOT NULL",UPPER(G$3))),"''","null"),SUBSTITUTE(VLOOKUP(G$2,convert!$A$1:$B$4,2,0),"@@@",G472))</f>
        <v>150</v>
      </c>
      <c r="W472" s="4" t="str">
        <f>IF(H472="",IF(ISNUMBER(SEARCH("NOT NULL",UPPER(H$3))),"''","null"),SUBSTITUTE(VLOOKUP(H$2,convert!$A$1:$B$4,2,0),"@@@",H472))</f>
        <v>110</v>
      </c>
      <c r="X472" s="4" t="str">
        <f>IF(I472="",IF(ISNUMBER(SEARCH("NOT NULL",UPPER(I$3))),"''","null"),SUBSTITUTE(VLOOKUP(I$2,convert!$A$1:$B$4,2,0),"@@@",I472))</f>
        <v>''</v>
      </c>
      <c r="Y472" s="4" t="str">
        <f>IF(J472="",IF(ISNUMBER(SEARCH("NOT NULL",UPPER(J$3))),"''","null"),SUBSTITUTE(VLOOKUP(J$2,convert!$A$1:$B$4,2,0),"@@@",J472))</f>
        <v>'dragon'</v>
      </c>
      <c r="Z472" s="4" t="str">
        <f>IF(K472="",IF(ISNUMBER(SEARCH("NOT NULL",UPPER(K$3))),"''","null"),SUBSTITUTE(VLOOKUP(K$2,convert!$A$1:$B$4,2,0),"@@@",K472))</f>
        <v>'psychic'</v>
      </c>
      <c r="AA472" s="4" t="str">
        <f>IF(L472="",IF(ISNUMBER(SEARCH("NOT NULL",UPPER(L$3))),"''","null"),SUBSTITUTE(VLOOKUP(L$2,convert!$A$1:$B$4,2,0),"@@@",L472))</f>
        <v>'g6oras'</v>
      </c>
      <c r="AB472" s="4" t="str">
        <f>IF(M472="",IF(ISNUMBER(SEARCH("NOT NULL",UPPER(M$3))),"''","null"),SUBSTITUTE(VLOOKUP(M$2,convert!$A$1:$B$4,2,0),"@@@",M472))</f>
        <v>null</v>
      </c>
      <c r="AC472" s="4" t="str">
        <f>IF(N472="",IF(ISNUMBER(SEARCH("NOT NULL",UPPER(N$3))),"''","null"),SUBSTITUTE(VLOOKUP(N$2,convert!$A$1:$B$4,2,0),"@@@",N472))</f>
        <v>null</v>
      </c>
      <c r="AD472" s="4" t="str">
        <f>IF(O472="",IF(ISNUMBER(SEARCH("NOT NULL",UPPER(O$3))),"''","null"),SUBSTITUTE(VLOOKUP(O$2,convert!$A$1:$B$4,2,0),"@@@",O472))</f>
        <v>TRUE</v>
      </c>
      <c r="AE472" s="4" t="str">
        <f t="shared" si="7"/>
        <v>    ('0380M01', 'メガラティアス', 80, 100, 120, 140, 150, 110, '', 'dragon', 'psychic', 'g6oras', null, null, TRUE),</v>
      </c>
    </row>
    <row r="473" spans="1:31">
      <c r="A473" s="4" t="s">
        <v>957</v>
      </c>
      <c r="B473" s="4" t="s">
        <v>958</v>
      </c>
      <c r="C473" s="5">
        <v>80</v>
      </c>
      <c r="D473" s="5">
        <v>90</v>
      </c>
      <c r="E473" s="5">
        <v>80</v>
      </c>
      <c r="F473" s="5">
        <v>130</v>
      </c>
      <c r="G473" s="5">
        <v>110</v>
      </c>
      <c r="H473" s="5">
        <v>110</v>
      </c>
      <c r="I473" s="5"/>
      <c r="J473" s="4" t="s">
        <v>50</v>
      </c>
      <c r="K473" s="4" t="s">
        <v>113</v>
      </c>
      <c r="L473" s="4" t="s">
        <v>656</v>
      </c>
      <c r="M473" s="5"/>
      <c r="N473" s="5"/>
      <c r="O473" s="5" t="b">
        <v>1</v>
      </c>
      <c r="P473" s="4" t="str">
        <f>IF(A473="",IF(ISNUMBER(SEARCH("NOT NULL",UPPER(A$3))),"''","null"),SUBSTITUTE(VLOOKUP(A$2,convert!$A$1:$B$4,2,0),"@@@",A473))</f>
        <v>'0381N01'</v>
      </c>
      <c r="Q473" s="4" t="str">
        <f>IF(B473="",IF(ISNUMBER(SEARCH("NOT NULL",UPPER(B$3))),"''","null"),SUBSTITUTE(VLOOKUP(B$2,convert!$A$1:$B$4,2,0),"@@@",B473))</f>
        <v>'ラティオス'</v>
      </c>
      <c r="R473" s="4" t="str">
        <f>IF(C473="",IF(ISNUMBER(SEARCH("NOT NULL",UPPER(C$3))),"''","null"),SUBSTITUTE(VLOOKUP(C$2,convert!$A$1:$B$4,2,0),"@@@",C473))</f>
        <v>80</v>
      </c>
      <c r="S473" s="4" t="str">
        <f>IF(D473="",IF(ISNUMBER(SEARCH("NOT NULL",UPPER(D$3))),"''","null"),SUBSTITUTE(VLOOKUP(D$2,convert!$A$1:$B$4,2,0),"@@@",D473))</f>
        <v>90</v>
      </c>
      <c r="T473" s="4" t="str">
        <f>IF(E473="",IF(ISNUMBER(SEARCH("NOT NULL",UPPER(E$3))),"''","null"),SUBSTITUTE(VLOOKUP(E$2,convert!$A$1:$B$4,2,0),"@@@",E473))</f>
        <v>80</v>
      </c>
      <c r="U473" s="4" t="str">
        <f>IF(F473="",IF(ISNUMBER(SEARCH("NOT NULL",UPPER(F$3))),"''","null"),SUBSTITUTE(VLOOKUP(F$2,convert!$A$1:$B$4,2,0),"@@@",F473))</f>
        <v>130</v>
      </c>
      <c r="V473" s="4" t="str">
        <f>IF(G473="",IF(ISNUMBER(SEARCH("NOT NULL",UPPER(G$3))),"''","null"),SUBSTITUTE(VLOOKUP(G$2,convert!$A$1:$B$4,2,0),"@@@",G473))</f>
        <v>110</v>
      </c>
      <c r="W473" s="4" t="str">
        <f>IF(H473="",IF(ISNUMBER(SEARCH("NOT NULL",UPPER(H$3))),"''","null"),SUBSTITUTE(VLOOKUP(H$2,convert!$A$1:$B$4,2,0),"@@@",H473))</f>
        <v>110</v>
      </c>
      <c r="X473" s="4" t="str">
        <f>IF(I473="",IF(ISNUMBER(SEARCH("NOT NULL",UPPER(I$3))),"''","null"),SUBSTITUTE(VLOOKUP(I$2,convert!$A$1:$B$4,2,0),"@@@",I473))</f>
        <v>''</v>
      </c>
      <c r="Y473" s="4" t="str">
        <f>IF(J473="",IF(ISNUMBER(SEARCH("NOT NULL",UPPER(J$3))),"''","null"),SUBSTITUTE(VLOOKUP(J$2,convert!$A$1:$B$4,2,0),"@@@",J473))</f>
        <v>'dragon'</v>
      </c>
      <c r="Z473" s="4" t="str">
        <f>IF(K473="",IF(ISNUMBER(SEARCH("NOT NULL",UPPER(K$3))),"''","null"),SUBSTITUTE(VLOOKUP(K$2,convert!$A$1:$B$4,2,0),"@@@",K473))</f>
        <v>'psychic'</v>
      </c>
      <c r="AA473" s="4" t="str">
        <f>IF(L473="",IF(ISNUMBER(SEARCH("NOT NULL",UPPER(L$3))),"''","null"),SUBSTITUTE(VLOOKUP(L$2,convert!$A$1:$B$4,2,0),"@@@",L473))</f>
        <v>'g3'</v>
      </c>
      <c r="AB473" s="4" t="str">
        <f>IF(M473="",IF(ISNUMBER(SEARCH("NOT NULL",UPPER(M$3))),"''","null"),SUBSTITUTE(VLOOKUP(M$2,convert!$A$1:$B$4,2,0),"@@@",M473))</f>
        <v>null</v>
      </c>
      <c r="AC473" s="4" t="str">
        <f>IF(N473="",IF(ISNUMBER(SEARCH("NOT NULL",UPPER(N$3))),"''","null"),SUBSTITUTE(VLOOKUP(N$2,convert!$A$1:$B$4,2,0),"@@@",N473))</f>
        <v>null</v>
      </c>
      <c r="AD473" s="4" t="str">
        <f>IF(O473="",IF(ISNUMBER(SEARCH("NOT NULL",UPPER(O$3))),"''","null"),SUBSTITUTE(VLOOKUP(O$2,convert!$A$1:$B$4,2,0),"@@@",O473))</f>
        <v>TRUE</v>
      </c>
      <c r="AE473" s="4" t="str">
        <f t="shared" si="7"/>
        <v>    ('0381N01', 'ラティオス', 80, 90, 80, 130, 110, 110, '', 'dragon', 'psychic', 'g3', null, null, TRUE),</v>
      </c>
    </row>
    <row r="474" spans="1:31">
      <c r="A474" s="4" t="s">
        <v>959</v>
      </c>
      <c r="B474" s="4" t="s">
        <v>960</v>
      </c>
      <c r="C474" s="5">
        <v>80</v>
      </c>
      <c r="D474" s="5">
        <v>130</v>
      </c>
      <c r="E474" s="5">
        <v>100</v>
      </c>
      <c r="F474" s="5">
        <v>160</v>
      </c>
      <c r="G474" s="5">
        <v>120</v>
      </c>
      <c r="H474" s="5">
        <v>110</v>
      </c>
      <c r="I474" s="5"/>
      <c r="J474" s="4" t="s">
        <v>50</v>
      </c>
      <c r="K474" s="4" t="s">
        <v>113</v>
      </c>
      <c r="L474" s="4" t="s">
        <v>77</v>
      </c>
      <c r="M474" s="5"/>
      <c r="N474" s="5"/>
      <c r="O474" s="5" t="b">
        <v>1</v>
      </c>
      <c r="P474" s="4" t="str">
        <f>IF(A474="",IF(ISNUMBER(SEARCH("NOT NULL",UPPER(A$3))),"''","null"),SUBSTITUTE(VLOOKUP(A$2,convert!$A$1:$B$4,2,0),"@@@",A474))</f>
        <v>'0381M01'</v>
      </c>
      <c r="Q474" s="4" t="str">
        <f>IF(B474="",IF(ISNUMBER(SEARCH("NOT NULL",UPPER(B$3))),"''","null"),SUBSTITUTE(VLOOKUP(B$2,convert!$A$1:$B$4,2,0),"@@@",B474))</f>
        <v>'メガラティオス'</v>
      </c>
      <c r="R474" s="4" t="str">
        <f>IF(C474="",IF(ISNUMBER(SEARCH("NOT NULL",UPPER(C$3))),"''","null"),SUBSTITUTE(VLOOKUP(C$2,convert!$A$1:$B$4,2,0),"@@@",C474))</f>
        <v>80</v>
      </c>
      <c r="S474" s="4" t="str">
        <f>IF(D474="",IF(ISNUMBER(SEARCH("NOT NULL",UPPER(D$3))),"''","null"),SUBSTITUTE(VLOOKUP(D$2,convert!$A$1:$B$4,2,0),"@@@",D474))</f>
        <v>130</v>
      </c>
      <c r="T474" s="4" t="str">
        <f>IF(E474="",IF(ISNUMBER(SEARCH("NOT NULL",UPPER(E$3))),"''","null"),SUBSTITUTE(VLOOKUP(E$2,convert!$A$1:$B$4,2,0),"@@@",E474))</f>
        <v>100</v>
      </c>
      <c r="U474" s="4" t="str">
        <f>IF(F474="",IF(ISNUMBER(SEARCH("NOT NULL",UPPER(F$3))),"''","null"),SUBSTITUTE(VLOOKUP(F$2,convert!$A$1:$B$4,2,0),"@@@",F474))</f>
        <v>160</v>
      </c>
      <c r="V474" s="4" t="str">
        <f>IF(G474="",IF(ISNUMBER(SEARCH("NOT NULL",UPPER(G$3))),"''","null"),SUBSTITUTE(VLOOKUP(G$2,convert!$A$1:$B$4,2,0),"@@@",G474))</f>
        <v>120</v>
      </c>
      <c r="W474" s="4" t="str">
        <f>IF(H474="",IF(ISNUMBER(SEARCH("NOT NULL",UPPER(H$3))),"''","null"),SUBSTITUTE(VLOOKUP(H$2,convert!$A$1:$B$4,2,0),"@@@",H474))</f>
        <v>110</v>
      </c>
      <c r="X474" s="4" t="str">
        <f>IF(I474="",IF(ISNUMBER(SEARCH("NOT NULL",UPPER(I$3))),"''","null"),SUBSTITUTE(VLOOKUP(I$2,convert!$A$1:$B$4,2,0),"@@@",I474))</f>
        <v>''</v>
      </c>
      <c r="Y474" s="4" t="str">
        <f>IF(J474="",IF(ISNUMBER(SEARCH("NOT NULL",UPPER(J$3))),"''","null"),SUBSTITUTE(VLOOKUP(J$2,convert!$A$1:$B$4,2,0),"@@@",J474))</f>
        <v>'dragon'</v>
      </c>
      <c r="Z474" s="4" t="str">
        <f>IF(K474="",IF(ISNUMBER(SEARCH("NOT NULL",UPPER(K$3))),"''","null"),SUBSTITUTE(VLOOKUP(K$2,convert!$A$1:$B$4,2,0),"@@@",K474))</f>
        <v>'psychic'</v>
      </c>
      <c r="AA474" s="4" t="str">
        <f>IF(L474="",IF(ISNUMBER(SEARCH("NOT NULL",UPPER(L$3))),"''","null"),SUBSTITUTE(VLOOKUP(L$2,convert!$A$1:$B$4,2,0),"@@@",L474))</f>
        <v>'g6oras'</v>
      </c>
      <c r="AB474" s="4" t="str">
        <f>IF(M474="",IF(ISNUMBER(SEARCH("NOT NULL",UPPER(M$3))),"''","null"),SUBSTITUTE(VLOOKUP(M$2,convert!$A$1:$B$4,2,0),"@@@",M474))</f>
        <v>null</v>
      </c>
      <c r="AC474" s="4" t="str">
        <f>IF(N474="",IF(ISNUMBER(SEARCH("NOT NULL",UPPER(N$3))),"''","null"),SUBSTITUTE(VLOOKUP(N$2,convert!$A$1:$B$4,2,0),"@@@",N474))</f>
        <v>null</v>
      </c>
      <c r="AD474" s="4" t="str">
        <f>IF(O474="",IF(ISNUMBER(SEARCH("NOT NULL",UPPER(O$3))),"''","null"),SUBSTITUTE(VLOOKUP(O$2,convert!$A$1:$B$4,2,0),"@@@",O474))</f>
        <v>TRUE</v>
      </c>
      <c r="AE474" s="4" t="str">
        <f t="shared" si="7"/>
        <v>    ('0381M01', 'メガラティオス', 80, 130, 100, 160, 120, 110, '', 'dragon', 'psychic', 'g6oras', null, null, TRUE),</v>
      </c>
    </row>
    <row r="475" spans="1:31">
      <c r="A475" s="4" t="s">
        <v>961</v>
      </c>
      <c r="B475" s="4" t="s">
        <v>962</v>
      </c>
      <c r="C475" s="5">
        <v>100</v>
      </c>
      <c r="D475" s="5">
        <v>100</v>
      </c>
      <c r="E475" s="5">
        <v>90</v>
      </c>
      <c r="F475" s="5">
        <v>150</v>
      </c>
      <c r="G475" s="5">
        <v>140</v>
      </c>
      <c r="H475" s="5">
        <v>90</v>
      </c>
      <c r="I475" s="5"/>
      <c r="J475" s="4" t="s">
        <v>55</v>
      </c>
      <c r="K475" s="5"/>
      <c r="L475" s="4" t="s">
        <v>656</v>
      </c>
      <c r="M475" s="5"/>
      <c r="N475" s="5"/>
      <c r="O475" s="5" t="b">
        <v>1</v>
      </c>
      <c r="P475" s="4" t="str">
        <f>IF(A475="",IF(ISNUMBER(SEARCH("NOT NULL",UPPER(A$3))),"''","null"),SUBSTITUTE(VLOOKUP(A$2,convert!$A$1:$B$4,2,0),"@@@",A475))</f>
        <v>'0382N01'</v>
      </c>
      <c r="Q475" s="4" t="str">
        <f>IF(B475="",IF(ISNUMBER(SEARCH("NOT NULL",UPPER(B$3))),"''","null"),SUBSTITUTE(VLOOKUP(B$2,convert!$A$1:$B$4,2,0),"@@@",B475))</f>
        <v>'カイオーガ'</v>
      </c>
      <c r="R475" s="4" t="str">
        <f>IF(C475="",IF(ISNUMBER(SEARCH("NOT NULL",UPPER(C$3))),"''","null"),SUBSTITUTE(VLOOKUP(C$2,convert!$A$1:$B$4,2,0),"@@@",C475))</f>
        <v>100</v>
      </c>
      <c r="S475" s="4" t="str">
        <f>IF(D475="",IF(ISNUMBER(SEARCH("NOT NULL",UPPER(D$3))),"''","null"),SUBSTITUTE(VLOOKUP(D$2,convert!$A$1:$B$4,2,0),"@@@",D475))</f>
        <v>100</v>
      </c>
      <c r="T475" s="4" t="str">
        <f>IF(E475="",IF(ISNUMBER(SEARCH("NOT NULL",UPPER(E$3))),"''","null"),SUBSTITUTE(VLOOKUP(E$2,convert!$A$1:$B$4,2,0),"@@@",E475))</f>
        <v>90</v>
      </c>
      <c r="U475" s="4" t="str">
        <f>IF(F475="",IF(ISNUMBER(SEARCH("NOT NULL",UPPER(F$3))),"''","null"),SUBSTITUTE(VLOOKUP(F$2,convert!$A$1:$B$4,2,0),"@@@",F475))</f>
        <v>150</v>
      </c>
      <c r="V475" s="4" t="str">
        <f>IF(G475="",IF(ISNUMBER(SEARCH("NOT NULL",UPPER(G$3))),"''","null"),SUBSTITUTE(VLOOKUP(G$2,convert!$A$1:$B$4,2,0),"@@@",G475))</f>
        <v>140</v>
      </c>
      <c r="W475" s="4" t="str">
        <f>IF(H475="",IF(ISNUMBER(SEARCH("NOT NULL",UPPER(H$3))),"''","null"),SUBSTITUTE(VLOOKUP(H$2,convert!$A$1:$B$4,2,0),"@@@",H475))</f>
        <v>90</v>
      </c>
      <c r="X475" s="4" t="str">
        <f>IF(I475="",IF(ISNUMBER(SEARCH("NOT NULL",UPPER(I$3))),"''","null"),SUBSTITUTE(VLOOKUP(I$2,convert!$A$1:$B$4,2,0),"@@@",I475))</f>
        <v>''</v>
      </c>
      <c r="Y475" s="4" t="str">
        <f>IF(J475="",IF(ISNUMBER(SEARCH("NOT NULL",UPPER(J$3))),"''","null"),SUBSTITUTE(VLOOKUP(J$2,convert!$A$1:$B$4,2,0),"@@@",J475))</f>
        <v>'water'</v>
      </c>
      <c r="Z475" s="4" t="str">
        <f>IF(K475="",IF(ISNUMBER(SEARCH("NOT NULL",UPPER(K$3))),"''","null"),SUBSTITUTE(VLOOKUP(K$2,convert!$A$1:$B$4,2,0),"@@@",K475))</f>
        <v>null</v>
      </c>
      <c r="AA475" s="4" t="str">
        <f>IF(L475="",IF(ISNUMBER(SEARCH("NOT NULL",UPPER(L$3))),"''","null"),SUBSTITUTE(VLOOKUP(L$2,convert!$A$1:$B$4,2,0),"@@@",L475))</f>
        <v>'g3'</v>
      </c>
      <c r="AB475" s="4" t="str">
        <f>IF(M475="",IF(ISNUMBER(SEARCH("NOT NULL",UPPER(M$3))),"''","null"),SUBSTITUTE(VLOOKUP(M$2,convert!$A$1:$B$4,2,0),"@@@",M475))</f>
        <v>null</v>
      </c>
      <c r="AC475" s="4" t="str">
        <f>IF(N475="",IF(ISNUMBER(SEARCH("NOT NULL",UPPER(N$3))),"''","null"),SUBSTITUTE(VLOOKUP(N$2,convert!$A$1:$B$4,2,0),"@@@",N475))</f>
        <v>null</v>
      </c>
      <c r="AD475" s="4" t="str">
        <f>IF(O475="",IF(ISNUMBER(SEARCH("NOT NULL",UPPER(O$3))),"''","null"),SUBSTITUTE(VLOOKUP(O$2,convert!$A$1:$B$4,2,0),"@@@",O475))</f>
        <v>TRUE</v>
      </c>
      <c r="AE475" s="4" t="str">
        <f t="shared" si="7"/>
        <v>    ('0382N01', 'カイオーガ', 100, 100, 90, 150, 140, 90, '', 'water', null, 'g3', null, null, TRUE),</v>
      </c>
    </row>
    <row r="476" spans="1:31">
      <c r="A476" s="4" t="s">
        <v>963</v>
      </c>
      <c r="B476" s="4" t="s">
        <v>964</v>
      </c>
      <c r="C476" s="5">
        <v>100</v>
      </c>
      <c r="D476" s="5">
        <v>150</v>
      </c>
      <c r="E476" s="5">
        <v>90</v>
      </c>
      <c r="F476" s="5">
        <v>180</v>
      </c>
      <c r="G476" s="5">
        <v>160</v>
      </c>
      <c r="H476" s="5">
        <v>90</v>
      </c>
      <c r="I476" s="5"/>
      <c r="J476" s="4" t="s">
        <v>55</v>
      </c>
      <c r="K476" s="5"/>
      <c r="L476" s="4" t="s">
        <v>77</v>
      </c>
      <c r="M476" s="5"/>
      <c r="N476" s="5"/>
      <c r="O476" s="5" t="b">
        <v>1</v>
      </c>
      <c r="P476" s="4" t="str">
        <f>IF(A476="",IF(ISNUMBER(SEARCH("NOT NULL",UPPER(A$3))),"''","null"),SUBSTITUTE(VLOOKUP(A$2,convert!$A$1:$B$4,2,0),"@@@",A476))</f>
        <v>'0382M01'</v>
      </c>
      <c r="Q476" s="4" t="str">
        <f>IF(B476="",IF(ISNUMBER(SEARCH("NOT NULL",UPPER(B$3))),"''","null"),SUBSTITUTE(VLOOKUP(B$2,convert!$A$1:$B$4,2,0),"@@@",B476))</f>
        <v>'ゲンシカイオーガ'</v>
      </c>
      <c r="R476" s="4" t="str">
        <f>IF(C476="",IF(ISNUMBER(SEARCH("NOT NULL",UPPER(C$3))),"''","null"),SUBSTITUTE(VLOOKUP(C$2,convert!$A$1:$B$4,2,0),"@@@",C476))</f>
        <v>100</v>
      </c>
      <c r="S476" s="4" t="str">
        <f>IF(D476="",IF(ISNUMBER(SEARCH("NOT NULL",UPPER(D$3))),"''","null"),SUBSTITUTE(VLOOKUP(D$2,convert!$A$1:$B$4,2,0),"@@@",D476))</f>
        <v>150</v>
      </c>
      <c r="T476" s="4" t="str">
        <f>IF(E476="",IF(ISNUMBER(SEARCH("NOT NULL",UPPER(E$3))),"''","null"),SUBSTITUTE(VLOOKUP(E$2,convert!$A$1:$B$4,2,0),"@@@",E476))</f>
        <v>90</v>
      </c>
      <c r="U476" s="4" t="str">
        <f>IF(F476="",IF(ISNUMBER(SEARCH("NOT NULL",UPPER(F$3))),"''","null"),SUBSTITUTE(VLOOKUP(F$2,convert!$A$1:$B$4,2,0),"@@@",F476))</f>
        <v>180</v>
      </c>
      <c r="V476" s="4" t="str">
        <f>IF(G476="",IF(ISNUMBER(SEARCH("NOT NULL",UPPER(G$3))),"''","null"),SUBSTITUTE(VLOOKUP(G$2,convert!$A$1:$B$4,2,0),"@@@",G476))</f>
        <v>160</v>
      </c>
      <c r="W476" s="4" t="str">
        <f>IF(H476="",IF(ISNUMBER(SEARCH("NOT NULL",UPPER(H$3))),"''","null"),SUBSTITUTE(VLOOKUP(H$2,convert!$A$1:$B$4,2,0),"@@@",H476))</f>
        <v>90</v>
      </c>
      <c r="X476" s="4" t="str">
        <f>IF(I476="",IF(ISNUMBER(SEARCH("NOT NULL",UPPER(I$3))),"''","null"),SUBSTITUTE(VLOOKUP(I$2,convert!$A$1:$B$4,2,0),"@@@",I476))</f>
        <v>''</v>
      </c>
      <c r="Y476" s="4" t="str">
        <f>IF(J476="",IF(ISNUMBER(SEARCH("NOT NULL",UPPER(J$3))),"''","null"),SUBSTITUTE(VLOOKUP(J$2,convert!$A$1:$B$4,2,0),"@@@",J476))</f>
        <v>'water'</v>
      </c>
      <c r="Z476" s="4" t="str">
        <f>IF(K476="",IF(ISNUMBER(SEARCH("NOT NULL",UPPER(K$3))),"''","null"),SUBSTITUTE(VLOOKUP(K$2,convert!$A$1:$B$4,2,0),"@@@",K476))</f>
        <v>null</v>
      </c>
      <c r="AA476" s="4" t="str">
        <f>IF(L476="",IF(ISNUMBER(SEARCH("NOT NULL",UPPER(L$3))),"''","null"),SUBSTITUTE(VLOOKUP(L$2,convert!$A$1:$B$4,2,0),"@@@",L476))</f>
        <v>'g6oras'</v>
      </c>
      <c r="AB476" s="4" t="str">
        <f>IF(M476="",IF(ISNUMBER(SEARCH("NOT NULL",UPPER(M$3))),"''","null"),SUBSTITUTE(VLOOKUP(M$2,convert!$A$1:$B$4,2,0),"@@@",M476))</f>
        <v>null</v>
      </c>
      <c r="AC476" s="4" t="str">
        <f>IF(N476="",IF(ISNUMBER(SEARCH("NOT NULL",UPPER(N$3))),"''","null"),SUBSTITUTE(VLOOKUP(N$2,convert!$A$1:$B$4,2,0),"@@@",N476))</f>
        <v>null</v>
      </c>
      <c r="AD476" s="4" t="str">
        <f>IF(O476="",IF(ISNUMBER(SEARCH("NOT NULL",UPPER(O$3))),"''","null"),SUBSTITUTE(VLOOKUP(O$2,convert!$A$1:$B$4,2,0),"@@@",O476))</f>
        <v>TRUE</v>
      </c>
      <c r="AE476" s="4" t="str">
        <f t="shared" si="7"/>
        <v>    ('0382M01', 'ゲンシカイオーガ', 100, 150, 90, 180, 160, 90, '', 'water', null, 'g6oras', null, null, TRUE),</v>
      </c>
    </row>
    <row r="477" spans="1:31">
      <c r="A477" s="4" t="s">
        <v>965</v>
      </c>
      <c r="B477" s="4" t="s">
        <v>966</v>
      </c>
      <c r="C477" s="5">
        <v>100</v>
      </c>
      <c r="D477" s="5">
        <v>150</v>
      </c>
      <c r="E477" s="5">
        <v>140</v>
      </c>
      <c r="F477" s="5">
        <v>100</v>
      </c>
      <c r="G477" s="5">
        <v>90</v>
      </c>
      <c r="H477" s="5">
        <v>90</v>
      </c>
      <c r="I477" s="5"/>
      <c r="J477" s="4" t="s">
        <v>116</v>
      </c>
      <c r="K477" s="5"/>
      <c r="L477" s="4" t="s">
        <v>656</v>
      </c>
      <c r="M477" s="5"/>
      <c r="N477" s="5"/>
      <c r="O477" s="5" t="b">
        <v>1</v>
      </c>
      <c r="P477" s="4" t="str">
        <f>IF(A477="",IF(ISNUMBER(SEARCH("NOT NULL",UPPER(A$3))),"''","null"),SUBSTITUTE(VLOOKUP(A$2,convert!$A$1:$B$4,2,0),"@@@",A477))</f>
        <v>'0383N01'</v>
      </c>
      <c r="Q477" s="4" t="str">
        <f>IF(B477="",IF(ISNUMBER(SEARCH("NOT NULL",UPPER(B$3))),"''","null"),SUBSTITUTE(VLOOKUP(B$2,convert!$A$1:$B$4,2,0),"@@@",B477))</f>
        <v>'グラードン'</v>
      </c>
      <c r="R477" s="4" t="str">
        <f>IF(C477="",IF(ISNUMBER(SEARCH("NOT NULL",UPPER(C$3))),"''","null"),SUBSTITUTE(VLOOKUP(C$2,convert!$A$1:$B$4,2,0),"@@@",C477))</f>
        <v>100</v>
      </c>
      <c r="S477" s="4" t="str">
        <f>IF(D477="",IF(ISNUMBER(SEARCH("NOT NULL",UPPER(D$3))),"''","null"),SUBSTITUTE(VLOOKUP(D$2,convert!$A$1:$B$4,2,0),"@@@",D477))</f>
        <v>150</v>
      </c>
      <c r="T477" s="4" t="str">
        <f>IF(E477="",IF(ISNUMBER(SEARCH("NOT NULL",UPPER(E$3))),"''","null"),SUBSTITUTE(VLOOKUP(E$2,convert!$A$1:$B$4,2,0),"@@@",E477))</f>
        <v>140</v>
      </c>
      <c r="U477" s="4" t="str">
        <f>IF(F477="",IF(ISNUMBER(SEARCH("NOT NULL",UPPER(F$3))),"''","null"),SUBSTITUTE(VLOOKUP(F$2,convert!$A$1:$B$4,2,0),"@@@",F477))</f>
        <v>100</v>
      </c>
      <c r="V477" s="4" t="str">
        <f>IF(G477="",IF(ISNUMBER(SEARCH("NOT NULL",UPPER(G$3))),"''","null"),SUBSTITUTE(VLOOKUP(G$2,convert!$A$1:$B$4,2,0),"@@@",G477))</f>
        <v>90</v>
      </c>
      <c r="W477" s="4" t="str">
        <f>IF(H477="",IF(ISNUMBER(SEARCH("NOT NULL",UPPER(H$3))),"''","null"),SUBSTITUTE(VLOOKUP(H$2,convert!$A$1:$B$4,2,0),"@@@",H477))</f>
        <v>90</v>
      </c>
      <c r="X477" s="4" t="str">
        <f>IF(I477="",IF(ISNUMBER(SEARCH("NOT NULL",UPPER(I$3))),"''","null"),SUBSTITUTE(VLOOKUP(I$2,convert!$A$1:$B$4,2,0),"@@@",I477))</f>
        <v>''</v>
      </c>
      <c r="Y477" s="4" t="str">
        <f>IF(J477="",IF(ISNUMBER(SEARCH("NOT NULL",UPPER(J$3))),"''","null"),SUBSTITUTE(VLOOKUP(J$2,convert!$A$1:$B$4,2,0),"@@@",J477))</f>
        <v>'ground'</v>
      </c>
      <c r="Z477" s="4" t="str">
        <f>IF(K477="",IF(ISNUMBER(SEARCH("NOT NULL",UPPER(K$3))),"''","null"),SUBSTITUTE(VLOOKUP(K$2,convert!$A$1:$B$4,2,0),"@@@",K477))</f>
        <v>null</v>
      </c>
      <c r="AA477" s="4" t="str">
        <f>IF(L477="",IF(ISNUMBER(SEARCH("NOT NULL",UPPER(L$3))),"''","null"),SUBSTITUTE(VLOOKUP(L$2,convert!$A$1:$B$4,2,0),"@@@",L477))</f>
        <v>'g3'</v>
      </c>
      <c r="AB477" s="4" t="str">
        <f>IF(M477="",IF(ISNUMBER(SEARCH("NOT NULL",UPPER(M$3))),"''","null"),SUBSTITUTE(VLOOKUP(M$2,convert!$A$1:$B$4,2,0),"@@@",M477))</f>
        <v>null</v>
      </c>
      <c r="AC477" s="4" t="str">
        <f>IF(N477="",IF(ISNUMBER(SEARCH("NOT NULL",UPPER(N$3))),"''","null"),SUBSTITUTE(VLOOKUP(N$2,convert!$A$1:$B$4,2,0),"@@@",N477))</f>
        <v>null</v>
      </c>
      <c r="AD477" s="4" t="str">
        <f>IF(O477="",IF(ISNUMBER(SEARCH("NOT NULL",UPPER(O$3))),"''","null"),SUBSTITUTE(VLOOKUP(O$2,convert!$A$1:$B$4,2,0),"@@@",O477))</f>
        <v>TRUE</v>
      </c>
      <c r="AE477" s="4" t="str">
        <f t="shared" si="7"/>
        <v>    ('0383N01', 'グラードン', 100, 150, 140, 100, 90, 90, '', 'ground', null, 'g3', null, null, TRUE),</v>
      </c>
    </row>
    <row r="478" spans="1:31">
      <c r="A478" s="4" t="s">
        <v>967</v>
      </c>
      <c r="B478" s="4" t="s">
        <v>968</v>
      </c>
      <c r="C478" s="5">
        <v>100</v>
      </c>
      <c r="D478" s="5">
        <v>180</v>
      </c>
      <c r="E478" s="5">
        <v>160</v>
      </c>
      <c r="F478" s="5">
        <v>150</v>
      </c>
      <c r="G478" s="5">
        <v>90</v>
      </c>
      <c r="H478" s="5">
        <v>90</v>
      </c>
      <c r="I478" s="5"/>
      <c r="J478" s="4" t="s">
        <v>116</v>
      </c>
      <c r="K478" s="4" t="s">
        <v>42</v>
      </c>
      <c r="L478" s="4" t="s">
        <v>77</v>
      </c>
      <c r="M478" s="5"/>
      <c r="N478" s="5"/>
      <c r="O478" s="5" t="b">
        <v>1</v>
      </c>
      <c r="P478" s="4" t="str">
        <f>IF(A478="",IF(ISNUMBER(SEARCH("NOT NULL",UPPER(A$3))),"''","null"),SUBSTITUTE(VLOOKUP(A$2,convert!$A$1:$B$4,2,0),"@@@",A478))</f>
        <v>'0383M01'</v>
      </c>
      <c r="Q478" s="4" t="str">
        <f>IF(B478="",IF(ISNUMBER(SEARCH("NOT NULL",UPPER(B$3))),"''","null"),SUBSTITUTE(VLOOKUP(B$2,convert!$A$1:$B$4,2,0),"@@@",B478))</f>
        <v>'ゲンシグラードン'</v>
      </c>
      <c r="R478" s="4" t="str">
        <f>IF(C478="",IF(ISNUMBER(SEARCH("NOT NULL",UPPER(C$3))),"''","null"),SUBSTITUTE(VLOOKUP(C$2,convert!$A$1:$B$4,2,0),"@@@",C478))</f>
        <v>100</v>
      </c>
      <c r="S478" s="4" t="str">
        <f>IF(D478="",IF(ISNUMBER(SEARCH("NOT NULL",UPPER(D$3))),"''","null"),SUBSTITUTE(VLOOKUP(D$2,convert!$A$1:$B$4,2,0),"@@@",D478))</f>
        <v>180</v>
      </c>
      <c r="T478" s="4" t="str">
        <f>IF(E478="",IF(ISNUMBER(SEARCH("NOT NULL",UPPER(E$3))),"''","null"),SUBSTITUTE(VLOOKUP(E$2,convert!$A$1:$B$4,2,0),"@@@",E478))</f>
        <v>160</v>
      </c>
      <c r="U478" s="4" t="str">
        <f>IF(F478="",IF(ISNUMBER(SEARCH("NOT NULL",UPPER(F$3))),"''","null"),SUBSTITUTE(VLOOKUP(F$2,convert!$A$1:$B$4,2,0),"@@@",F478))</f>
        <v>150</v>
      </c>
      <c r="V478" s="4" t="str">
        <f>IF(G478="",IF(ISNUMBER(SEARCH("NOT NULL",UPPER(G$3))),"''","null"),SUBSTITUTE(VLOOKUP(G$2,convert!$A$1:$B$4,2,0),"@@@",G478))</f>
        <v>90</v>
      </c>
      <c r="W478" s="4" t="str">
        <f>IF(H478="",IF(ISNUMBER(SEARCH("NOT NULL",UPPER(H$3))),"''","null"),SUBSTITUTE(VLOOKUP(H$2,convert!$A$1:$B$4,2,0),"@@@",H478))</f>
        <v>90</v>
      </c>
      <c r="X478" s="4" t="str">
        <f>IF(I478="",IF(ISNUMBER(SEARCH("NOT NULL",UPPER(I$3))),"''","null"),SUBSTITUTE(VLOOKUP(I$2,convert!$A$1:$B$4,2,0),"@@@",I478))</f>
        <v>''</v>
      </c>
      <c r="Y478" s="4" t="str">
        <f>IF(J478="",IF(ISNUMBER(SEARCH("NOT NULL",UPPER(J$3))),"''","null"),SUBSTITUTE(VLOOKUP(J$2,convert!$A$1:$B$4,2,0),"@@@",J478))</f>
        <v>'ground'</v>
      </c>
      <c r="Z478" s="4" t="str">
        <f>IF(K478="",IF(ISNUMBER(SEARCH("NOT NULL",UPPER(K$3))),"''","null"),SUBSTITUTE(VLOOKUP(K$2,convert!$A$1:$B$4,2,0),"@@@",K478))</f>
        <v>'fire'</v>
      </c>
      <c r="AA478" s="4" t="str">
        <f>IF(L478="",IF(ISNUMBER(SEARCH("NOT NULL",UPPER(L$3))),"''","null"),SUBSTITUTE(VLOOKUP(L$2,convert!$A$1:$B$4,2,0),"@@@",L478))</f>
        <v>'g6oras'</v>
      </c>
      <c r="AB478" s="4" t="str">
        <f>IF(M478="",IF(ISNUMBER(SEARCH("NOT NULL",UPPER(M$3))),"''","null"),SUBSTITUTE(VLOOKUP(M$2,convert!$A$1:$B$4,2,0),"@@@",M478))</f>
        <v>null</v>
      </c>
      <c r="AC478" s="4" t="str">
        <f>IF(N478="",IF(ISNUMBER(SEARCH("NOT NULL",UPPER(N$3))),"''","null"),SUBSTITUTE(VLOOKUP(N$2,convert!$A$1:$B$4,2,0),"@@@",N478))</f>
        <v>null</v>
      </c>
      <c r="AD478" s="4" t="str">
        <f>IF(O478="",IF(ISNUMBER(SEARCH("NOT NULL",UPPER(O$3))),"''","null"),SUBSTITUTE(VLOOKUP(O$2,convert!$A$1:$B$4,2,0),"@@@",O478))</f>
        <v>TRUE</v>
      </c>
      <c r="AE478" s="4" t="str">
        <f t="shared" si="7"/>
        <v>    ('0383M01', 'ゲンシグラードン', 100, 180, 160, 150, 90, 90, '', 'ground', 'fire', 'g6oras', null, null, TRUE),</v>
      </c>
    </row>
    <row r="479" spans="1:31">
      <c r="A479" s="4" t="s">
        <v>969</v>
      </c>
      <c r="B479" s="4" t="s">
        <v>970</v>
      </c>
      <c r="C479" s="5">
        <v>105</v>
      </c>
      <c r="D479" s="5">
        <v>150</v>
      </c>
      <c r="E479" s="5">
        <v>90</v>
      </c>
      <c r="F479" s="5">
        <v>150</v>
      </c>
      <c r="G479" s="5">
        <v>90</v>
      </c>
      <c r="H479" s="5">
        <v>95</v>
      </c>
      <c r="I479" s="5"/>
      <c r="J479" s="4" t="s">
        <v>50</v>
      </c>
      <c r="K479" s="4" t="s">
        <v>47</v>
      </c>
      <c r="L479" s="4" t="s">
        <v>656</v>
      </c>
      <c r="M479" s="5"/>
      <c r="N479" s="5"/>
      <c r="O479" s="5" t="b">
        <v>1</v>
      </c>
      <c r="P479" s="4" t="str">
        <f>IF(A479="",IF(ISNUMBER(SEARCH("NOT NULL",UPPER(A$3))),"''","null"),SUBSTITUTE(VLOOKUP(A$2,convert!$A$1:$B$4,2,0),"@@@",A479))</f>
        <v>'0384N01'</v>
      </c>
      <c r="Q479" s="4" t="str">
        <f>IF(B479="",IF(ISNUMBER(SEARCH("NOT NULL",UPPER(B$3))),"''","null"),SUBSTITUTE(VLOOKUP(B$2,convert!$A$1:$B$4,2,0),"@@@",B479))</f>
        <v>'レックウザ'</v>
      </c>
      <c r="R479" s="4" t="str">
        <f>IF(C479="",IF(ISNUMBER(SEARCH("NOT NULL",UPPER(C$3))),"''","null"),SUBSTITUTE(VLOOKUP(C$2,convert!$A$1:$B$4,2,0),"@@@",C479))</f>
        <v>105</v>
      </c>
      <c r="S479" s="4" t="str">
        <f>IF(D479="",IF(ISNUMBER(SEARCH("NOT NULL",UPPER(D$3))),"''","null"),SUBSTITUTE(VLOOKUP(D$2,convert!$A$1:$B$4,2,0),"@@@",D479))</f>
        <v>150</v>
      </c>
      <c r="T479" s="4" t="str">
        <f>IF(E479="",IF(ISNUMBER(SEARCH("NOT NULL",UPPER(E$3))),"''","null"),SUBSTITUTE(VLOOKUP(E$2,convert!$A$1:$B$4,2,0),"@@@",E479))</f>
        <v>90</v>
      </c>
      <c r="U479" s="4" t="str">
        <f>IF(F479="",IF(ISNUMBER(SEARCH("NOT NULL",UPPER(F$3))),"''","null"),SUBSTITUTE(VLOOKUP(F$2,convert!$A$1:$B$4,2,0),"@@@",F479))</f>
        <v>150</v>
      </c>
      <c r="V479" s="4" t="str">
        <f>IF(G479="",IF(ISNUMBER(SEARCH("NOT NULL",UPPER(G$3))),"''","null"),SUBSTITUTE(VLOOKUP(G$2,convert!$A$1:$B$4,2,0),"@@@",G479))</f>
        <v>90</v>
      </c>
      <c r="W479" s="4" t="str">
        <f>IF(H479="",IF(ISNUMBER(SEARCH("NOT NULL",UPPER(H$3))),"''","null"),SUBSTITUTE(VLOOKUP(H$2,convert!$A$1:$B$4,2,0),"@@@",H479))</f>
        <v>95</v>
      </c>
      <c r="X479" s="4" t="str">
        <f>IF(I479="",IF(ISNUMBER(SEARCH("NOT NULL",UPPER(I$3))),"''","null"),SUBSTITUTE(VLOOKUP(I$2,convert!$A$1:$B$4,2,0),"@@@",I479))</f>
        <v>''</v>
      </c>
      <c r="Y479" s="4" t="str">
        <f>IF(J479="",IF(ISNUMBER(SEARCH("NOT NULL",UPPER(J$3))),"''","null"),SUBSTITUTE(VLOOKUP(J$2,convert!$A$1:$B$4,2,0),"@@@",J479))</f>
        <v>'dragon'</v>
      </c>
      <c r="Z479" s="4" t="str">
        <f>IF(K479="",IF(ISNUMBER(SEARCH("NOT NULL",UPPER(K$3))),"''","null"),SUBSTITUTE(VLOOKUP(K$2,convert!$A$1:$B$4,2,0),"@@@",K479))</f>
        <v>'flying'</v>
      </c>
      <c r="AA479" s="4" t="str">
        <f>IF(L479="",IF(ISNUMBER(SEARCH("NOT NULL",UPPER(L$3))),"''","null"),SUBSTITUTE(VLOOKUP(L$2,convert!$A$1:$B$4,2,0),"@@@",L479))</f>
        <v>'g3'</v>
      </c>
      <c r="AB479" s="4" t="str">
        <f>IF(M479="",IF(ISNUMBER(SEARCH("NOT NULL",UPPER(M$3))),"''","null"),SUBSTITUTE(VLOOKUP(M$2,convert!$A$1:$B$4,2,0),"@@@",M479))</f>
        <v>null</v>
      </c>
      <c r="AC479" s="4" t="str">
        <f>IF(N479="",IF(ISNUMBER(SEARCH("NOT NULL",UPPER(N$3))),"''","null"),SUBSTITUTE(VLOOKUP(N$2,convert!$A$1:$B$4,2,0),"@@@",N479))</f>
        <v>null</v>
      </c>
      <c r="AD479" s="4" t="str">
        <f>IF(O479="",IF(ISNUMBER(SEARCH("NOT NULL",UPPER(O$3))),"''","null"),SUBSTITUTE(VLOOKUP(O$2,convert!$A$1:$B$4,2,0),"@@@",O479))</f>
        <v>TRUE</v>
      </c>
      <c r="AE479" s="4" t="str">
        <f t="shared" si="7"/>
        <v>    ('0384N01', 'レックウザ', 105, 150, 90, 150, 90, 95, '', 'dragon', 'flying', 'g3', null, null, TRUE),</v>
      </c>
    </row>
    <row r="480" spans="1:31">
      <c r="A480" s="4" t="s">
        <v>971</v>
      </c>
      <c r="B480" s="4" t="s">
        <v>972</v>
      </c>
      <c r="C480" s="5">
        <v>105</v>
      </c>
      <c r="D480" s="5">
        <v>180</v>
      </c>
      <c r="E480" s="5">
        <v>100</v>
      </c>
      <c r="F480" s="5">
        <v>180</v>
      </c>
      <c r="G480" s="5">
        <v>100</v>
      </c>
      <c r="H480" s="5">
        <v>115</v>
      </c>
      <c r="I480" s="5"/>
      <c r="J480" s="4" t="s">
        <v>50</v>
      </c>
      <c r="K480" s="4" t="s">
        <v>47</v>
      </c>
      <c r="L480" s="4" t="s">
        <v>77</v>
      </c>
      <c r="M480" s="5"/>
      <c r="N480" s="5"/>
      <c r="O480" s="5" t="b">
        <v>1</v>
      </c>
      <c r="P480" s="4" t="str">
        <f>IF(A480="",IF(ISNUMBER(SEARCH("NOT NULL",UPPER(A$3))),"''","null"),SUBSTITUTE(VLOOKUP(A$2,convert!$A$1:$B$4,2,0),"@@@",A480))</f>
        <v>'0384M01'</v>
      </c>
      <c r="Q480" s="4" t="str">
        <f>IF(B480="",IF(ISNUMBER(SEARCH("NOT NULL",UPPER(B$3))),"''","null"),SUBSTITUTE(VLOOKUP(B$2,convert!$A$1:$B$4,2,0),"@@@",B480))</f>
        <v>'メガレックウザ'</v>
      </c>
      <c r="R480" s="4" t="str">
        <f>IF(C480="",IF(ISNUMBER(SEARCH("NOT NULL",UPPER(C$3))),"''","null"),SUBSTITUTE(VLOOKUP(C$2,convert!$A$1:$B$4,2,0),"@@@",C480))</f>
        <v>105</v>
      </c>
      <c r="S480" s="4" t="str">
        <f>IF(D480="",IF(ISNUMBER(SEARCH("NOT NULL",UPPER(D$3))),"''","null"),SUBSTITUTE(VLOOKUP(D$2,convert!$A$1:$B$4,2,0),"@@@",D480))</f>
        <v>180</v>
      </c>
      <c r="T480" s="4" t="str">
        <f>IF(E480="",IF(ISNUMBER(SEARCH("NOT NULL",UPPER(E$3))),"''","null"),SUBSTITUTE(VLOOKUP(E$2,convert!$A$1:$B$4,2,0),"@@@",E480))</f>
        <v>100</v>
      </c>
      <c r="U480" s="4" t="str">
        <f>IF(F480="",IF(ISNUMBER(SEARCH("NOT NULL",UPPER(F$3))),"''","null"),SUBSTITUTE(VLOOKUP(F$2,convert!$A$1:$B$4,2,0),"@@@",F480))</f>
        <v>180</v>
      </c>
      <c r="V480" s="4" t="str">
        <f>IF(G480="",IF(ISNUMBER(SEARCH("NOT NULL",UPPER(G$3))),"''","null"),SUBSTITUTE(VLOOKUP(G$2,convert!$A$1:$B$4,2,0),"@@@",G480))</f>
        <v>100</v>
      </c>
      <c r="W480" s="4" t="str">
        <f>IF(H480="",IF(ISNUMBER(SEARCH("NOT NULL",UPPER(H$3))),"''","null"),SUBSTITUTE(VLOOKUP(H$2,convert!$A$1:$B$4,2,0),"@@@",H480))</f>
        <v>115</v>
      </c>
      <c r="X480" s="4" t="str">
        <f>IF(I480="",IF(ISNUMBER(SEARCH("NOT NULL",UPPER(I$3))),"''","null"),SUBSTITUTE(VLOOKUP(I$2,convert!$A$1:$B$4,2,0),"@@@",I480))</f>
        <v>''</v>
      </c>
      <c r="Y480" s="4" t="str">
        <f>IF(J480="",IF(ISNUMBER(SEARCH("NOT NULL",UPPER(J$3))),"''","null"),SUBSTITUTE(VLOOKUP(J$2,convert!$A$1:$B$4,2,0),"@@@",J480))</f>
        <v>'dragon'</v>
      </c>
      <c r="Z480" s="4" t="str">
        <f>IF(K480="",IF(ISNUMBER(SEARCH("NOT NULL",UPPER(K$3))),"''","null"),SUBSTITUTE(VLOOKUP(K$2,convert!$A$1:$B$4,2,0),"@@@",K480))</f>
        <v>'flying'</v>
      </c>
      <c r="AA480" s="4" t="str">
        <f>IF(L480="",IF(ISNUMBER(SEARCH("NOT NULL",UPPER(L$3))),"''","null"),SUBSTITUTE(VLOOKUP(L$2,convert!$A$1:$B$4,2,0),"@@@",L480))</f>
        <v>'g6oras'</v>
      </c>
      <c r="AB480" s="4" t="str">
        <f>IF(M480="",IF(ISNUMBER(SEARCH("NOT NULL",UPPER(M$3))),"''","null"),SUBSTITUTE(VLOOKUP(M$2,convert!$A$1:$B$4,2,0),"@@@",M480))</f>
        <v>null</v>
      </c>
      <c r="AC480" s="4" t="str">
        <f>IF(N480="",IF(ISNUMBER(SEARCH("NOT NULL",UPPER(N$3))),"''","null"),SUBSTITUTE(VLOOKUP(N$2,convert!$A$1:$B$4,2,0),"@@@",N480))</f>
        <v>null</v>
      </c>
      <c r="AD480" s="4" t="str">
        <f>IF(O480="",IF(ISNUMBER(SEARCH("NOT NULL",UPPER(O$3))),"''","null"),SUBSTITUTE(VLOOKUP(O$2,convert!$A$1:$B$4,2,0),"@@@",O480))</f>
        <v>TRUE</v>
      </c>
      <c r="AE480" s="4" t="str">
        <f t="shared" si="7"/>
        <v>    ('0384M01', 'メガレックウザ', 105, 180, 100, 180, 100, 115, '', 'dragon', 'flying', 'g6oras', null, null, TRUE),</v>
      </c>
    </row>
    <row r="481" spans="1:31">
      <c r="A481" s="4" t="s">
        <v>973</v>
      </c>
      <c r="B481" s="4" t="s">
        <v>974</v>
      </c>
      <c r="C481" s="5">
        <v>100</v>
      </c>
      <c r="D481" s="5">
        <v>100</v>
      </c>
      <c r="E481" s="5">
        <v>100</v>
      </c>
      <c r="F481" s="5">
        <v>100</v>
      </c>
      <c r="G481" s="5">
        <v>100</v>
      </c>
      <c r="H481" s="5">
        <v>100</v>
      </c>
      <c r="I481" s="5"/>
      <c r="J481" s="4" t="s">
        <v>119</v>
      </c>
      <c r="K481" s="4" t="s">
        <v>113</v>
      </c>
      <c r="L481" s="4" t="s">
        <v>656</v>
      </c>
      <c r="M481" s="5"/>
      <c r="N481" s="5"/>
      <c r="O481" s="5" t="b">
        <v>1</v>
      </c>
      <c r="P481" s="4" t="str">
        <f>IF(A481="",IF(ISNUMBER(SEARCH("NOT NULL",UPPER(A$3))),"''","null"),SUBSTITUTE(VLOOKUP(A$2,convert!$A$1:$B$4,2,0),"@@@",A481))</f>
        <v>'0385N01'</v>
      </c>
      <c r="Q481" s="4" t="str">
        <f>IF(B481="",IF(ISNUMBER(SEARCH("NOT NULL",UPPER(B$3))),"''","null"),SUBSTITUTE(VLOOKUP(B$2,convert!$A$1:$B$4,2,0),"@@@",B481))</f>
        <v>'ジラーチ'</v>
      </c>
      <c r="R481" s="4" t="str">
        <f>IF(C481="",IF(ISNUMBER(SEARCH("NOT NULL",UPPER(C$3))),"''","null"),SUBSTITUTE(VLOOKUP(C$2,convert!$A$1:$B$4,2,0),"@@@",C481))</f>
        <v>100</v>
      </c>
      <c r="S481" s="4" t="str">
        <f>IF(D481="",IF(ISNUMBER(SEARCH("NOT NULL",UPPER(D$3))),"''","null"),SUBSTITUTE(VLOOKUP(D$2,convert!$A$1:$B$4,2,0),"@@@",D481))</f>
        <v>100</v>
      </c>
      <c r="T481" s="4" t="str">
        <f>IF(E481="",IF(ISNUMBER(SEARCH("NOT NULL",UPPER(E$3))),"''","null"),SUBSTITUTE(VLOOKUP(E$2,convert!$A$1:$B$4,2,0),"@@@",E481))</f>
        <v>100</v>
      </c>
      <c r="U481" s="4" t="str">
        <f>IF(F481="",IF(ISNUMBER(SEARCH("NOT NULL",UPPER(F$3))),"''","null"),SUBSTITUTE(VLOOKUP(F$2,convert!$A$1:$B$4,2,0),"@@@",F481))</f>
        <v>100</v>
      </c>
      <c r="V481" s="4" t="str">
        <f>IF(G481="",IF(ISNUMBER(SEARCH("NOT NULL",UPPER(G$3))),"''","null"),SUBSTITUTE(VLOOKUP(G$2,convert!$A$1:$B$4,2,0),"@@@",G481))</f>
        <v>100</v>
      </c>
      <c r="W481" s="4" t="str">
        <f>IF(H481="",IF(ISNUMBER(SEARCH("NOT NULL",UPPER(H$3))),"''","null"),SUBSTITUTE(VLOOKUP(H$2,convert!$A$1:$B$4,2,0),"@@@",H481))</f>
        <v>100</v>
      </c>
      <c r="X481" s="4" t="str">
        <f>IF(I481="",IF(ISNUMBER(SEARCH("NOT NULL",UPPER(I$3))),"''","null"),SUBSTITUTE(VLOOKUP(I$2,convert!$A$1:$B$4,2,0),"@@@",I481))</f>
        <v>''</v>
      </c>
      <c r="Y481" s="4" t="str">
        <f>IF(J481="",IF(ISNUMBER(SEARCH("NOT NULL",UPPER(J$3))),"''","null"),SUBSTITUTE(VLOOKUP(J$2,convert!$A$1:$B$4,2,0),"@@@",J481))</f>
        <v>'steel'</v>
      </c>
      <c r="Z481" s="4" t="str">
        <f>IF(K481="",IF(ISNUMBER(SEARCH("NOT NULL",UPPER(K$3))),"''","null"),SUBSTITUTE(VLOOKUP(K$2,convert!$A$1:$B$4,2,0),"@@@",K481))</f>
        <v>'psychic'</v>
      </c>
      <c r="AA481" s="4" t="str">
        <f>IF(L481="",IF(ISNUMBER(SEARCH("NOT NULL",UPPER(L$3))),"''","null"),SUBSTITUTE(VLOOKUP(L$2,convert!$A$1:$B$4,2,0),"@@@",L481))</f>
        <v>'g3'</v>
      </c>
      <c r="AB481" s="4" t="str">
        <f>IF(M481="",IF(ISNUMBER(SEARCH("NOT NULL",UPPER(M$3))),"''","null"),SUBSTITUTE(VLOOKUP(M$2,convert!$A$1:$B$4,2,0),"@@@",M481))</f>
        <v>null</v>
      </c>
      <c r="AC481" s="4" t="str">
        <f>IF(N481="",IF(ISNUMBER(SEARCH("NOT NULL",UPPER(N$3))),"''","null"),SUBSTITUTE(VLOOKUP(N$2,convert!$A$1:$B$4,2,0),"@@@",N481))</f>
        <v>null</v>
      </c>
      <c r="AD481" s="4" t="str">
        <f>IF(O481="",IF(ISNUMBER(SEARCH("NOT NULL",UPPER(O$3))),"''","null"),SUBSTITUTE(VLOOKUP(O$2,convert!$A$1:$B$4,2,0),"@@@",O481))</f>
        <v>TRUE</v>
      </c>
      <c r="AE481" s="4" t="str">
        <f t="shared" si="7"/>
        <v>    ('0385N01', 'ジラーチ', 100, 100, 100, 100, 100, 100, '', 'steel', 'psychic', 'g3', null, null, TRUE),</v>
      </c>
    </row>
    <row r="482" spans="1:31">
      <c r="A482" s="4" t="s">
        <v>975</v>
      </c>
      <c r="B482" s="4" t="s">
        <v>976</v>
      </c>
      <c r="C482" s="5">
        <v>50</v>
      </c>
      <c r="D482" s="5">
        <v>150</v>
      </c>
      <c r="E482" s="5">
        <v>50</v>
      </c>
      <c r="F482" s="5">
        <v>150</v>
      </c>
      <c r="G482" s="5">
        <v>50</v>
      </c>
      <c r="H482" s="5">
        <v>150</v>
      </c>
      <c r="I482" s="4" t="s">
        <v>977</v>
      </c>
      <c r="J482" s="4" t="s">
        <v>113</v>
      </c>
      <c r="K482" s="5"/>
      <c r="L482" s="4" t="s">
        <v>656</v>
      </c>
      <c r="M482" s="5"/>
      <c r="N482" s="5"/>
      <c r="O482" s="5" t="b">
        <v>1</v>
      </c>
      <c r="P482" s="4" t="str">
        <f>IF(A482="",IF(ISNUMBER(SEARCH("NOT NULL",UPPER(A$3))),"''","null"),SUBSTITUTE(VLOOKUP(A$2,convert!$A$1:$B$4,2,0),"@@@",A482))</f>
        <v>'0386N01'</v>
      </c>
      <c r="Q482" s="4" t="str">
        <f>IF(B482="",IF(ISNUMBER(SEARCH("NOT NULL",UPPER(B$3))),"''","null"),SUBSTITUTE(VLOOKUP(B$2,convert!$A$1:$B$4,2,0),"@@@",B482))</f>
        <v>'デオキシス'</v>
      </c>
      <c r="R482" s="4" t="str">
        <f>IF(C482="",IF(ISNUMBER(SEARCH("NOT NULL",UPPER(C$3))),"''","null"),SUBSTITUTE(VLOOKUP(C$2,convert!$A$1:$B$4,2,0),"@@@",C482))</f>
        <v>50</v>
      </c>
      <c r="S482" s="4" t="str">
        <f>IF(D482="",IF(ISNUMBER(SEARCH("NOT NULL",UPPER(D$3))),"''","null"),SUBSTITUTE(VLOOKUP(D$2,convert!$A$1:$B$4,2,0),"@@@",D482))</f>
        <v>150</v>
      </c>
      <c r="T482" s="4" t="str">
        <f>IF(E482="",IF(ISNUMBER(SEARCH("NOT NULL",UPPER(E$3))),"''","null"),SUBSTITUTE(VLOOKUP(E$2,convert!$A$1:$B$4,2,0),"@@@",E482))</f>
        <v>50</v>
      </c>
      <c r="U482" s="4" t="str">
        <f>IF(F482="",IF(ISNUMBER(SEARCH("NOT NULL",UPPER(F$3))),"''","null"),SUBSTITUTE(VLOOKUP(F$2,convert!$A$1:$B$4,2,0),"@@@",F482))</f>
        <v>150</v>
      </c>
      <c r="V482" s="4" t="str">
        <f>IF(G482="",IF(ISNUMBER(SEARCH("NOT NULL",UPPER(G$3))),"''","null"),SUBSTITUTE(VLOOKUP(G$2,convert!$A$1:$B$4,2,0),"@@@",G482))</f>
        <v>50</v>
      </c>
      <c r="W482" s="4" t="str">
        <f>IF(H482="",IF(ISNUMBER(SEARCH("NOT NULL",UPPER(H$3))),"''","null"),SUBSTITUTE(VLOOKUP(H$2,convert!$A$1:$B$4,2,0),"@@@",H482))</f>
        <v>150</v>
      </c>
      <c r="X482" s="4" t="str">
        <f>IF(I482="",IF(ISNUMBER(SEARCH("NOT NULL",UPPER(I$3))),"''","null"),SUBSTITUTE(VLOOKUP(I$2,convert!$A$1:$B$4,2,0),"@@@",I482))</f>
        <v>'ノーマルフォルム'</v>
      </c>
      <c r="Y482" s="4" t="str">
        <f>IF(J482="",IF(ISNUMBER(SEARCH("NOT NULL",UPPER(J$3))),"''","null"),SUBSTITUTE(VLOOKUP(J$2,convert!$A$1:$B$4,2,0),"@@@",J482))</f>
        <v>'psychic'</v>
      </c>
      <c r="Z482" s="4" t="str">
        <f>IF(K482="",IF(ISNUMBER(SEARCH("NOT NULL",UPPER(K$3))),"''","null"),SUBSTITUTE(VLOOKUP(K$2,convert!$A$1:$B$4,2,0),"@@@",K482))</f>
        <v>null</v>
      </c>
      <c r="AA482" s="4" t="str">
        <f>IF(L482="",IF(ISNUMBER(SEARCH("NOT NULL",UPPER(L$3))),"''","null"),SUBSTITUTE(VLOOKUP(L$2,convert!$A$1:$B$4,2,0),"@@@",L482))</f>
        <v>'g3'</v>
      </c>
      <c r="AB482" s="4" t="str">
        <f>IF(M482="",IF(ISNUMBER(SEARCH("NOT NULL",UPPER(M$3))),"''","null"),SUBSTITUTE(VLOOKUP(M$2,convert!$A$1:$B$4,2,0),"@@@",M482))</f>
        <v>null</v>
      </c>
      <c r="AC482" s="4" t="str">
        <f>IF(N482="",IF(ISNUMBER(SEARCH("NOT NULL",UPPER(N$3))),"''","null"),SUBSTITUTE(VLOOKUP(N$2,convert!$A$1:$B$4,2,0),"@@@",N482))</f>
        <v>null</v>
      </c>
      <c r="AD482" s="4" t="str">
        <f>IF(O482="",IF(ISNUMBER(SEARCH("NOT NULL",UPPER(O$3))),"''","null"),SUBSTITUTE(VLOOKUP(O$2,convert!$A$1:$B$4,2,0),"@@@",O482))</f>
        <v>TRUE</v>
      </c>
      <c r="AE482" s="4" t="str">
        <f t="shared" si="7"/>
        <v>    ('0386N01', 'デオキシス', 50, 150, 50, 150, 50, 150, 'ノーマルフォルム', 'psychic', null, 'g3', null, null, TRUE),</v>
      </c>
    </row>
    <row r="483" spans="1:31">
      <c r="A483" s="4" t="s">
        <v>978</v>
      </c>
      <c r="B483" s="4" t="s">
        <v>976</v>
      </c>
      <c r="C483" s="5">
        <v>50</v>
      </c>
      <c r="D483" s="5">
        <v>180</v>
      </c>
      <c r="E483" s="5">
        <v>20</v>
      </c>
      <c r="F483" s="5">
        <v>180</v>
      </c>
      <c r="G483" s="5">
        <v>20</v>
      </c>
      <c r="H483" s="5">
        <v>150</v>
      </c>
      <c r="I483" s="4" t="s">
        <v>979</v>
      </c>
      <c r="J483" s="4" t="s">
        <v>113</v>
      </c>
      <c r="K483" s="5"/>
      <c r="L483" s="4" t="s">
        <v>656</v>
      </c>
      <c r="M483" s="5"/>
      <c r="N483" s="5"/>
      <c r="O483" s="5" t="b">
        <v>1</v>
      </c>
      <c r="P483" s="4" t="str">
        <f>IF(A483="",IF(ISNUMBER(SEARCH("NOT NULL",UPPER(A$3))),"''","null"),SUBSTITUTE(VLOOKUP(A$2,convert!$A$1:$B$4,2,0),"@@@",A483))</f>
        <v>'0386N02'</v>
      </c>
      <c r="Q483" s="4" t="str">
        <f>IF(B483="",IF(ISNUMBER(SEARCH("NOT NULL",UPPER(B$3))),"''","null"),SUBSTITUTE(VLOOKUP(B$2,convert!$A$1:$B$4,2,0),"@@@",B483))</f>
        <v>'デオキシス'</v>
      </c>
      <c r="R483" s="4" t="str">
        <f>IF(C483="",IF(ISNUMBER(SEARCH("NOT NULL",UPPER(C$3))),"''","null"),SUBSTITUTE(VLOOKUP(C$2,convert!$A$1:$B$4,2,0),"@@@",C483))</f>
        <v>50</v>
      </c>
      <c r="S483" s="4" t="str">
        <f>IF(D483="",IF(ISNUMBER(SEARCH("NOT NULL",UPPER(D$3))),"''","null"),SUBSTITUTE(VLOOKUP(D$2,convert!$A$1:$B$4,2,0),"@@@",D483))</f>
        <v>180</v>
      </c>
      <c r="T483" s="4" t="str">
        <f>IF(E483="",IF(ISNUMBER(SEARCH("NOT NULL",UPPER(E$3))),"''","null"),SUBSTITUTE(VLOOKUP(E$2,convert!$A$1:$B$4,2,0),"@@@",E483))</f>
        <v>20</v>
      </c>
      <c r="U483" s="4" t="str">
        <f>IF(F483="",IF(ISNUMBER(SEARCH("NOT NULL",UPPER(F$3))),"''","null"),SUBSTITUTE(VLOOKUP(F$2,convert!$A$1:$B$4,2,0),"@@@",F483))</f>
        <v>180</v>
      </c>
      <c r="V483" s="4" t="str">
        <f>IF(G483="",IF(ISNUMBER(SEARCH("NOT NULL",UPPER(G$3))),"''","null"),SUBSTITUTE(VLOOKUP(G$2,convert!$A$1:$B$4,2,0),"@@@",G483))</f>
        <v>20</v>
      </c>
      <c r="W483" s="4" t="str">
        <f>IF(H483="",IF(ISNUMBER(SEARCH("NOT NULL",UPPER(H$3))),"''","null"),SUBSTITUTE(VLOOKUP(H$2,convert!$A$1:$B$4,2,0),"@@@",H483))</f>
        <v>150</v>
      </c>
      <c r="X483" s="4" t="str">
        <f>IF(I483="",IF(ISNUMBER(SEARCH("NOT NULL",UPPER(I$3))),"''","null"),SUBSTITUTE(VLOOKUP(I$2,convert!$A$1:$B$4,2,0),"@@@",I483))</f>
        <v>'アタックフォルム'</v>
      </c>
      <c r="Y483" s="4" t="str">
        <f>IF(J483="",IF(ISNUMBER(SEARCH("NOT NULL",UPPER(J$3))),"''","null"),SUBSTITUTE(VLOOKUP(J$2,convert!$A$1:$B$4,2,0),"@@@",J483))</f>
        <v>'psychic'</v>
      </c>
      <c r="Z483" s="4" t="str">
        <f>IF(K483="",IF(ISNUMBER(SEARCH("NOT NULL",UPPER(K$3))),"''","null"),SUBSTITUTE(VLOOKUP(K$2,convert!$A$1:$B$4,2,0),"@@@",K483))</f>
        <v>null</v>
      </c>
      <c r="AA483" s="4" t="str">
        <f>IF(L483="",IF(ISNUMBER(SEARCH("NOT NULL",UPPER(L$3))),"''","null"),SUBSTITUTE(VLOOKUP(L$2,convert!$A$1:$B$4,2,0),"@@@",L483))</f>
        <v>'g3'</v>
      </c>
      <c r="AB483" s="4" t="str">
        <f>IF(M483="",IF(ISNUMBER(SEARCH("NOT NULL",UPPER(M$3))),"''","null"),SUBSTITUTE(VLOOKUP(M$2,convert!$A$1:$B$4,2,0),"@@@",M483))</f>
        <v>null</v>
      </c>
      <c r="AC483" s="4" t="str">
        <f>IF(N483="",IF(ISNUMBER(SEARCH("NOT NULL",UPPER(N$3))),"''","null"),SUBSTITUTE(VLOOKUP(N$2,convert!$A$1:$B$4,2,0),"@@@",N483))</f>
        <v>null</v>
      </c>
      <c r="AD483" s="4" t="str">
        <f>IF(O483="",IF(ISNUMBER(SEARCH("NOT NULL",UPPER(O$3))),"''","null"),SUBSTITUTE(VLOOKUP(O$2,convert!$A$1:$B$4,2,0),"@@@",O483))</f>
        <v>TRUE</v>
      </c>
      <c r="AE483" s="4" t="str">
        <f t="shared" si="7"/>
        <v>    ('0386N02', 'デオキシス', 50, 180, 20, 180, 20, 150, 'アタックフォルム', 'psychic', null, 'g3', null, null, TRUE),</v>
      </c>
    </row>
    <row r="484" spans="1:31">
      <c r="A484" s="4" t="s">
        <v>980</v>
      </c>
      <c r="B484" s="4" t="s">
        <v>976</v>
      </c>
      <c r="C484" s="5">
        <v>50</v>
      </c>
      <c r="D484" s="5">
        <v>70</v>
      </c>
      <c r="E484" s="5">
        <v>160</v>
      </c>
      <c r="F484" s="5">
        <v>70</v>
      </c>
      <c r="G484" s="5">
        <v>160</v>
      </c>
      <c r="H484" s="5">
        <v>90</v>
      </c>
      <c r="I484" s="4" t="s">
        <v>981</v>
      </c>
      <c r="J484" s="4" t="s">
        <v>113</v>
      </c>
      <c r="K484" s="5"/>
      <c r="L484" s="4" t="s">
        <v>656</v>
      </c>
      <c r="M484" s="5"/>
      <c r="N484" s="5"/>
      <c r="O484" s="5" t="b">
        <v>1</v>
      </c>
      <c r="P484" s="4" t="str">
        <f>IF(A484="",IF(ISNUMBER(SEARCH("NOT NULL",UPPER(A$3))),"''","null"),SUBSTITUTE(VLOOKUP(A$2,convert!$A$1:$B$4,2,0),"@@@",A484))</f>
        <v>'0386N03'</v>
      </c>
      <c r="Q484" s="4" t="str">
        <f>IF(B484="",IF(ISNUMBER(SEARCH("NOT NULL",UPPER(B$3))),"''","null"),SUBSTITUTE(VLOOKUP(B$2,convert!$A$1:$B$4,2,0),"@@@",B484))</f>
        <v>'デオキシス'</v>
      </c>
      <c r="R484" s="4" t="str">
        <f>IF(C484="",IF(ISNUMBER(SEARCH("NOT NULL",UPPER(C$3))),"''","null"),SUBSTITUTE(VLOOKUP(C$2,convert!$A$1:$B$4,2,0),"@@@",C484))</f>
        <v>50</v>
      </c>
      <c r="S484" s="4" t="str">
        <f>IF(D484="",IF(ISNUMBER(SEARCH("NOT NULL",UPPER(D$3))),"''","null"),SUBSTITUTE(VLOOKUP(D$2,convert!$A$1:$B$4,2,0),"@@@",D484))</f>
        <v>70</v>
      </c>
      <c r="T484" s="4" t="str">
        <f>IF(E484="",IF(ISNUMBER(SEARCH("NOT NULL",UPPER(E$3))),"''","null"),SUBSTITUTE(VLOOKUP(E$2,convert!$A$1:$B$4,2,0),"@@@",E484))</f>
        <v>160</v>
      </c>
      <c r="U484" s="4" t="str">
        <f>IF(F484="",IF(ISNUMBER(SEARCH("NOT NULL",UPPER(F$3))),"''","null"),SUBSTITUTE(VLOOKUP(F$2,convert!$A$1:$B$4,2,0),"@@@",F484))</f>
        <v>70</v>
      </c>
      <c r="V484" s="4" t="str">
        <f>IF(G484="",IF(ISNUMBER(SEARCH("NOT NULL",UPPER(G$3))),"''","null"),SUBSTITUTE(VLOOKUP(G$2,convert!$A$1:$B$4,2,0),"@@@",G484))</f>
        <v>160</v>
      </c>
      <c r="W484" s="4" t="str">
        <f>IF(H484="",IF(ISNUMBER(SEARCH("NOT NULL",UPPER(H$3))),"''","null"),SUBSTITUTE(VLOOKUP(H$2,convert!$A$1:$B$4,2,0),"@@@",H484))</f>
        <v>90</v>
      </c>
      <c r="X484" s="4" t="str">
        <f>IF(I484="",IF(ISNUMBER(SEARCH("NOT NULL",UPPER(I$3))),"''","null"),SUBSTITUTE(VLOOKUP(I$2,convert!$A$1:$B$4,2,0),"@@@",I484))</f>
        <v>'ディフェンスフォルム'</v>
      </c>
      <c r="Y484" s="4" t="str">
        <f>IF(J484="",IF(ISNUMBER(SEARCH("NOT NULL",UPPER(J$3))),"''","null"),SUBSTITUTE(VLOOKUP(J$2,convert!$A$1:$B$4,2,0),"@@@",J484))</f>
        <v>'psychic'</v>
      </c>
      <c r="Z484" s="4" t="str">
        <f>IF(K484="",IF(ISNUMBER(SEARCH("NOT NULL",UPPER(K$3))),"''","null"),SUBSTITUTE(VLOOKUP(K$2,convert!$A$1:$B$4,2,0),"@@@",K484))</f>
        <v>null</v>
      </c>
      <c r="AA484" s="4" t="str">
        <f>IF(L484="",IF(ISNUMBER(SEARCH("NOT NULL",UPPER(L$3))),"''","null"),SUBSTITUTE(VLOOKUP(L$2,convert!$A$1:$B$4,2,0),"@@@",L484))</f>
        <v>'g3'</v>
      </c>
      <c r="AB484" s="4" t="str">
        <f>IF(M484="",IF(ISNUMBER(SEARCH("NOT NULL",UPPER(M$3))),"''","null"),SUBSTITUTE(VLOOKUP(M$2,convert!$A$1:$B$4,2,0),"@@@",M484))</f>
        <v>null</v>
      </c>
      <c r="AC484" s="4" t="str">
        <f>IF(N484="",IF(ISNUMBER(SEARCH("NOT NULL",UPPER(N$3))),"''","null"),SUBSTITUTE(VLOOKUP(N$2,convert!$A$1:$B$4,2,0),"@@@",N484))</f>
        <v>null</v>
      </c>
      <c r="AD484" s="4" t="str">
        <f>IF(O484="",IF(ISNUMBER(SEARCH("NOT NULL",UPPER(O$3))),"''","null"),SUBSTITUTE(VLOOKUP(O$2,convert!$A$1:$B$4,2,0),"@@@",O484))</f>
        <v>TRUE</v>
      </c>
      <c r="AE484" s="4" t="str">
        <f t="shared" si="7"/>
        <v>    ('0386N03', 'デオキシス', 50, 70, 160, 70, 160, 90, 'ディフェンスフォルム', 'psychic', null, 'g3', null, null, TRUE),</v>
      </c>
    </row>
    <row r="485" spans="1:31">
      <c r="A485" s="4" t="s">
        <v>982</v>
      </c>
      <c r="B485" s="4" t="s">
        <v>976</v>
      </c>
      <c r="C485" s="5">
        <v>50</v>
      </c>
      <c r="D485" s="5">
        <v>95</v>
      </c>
      <c r="E485" s="5">
        <v>90</v>
      </c>
      <c r="F485" s="5">
        <v>95</v>
      </c>
      <c r="G485" s="5">
        <v>90</v>
      </c>
      <c r="H485" s="5">
        <v>180</v>
      </c>
      <c r="I485" s="4" t="s">
        <v>983</v>
      </c>
      <c r="J485" s="4" t="s">
        <v>113</v>
      </c>
      <c r="K485" s="5"/>
      <c r="L485" s="4" t="s">
        <v>656</v>
      </c>
      <c r="M485" s="5"/>
      <c r="N485" s="5"/>
      <c r="O485" s="5" t="b">
        <v>1</v>
      </c>
      <c r="P485" s="4" t="str">
        <f>IF(A485="",IF(ISNUMBER(SEARCH("NOT NULL",UPPER(A$3))),"''","null"),SUBSTITUTE(VLOOKUP(A$2,convert!$A$1:$B$4,2,0),"@@@",A485))</f>
        <v>'0386N04'</v>
      </c>
      <c r="Q485" s="4" t="str">
        <f>IF(B485="",IF(ISNUMBER(SEARCH("NOT NULL",UPPER(B$3))),"''","null"),SUBSTITUTE(VLOOKUP(B$2,convert!$A$1:$B$4,2,0),"@@@",B485))</f>
        <v>'デオキシス'</v>
      </c>
      <c r="R485" s="4" t="str">
        <f>IF(C485="",IF(ISNUMBER(SEARCH("NOT NULL",UPPER(C$3))),"''","null"),SUBSTITUTE(VLOOKUP(C$2,convert!$A$1:$B$4,2,0),"@@@",C485))</f>
        <v>50</v>
      </c>
      <c r="S485" s="4" t="str">
        <f>IF(D485="",IF(ISNUMBER(SEARCH("NOT NULL",UPPER(D$3))),"''","null"),SUBSTITUTE(VLOOKUP(D$2,convert!$A$1:$B$4,2,0),"@@@",D485))</f>
        <v>95</v>
      </c>
      <c r="T485" s="4" t="str">
        <f>IF(E485="",IF(ISNUMBER(SEARCH("NOT NULL",UPPER(E$3))),"''","null"),SUBSTITUTE(VLOOKUP(E$2,convert!$A$1:$B$4,2,0),"@@@",E485))</f>
        <v>90</v>
      </c>
      <c r="U485" s="4" t="str">
        <f>IF(F485="",IF(ISNUMBER(SEARCH("NOT NULL",UPPER(F$3))),"''","null"),SUBSTITUTE(VLOOKUP(F$2,convert!$A$1:$B$4,2,0),"@@@",F485))</f>
        <v>95</v>
      </c>
      <c r="V485" s="4" t="str">
        <f>IF(G485="",IF(ISNUMBER(SEARCH("NOT NULL",UPPER(G$3))),"''","null"),SUBSTITUTE(VLOOKUP(G$2,convert!$A$1:$B$4,2,0),"@@@",G485))</f>
        <v>90</v>
      </c>
      <c r="W485" s="4" t="str">
        <f>IF(H485="",IF(ISNUMBER(SEARCH("NOT NULL",UPPER(H$3))),"''","null"),SUBSTITUTE(VLOOKUP(H$2,convert!$A$1:$B$4,2,0),"@@@",H485))</f>
        <v>180</v>
      </c>
      <c r="X485" s="4" t="str">
        <f>IF(I485="",IF(ISNUMBER(SEARCH("NOT NULL",UPPER(I$3))),"''","null"),SUBSTITUTE(VLOOKUP(I$2,convert!$A$1:$B$4,2,0),"@@@",I485))</f>
        <v>'スピードフォルム'</v>
      </c>
      <c r="Y485" s="4" t="str">
        <f>IF(J485="",IF(ISNUMBER(SEARCH("NOT NULL",UPPER(J$3))),"''","null"),SUBSTITUTE(VLOOKUP(J$2,convert!$A$1:$B$4,2,0),"@@@",J485))</f>
        <v>'psychic'</v>
      </c>
      <c r="Z485" s="4" t="str">
        <f>IF(K485="",IF(ISNUMBER(SEARCH("NOT NULL",UPPER(K$3))),"''","null"),SUBSTITUTE(VLOOKUP(K$2,convert!$A$1:$B$4,2,0),"@@@",K485))</f>
        <v>null</v>
      </c>
      <c r="AA485" s="4" t="str">
        <f>IF(L485="",IF(ISNUMBER(SEARCH("NOT NULL",UPPER(L$3))),"''","null"),SUBSTITUTE(VLOOKUP(L$2,convert!$A$1:$B$4,2,0),"@@@",L485))</f>
        <v>'g3'</v>
      </c>
      <c r="AB485" s="4" t="str">
        <f>IF(M485="",IF(ISNUMBER(SEARCH("NOT NULL",UPPER(M$3))),"''","null"),SUBSTITUTE(VLOOKUP(M$2,convert!$A$1:$B$4,2,0),"@@@",M485))</f>
        <v>null</v>
      </c>
      <c r="AC485" s="4" t="str">
        <f>IF(N485="",IF(ISNUMBER(SEARCH("NOT NULL",UPPER(N$3))),"''","null"),SUBSTITUTE(VLOOKUP(N$2,convert!$A$1:$B$4,2,0),"@@@",N485))</f>
        <v>null</v>
      </c>
      <c r="AD485" s="4" t="str">
        <f>IF(O485="",IF(ISNUMBER(SEARCH("NOT NULL",UPPER(O$3))),"''","null"),SUBSTITUTE(VLOOKUP(O$2,convert!$A$1:$B$4,2,0),"@@@",O485))</f>
        <v>TRUE</v>
      </c>
      <c r="AE485" s="4" t="str">
        <f t="shared" si="7"/>
        <v>    ('0386N04', 'デオキシス', 50, 95, 90, 95, 90, 180, 'スピードフォルム', 'psychic', null, 'g3', null, null, TRUE),</v>
      </c>
    </row>
    <row r="486" spans="1:31">
      <c r="A486" s="4" t="s">
        <v>984</v>
      </c>
      <c r="B486" s="4" t="s">
        <v>985</v>
      </c>
      <c r="C486" s="5">
        <v>55</v>
      </c>
      <c r="D486" s="5">
        <v>68</v>
      </c>
      <c r="E486" s="5">
        <v>64</v>
      </c>
      <c r="F486" s="5">
        <v>45</v>
      </c>
      <c r="G486" s="5">
        <v>55</v>
      </c>
      <c r="H486" s="5">
        <v>31</v>
      </c>
      <c r="I486" s="5"/>
      <c r="J486" s="4" t="s">
        <v>30</v>
      </c>
      <c r="K486" s="5"/>
      <c r="L486" s="4" t="s">
        <v>986</v>
      </c>
      <c r="M486" s="5"/>
      <c r="N486" s="5"/>
      <c r="O486" s="5" t="b">
        <v>1</v>
      </c>
      <c r="P486" s="4" t="str">
        <f>IF(A486="",IF(ISNUMBER(SEARCH("NOT NULL",UPPER(A$3))),"''","null"),SUBSTITUTE(VLOOKUP(A$2,convert!$A$1:$B$4,2,0),"@@@",A486))</f>
        <v>'0387N01'</v>
      </c>
      <c r="Q486" s="4" t="str">
        <f>IF(B486="",IF(ISNUMBER(SEARCH("NOT NULL",UPPER(B$3))),"''","null"),SUBSTITUTE(VLOOKUP(B$2,convert!$A$1:$B$4,2,0),"@@@",B486))</f>
        <v>'ナエトル'</v>
      </c>
      <c r="R486" s="4" t="str">
        <f>IF(C486="",IF(ISNUMBER(SEARCH("NOT NULL",UPPER(C$3))),"''","null"),SUBSTITUTE(VLOOKUP(C$2,convert!$A$1:$B$4,2,0),"@@@",C486))</f>
        <v>55</v>
      </c>
      <c r="S486" s="4" t="str">
        <f>IF(D486="",IF(ISNUMBER(SEARCH("NOT NULL",UPPER(D$3))),"''","null"),SUBSTITUTE(VLOOKUP(D$2,convert!$A$1:$B$4,2,0),"@@@",D486))</f>
        <v>68</v>
      </c>
      <c r="T486" s="4" t="str">
        <f>IF(E486="",IF(ISNUMBER(SEARCH("NOT NULL",UPPER(E$3))),"''","null"),SUBSTITUTE(VLOOKUP(E$2,convert!$A$1:$B$4,2,0),"@@@",E486))</f>
        <v>64</v>
      </c>
      <c r="U486" s="4" t="str">
        <f>IF(F486="",IF(ISNUMBER(SEARCH("NOT NULL",UPPER(F$3))),"''","null"),SUBSTITUTE(VLOOKUP(F$2,convert!$A$1:$B$4,2,0),"@@@",F486))</f>
        <v>45</v>
      </c>
      <c r="V486" s="4" t="str">
        <f>IF(G486="",IF(ISNUMBER(SEARCH("NOT NULL",UPPER(G$3))),"''","null"),SUBSTITUTE(VLOOKUP(G$2,convert!$A$1:$B$4,2,0),"@@@",G486))</f>
        <v>55</v>
      </c>
      <c r="W486" s="4" t="str">
        <f>IF(H486="",IF(ISNUMBER(SEARCH("NOT NULL",UPPER(H$3))),"''","null"),SUBSTITUTE(VLOOKUP(H$2,convert!$A$1:$B$4,2,0),"@@@",H486))</f>
        <v>31</v>
      </c>
      <c r="X486" s="4" t="str">
        <f>IF(I486="",IF(ISNUMBER(SEARCH("NOT NULL",UPPER(I$3))),"''","null"),SUBSTITUTE(VLOOKUP(I$2,convert!$A$1:$B$4,2,0),"@@@",I486))</f>
        <v>''</v>
      </c>
      <c r="Y486" s="4" t="str">
        <f>IF(J486="",IF(ISNUMBER(SEARCH("NOT NULL",UPPER(J$3))),"''","null"),SUBSTITUTE(VLOOKUP(J$2,convert!$A$1:$B$4,2,0),"@@@",J486))</f>
        <v>'grass'</v>
      </c>
      <c r="Z486" s="4" t="str">
        <f>IF(K486="",IF(ISNUMBER(SEARCH("NOT NULL",UPPER(K$3))),"''","null"),SUBSTITUTE(VLOOKUP(K$2,convert!$A$1:$B$4,2,0),"@@@",K486))</f>
        <v>null</v>
      </c>
      <c r="AA486" s="4" t="str">
        <f>IF(L486="",IF(ISNUMBER(SEARCH("NOT NULL",UPPER(L$3))),"''","null"),SUBSTITUTE(VLOOKUP(L$2,convert!$A$1:$B$4,2,0),"@@@",L486))</f>
        <v>'g4'</v>
      </c>
      <c r="AB486" s="4" t="str">
        <f>IF(M486="",IF(ISNUMBER(SEARCH("NOT NULL",UPPER(M$3))),"''","null"),SUBSTITUTE(VLOOKUP(M$2,convert!$A$1:$B$4,2,0),"@@@",M486))</f>
        <v>null</v>
      </c>
      <c r="AC486" s="4" t="str">
        <f>IF(N486="",IF(ISNUMBER(SEARCH("NOT NULL",UPPER(N$3))),"''","null"),SUBSTITUTE(VLOOKUP(N$2,convert!$A$1:$B$4,2,0),"@@@",N486))</f>
        <v>null</v>
      </c>
      <c r="AD486" s="4" t="str">
        <f>IF(O486="",IF(ISNUMBER(SEARCH("NOT NULL",UPPER(O$3))),"''","null"),SUBSTITUTE(VLOOKUP(O$2,convert!$A$1:$B$4,2,0),"@@@",O486))</f>
        <v>TRUE</v>
      </c>
      <c r="AE486" s="4" t="str">
        <f t="shared" si="7"/>
        <v>    ('0387N01', 'ナエトル', 55, 68, 64, 45, 55, 31, '', 'grass', null, 'g4', null, null, TRUE),</v>
      </c>
    </row>
    <row r="487" spans="1:31">
      <c r="A487" s="4" t="s">
        <v>987</v>
      </c>
      <c r="B487" s="4" t="s">
        <v>988</v>
      </c>
      <c r="C487" s="5">
        <v>75</v>
      </c>
      <c r="D487" s="5">
        <v>89</v>
      </c>
      <c r="E487" s="5">
        <v>85</v>
      </c>
      <c r="F487" s="5">
        <v>55</v>
      </c>
      <c r="G487" s="5">
        <v>65</v>
      </c>
      <c r="H487" s="5">
        <v>36</v>
      </c>
      <c r="I487" s="5"/>
      <c r="J487" s="4" t="s">
        <v>30</v>
      </c>
      <c r="K487" s="5"/>
      <c r="L487" s="4" t="s">
        <v>986</v>
      </c>
      <c r="M487" s="5"/>
      <c r="N487" s="5"/>
      <c r="O487" s="5" t="b">
        <v>1</v>
      </c>
      <c r="P487" s="4" t="str">
        <f>IF(A487="",IF(ISNUMBER(SEARCH("NOT NULL",UPPER(A$3))),"''","null"),SUBSTITUTE(VLOOKUP(A$2,convert!$A$1:$B$4,2,0),"@@@",A487))</f>
        <v>'0388N01'</v>
      </c>
      <c r="Q487" s="4" t="str">
        <f>IF(B487="",IF(ISNUMBER(SEARCH("NOT NULL",UPPER(B$3))),"''","null"),SUBSTITUTE(VLOOKUP(B$2,convert!$A$1:$B$4,2,0),"@@@",B487))</f>
        <v>'ハヤシガメ'</v>
      </c>
      <c r="R487" s="4" t="str">
        <f>IF(C487="",IF(ISNUMBER(SEARCH("NOT NULL",UPPER(C$3))),"''","null"),SUBSTITUTE(VLOOKUP(C$2,convert!$A$1:$B$4,2,0),"@@@",C487))</f>
        <v>75</v>
      </c>
      <c r="S487" s="4" t="str">
        <f>IF(D487="",IF(ISNUMBER(SEARCH("NOT NULL",UPPER(D$3))),"''","null"),SUBSTITUTE(VLOOKUP(D$2,convert!$A$1:$B$4,2,0),"@@@",D487))</f>
        <v>89</v>
      </c>
      <c r="T487" s="4" t="str">
        <f>IF(E487="",IF(ISNUMBER(SEARCH("NOT NULL",UPPER(E$3))),"''","null"),SUBSTITUTE(VLOOKUP(E$2,convert!$A$1:$B$4,2,0),"@@@",E487))</f>
        <v>85</v>
      </c>
      <c r="U487" s="4" t="str">
        <f>IF(F487="",IF(ISNUMBER(SEARCH("NOT NULL",UPPER(F$3))),"''","null"),SUBSTITUTE(VLOOKUP(F$2,convert!$A$1:$B$4,2,0),"@@@",F487))</f>
        <v>55</v>
      </c>
      <c r="V487" s="4" t="str">
        <f>IF(G487="",IF(ISNUMBER(SEARCH("NOT NULL",UPPER(G$3))),"''","null"),SUBSTITUTE(VLOOKUP(G$2,convert!$A$1:$B$4,2,0),"@@@",G487))</f>
        <v>65</v>
      </c>
      <c r="W487" s="4" t="str">
        <f>IF(H487="",IF(ISNUMBER(SEARCH("NOT NULL",UPPER(H$3))),"''","null"),SUBSTITUTE(VLOOKUP(H$2,convert!$A$1:$B$4,2,0),"@@@",H487))</f>
        <v>36</v>
      </c>
      <c r="X487" s="4" t="str">
        <f>IF(I487="",IF(ISNUMBER(SEARCH("NOT NULL",UPPER(I$3))),"''","null"),SUBSTITUTE(VLOOKUP(I$2,convert!$A$1:$B$4,2,0),"@@@",I487))</f>
        <v>''</v>
      </c>
      <c r="Y487" s="4" t="str">
        <f>IF(J487="",IF(ISNUMBER(SEARCH("NOT NULL",UPPER(J$3))),"''","null"),SUBSTITUTE(VLOOKUP(J$2,convert!$A$1:$B$4,2,0),"@@@",J487))</f>
        <v>'grass'</v>
      </c>
      <c r="Z487" s="4" t="str">
        <f>IF(K487="",IF(ISNUMBER(SEARCH("NOT NULL",UPPER(K$3))),"''","null"),SUBSTITUTE(VLOOKUP(K$2,convert!$A$1:$B$4,2,0),"@@@",K487))</f>
        <v>null</v>
      </c>
      <c r="AA487" s="4" t="str">
        <f>IF(L487="",IF(ISNUMBER(SEARCH("NOT NULL",UPPER(L$3))),"''","null"),SUBSTITUTE(VLOOKUP(L$2,convert!$A$1:$B$4,2,0),"@@@",L487))</f>
        <v>'g4'</v>
      </c>
      <c r="AB487" s="4" t="str">
        <f>IF(M487="",IF(ISNUMBER(SEARCH("NOT NULL",UPPER(M$3))),"''","null"),SUBSTITUTE(VLOOKUP(M$2,convert!$A$1:$B$4,2,0),"@@@",M487))</f>
        <v>null</v>
      </c>
      <c r="AC487" s="4" t="str">
        <f>IF(N487="",IF(ISNUMBER(SEARCH("NOT NULL",UPPER(N$3))),"''","null"),SUBSTITUTE(VLOOKUP(N$2,convert!$A$1:$B$4,2,0),"@@@",N487))</f>
        <v>null</v>
      </c>
      <c r="AD487" s="4" t="str">
        <f>IF(O487="",IF(ISNUMBER(SEARCH("NOT NULL",UPPER(O$3))),"''","null"),SUBSTITUTE(VLOOKUP(O$2,convert!$A$1:$B$4,2,0),"@@@",O487))</f>
        <v>TRUE</v>
      </c>
      <c r="AE487" s="4" t="str">
        <f t="shared" si="7"/>
        <v>    ('0388N01', 'ハヤシガメ', 75, 89, 85, 55, 65, 36, '', 'grass', null, 'g4', null, null, TRUE),</v>
      </c>
    </row>
    <row r="488" spans="1:31">
      <c r="A488" s="4" t="s">
        <v>989</v>
      </c>
      <c r="B488" s="4" t="s">
        <v>990</v>
      </c>
      <c r="C488" s="5">
        <v>95</v>
      </c>
      <c r="D488" s="5">
        <v>109</v>
      </c>
      <c r="E488" s="5">
        <v>105</v>
      </c>
      <c r="F488" s="5">
        <v>75</v>
      </c>
      <c r="G488" s="5">
        <v>85</v>
      </c>
      <c r="H488" s="5">
        <v>56</v>
      </c>
      <c r="I488" s="5"/>
      <c r="J488" s="4" t="s">
        <v>30</v>
      </c>
      <c r="K488" s="4" t="s">
        <v>116</v>
      </c>
      <c r="L488" s="4" t="s">
        <v>986</v>
      </c>
      <c r="M488" s="5"/>
      <c r="N488" s="5"/>
      <c r="O488" s="5" t="b">
        <v>1</v>
      </c>
      <c r="P488" s="4" t="str">
        <f>IF(A488="",IF(ISNUMBER(SEARCH("NOT NULL",UPPER(A$3))),"''","null"),SUBSTITUTE(VLOOKUP(A$2,convert!$A$1:$B$4,2,0),"@@@",A488))</f>
        <v>'0389N01'</v>
      </c>
      <c r="Q488" s="4" t="str">
        <f>IF(B488="",IF(ISNUMBER(SEARCH("NOT NULL",UPPER(B$3))),"''","null"),SUBSTITUTE(VLOOKUP(B$2,convert!$A$1:$B$4,2,0),"@@@",B488))</f>
        <v>'ドダイトス'</v>
      </c>
      <c r="R488" s="4" t="str">
        <f>IF(C488="",IF(ISNUMBER(SEARCH("NOT NULL",UPPER(C$3))),"''","null"),SUBSTITUTE(VLOOKUP(C$2,convert!$A$1:$B$4,2,0),"@@@",C488))</f>
        <v>95</v>
      </c>
      <c r="S488" s="4" t="str">
        <f>IF(D488="",IF(ISNUMBER(SEARCH("NOT NULL",UPPER(D$3))),"''","null"),SUBSTITUTE(VLOOKUP(D$2,convert!$A$1:$B$4,2,0),"@@@",D488))</f>
        <v>109</v>
      </c>
      <c r="T488" s="4" t="str">
        <f>IF(E488="",IF(ISNUMBER(SEARCH("NOT NULL",UPPER(E$3))),"''","null"),SUBSTITUTE(VLOOKUP(E$2,convert!$A$1:$B$4,2,0),"@@@",E488))</f>
        <v>105</v>
      </c>
      <c r="U488" s="4" t="str">
        <f>IF(F488="",IF(ISNUMBER(SEARCH("NOT NULL",UPPER(F$3))),"''","null"),SUBSTITUTE(VLOOKUP(F$2,convert!$A$1:$B$4,2,0),"@@@",F488))</f>
        <v>75</v>
      </c>
      <c r="V488" s="4" t="str">
        <f>IF(G488="",IF(ISNUMBER(SEARCH("NOT NULL",UPPER(G$3))),"''","null"),SUBSTITUTE(VLOOKUP(G$2,convert!$A$1:$B$4,2,0),"@@@",G488))</f>
        <v>85</v>
      </c>
      <c r="W488" s="4" t="str">
        <f>IF(H488="",IF(ISNUMBER(SEARCH("NOT NULL",UPPER(H$3))),"''","null"),SUBSTITUTE(VLOOKUP(H$2,convert!$A$1:$B$4,2,0),"@@@",H488))</f>
        <v>56</v>
      </c>
      <c r="X488" s="4" t="str">
        <f>IF(I488="",IF(ISNUMBER(SEARCH("NOT NULL",UPPER(I$3))),"''","null"),SUBSTITUTE(VLOOKUP(I$2,convert!$A$1:$B$4,2,0),"@@@",I488))</f>
        <v>''</v>
      </c>
      <c r="Y488" s="4" t="str">
        <f>IF(J488="",IF(ISNUMBER(SEARCH("NOT NULL",UPPER(J$3))),"''","null"),SUBSTITUTE(VLOOKUP(J$2,convert!$A$1:$B$4,2,0),"@@@",J488))</f>
        <v>'grass'</v>
      </c>
      <c r="Z488" s="4" t="str">
        <f>IF(K488="",IF(ISNUMBER(SEARCH("NOT NULL",UPPER(K$3))),"''","null"),SUBSTITUTE(VLOOKUP(K$2,convert!$A$1:$B$4,2,0),"@@@",K488))</f>
        <v>'ground'</v>
      </c>
      <c r="AA488" s="4" t="str">
        <f>IF(L488="",IF(ISNUMBER(SEARCH("NOT NULL",UPPER(L$3))),"''","null"),SUBSTITUTE(VLOOKUP(L$2,convert!$A$1:$B$4,2,0),"@@@",L488))</f>
        <v>'g4'</v>
      </c>
      <c r="AB488" s="4" t="str">
        <f>IF(M488="",IF(ISNUMBER(SEARCH("NOT NULL",UPPER(M$3))),"''","null"),SUBSTITUTE(VLOOKUP(M$2,convert!$A$1:$B$4,2,0),"@@@",M488))</f>
        <v>null</v>
      </c>
      <c r="AC488" s="4" t="str">
        <f>IF(N488="",IF(ISNUMBER(SEARCH("NOT NULL",UPPER(N$3))),"''","null"),SUBSTITUTE(VLOOKUP(N$2,convert!$A$1:$B$4,2,0),"@@@",N488))</f>
        <v>null</v>
      </c>
      <c r="AD488" s="4" t="str">
        <f>IF(O488="",IF(ISNUMBER(SEARCH("NOT NULL",UPPER(O$3))),"''","null"),SUBSTITUTE(VLOOKUP(O$2,convert!$A$1:$B$4,2,0),"@@@",O488))</f>
        <v>TRUE</v>
      </c>
      <c r="AE488" s="4" t="str">
        <f t="shared" si="7"/>
        <v>    ('0389N01', 'ドダイトス', 95, 109, 105, 75, 85, 56, '', 'grass', 'ground', 'g4', null, null, TRUE),</v>
      </c>
    </row>
    <row r="489" spans="1:31">
      <c r="A489" s="4" t="s">
        <v>991</v>
      </c>
      <c r="B489" s="4" t="s">
        <v>992</v>
      </c>
      <c r="C489" s="5">
        <v>44</v>
      </c>
      <c r="D489" s="5">
        <v>58</v>
      </c>
      <c r="E489" s="5">
        <v>44</v>
      </c>
      <c r="F489" s="5">
        <v>58</v>
      </c>
      <c r="G489" s="5">
        <v>44</v>
      </c>
      <c r="H489" s="5">
        <v>61</v>
      </c>
      <c r="I489" s="5"/>
      <c r="J489" s="4" t="s">
        <v>42</v>
      </c>
      <c r="K489" s="5"/>
      <c r="L489" s="4" t="s">
        <v>986</v>
      </c>
      <c r="M489" s="5"/>
      <c r="N489" s="5"/>
      <c r="O489" s="5" t="b">
        <v>1</v>
      </c>
      <c r="P489" s="4" t="str">
        <f>IF(A489="",IF(ISNUMBER(SEARCH("NOT NULL",UPPER(A$3))),"''","null"),SUBSTITUTE(VLOOKUP(A$2,convert!$A$1:$B$4,2,0),"@@@",A489))</f>
        <v>'0390N01'</v>
      </c>
      <c r="Q489" s="4" t="str">
        <f>IF(B489="",IF(ISNUMBER(SEARCH("NOT NULL",UPPER(B$3))),"''","null"),SUBSTITUTE(VLOOKUP(B$2,convert!$A$1:$B$4,2,0),"@@@",B489))</f>
        <v>'ヒコザル'</v>
      </c>
      <c r="R489" s="4" t="str">
        <f>IF(C489="",IF(ISNUMBER(SEARCH("NOT NULL",UPPER(C$3))),"''","null"),SUBSTITUTE(VLOOKUP(C$2,convert!$A$1:$B$4,2,0),"@@@",C489))</f>
        <v>44</v>
      </c>
      <c r="S489" s="4" t="str">
        <f>IF(D489="",IF(ISNUMBER(SEARCH("NOT NULL",UPPER(D$3))),"''","null"),SUBSTITUTE(VLOOKUP(D$2,convert!$A$1:$B$4,2,0),"@@@",D489))</f>
        <v>58</v>
      </c>
      <c r="T489" s="4" t="str">
        <f>IF(E489="",IF(ISNUMBER(SEARCH("NOT NULL",UPPER(E$3))),"''","null"),SUBSTITUTE(VLOOKUP(E$2,convert!$A$1:$B$4,2,0),"@@@",E489))</f>
        <v>44</v>
      </c>
      <c r="U489" s="4" t="str">
        <f>IF(F489="",IF(ISNUMBER(SEARCH("NOT NULL",UPPER(F$3))),"''","null"),SUBSTITUTE(VLOOKUP(F$2,convert!$A$1:$B$4,2,0),"@@@",F489))</f>
        <v>58</v>
      </c>
      <c r="V489" s="4" t="str">
        <f>IF(G489="",IF(ISNUMBER(SEARCH("NOT NULL",UPPER(G$3))),"''","null"),SUBSTITUTE(VLOOKUP(G$2,convert!$A$1:$B$4,2,0),"@@@",G489))</f>
        <v>44</v>
      </c>
      <c r="W489" s="4" t="str">
        <f>IF(H489="",IF(ISNUMBER(SEARCH("NOT NULL",UPPER(H$3))),"''","null"),SUBSTITUTE(VLOOKUP(H$2,convert!$A$1:$B$4,2,0),"@@@",H489))</f>
        <v>61</v>
      </c>
      <c r="X489" s="4" t="str">
        <f>IF(I489="",IF(ISNUMBER(SEARCH("NOT NULL",UPPER(I$3))),"''","null"),SUBSTITUTE(VLOOKUP(I$2,convert!$A$1:$B$4,2,0),"@@@",I489))</f>
        <v>''</v>
      </c>
      <c r="Y489" s="4" t="str">
        <f>IF(J489="",IF(ISNUMBER(SEARCH("NOT NULL",UPPER(J$3))),"''","null"),SUBSTITUTE(VLOOKUP(J$2,convert!$A$1:$B$4,2,0),"@@@",J489))</f>
        <v>'fire'</v>
      </c>
      <c r="Z489" s="4" t="str">
        <f>IF(K489="",IF(ISNUMBER(SEARCH("NOT NULL",UPPER(K$3))),"''","null"),SUBSTITUTE(VLOOKUP(K$2,convert!$A$1:$B$4,2,0),"@@@",K489))</f>
        <v>null</v>
      </c>
      <c r="AA489" s="4" t="str">
        <f>IF(L489="",IF(ISNUMBER(SEARCH("NOT NULL",UPPER(L$3))),"''","null"),SUBSTITUTE(VLOOKUP(L$2,convert!$A$1:$B$4,2,0),"@@@",L489))</f>
        <v>'g4'</v>
      </c>
      <c r="AB489" s="4" t="str">
        <f>IF(M489="",IF(ISNUMBER(SEARCH("NOT NULL",UPPER(M$3))),"''","null"),SUBSTITUTE(VLOOKUP(M$2,convert!$A$1:$B$4,2,0),"@@@",M489))</f>
        <v>null</v>
      </c>
      <c r="AC489" s="4" t="str">
        <f>IF(N489="",IF(ISNUMBER(SEARCH("NOT NULL",UPPER(N$3))),"''","null"),SUBSTITUTE(VLOOKUP(N$2,convert!$A$1:$B$4,2,0),"@@@",N489))</f>
        <v>null</v>
      </c>
      <c r="AD489" s="4" t="str">
        <f>IF(O489="",IF(ISNUMBER(SEARCH("NOT NULL",UPPER(O$3))),"''","null"),SUBSTITUTE(VLOOKUP(O$2,convert!$A$1:$B$4,2,0),"@@@",O489))</f>
        <v>TRUE</v>
      </c>
      <c r="AE489" s="4" t="str">
        <f t="shared" si="7"/>
        <v>    ('0390N01', 'ヒコザル', 44, 58, 44, 58, 44, 61, '', 'fire', null, 'g4', null, null, TRUE),</v>
      </c>
    </row>
    <row r="490" spans="1:31">
      <c r="A490" s="4" t="s">
        <v>993</v>
      </c>
      <c r="B490" s="4" t="s">
        <v>994</v>
      </c>
      <c r="C490" s="5">
        <v>64</v>
      </c>
      <c r="D490" s="5">
        <v>78</v>
      </c>
      <c r="E490" s="5">
        <v>52</v>
      </c>
      <c r="F490" s="5">
        <v>78</v>
      </c>
      <c r="G490" s="5">
        <v>52</v>
      </c>
      <c r="H490" s="5">
        <v>81</v>
      </c>
      <c r="I490" s="5"/>
      <c r="J490" s="4" t="s">
        <v>42</v>
      </c>
      <c r="K490" s="4" t="s">
        <v>189</v>
      </c>
      <c r="L490" s="4" t="s">
        <v>986</v>
      </c>
      <c r="M490" s="5"/>
      <c r="N490" s="5"/>
      <c r="O490" s="5" t="b">
        <v>1</v>
      </c>
      <c r="P490" s="4" t="str">
        <f>IF(A490="",IF(ISNUMBER(SEARCH("NOT NULL",UPPER(A$3))),"''","null"),SUBSTITUTE(VLOOKUP(A$2,convert!$A$1:$B$4,2,0),"@@@",A490))</f>
        <v>'0391N01'</v>
      </c>
      <c r="Q490" s="4" t="str">
        <f>IF(B490="",IF(ISNUMBER(SEARCH("NOT NULL",UPPER(B$3))),"''","null"),SUBSTITUTE(VLOOKUP(B$2,convert!$A$1:$B$4,2,0),"@@@",B490))</f>
        <v>'モウカザル'</v>
      </c>
      <c r="R490" s="4" t="str">
        <f>IF(C490="",IF(ISNUMBER(SEARCH("NOT NULL",UPPER(C$3))),"''","null"),SUBSTITUTE(VLOOKUP(C$2,convert!$A$1:$B$4,2,0),"@@@",C490))</f>
        <v>64</v>
      </c>
      <c r="S490" s="4" t="str">
        <f>IF(D490="",IF(ISNUMBER(SEARCH("NOT NULL",UPPER(D$3))),"''","null"),SUBSTITUTE(VLOOKUP(D$2,convert!$A$1:$B$4,2,0),"@@@",D490))</f>
        <v>78</v>
      </c>
      <c r="T490" s="4" t="str">
        <f>IF(E490="",IF(ISNUMBER(SEARCH("NOT NULL",UPPER(E$3))),"''","null"),SUBSTITUTE(VLOOKUP(E$2,convert!$A$1:$B$4,2,0),"@@@",E490))</f>
        <v>52</v>
      </c>
      <c r="U490" s="4" t="str">
        <f>IF(F490="",IF(ISNUMBER(SEARCH("NOT NULL",UPPER(F$3))),"''","null"),SUBSTITUTE(VLOOKUP(F$2,convert!$A$1:$B$4,2,0),"@@@",F490))</f>
        <v>78</v>
      </c>
      <c r="V490" s="4" t="str">
        <f>IF(G490="",IF(ISNUMBER(SEARCH("NOT NULL",UPPER(G$3))),"''","null"),SUBSTITUTE(VLOOKUP(G$2,convert!$A$1:$B$4,2,0),"@@@",G490))</f>
        <v>52</v>
      </c>
      <c r="W490" s="4" t="str">
        <f>IF(H490="",IF(ISNUMBER(SEARCH("NOT NULL",UPPER(H$3))),"''","null"),SUBSTITUTE(VLOOKUP(H$2,convert!$A$1:$B$4,2,0),"@@@",H490))</f>
        <v>81</v>
      </c>
      <c r="X490" s="4" t="str">
        <f>IF(I490="",IF(ISNUMBER(SEARCH("NOT NULL",UPPER(I$3))),"''","null"),SUBSTITUTE(VLOOKUP(I$2,convert!$A$1:$B$4,2,0),"@@@",I490))</f>
        <v>''</v>
      </c>
      <c r="Y490" s="4" t="str">
        <f>IF(J490="",IF(ISNUMBER(SEARCH("NOT NULL",UPPER(J$3))),"''","null"),SUBSTITUTE(VLOOKUP(J$2,convert!$A$1:$B$4,2,0),"@@@",J490))</f>
        <v>'fire'</v>
      </c>
      <c r="Z490" s="4" t="str">
        <f>IF(K490="",IF(ISNUMBER(SEARCH("NOT NULL",UPPER(K$3))),"''","null"),SUBSTITUTE(VLOOKUP(K$2,convert!$A$1:$B$4,2,0),"@@@",K490))</f>
        <v>'fighting'</v>
      </c>
      <c r="AA490" s="4" t="str">
        <f>IF(L490="",IF(ISNUMBER(SEARCH("NOT NULL",UPPER(L$3))),"''","null"),SUBSTITUTE(VLOOKUP(L$2,convert!$A$1:$B$4,2,0),"@@@",L490))</f>
        <v>'g4'</v>
      </c>
      <c r="AB490" s="4" t="str">
        <f>IF(M490="",IF(ISNUMBER(SEARCH("NOT NULL",UPPER(M$3))),"''","null"),SUBSTITUTE(VLOOKUP(M$2,convert!$A$1:$B$4,2,0),"@@@",M490))</f>
        <v>null</v>
      </c>
      <c r="AC490" s="4" t="str">
        <f>IF(N490="",IF(ISNUMBER(SEARCH("NOT NULL",UPPER(N$3))),"''","null"),SUBSTITUTE(VLOOKUP(N$2,convert!$A$1:$B$4,2,0),"@@@",N490))</f>
        <v>null</v>
      </c>
      <c r="AD490" s="4" t="str">
        <f>IF(O490="",IF(ISNUMBER(SEARCH("NOT NULL",UPPER(O$3))),"''","null"),SUBSTITUTE(VLOOKUP(O$2,convert!$A$1:$B$4,2,0),"@@@",O490))</f>
        <v>TRUE</v>
      </c>
      <c r="AE490" s="4" t="str">
        <f t="shared" si="7"/>
        <v>    ('0391N01', 'モウカザル', 64, 78, 52, 78, 52, 81, '', 'fire', 'fighting', 'g4', null, null, TRUE),</v>
      </c>
    </row>
    <row r="491" spans="1:31">
      <c r="A491" s="4" t="s">
        <v>995</v>
      </c>
      <c r="B491" s="4" t="s">
        <v>996</v>
      </c>
      <c r="C491" s="5">
        <v>76</v>
      </c>
      <c r="D491" s="5">
        <v>104</v>
      </c>
      <c r="E491" s="5">
        <v>71</v>
      </c>
      <c r="F491" s="5">
        <v>104</v>
      </c>
      <c r="G491" s="5">
        <v>71</v>
      </c>
      <c r="H491" s="5">
        <v>108</v>
      </c>
      <c r="I491" s="5"/>
      <c r="J491" s="4" t="s">
        <v>42</v>
      </c>
      <c r="K491" s="4" t="s">
        <v>189</v>
      </c>
      <c r="L491" s="4" t="s">
        <v>986</v>
      </c>
      <c r="M491" s="5"/>
      <c r="N491" s="5"/>
      <c r="O491" s="5" t="b">
        <v>1</v>
      </c>
      <c r="P491" s="4" t="str">
        <f>IF(A491="",IF(ISNUMBER(SEARCH("NOT NULL",UPPER(A$3))),"''","null"),SUBSTITUTE(VLOOKUP(A$2,convert!$A$1:$B$4,2,0),"@@@",A491))</f>
        <v>'0392N01'</v>
      </c>
      <c r="Q491" s="4" t="str">
        <f>IF(B491="",IF(ISNUMBER(SEARCH("NOT NULL",UPPER(B$3))),"''","null"),SUBSTITUTE(VLOOKUP(B$2,convert!$A$1:$B$4,2,0),"@@@",B491))</f>
        <v>'ゴウカザル'</v>
      </c>
      <c r="R491" s="4" t="str">
        <f>IF(C491="",IF(ISNUMBER(SEARCH("NOT NULL",UPPER(C$3))),"''","null"),SUBSTITUTE(VLOOKUP(C$2,convert!$A$1:$B$4,2,0),"@@@",C491))</f>
        <v>76</v>
      </c>
      <c r="S491" s="4" t="str">
        <f>IF(D491="",IF(ISNUMBER(SEARCH("NOT NULL",UPPER(D$3))),"''","null"),SUBSTITUTE(VLOOKUP(D$2,convert!$A$1:$B$4,2,0),"@@@",D491))</f>
        <v>104</v>
      </c>
      <c r="T491" s="4" t="str">
        <f>IF(E491="",IF(ISNUMBER(SEARCH("NOT NULL",UPPER(E$3))),"''","null"),SUBSTITUTE(VLOOKUP(E$2,convert!$A$1:$B$4,2,0),"@@@",E491))</f>
        <v>71</v>
      </c>
      <c r="U491" s="4" t="str">
        <f>IF(F491="",IF(ISNUMBER(SEARCH("NOT NULL",UPPER(F$3))),"''","null"),SUBSTITUTE(VLOOKUP(F$2,convert!$A$1:$B$4,2,0),"@@@",F491))</f>
        <v>104</v>
      </c>
      <c r="V491" s="4" t="str">
        <f>IF(G491="",IF(ISNUMBER(SEARCH("NOT NULL",UPPER(G$3))),"''","null"),SUBSTITUTE(VLOOKUP(G$2,convert!$A$1:$B$4,2,0),"@@@",G491))</f>
        <v>71</v>
      </c>
      <c r="W491" s="4" t="str">
        <f>IF(H491="",IF(ISNUMBER(SEARCH("NOT NULL",UPPER(H$3))),"''","null"),SUBSTITUTE(VLOOKUP(H$2,convert!$A$1:$B$4,2,0),"@@@",H491))</f>
        <v>108</v>
      </c>
      <c r="X491" s="4" t="str">
        <f>IF(I491="",IF(ISNUMBER(SEARCH("NOT NULL",UPPER(I$3))),"''","null"),SUBSTITUTE(VLOOKUP(I$2,convert!$A$1:$B$4,2,0),"@@@",I491))</f>
        <v>''</v>
      </c>
      <c r="Y491" s="4" t="str">
        <f>IF(J491="",IF(ISNUMBER(SEARCH("NOT NULL",UPPER(J$3))),"''","null"),SUBSTITUTE(VLOOKUP(J$2,convert!$A$1:$B$4,2,0),"@@@",J491))</f>
        <v>'fire'</v>
      </c>
      <c r="Z491" s="4" t="str">
        <f>IF(K491="",IF(ISNUMBER(SEARCH("NOT NULL",UPPER(K$3))),"''","null"),SUBSTITUTE(VLOOKUP(K$2,convert!$A$1:$B$4,2,0),"@@@",K491))</f>
        <v>'fighting'</v>
      </c>
      <c r="AA491" s="4" t="str">
        <f>IF(L491="",IF(ISNUMBER(SEARCH("NOT NULL",UPPER(L$3))),"''","null"),SUBSTITUTE(VLOOKUP(L$2,convert!$A$1:$B$4,2,0),"@@@",L491))</f>
        <v>'g4'</v>
      </c>
      <c r="AB491" s="4" t="str">
        <f>IF(M491="",IF(ISNUMBER(SEARCH("NOT NULL",UPPER(M$3))),"''","null"),SUBSTITUTE(VLOOKUP(M$2,convert!$A$1:$B$4,2,0),"@@@",M491))</f>
        <v>null</v>
      </c>
      <c r="AC491" s="4" t="str">
        <f>IF(N491="",IF(ISNUMBER(SEARCH("NOT NULL",UPPER(N$3))),"''","null"),SUBSTITUTE(VLOOKUP(N$2,convert!$A$1:$B$4,2,0),"@@@",N491))</f>
        <v>null</v>
      </c>
      <c r="AD491" s="4" t="str">
        <f>IF(O491="",IF(ISNUMBER(SEARCH("NOT NULL",UPPER(O$3))),"''","null"),SUBSTITUTE(VLOOKUP(O$2,convert!$A$1:$B$4,2,0),"@@@",O491))</f>
        <v>TRUE</v>
      </c>
      <c r="AE491" s="4" t="str">
        <f t="shared" si="7"/>
        <v>    ('0392N01', 'ゴウカザル', 76, 104, 71, 104, 71, 108, '', 'fire', 'fighting', 'g4', null, null, TRUE),</v>
      </c>
    </row>
    <row r="492" spans="1:31">
      <c r="A492" s="4" t="s">
        <v>997</v>
      </c>
      <c r="B492" s="4" t="s">
        <v>998</v>
      </c>
      <c r="C492" s="5">
        <v>53</v>
      </c>
      <c r="D492" s="5">
        <v>51</v>
      </c>
      <c r="E492" s="5">
        <v>53</v>
      </c>
      <c r="F492" s="5">
        <v>61</v>
      </c>
      <c r="G492" s="5">
        <v>56</v>
      </c>
      <c r="H492" s="5">
        <v>40</v>
      </c>
      <c r="I492" s="5"/>
      <c r="J492" s="4" t="s">
        <v>55</v>
      </c>
      <c r="K492" s="5"/>
      <c r="L492" s="4" t="s">
        <v>986</v>
      </c>
      <c r="M492" s="5"/>
      <c r="N492" s="5"/>
      <c r="O492" s="5" t="b">
        <v>1</v>
      </c>
      <c r="P492" s="4" t="str">
        <f>IF(A492="",IF(ISNUMBER(SEARCH("NOT NULL",UPPER(A$3))),"''","null"),SUBSTITUTE(VLOOKUP(A$2,convert!$A$1:$B$4,2,0),"@@@",A492))</f>
        <v>'0393N01'</v>
      </c>
      <c r="Q492" s="4" t="str">
        <f>IF(B492="",IF(ISNUMBER(SEARCH("NOT NULL",UPPER(B$3))),"''","null"),SUBSTITUTE(VLOOKUP(B$2,convert!$A$1:$B$4,2,0),"@@@",B492))</f>
        <v>'ポッチャマ'</v>
      </c>
      <c r="R492" s="4" t="str">
        <f>IF(C492="",IF(ISNUMBER(SEARCH("NOT NULL",UPPER(C$3))),"''","null"),SUBSTITUTE(VLOOKUP(C$2,convert!$A$1:$B$4,2,0),"@@@",C492))</f>
        <v>53</v>
      </c>
      <c r="S492" s="4" t="str">
        <f>IF(D492="",IF(ISNUMBER(SEARCH("NOT NULL",UPPER(D$3))),"''","null"),SUBSTITUTE(VLOOKUP(D$2,convert!$A$1:$B$4,2,0),"@@@",D492))</f>
        <v>51</v>
      </c>
      <c r="T492" s="4" t="str">
        <f>IF(E492="",IF(ISNUMBER(SEARCH("NOT NULL",UPPER(E$3))),"''","null"),SUBSTITUTE(VLOOKUP(E$2,convert!$A$1:$B$4,2,0),"@@@",E492))</f>
        <v>53</v>
      </c>
      <c r="U492" s="4" t="str">
        <f>IF(F492="",IF(ISNUMBER(SEARCH("NOT NULL",UPPER(F$3))),"''","null"),SUBSTITUTE(VLOOKUP(F$2,convert!$A$1:$B$4,2,0),"@@@",F492))</f>
        <v>61</v>
      </c>
      <c r="V492" s="4" t="str">
        <f>IF(G492="",IF(ISNUMBER(SEARCH("NOT NULL",UPPER(G$3))),"''","null"),SUBSTITUTE(VLOOKUP(G$2,convert!$A$1:$B$4,2,0),"@@@",G492))</f>
        <v>56</v>
      </c>
      <c r="W492" s="4" t="str">
        <f>IF(H492="",IF(ISNUMBER(SEARCH("NOT NULL",UPPER(H$3))),"''","null"),SUBSTITUTE(VLOOKUP(H$2,convert!$A$1:$B$4,2,0),"@@@",H492))</f>
        <v>40</v>
      </c>
      <c r="X492" s="4" t="str">
        <f>IF(I492="",IF(ISNUMBER(SEARCH("NOT NULL",UPPER(I$3))),"''","null"),SUBSTITUTE(VLOOKUP(I$2,convert!$A$1:$B$4,2,0),"@@@",I492))</f>
        <v>''</v>
      </c>
      <c r="Y492" s="4" t="str">
        <f>IF(J492="",IF(ISNUMBER(SEARCH("NOT NULL",UPPER(J$3))),"''","null"),SUBSTITUTE(VLOOKUP(J$2,convert!$A$1:$B$4,2,0),"@@@",J492))</f>
        <v>'water'</v>
      </c>
      <c r="Z492" s="4" t="str">
        <f>IF(K492="",IF(ISNUMBER(SEARCH("NOT NULL",UPPER(K$3))),"''","null"),SUBSTITUTE(VLOOKUP(K$2,convert!$A$1:$B$4,2,0),"@@@",K492))</f>
        <v>null</v>
      </c>
      <c r="AA492" s="4" t="str">
        <f>IF(L492="",IF(ISNUMBER(SEARCH("NOT NULL",UPPER(L$3))),"''","null"),SUBSTITUTE(VLOOKUP(L$2,convert!$A$1:$B$4,2,0),"@@@",L492))</f>
        <v>'g4'</v>
      </c>
      <c r="AB492" s="4" t="str">
        <f>IF(M492="",IF(ISNUMBER(SEARCH("NOT NULL",UPPER(M$3))),"''","null"),SUBSTITUTE(VLOOKUP(M$2,convert!$A$1:$B$4,2,0),"@@@",M492))</f>
        <v>null</v>
      </c>
      <c r="AC492" s="4" t="str">
        <f>IF(N492="",IF(ISNUMBER(SEARCH("NOT NULL",UPPER(N$3))),"''","null"),SUBSTITUTE(VLOOKUP(N$2,convert!$A$1:$B$4,2,0),"@@@",N492))</f>
        <v>null</v>
      </c>
      <c r="AD492" s="4" t="str">
        <f>IF(O492="",IF(ISNUMBER(SEARCH("NOT NULL",UPPER(O$3))),"''","null"),SUBSTITUTE(VLOOKUP(O$2,convert!$A$1:$B$4,2,0),"@@@",O492))</f>
        <v>TRUE</v>
      </c>
      <c r="AE492" s="4" t="str">
        <f t="shared" si="7"/>
        <v>    ('0393N01', 'ポッチャマ', 53, 51, 53, 61, 56, 40, '', 'water', null, 'g4', null, null, TRUE),</v>
      </c>
    </row>
    <row r="493" spans="1:31">
      <c r="A493" s="4" t="s">
        <v>999</v>
      </c>
      <c r="B493" s="4" t="s">
        <v>1000</v>
      </c>
      <c r="C493" s="5">
        <v>64</v>
      </c>
      <c r="D493" s="5">
        <v>66</v>
      </c>
      <c r="E493" s="5">
        <v>68</v>
      </c>
      <c r="F493" s="5">
        <v>81</v>
      </c>
      <c r="G493" s="5">
        <v>76</v>
      </c>
      <c r="H493" s="5">
        <v>50</v>
      </c>
      <c r="I493" s="5"/>
      <c r="J493" s="4" t="s">
        <v>55</v>
      </c>
      <c r="K493" s="5"/>
      <c r="L493" s="4" t="s">
        <v>986</v>
      </c>
      <c r="M493" s="5"/>
      <c r="N493" s="5"/>
      <c r="O493" s="5" t="b">
        <v>1</v>
      </c>
      <c r="P493" s="4" t="str">
        <f>IF(A493="",IF(ISNUMBER(SEARCH("NOT NULL",UPPER(A$3))),"''","null"),SUBSTITUTE(VLOOKUP(A$2,convert!$A$1:$B$4,2,0),"@@@",A493))</f>
        <v>'0394N01'</v>
      </c>
      <c r="Q493" s="4" t="str">
        <f>IF(B493="",IF(ISNUMBER(SEARCH("NOT NULL",UPPER(B$3))),"''","null"),SUBSTITUTE(VLOOKUP(B$2,convert!$A$1:$B$4,2,0),"@@@",B493))</f>
        <v>'ポッタイシ'</v>
      </c>
      <c r="R493" s="4" t="str">
        <f>IF(C493="",IF(ISNUMBER(SEARCH("NOT NULL",UPPER(C$3))),"''","null"),SUBSTITUTE(VLOOKUP(C$2,convert!$A$1:$B$4,2,0),"@@@",C493))</f>
        <v>64</v>
      </c>
      <c r="S493" s="4" t="str">
        <f>IF(D493="",IF(ISNUMBER(SEARCH("NOT NULL",UPPER(D$3))),"''","null"),SUBSTITUTE(VLOOKUP(D$2,convert!$A$1:$B$4,2,0),"@@@",D493))</f>
        <v>66</v>
      </c>
      <c r="T493" s="4" t="str">
        <f>IF(E493="",IF(ISNUMBER(SEARCH("NOT NULL",UPPER(E$3))),"''","null"),SUBSTITUTE(VLOOKUP(E$2,convert!$A$1:$B$4,2,0),"@@@",E493))</f>
        <v>68</v>
      </c>
      <c r="U493" s="4" t="str">
        <f>IF(F493="",IF(ISNUMBER(SEARCH("NOT NULL",UPPER(F$3))),"''","null"),SUBSTITUTE(VLOOKUP(F$2,convert!$A$1:$B$4,2,0),"@@@",F493))</f>
        <v>81</v>
      </c>
      <c r="V493" s="4" t="str">
        <f>IF(G493="",IF(ISNUMBER(SEARCH("NOT NULL",UPPER(G$3))),"''","null"),SUBSTITUTE(VLOOKUP(G$2,convert!$A$1:$B$4,2,0),"@@@",G493))</f>
        <v>76</v>
      </c>
      <c r="W493" s="4" t="str">
        <f>IF(H493="",IF(ISNUMBER(SEARCH("NOT NULL",UPPER(H$3))),"''","null"),SUBSTITUTE(VLOOKUP(H$2,convert!$A$1:$B$4,2,0),"@@@",H493))</f>
        <v>50</v>
      </c>
      <c r="X493" s="4" t="str">
        <f>IF(I493="",IF(ISNUMBER(SEARCH("NOT NULL",UPPER(I$3))),"''","null"),SUBSTITUTE(VLOOKUP(I$2,convert!$A$1:$B$4,2,0),"@@@",I493))</f>
        <v>''</v>
      </c>
      <c r="Y493" s="4" t="str">
        <f>IF(J493="",IF(ISNUMBER(SEARCH("NOT NULL",UPPER(J$3))),"''","null"),SUBSTITUTE(VLOOKUP(J$2,convert!$A$1:$B$4,2,0),"@@@",J493))</f>
        <v>'water'</v>
      </c>
      <c r="Z493" s="4" t="str">
        <f>IF(K493="",IF(ISNUMBER(SEARCH("NOT NULL",UPPER(K$3))),"''","null"),SUBSTITUTE(VLOOKUP(K$2,convert!$A$1:$B$4,2,0),"@@@",K493))</f>
        <v>null</v>
      </c>
      <c r="AA493" s="4" t="str">
        <f>IF(L493="",IF(ISNUMBER(SEARCH("NOT NULL",UPPER(L$3))),"''","null"),SUBSTITUTE(VLOOKUP(L$2,convert!$A$1:$B$4,2,0),"@@@",L493))</f>
        <v>'g4'</v>
      </c>
      <c r="AB493" s="4" t="str">
        <f>IF(M493="",IF(ISNUMBER(SEARCH("NOT NULL",UPPER(M$3))),"''","null"),SUBSTITUTE(VLOOKUP(M$2,convert!$A$1:$B$4,2,0),"@@@",M493))</f>
        <v>null</v>
      </c>
      <c r="AC493" s="4" t="str">
        <f>IF(N493="",IF(ISNUMBER(SEARCH("NOT NULL",UPPER(N$3))),"''","null"),SUBSTITUTE(VLOOKUP(N$2,convert!$A$1:$B$4,2,0),"@@@",N493))</f>
        <v>null</v>
      </c>
      <c r="AD493" s="4" t="str">
        <f>IF(O493="",IF(ISNUMBER(SEARCH("NOT NULL",UPPER(O$3))),"''","null"),SUBSTITUTE(VLOOKUP(O$2,convert!$A$1:$B$4,2,0),"@@@",O493))</f>
        <v>TRUE</v>
      </c>
      <c r="AE493" s="4" t="str">
        <f t="shared" si="7"/>
        <v>    ('0394N01', 'ポッタイシ', 64, 66, 68, 81, 76, 50, '', 'water', null, 'g4', null, null, TRUE),</v>
      </c>
    </row>
    <row r="494" spans="1:31">
      <c r="A494" s="4" t="s">
        <v>1001</v>
      </c>
      <c r="B494" s="4" t="s">
        <v>1002</v>
      </c>
      <c r="C494" s="5">
        <v>84</v>
      </c>
      <c r="D494" s="5">
        <v>86</v>
      </c>
      <c r="E494" s="5">
        <v>88</v>
      </c>
      <c r="F494" s="5">
        <v>111</v>
      </c>
      <c r="G494" s="5">
        <v>101</v>
      </c>
      <c r="H494" s="5">
        <v>60</v>
      </c>
      <c r="I494" s="5"/>
      <c r="J494" s="4" t="s">
        <v>55</v>
      </c>
      <c r="K494" s="4" t="s">
        <v>119</v>
      </c>
      <c r="L494" s="4" t="s">
        <v>986</v>
      </c>
      <c r="M494" s="5"/>
      <c r="N494" s="5"/>
      <c r="O494" s="5" t="b">
        <v>1</v>
      </c>
      <c r="P494" s="4" t="str">
        <f>IF(A494="",IF(ISNUMBER(SEARCH("NOT NULL",UPPER(A$3))),"''","null"),SUBSTITUTE(VLOOKUP(A$2,convert!$A$1:$B$4,2,0),"@@@",A494))</f>
        <v>'0395N01'</v>
      </c>
      <c r="Q494" s="4" t="str">
        <f>IF(B494="",IF(ISNUMBER(SEARCH("NOT NULL",UPPER(B$3))),"''","null"),SUBSTITUTE(VLOOKUP(B$2,convert!$A$1:$B$4,2,0),"@@@",B494))</f>
        <v>'エンペルト'</v>
      </c>
      <c r="R494" s="4" t="str">
        <f>IF(C494="",IF(ISNUMBER(SEARCH("NOT NULL",UPPER(C$3))),"''","null"),SUBSTITUTE(VLOOKUP(C$2,convert!$A$1:$B$4,2,0),"@@@",C494))</f>
        <v>84</v>
      </c>
      <c r="S494" s="4" t="str">
        <f>IF(D494="",IF(ISNUMBER(SEARCH("NOT NULL",UPPER(D$3))),"''","null"),SUBSTITUTE(VLOOKUP(D$2,convert!$A$1:$B$4,2,0),"@@@",D494))</f>
        <v>86</v>
      </c>
      <c r="T494" s="4" t="str">
        <f>IF(E494="",IF(ISNUMBER(SEARCH("NOT NULL",UPPER(E$3))),"''","null"),SUBSTITUTE(VLOOKUP(E$2,convert!$A$1:$B$4,2,0),"@@@",E494))</f>
        <v>88</v>
      </c>
      <c r="U494" s="4" t="str">
        <f>IF(F494="",IF(ISNUMBER(SEARCH("NOT NULL",UPPER(F$3))),"''","null"),SUBSTITUTE(VLOOKUP(F$2,convert!$A$1:$B$4,2,0),"@@@",F494))</f>
        <v>111</v>
      </c>
      <c r="V494" s="4" t="str">
        <f>IF(G494="",IF(ISNUMBER(SEARCH("NOT NULL",UPPER(G$3))),"''","null"),SUBSTITUTE(VLOOKUP(G$2,convert!$A$1:$B$4,2,0),"@@@",G494))</f>
        <v>101</v>
      </c>
      <c r="W494" s="4" t="str">
        <f>IF(H494="",IF(ISNUMBER(SEARCH("NOT NULL",UPPER(H$3))),"''","null"),SUBSTITUTE(VLOOKUP(H$2,convert!$A$1:$B$4,2,0),"@@@",H494))</f>
        <v>60</v>
      </c>
      <c r="X494" s="4" t="str">
        <f>IF(I494="",IF(ISNUMBER(SEARCH("NOT NULL",UPPER(I$3))),"''","null"),SUBSTITUTE(VLOOKUP(I$2,convert!$A$1:$B$4,2,0),"@@@",I494))</f>
        <v>''</v>
      </c>
      <c r="Y494" s="4" t="str">
        <f>IF(J494="",IF(ISNUMBER(SEARCH("NOT NULL",UPPER(J$3))),"''","null"),SUBSTITUTE(VLOOKUP(J$2,convert!$A$1:$B$4,2,0),"@@@",J494))</f>
        <v>'water'</v>
      </c>
      <c r="Z494" s="4" t="str">
        <f>IF(K494="",IF(ISNUMBER(SEARCH("NOT NULL",UPPER(K$3))),"''","null"),SUBSTITUTE(VLOOKUP(K$2,convert!$A$1:$B$4,2,0),"@@@",K494))</f>
        <v>'steel'</v>
      </c>
      <c r="AA494" s="4" t="str">
        <f>IF(L494="",IF(ISNUMBER(SEARCH("NOT NULL",UPPER(L$3))),"''","null"),SUBSTITUTE(VLOOKUP(L$2,convert!$A$1:$B$4,2,0),"@@@",L494))</f>
        <v>'g4'</v>
      </c>
      <c r="AB494" s="4" t="str">
        <f>IF(M494="",IF(ISNUMBER(SEARCH("NOT NULL",UPPER(M$3))),"''","null"),SUBSTITUTE(VLOOKUP(M$2,convert!$A$1:$B$4,2,0),"@@@",M494))</f>
        <v>null</v>
      </c>
      <c r="AC494" s="4" t="str">
        <f>IF(N494="",IF(ISNUMBER(SEARCH("NOT NULL",UPPER(N$3))),"''","null"),SUBSTITUTE(VLOOKUP(N$2,convert!$A$1:$B$4,2,0),"@@@",N494))</f>
        <v>null</v>
      </c>
      <c r="AD494" s="4" t="str">
        <f>IF(O494="",IF(ISNUMBER(SEARCH("NOT NULL",UPPER(O$3))),"''","null"),SUBSTITUTE(VLOOKUP(O$2,convert!$A$1:$B$4,2,0),"@@@",O494))</f>
        <v>TRUE</v>
      </c>
      <c r="AE494" s="4" t="str">
        <f t="shared" si="7"/>
        <v>    ('0395N01', 'エンペルト', 84, 86, 88, 111, 101, 60, '', 'water', 'steel', 'g4', null, null, TRUE),</v>
      </c>
    </row>
    <row r="495" spans="1:31">
      <c r="A495" s="4" t="s">
        <v>1003</v>
      </c>
      <c r="B495" s="4" t="s">
        <v>1004</v>
      </c>
      <c r="C495" s="5">
        <v>40</v>
      </c>
      <c r="D495" s="5">
        <v>55</v>
      </c>
      <c r="E495" s="5">
        <v>30</v>
      </c>
      <c r="F495" s="5">
        <v>30</v>
      </c>
      <c r="G495" s="5">
        <v>30</v>
      </c>
      <c r="H495" s="5">
        <v>60</v>
      </c>
      <c r="I495" s="5"/>
      <c r="J495" s="4" t="s">
        <v>80</v>
      </c>
      <c r="K495" s="4" t="s">
        <v>47</v>
      </c>
      <c r="L495" s="4" t="s">
        <v>986</v>
      </c>
      <c r="M495" s="5"/>
      <c r="N495" s="5"/>
      <c r="O495" s="5" t="b">
        <v>1</v>
      </c>
      <c r="P495" s="4" t="str">
        <f>IF(A495="",IF(ISNUMBER(SEARCH("NOT NULL",UPPER(A$3))),"''","null"),SUBSTITUTE(VLOOKUP(A$2,convert!$A$1:$B$4,2,0),"@@@",A495))</f>
        <v>'0396N01'</v>
      </c>
      <c r="Q495" s="4" t="str">
        <f>IF(B495="",IF(ISNUMBER(SEARCH("NOT NULL",UPPER(B$3))),"''","null"),SUBSTITUTE(VLOOKUP(B$2,convert!$A$1:$B$4,2,0),"@@@",B495))</f>
        <v>'ムックル'</v>
      </c>
      <c r="R495" s="4" t="str">
        <f>IF(C495="",IF(ISNUMBER(SEARCH("NOT NULL",UPPER(C$3))),"''","null"),SUBSTITUTE(VLOOKUP(C$2,convert!$A$1:$B$4,2,0),"@@@",C495))</f>
        <v>40</v>
      </c>
      <c r="S495" s="4" t="str">
        <f>IF(D495="",IF(ISNUMBER(SEARCH("NOT NULL",UPPER(D$3))),"''","null"),SUBSTITUTE(VLOOKUP(D$2,convert!$A$1:$B$4,2,0),"@@@",D495))</f>
        <v>55</v>
      </c>
      <c r="T495" s="4" t="str">
        <f>IF(E495="",IF(ISNUMBER(SEARCH("NOT NULL",UPPER(E$3))),"''","null"),SUBSTITUTE(VLOOKUP(E$2,convert!$A$1:$B$4,2,0),"@@@",E495))</f>
        <v>30</v>
      </c>
      <c r="U495" s="4" t="str">
        <f>IF(F495="",IF(ISNUMBER(SEARCH("NOT NULL",UPPER(F$3))),"''","null"),SUBSTITUTE(VLOOKUP(F$2,convert!$A$1:$B$4,2,0),"@@@",F495))</f>
        <v>30</v>
      </c>
      <c r="V495" s="4" t="str">
        <f>IF(G495="",IF(ISNUMBER(SEARCH("NOT NULL",UPPER(G$3))),"''","null"),SUBSTITUTE(VLOOKUP(G$2,convert!$A$1:$B$4,2,0),"@@@",G495))</f>
        <v>30</v>
      </c>
      <c r="W495" s="4" t="str">
        <f>IF(H495="",IF(ISNUMBER(SEARCH("NOT NULL",UPPER(H$3))),"''","null"),SUBSTITUTE(VLOOKUP(H$2,convert!$A$1:$B$4,2,0),"@@@",H495))</f>
        <v>60</v>
      </c>
      <c r="X495" s="4" t="str">
        <f>IF(I495="",IF(ISNUMBER(SEARCH("NOT NULL",UPPER(I$3))),"''","null"),SUBSTITUTE(VLOOKUP(I$2,convert!$A$1:$B$4,2,0),"@@@",I495))</f>
        <v>''</v>
      </c>
      <c r="Y495" s="4" t="str">
        <f>IF(J495="",IF(ISNUMBER(SEARCH("NOT NULL",UPPER(J$3))),"''","null"),SUBSTITUTE(VLOOKUP(J$2,convert!$A$1:$B$4,2,0),"@@@",J495))</f>
        <v>'normal'</v>
      </c>
      <c r="Z495" s="4" t="str">
        <f>IF(K495="",IF(ISNUMBER(SEARCH("NOT NULL",UPPER(K$3))),"''","null"),SUBSTITUTE(VLOOKUP(K$2,convert!$A$1:$B$4,2,0),"@@@",K495))</f>
        <v>'flying'</v>
      </c>
      <c r="AA495" s="4" t="str">
        <f>IF(L495="",IF(ISNUMBER(SEARCH("NOT NULL",UPPER(L$3))),"''","null"),SUBSTITUTE(VLOOKUP(L$2,convert!$A$1:$B$4,2,0),"@@@",L495))</f>
        <v>'g4'</v>
      </c>
      <c r="AB495" s="4" t="str">
        <f>IF(M495="",IF(ISNUMBER(SEARCH("NOT NULL",UPPER(M$3))),"''","null"),SUBSTITUTE(VLOOKUP(M$2,convert!$A$1:$B$4,2,0),"@@@",M495))</f>
        <v>null</v>
      </c>
      <c r="AC495" s="4" t="str">
        <f>IF(N495="",IF(ISNUMBER(SEARCH("NOT NULL",UPPER(N$3))),"''","null"),SUBSTITUTE(VLOOKUP(N$2,convert!$A$1:$B$4,2,0),"@@@",N495))</f>
        <v>null</v>
      </c>
      <c r="AD495" s="4" t="str">
        <f>IF(O495="",IF(ISNUMBER(SEARCH("NOT NULL",UPPER(O$3))),"''","null"),SUBSTITUTE(VLOOKUP(O$2,convert!$A$1:$B$4,2,0),"@@@",O495))</f>
        <v>TRUE</v>
      </c>
      <c r="AE495" s="4" t="str">
        <f t="shared" si="7"/>
        <v>    ('0396N01', 'ムックル', 40, 55, 30, 30, 30, 60, '', 'normal', 'flying', 'g4', null, null, TRUE),</v>
      </c>
    </row>
    <row r="496" spans="1:31">
      <c r="A496" s="4" t="s">
        <v>1005</v>
      </c>
      <c r="B496" s="4" t="s">
        <v>1006</v>
      </c>
      <c r="C496" s="5">
        <v>55</v>
      </c>
      <c r="D496" s="5">
        <v>75</v>
      </c>
      <c r="E496" s="5">
        <v>50</v>
      </c>
      <c r="F496" s="5">
        <v>40</v>
      </c>
      <c r="G496" s="5">
        <v>40</v>
      </c>
      <c r="H496" s="5">
        <v>80</v>
      </c>
      <c r="I496" s="5"/>
      <c r="J496" s="4" t="s">
        <v>80</v>
      </c>
      <c r="K496" s="4" t="s">
        <v>47</v>
      </c>
      <c r="L496" s="4" t="s">
        <v>986</v>
      </c>
      <c r="M496" s="5"/>
      <c r="N496" s="5"/>
      <c r="O496" s="5" t="b">
        <v>1</v>
      </c>
      <c r="P496" s="4" t="str">
        <f>IF(A496="",IF(ISNUMBER(SEARCH("NOT NULL",UPPER(A$3))),"''","null"),SUBSTITUTE(VLOOKUP(A$2,convert!$A$1:$B$4,2,0),"@@@",A496))</f>
        <v>'0397N01'</v>
      </c>
      <c r="Q496" s="4" t="str">
        <f>IF(B496="",IF(ISNUMBER(SEARCH("NOT NULL",UPPER(B$3))),"''","null"),SUBSTITUTE(VLOOKUP(B$2,convert!$A$1:$B$4,2,0),"@@@",B496))</f>
        <v>'ムクバード'</v>
      </c>
      <c r="R496" s="4" t="str">
        <f>IF(C496="",IF(ISNUMBER(SEARCH("NOT NULL",UPPER(C$3))),"''","null"),SUBSTITUTE(VLOOKUP(C$2,convert!$A$1:$B$4,2,0),"@@@",C496))</f>
        <v>55</v>
      </c>
      <c r="S496" s="4" t="str">
        <f>IF(D496="",IF(ISNUMBER(SEARCH("NOT NULL",UPPER(D$3))),"''","null"),SUBSTITUTE(VLOOKUP(D$2,convert!$A$1:$B$4,2,0),"@@@",D496))</f>
        <v>75</v>
      </c>
      <c r="T496" s="4" t="str">
        <f>IF(E496="",IF(ISNUMBER(SEARCH("NOT NULL",UPPER(E$3))),"''","null"),SUBSTITUTE(VLOOKUP(E$2,convert!$A$1:$B$4,2,0),"@@@",E496))</f>
        <v>50</v>
      </c>
      <c r="U496" s="4" t="str">
        <f>IF(F496="",IF(ISNUMBER(SEARCH("NOT NULL",UPPER(F$3))),"''","null"),SUBSTITUTE(VLOOKUP(F$2,convert!$A$1:$B$4,2,0),"@@@",F496))</f>
        <v>40</v>
      </c>
      <c r="V496" s="4" t="str">
        <f>IF(G496="",IF(ISNUMBER(SEARCH("NOT NULL",UPPER(G$3))),"''","null"),SUBSTITUTE(VLOOKUP(G$2,convert!$A$1:$B$4,2,0),"@@@",G496))</f>
        <v>40</v>
      </c>
      <c r="W496" s="4" t="str">
        <f>IF(H496="",IF(ISNUMBER(SEARCH("NOT NULL",UPPER(H$3))),"''","null"),SUBSTITUTE(VLOOKUP(H$2,convert!$A$1:$B$4,2,0),"@@@",H496))</f>
        <v>80</v>
      </c>
      <c r="X496" s="4" t="str">
        <f>IF(I496="",IF(ISNUMBER(SEARCH("NOT NULL",UPPER(I$3))),"''","null"),SUBSTITUTE(VLOOKUP(I$2,convert!$A$1:$B$4,2,0),"@@@",I496))</f>
        <v>''</v>
      </c>
      <c r="Y496" s="4" t="str">
        <f>IF(J496="",IF(ISNUMBER(SEARCH("NOT NULL",UPPER(J$3))),"''","null"),SUBSTITUTE(VLOOKUP(J$2,convert!$A$1:$B$4,2,0),"@@@",J496))</f>
        <v>'normal'</v>
      </c>
      <c r="Z496" s="4" t="str">
        <f>IF(K496="",IF(ISNUMBER(SEARCH("NOT NULL",UPPER(K$3))),"''","null"),SUBSTITUTE(VLOOKUP(K$2,convert!$A$1:$B$4,2,0),"@@@",K496))</f>
        <v>'flying'</v>
      </c>
      <c r="AA496" s="4" t="str">
        <f>IF(L496="",IF(ISNUMBER(SEARCH("NOT NULL",UPPER(L$3))),"''","null"),SUBSTITUTE(VLOOKUP(L$2,convert!$A$1:$B$4,2,0),"@@@",L496))</f>
        <v>'g4'</v>
      </c>
      <c r="AB496" s="4" t="str">
        <f>IF(M496="",IF(ISNUMBER(SEARCH("NOT NULL",UPPER(M$3))),"''","null"),SUBSTITUTE(VLOOKUP(M$2,convert!$A$1:$B$4,2,0),"@@@",M496))</f>
        <v>null</v>
      </c>
      <c r="AC496" s="4" t="str">
        <f>IF(N496="",IF(ISNUMBER(SEARCH("NOT NULL",UPPER(N$3))),"''","null"),SUBSTITUTE(VLOOKUP(N$2,convert!$A$1:$B$4,2,0),"@@@",N496))</f>
        <v>null</v>
      </c>
      <c r="AD496" s="4" t="str">
        <f>IF(O496="",IF(ISNUMBER(SEARCH("NOT NULL",UPPER(O$3))),"''","null"),SUBSTITUTE(VLOOKUP(O$2,convert!$A$1:$B$4,2,0),"@@@",O496))</f>
        <v>TRUE</v>
      </c>
      <c r="AE496" s="4" t="str">
        <f t="shared" si="7"/>
        <v>    ('0397N01', 'ムクバード', 55, 75, 50, 40, 40, 80, '', 'normal', 'flying', 'g4', null, null, TRUE),</v>
      </c>
    </row>
    <row r="497" spans="1:31">
      <c r="A497" s="4" t="s">
        <v>1007</v>
      </c>
      <c r="B497" s="4" t="s">
        <v>1008</v>
      </c>
      <c r="C497" s="5">
        <v>85</v>
      </c>
      <c r="D497" s="5">
        <v>120</v>
      </c>
      <c r="E497" s="5">
        <v>70</v>
      </c>
      <c r="F497" s="5">
        <v>50</v>
      </c>
      <c r="G497" s="5">
        <v>60</v>
      </c>
      <c r="H497" s="5">
        <v>100</v>
      </c>
      <c r="I497" s="5"/>
      <c r="J497" s="4" t="s">
        <v>80</v>
      </c>
      <c r="K497" s="4" t="s">
        <v>47</v>
      </c>
      <c r="L497" s="4" t="s">
        <v>986</v>
      </c>
      <c r="M497" s="5"/>
      <c r="N497" s="5"/>
      <c r="O497" s="5" t="b">
        <v>1</v>
      </c>
      <c r="P497" s="4" t="str">
        <f>IF(A497="",IF(ISNUMBER(SEARCH("NOT NULL",UPPER(A$3))),"''","null"),SUBSTITUTE(VLOOKUP(A$2,convert!$A$1:$B$4,2,0),"@@@",A497))</f>
        <v>'0398N01'</v>
      </c>
      <c r="Q497" s="4" t="str">
        <f>IF(B497="",IF(ISNUMBER(SEARCH("NOT NULL",UPPER(B$3))),"''","null"),SUBSTITUTE(VLOOKUP(B$2,convert!$A$1:$B$4,2,0),"@@@",B497))</f>
        <v>'ムクホーク'</v>
      </c>
      <c r="R497" s="4" t="str">
        <f>IF(C497="",IF(ISNUMBER(SEARCH("NOT NULL",UPPER(C$3))),"''","null"),SUBSTITUTE(VLOOKUP(C$2,convert!$A$1:$B$4,2,0),"@@@",C497))</f>
        <v>85</v>
      </c>
      <c r="S497" s="4" t="str">
        <f>IF(D497="",IF(ISNUMBER(SEARCH("NOT NULL",UPPER(D$3))),"''","null"),SUBSTITUTE(VLOOKUP(D$2,convert!$A$1:$B$4,2,0),"@@@",D497))</f>
        <v>120</v>
      </c>
      <c r="T497" s="4" t="str">
        <f>IF(E497="",IF(ISNUMBER(SEARCH("NOT NULL",UPPER(E$3))),"''","null"),SUBSTITUTE(VLOOKUP(E$2,convert!$A$1:$B$4,2,0),"@@@",E497))</f>
        <v>70</v>
      </c>
      <c r="U497" s="4" t="str">
        <f>IF(F497="",IF(ISNUMBER(SEARCH("NOT NULL",UPPER(F$3))),"''","null"),SUBSTITUTE(VLOOKUP(F$2,convert!$A$1:$B$4,2,0),"@@@",F497))</f>
        <v>50</v>
      </c>
      <c r="V497" s="4" t="str">
        <f>IF(G497="",IF(ISNUMBER(SEARCH("NOT NULL",UPPER(G$3))),"''","null"),SUBSTITUTE(VLOOKUP(G$2,convert!$A$1:$B$4,2,0),"@@@",G497))</f>
        <v>60</v>
      </c>
      <c r="W497" s="4" t="str">
        <f>IF(H497="",IF(ISNUMBER(SEARCH("NOT NULL",UPPER(H$3))),"''","null"),SUBSTITUTE(VLOOKUP(H$2,convert!$A$1:$B$4,2,0),"@@@",H497))</f>
        <v>100</v>
      </c>
      <c r="X497" s="4" t="str">
        <f>IF(I497="",IF(ISNUMBER(SEARCH("NOT NULL",UPPER(I$3))),"''","null"),SUBSTITUTE(VLOOKUP(I$2,convert!$A$1:$B$4,2,0),"@@@",I497))</f>
        <v>''</v>
      </c>
      <c r="Y497" s="4" t="str">
        <f>IF(J497="",IF(ISNUMBER(SEARCH("NOT NULL",UPPER(J$3))),"''","null"),SUBSTITUTE(VLOOKUP(J$2,convert!$A$1:$B$4,2,0),"@@@",J497))</f>
        <v>'normal'</v>
      </c>
      <c r="Z497" s="4" t="str">
        <f>IF(K497="",IF(ISNUMBER(SEARCH("NOT NULL",UPPER(K$3))),"''","null"),SUBSTITUTE(VLOOKUP(K$2,convert!$A$1:$B$4,2,0),"@@@",K497))</f>
        <v>'flying'</v>
      </c>
      <c r="AA497" s="4" t="str">
        <f>IF(L497="",IF(ISNUMBER(SEARCH("NOT NULL",UPPER(L$3))),"''","null"),SUBSTITUTE(VLOOKUP(L$2,convert!$A$1:$B$4,2,0),"@@@",L497))</f>
        <v>'g4'</v>
      </c>
      <c r="AB497" s="4" t="str">
        <f>IF(M497="",IF(ISNUMBER(SEARCH("NOT NULL",UPPER(M$3))),"''","null"),SUBSTITUTE(VLOOKUP(M$2,convert!$A$1:$B$4,2,0),"@@@",M497))</f>
        <v>null</v>
      </c>
      <c r="AC497" s="4" t="str">
        <f>IF(N497="",IF(ISNUMBER(SEARCH("NOT NULL",UPPER(N$3))),"''","null"),SUBSTITUTE(VLOOKUP(N$2,convert!$A$1:$B$4,2,0),"@@@",N497))</f>
        <v>null</v>
      </c>
      <c r="AD497" s="4" t="str">
        <f>IF(O497="",IF(ISNUMBER(SEARCH("NOT NULL",UPPER(O$3))),"''","null"),SUBSTITUTE(VLOOKUP(O$2,convert!$A$1:$B$4,2,0),"@@@",O497))</f>
        <v>TRUE</v>
      </c>
      <c r="AE497" s="4" t="str">
        <f t="shared" si="7"/>
        <v>    ('0398N01', 'ムクホーク', 85, 120, 70, 50, 60, 100, '', 'normal', 'flying', 'g4', null, null, TRUE),</v>
      </c>
    </row>
    <row r="498" spans="1:31">
      <c r="A498" s="4" t="s">
        <v>1009</v>
      </c>
      <c r="B498" s="4" t="s">
        <v>1010</v>
      </c>
      <c r="C498" s="5">
        <v>59</v>
      </c>
      <c r="D498" s="5">
        <v>45</v>
      </c>
      <c r="E498" s="5">
        <v>40</v>
      </c>
      <c r="F498" s="5">
        <v>35</v>
      </c>
      <c r="G498" s="5">
        <v>40</v>
      </c>
      <c r="H498" s="5">
        <v>31</v>
      </c>
      <c r="I498" s="5"/>
      <c r="J498" s="4" t="s">
        <v>80</v>
      </c>
      <c r="K498" s="5"/>
      <c r="L498" s="4" t="s">
        <v>986</v>
      </c>
      <c r="M498" s="5"/>
      <c r="N498" s="5"/>
      <c r="O498" s="5" t="b">
        <v>1</v>
      </c>
      <c r="P498" s="4" t="str">
        <f>IF(A498="",IF(ISNUMBER(SEARCH("NOT NULL",UPPER(A$3))),"''","null"),SUBSTITUTE(VLOOKUP(A$2,convert!$A$1:$B$4,2,0),"@@@",A498))</f>
        <v>'0399N01'</v>
      </c>
      <c r="Q498" s="4" t="str">
        <f>IF(B498="",IF(ISNUMBER(SEARCH("NOT NULL",UPPER(B$3))),"''","null"),SUBSTITUTE(VLOOKUP(B$2,convert!$A$1:$B$4,2,0),"@@@",B498))</f>
        <v>'ビッパ'</v>
      </c>
      <c r="R498" s="4" t="str">
        <f>IF(C498="",IF(ISNUMBER(SEARCH("NOT NULL",UPPER(C$3))),"''","null"),SUBSTITUTE(VLOOKUP(C$2,convert!$A$1:$B$4,2,0),"@@@",C498))</f>
        <v>59</v>
      </c>
      <c r="S498" s="4" t="str">
        <f>IF(D498="",IF(ISNUMBER(SEARCH("NOT NULL",UPPER(D$3))),"''","null"),SUBSTITUTE(VLOOKUP(D$2,convert!$A$1:$B$4,2,0),"@@@",D498))</f>
        <v>45</v>
      </c>
      <c r="T498" s="4" t="str">
        <f>IF(E498="",IF(ISNUMBER(SEARCH("NOT NULL",UPPER(E$3))),"''","null"),SUBSTITUTE(VLOOKUP(E$2,convert!$A$1:$B$4,2,0),"@@@",E498))</f>
        <v>40</v>
      </c>
      <c r="U498" s="4" t="str">
        <f>IF(F498="",IF(ISNUMBER(SEARCH("NOT NULL",UPPER(F$3))),"''","null"),SUBSTITUTE(VLOOKUP(F$2,convert!$A$1:$B$4,2,0),"@@@",F498))</f>
        <v>35</v>
      </c>
      <c r="V498" s="4" t="str">
        <f>IF(G498="",IF(ISNUMBER(SEARCH("NOT NULL",UPPER(G$3))),"''","null"),SUBSTITUTE(VLOOKUP(G$2,convert!$A$1:$B$4,2,0),"@@@",G498))</f>
        <v>40</v>
      </c>
      <c r="W498" s="4" t="str">
        <f>IF(H498="",IF(ISNUMBER(SEARCH("NOT NULL",UPPER(H$3))),"''","null"),SUBSTITUTE(VLOOKUP(H$2,convert!$A$1:$B$4,2,0),"@@@",H498))</f>
        <v>31</v>
      </c>
      <c r="X498" s="4" t="str">
        <f>IF(I498="",IF(ISNUMBER(SEARCH("NOT NULL",UPPER(I$3))),"''","null"),SUBSTITUTE(VLOOKUP(I$2,convert!$A$1:$B$4,2,0),"@@@",I498))</f>
        <v>''</v>
      </c>
      <c r="Y498" s="4" t="str">
        <f>IF(J498="",IF(ISNUMBER(SEARCH("NOT NULL",UPPER(J$3))),"''","null"),SUBSTITUTE(VLOOKUP(J$2,convert!$A$1:$B$4,2,0),"@@@",J498))</f>
        <v>'normal'</v>
      </c>
      <c r="Z498" s="4" t="str">
        <f>IF(K498="",IF(ISNUMBER(SEARCH("NOT NULL",UPPER(K$3))),"''","null"),SUBSTITUTE(VLOOKUP(K$2,convert!$A$1:$B$4,2,0),"@@@",K498))</f>
        <v>null</v>
      </c>
      <c r="AA498" s="4" t="str">
        <f>IF(L498="",IF(ISNUMBER(SEARCH("NOT NULL",UPPER(L$3))),"''","null"),SUBSTITUTE(VLOOKUP(L$2,convert!$A$1:$B$4,2,0),"@@@",L498))</f>
        <v>'g4'</v>
      </c>
      <c r="AB498" s="4" t="str">
        <f>IF(M498="",IF(ISNUMBER(SEARCH("NOT NULL",UPPER(M$3))),"''","null"),SUBSTITUTE(VLOOKUP(M$2,convert!$A$1:$B$4,2,0),"@@@",M498))</f>
        <v>null</v>
      </c>
      <c r="AC498" s="4" t="str">
        <f>IF(N498="",IF(ISNUMBER(SEARCH("NOT NULL",UPPER(N$3))),"''","null"),SUBSTITUTE(VLOOKUP(N$2,convert!$A$1:$B$4,2,0),"@@@",N498))</f>
        <v>null</v>
      </c>
      <c r="AD498" s="4" t="str">
        <f>IF(O498="",IF(ISNUMBER(SEARCH("NOT NULL",UPPER(O$3))),"''","null"),SUBSTITUTE(VLOOKUP(O$2,convert!$A$1:$B$4,2,0),"@@@",O498))</f>
        <v>TRUE</v>
      </c>
      <c r="AE498" s="4" t="str">
        <f t="shared" si="7"/>
        <v>    ('0399N01', 'ビッパ', 59, 45, 40, 35, 40, 31, '', 'normal', null, 'g4', null, null, TRUE),</v>
      </c>
    </row>
    <row r="499" spans="1:31">
      <c r="A499" s="4" t="s">
        <v>1011</v>
      </c>
      <c r="B499" s="4" t="s">
        <v>1012</v>
      </c>
      <c r="C499" s="5">
        <v>79</v>
      </c>
      <c r="D499" s="5">
        <v>85</v>
      </c>
      <c r="E499" s="5">
        <v>60</v>
      </c>
      <c r="F499" s="5">
        <v>55</v>
      </c>
      <c r="G499" s="5">
        <v>60</v>
      </c>
      <c r="H499" s="5">
        <v>71</v>
      </c>
      <c r="I499" s="5"/>
      <c r="J499" s="4" t="s">
        <v>80</v>
      </c>
      <c r="K499" s="4" t="s">
        <v>55</v>
      </c>
      <c r="L499" s="4" t="s">
        <v>986</v>
      </c>
      <c r="M499" s="5"/>
      <c r="N499" s="5"/>
      <c r="O499" s="5" t="b">
        <v>1</v>
      </c>
      <c r="P499" s="4" t="str">
        <f>IF(A499="",IF(ISNUMBER(SEARCH("NOT NULL",UPPER(A$3))),"''","null"),SUBSTITUTE(VLOOKUP(A$2,convert!$A$1:$B$4,2,0),"@@@",A499))</f>
        <v>'0400N01'</v>
      </c>
      <c r="Q499" s="4" t="str">
        <f>IF(B499="",IF(ISNUMBER(SEARCH("NOT NULL",UPPER(B$3))),"''","null"),SUBSTITUTE(VLOOKUP(B$2,convert!$A$1:$B$4,2,0),"@@@",B499))</f>
        <v>'ビーダル'</v>
      </c>
      <c r="R499" s="4" t="str">
        <f>IF(C499="",IF(ISNUMBER(SEARCH("NOT NULL",UPPER(C$3))),"''","null"),SUBSTITUTE(VLOOKUP(C$2,convert!$A$1:$B$4,2,0),"@@@",C499))</f>
        <v>79</v>
      </c>
      <c r="S499" s="4" t="str">
        <f>IF(D499="",IF(ISNUMBER(SEARCH("NOT NULL",UPPER(D$3))),"''","null"),SUBSTITUTE(VLOOKUP(D$2,convert!$A$1:$B$4,2,0),"@@@",D499))</f>
        <v>85</v>
      </c>
      <c r="T499" s="4" t="str">
        <f>IF(E499="",IF(ISNUMBER(SEARCH("NOT NULL",UPPER(E$3))),"''","null"),SUBSTITUTE(VLOOKUP(E$2,convert!$A$1:$B$4,2,0),"@@@",E499))</f>
        <v>60</v>
      </c>
      <c r="U499" s="4" t="str">
        <f>IF(F499="",IF(ISNUMBER(SEARCH("NOT NULL",UPPER(F$3))),"''","null"),SUBSTITUTE(VLOOKUP(F$2,convert!$A$1:$B$4,2,0),"@@@",F499))</f>
        <v>55</v>
      </c>
      <c r="V499" s="4" t="str">
        <f>IF(G499="",IF(ISNUMBER(SEARCH("NOT NULL",UPPER(G$3))),"''","null"),SUBSTITUTE(VLOOKUP(G$2,convert!$A$1:$B$4,2,0),"@@@",G499))</f>
        <v>60</v>
      </c>
      <c r="W499" s="4" t="str">
        <f>IF(H499="",IF(ISNUMBER(SEARCH("NOT NULL",UPPER(H$3))),"''","null"),SUBSTITUTE(VLOOKUP(H$2,convert!$A$1:$B$4,2,0),"@@@",H499))</f>
        <v>71</v>
      </c>
      <c r="X499" s="4" t="str">
        <f>IF(I499="",IF(ISNUMBER(SEARCH("NOT NULL",UPPER(I$3))),"''","null"),SUBSTITUTE(VLOOKUP(I$2,convert!$A$1:$B$4,2,0),"@@@",I499))</f>
        <v>''</v>
      </c>
      <c r="Y499" s="4" t="str">
        <f>IF(J499="",IF(ISNUMBER(SEARCH("NOT NULL",UPPER(J$3))),"''","null"),SUBSTITUTE(VLOOKUP(J$2,convert!$A$1:$B$4,2,0),"@@@",J499))</f>
        <v>'normal'</v>
      </c>
      <c r="Z499" s="4" t="str">
        <f>IF(K499="",IF(ISNUMBER(SEARCH("NOT NULL",UPPER(K$3))),"''","null"),SUBSTITUTE(VLOOKUP(K$2,convert!$A$1:$B$4,2,0),"@@@",K499))</f>
        <v>'water'</v>
      </c>
      <c r="AA499" s="4" t="str">
        <f>IF(L499="",IF(ISNUMBER(SEARCH("NOT NULL",UPPER(L$3))),"''","null"),SUBSTITUTE(VLOOKUP(L$2,convert!$A$1:$B$4,2,0),"@@@",L499))</f>
        <v>'g4'</v>
      </c>
      <c r="AB499" s="4" t="str">
        <f>IF(M499="",IF(ISNUMBER(SEARCH("NOT NULL",UPPER(M$3))),"''","null"),SUBSTITUTE(VLOOKUP(M$2,convert!$A$1:$B$4,2,0),"@@@",M499))</f>
        <v>null</v>
      </c>
      <c r="AC499" s="4" t="str">
        <f>IF(N499="",IF(ISNUMBER(SEARCH("NOT NULL",UPPER(N$3))),"''","null"),SUBSTITUTE(VLOOKUP(N$2,convert!$A$1:$B$4,2,0),"@@@",N499))</f>
        <v>null</v>
      </c>
      <c r="AD499" s="4" t="str">
        <f>IF(O499="",IF(ISNUMBER(SEARCH("NOT NULL",UPPER(O$3))),"''","null"),SUBSTITUTE(VLOOKUP(O$2,convert!$A$1:$B$4,2,0),"@@@",O499))</f>
        <v>TRUE</v>
      </c>
      <c r="AE499" s="4" t="str">
        <f t="shared" si="7"/>
        <v>    ('0400N01', 'ビーダル', 79, 85, 60, 55, 60, 71, '', 'normal', 'water', 'g4', null, null, TRUE),</v>
      </c>
    </row>
    <row r="500" spans="1:31">
      <c r="A500" s="4" t="s">
        <v>1013</v>
      </c>
      <c r="B500" s="4" t="s">
        <v>1014</v>
      </c>
      <c r="C500" s="5">
        <v>37</v>
      </c>
      <c r="D500" s="5">
        <v>25</v>
      </c>
      <c r="E500" s="5">
        <v>41</v>
      </c>
      <c r="F500" s="5">
        <v>25</v>
      </c>
      <c r="G500" s="5">
        <v>41</v>
      </c>
      <c r="H500" s="5">
        <v>25</v>
      </c>
      <c r="I500" s="5"/>
      <c r="J500" s="4" t="s">
        <v>64</v>
      </c>
      <c r="K500" s="5"/>
      <c r="L500" s="4" t="s">
        <v>986</v>
      </c>
      <c r="M500" s="5"/>
      <c r="N500" s="5"/>
      <c r="O500" s="5" t="b">
        <v>1</v>
      </c>
      <c r="P500" s="4" t="str">
        <f>IF(A500="",IF(ISNUMBER(SEARCH("NOT NULL",UPPER(A$3))),"''","null"),SUBSTITUTE(VLOOKUP(A$2,convert!$A$1:$B$4,2,0),"@@@",A500))</f>
        <v>'0401N01'</v>
      </c>
      <c r="Q500" s="4" t="str">
        <f>IF(B500="",IF(ISNUMBER(SEARCH("NOT NULL",UPPER(B$3))),"''","null"),SUBSTITUTE(VLOOKUP(B$2,convert!$A$1:$B$4,2,0),"@@@",B500))</f>
        <v>'コロボーシ'</v>
      </c>
      <c r="R500" s="4" t="str">
        <f>IF(C500="",IF(ISNUMBER(SEARCH("NOT NULL",UPPER(C$3))),"''","null"),SUBSTITUTE(VLOOKUP(C$2,convert!$A$1:$B$4,2,0),"@@@",C500))</f>
        <v>37</v>
      </c>
      <c r="S500" s="4" t="str">
        <f>IF(D500="",IF(ISNUMBER(SEARCH("NOT NULL",UPPER(D$3))),"''","null"),SUBSTITUTE(VLOOKUP(D$2,convert!$A$1:$B$4,2,0),"@@@",D500))</f>
        <v>25</v>
      </c>
      <c r="T500" s="4" t="str">
        <f>IF(E500="",IF(ISNUMBER(SEARCH("NOT NULL",UPPER(E$3))),"''","null"),SUBSTITUTE(VLOOKUP(E$2,convert!$A$1:$B$4,2,0),"@@@",E500))</f>
        <v>41</v>
      </c>
      <c r="U500" s="4" t="str">
        <f>IF(F500="",IF(ISNUMBER(SEARCH("NOT NULL",UPPER(F$3))),"''","null"),SUBSTITUTE(VLOOKUP(F$2,convert!$A$1:$B$4,2,0),"@@@",F500))</f>
        <v>25</v>
      </c>
      <c r="V500" s="4" t="str">
        <f>IF(G500="",IF(ISNUMBER(SEARCH("NOT NULL",UPPER(G$3))),"''","null"),SUBSTITUTE(VLOOKUP(G$2,convert!$A$1:$B$4,2,0),"@@@",G500))</f>
        <v>41</v>
      </c>
      <c r="W500" s="4" t="str">
        <f>IF(H500="",IF(ISNUMBER(SEARCH("NOT NULL",UPPER(H$3))),"''","null"),SUBSTITUTE(VLOOKUP(H$2,convert!$A$1:$B$4,2,0),"@@@",H500))</f>
        <v>25</v>
      </c>
      <c r="X500" s="4" t="str">
        <f>IF(I500="",IF(ISNUMBER(SEARCH("NOT NULL",UPPER(I$3))),"''","null"),SUBSTITUTE(VLOOKUP(I$2,convert!$A$1:$B$4,2,0),"@@@",I500))</f>
        <v>''</v>
      </c>
      <c r="Y500" s="4" t="str">
        <f>IF(J500="",IF(ISNUMBER(SEARCH("NOT NULL",UPPER(J$3))),"''","null"),SUBSTITUTE(VLOOKUP(J$2,convert!$A$1:$B$4,2,0),"@@@",J500))</f>
        <v>'bug'</v>
      </c>
      <c r="Z500" s="4" t="str">
        <f>IF(K500="",IF(ISNUMBER(SEARCH("NOT NULL",UPPER(K$3))),"''","null"),SUBSTITUTE(VLOOKUP(K$2,convert!$A$1:$B$4,2,0),"@@@",K500))</f>
        <v>null</v>
      </c>
      <c r="AA500" s="4" t="str">
        <f>IF(L500="",IF(ISNUMBER(SEARCH("NOT NULL",UPPER(L$3))),"''","null"),SUBSTITUTE(VLOOKUP(L$2,convert!$A$1:$B$4,2,0),"@@@",L500))</f>
        <v>'g4'</v>
      </c>
      <c r="AB500" s="4" t="str">
        <f>IF(M500="",IF(ISNUMBER(SEARCH("NOT NULL",UPPER(M$3))),"''","null"),SUBSTITUTE(VLOOKUP(M$2,convert!$A$1:$B$4,2,0),"@@@",M500))</f>
        <v>null</v>
      </c>
      <c r="AC500" s="4" t="str">
        <f>IF(N500="",IF(ISNUMBER(SEARCH("NOT NULL",UPPER(N$3))),"''","null"),SUBSTITUTE(VLOOKUP(N$2,convert!$A$1:$B$4,2,0),"@@@",N500))</f>
        <v>null</v>
      </c>
      <c r="AD500" s="4" t="str">
        <f>IF(O500="",IF(ISNUMBER(SEARCH("NOT NULL",UPPER(O$3))),"''","null"),SUBSTITUTE(VLOOKUP(O$2,convert!$A$1:$B$4,2,0),"@@@",O500))</f>
        <v>TRUE</v>
      </c>
      <c r="AE500" s="4" t="str">
        <f t="shared" si="7"/>
        <v>    ('0401N01', 'コロボーシ', 37, 25, 41, 25, 41, 25, '', 'bug', null, 'g4', null, null, TRUE),</v>
      </c>
    </row>
    <row r="501" spans="1:31">
      <c r="A501" s="4" t="s">
        <v>1015</v>
      </c>
      <c r="B501" s="4" t="s">
        <v>1016</v>
      </c>
      <c r="C501" s="5">
        <v>77</v>
      </c>
      <c r="D501" s="5">
        <v>85</v>
      </c>
      <c r="E501" s="5">
        <v>51</v>
      </c>
      <c r="F501" s="5">
        <v>55</v>
      </c>
      <c r="G501" s="5">
        <v>51</v>
      </c>
      <c r="H501" s="5">
        <v>65</v>
      </c>
      <c r="I501" s="5"/>
      <c r="J501" s="4" t="s">
        <v>64</v>
      </c>
      <c r="K501" s="5"/>
      <c r="L501" s="4" t="s">
        <v>986</v>
      </c>
      <c r="M501" s="5"/>
      <c r="N501" s="5"/>
      <c r="O501" s="5" t="b">
        <v>1</v>
      </c>
      <c r="P501" s="4" t="str">
        <f>IF(A501="",IF(ISNUMBER(SEARCH("NOT NULL",UPPER(A$3))),"''","null"),SUBSTITUTE(VLOOKUP(A$2,convert!$A$1:$B$4,2,0),"@@@",A501))</f>
        <v>'0402N01'</v>
      </c>
      <c r="Q501" s="4" t="str">
        <f>IF(B501="",IF(ISNUMBER(SEARCH("NOT NULL",UPPER(B$3))),"''","null"),SUBSTITUTE(VLOOKUP(B$2,convert!$A$1:$B$4,2,0),"@@@",B501))</f>
        <v>'コロトック'</v>
      </c>
      <c r="R501" s="4" t="str">
        <f>IF(C501="",IF(ISNUMBER(SEARCH("NOT NULL",UPPER(C$3))),"''","null"),SUBSTITUTE(VLOOKUP(C$2,convert!$A$1:$B$4,2,0),"@@@",C501))</f>
        <v>77</v>
      </c>
      <c r="S501" s="4" t="str">
        <f>IF(D501="",IF(ISNUMBER(SEARCH("NOT NULL",UPPER(D$3))),"''","null"),SUBSTITUTE(VLOOKUP(D$2,convert!$A$1:$B$4,2,0),"@@@",D501))</f>
        <v>85</v>
      </c>
      <c r="T501" s="4" t="str">
        <f>IF(E501="",IF(ISNUMBER(SEARCH("NOT NULL",UPPER(E$3))),"''","null"),SUBSTITUTE(VLOOKUP(E$2,convert!$A$1:$B$4,2,0),"@@@",E501))</f>
        <v>51</v>
      </c>
      <c r="U501" s="4" t="str">
        <f>IF(F501="",IF(ISNUMBER(SEARCH("NOT NULL",UPPER(F$3))),"''","null"),SUBSTITUTE(VLOOKUP(F$2,convert!$A$1:$B$4,2,0),"@@@",F501))</f>
        <v>55</v>
      </c>
      <c r="V501" s="4" t="str">
        <f>IF(G501="",IF(ISNUMBER(SEARCH("NOT NULL",UPPER(G$3))),"''","null"),SUBSTITUTE(VLOOKUP(G$2,convert!$A$1:$B$4,2,0),"@@@",G501))</f>
        <v>51</v>
      </c>
      <c r="W501" s="4" t="str">
        <f>IF(H501="",IF(ISNUMBER(SEARCH("NOT NULL",UPPER(H$3))),"''","null"),SUBSTITUTE(VLOOKUP(H$2,convert!$A$1:$B$4,2,0),"@@@",H501))</f>
        <v>65</v>
      </c>
      <c r="X501" s="4" t="str">
        <f>IF(I501="",IF(ISNUMBER(SEARCH("NOT NULL",UPPER(I$3))),"''","null"),SUBSTITUTE(VLOOKUP(I$2,convert!$A$1:$B$4,2,0),"@@@",I501))</f>
        <v>''</v>
      </c>
      <c r="Y501" s="4" t="str">
        <f>IF(J501="",IF(ISNUMBER(SEARCH("NOT NULL",UPPER(J$3))),"''","null"),SUBSTITUTE(VLOOKUP(J$2,convert!$A$1:$B$4,2,0),"@@@",J501))</f>
        <v>'bug'</v>
      </c>
      <c r="Z501" s="4" t="str">
        <f>IF(K501="",IF(ISNUMBER(SEARCH("NOT NULL",UPPER(K$3))),"''","null"),SUBSTITUTE(VLOOKUP(K$2,convert!$A$1:$B$4,2,0),"@@@",K501))</f>
        <v>null</v>
      </c>
      <c r="AA501" s="4" t="str">
        <f>IF(L501="",IF(ISNUMBER(SEARCH("NOT NULL",UPPER(L$3))),"''","null"),SUBSTITUTE(VLOOKUP(L$2,convert!$A$1:$B$4,2,0),"@@@",L501))</f>
        <v>'g4'</v>
      </c>
      <c r="AB501" s="4" t="str">
        <f>IF(M501="",IF(ISNUMBER(SEARCH("NOT NULL",UPPER(M$3))),"''","null"),SUBSTITUTE(VLOOKUP(M$2,convert!$A$1:$B$4,2,0),"@@@",M501))</f>
        <v>null</v>
      </c>
      <c r="AC501" s="4" t="str">
        <f>IF(N501="",IF(ISNUMBER(SEARCH("NOT NULL",UPPER(N$3))),"''","null"),SUBSTITUTE(VLOOKUP(N$2,convert!$A$1:$B$4,2,0),"@@@",N501))</f>
        <v>null</v>
      </c>
      <c r="AD501" s="4" t="str">
        <f>IF(O501="",IF(ISNUMBER(SEARCH("NOT NULL",UPPER(O$3))),"''","null"),SUBSTITUTE(VLOOKUP(O$2,convert!$A$1:$B$4,2,0),"@@@",O501))</f>
        <v>TRUE</v>
      </c>
      <c r="AE501" s="4" t="str">
        <f t="shared" si="7"/>
        <v>    ('0402N01', 'コロトック', 77, 85, 51, 55, 51, 65, '', 'bug', null, 'g4', null, null, TRUE),</v>
      </c>
    </row>
    <row r="502" spans="1:31">
      <c r="A502" s="4" t="s">
        <v>1017</v>
      </c>
      <c r="B502" s="4" t="s">
        <v>1018</v>
      </c>
      <c r="C502" s="5">
        <v>45</v>
      </c>
      <c r="D502" s="5">
        <v>65</v>
      </c>
      <c r="E502" s="5">
        <v>34</v>
      </c>
      <c r="F502" s="5">
        <v>40</v>
      </c>
      <c r="G502" s="5">
        <v>34</v>
      </c>
      <c r="H502" s="5">
        <v>45</v>
      </c>
      <c r="I502" s="5"/>
      <c r="J502" s="4" t="s">
        <v>106</v>
      </c>
      <c r="K502" s="5"/>
      <c r="L502" s="4" t="s">
        <v>986</v>
      </c>
      <c r="M502" s="5"/>
      <c r="N502" s="5"/>
      <c r="O502" s="5" t="b">
        <v>1</v>
      </c>
      <c r="P502" s="4" t="str">
        <f>IF(A502="",IF(ISNUMBER(SEARCH("NOT NULL",UPPER(A$3))),"''","null"),SUBSTITUTE(VLOOKUP(A$2,convert!$A$1:$B$4,2,0),"@@@",A502))</f>
        <v>'0403N01'</v>
      </c>
      <c r="Q502" s="4" t="str">
        <f>IF(B502="",IF(ISNUMBER(SEARCH("NOT NULL",UPPER(B$3))),"''","null"),SUBSTITUTE(VLOOKUP(B$2,convert!$A$1:$B$4,2,0),"@@@",B502))</f>
        <v>'コリンク'</v>
      </c>
      <c r="R502" s="4" t="str">
        <f>IF(C502="",IF(ISNUMBER(SEARCH("NOT NULL",UPPER(C$3))),"''","null"),SUBSTITUTE(VLOOKUP(C$2,convert!$A$1:$B$4,2,0),"@@@",C502))</f>
        <v>45</v>
      </c>
      <c r="S502" s="4" t="str">
        <f>IF(D502="",IF(ISNUMBER(SEARCH("NOT NULL",UPPER(D$3))),"''","null"),SUBSTITUTE(VLOOKUP(D$2,convert!$A$1:$B$4,2,0),"@@@",D502))</f>
        <v>65</v>
      </c>
      <c r="T502" s="4" t="str">
        <f>IF(E502="",IF(ISNUMBER(SEARCH("NOT NULL",UPPER(E$3))),"''","null"),SUBSTITUTE(VLOOKUP(E$2,convert!$A$1:$B$4,2,0),"@@@",E502))</f>
        <v>34</v>
      </c>
      <c r="U502" s="4" t="str">
        <f>IF(F502="",IF(ISNUMBER(SEARCH("NOT NULL",UPPER(F$3))),"''","null"),SUBSTITUTE(VLOOKUP(F$2,convert!$A$1:$B$4,2,0),"@@@",F502))</f>
        <v>40</v>
      </c>
      <c r="V502" s="4" t="str">
        <f>IF(G502="",IF(ISNUMBER(SEARCH("NOT NULL",UPPER(G$3))),"''","null"),SUBSTITUTE(VLOOKUP(G$2,convert!$A$1:$B$4,2,0),"@@@",G502))</f>
        <v>34</v>
      </c>
      <c r="W502" s="4" t="str">
        <f>IF(H502="",IF(ISNUMBER(SEARCH("NOT NULL",UPPER(H$3))),"''","null"),SUBSTITUTE(VLOOKUP(H$2,convert!$A$1:$B$4,2,0),"@@@",H502))</f>
        <v>45</v>
      </c>
      <c r="X502" s="4" t="str">
        <f>IF(I502="",IF(ISNUMBER(SEARCH("NOT NULL",UPPER(I$3))),"''","null"),SUBSTITUTE(VLOOKUP(I$2,convert!$A$1:$B$4,2,0),"@@@",I502))</f>
        <v>''</v>
      </c>
      <c r="Y502" s="4" t="str">
        <f>IF(J502="",IF(ISNUMBER(SEARCH("NOT NULL",UPPER(J$3))),"''","null"),SUBSTITUTE(VLOOKUP(J$2,convert!$A$1:$B$4,2,0),"@@@",J502))</f>
        <v>'electric'</v>
      </c>
      <c r="Z502" s="4" t="str">
        <f>IF(K502="",IF(ISNUMBER(SEARCH("NOT NULL",UPPER(K$3))),"''","null"),SUBSTITUTE(VLOOKUP(K$2,convert!$A$1:$B$4,2,0),"@@@",K502))</f>
        <v>null</v>
      </c>
      <c r="AA502" s="4" t="str">
        <f>IF(L502="",IF(ISNUMBER(SEARCH("NOT NULL",UPPER(L$3))),"''","null"),SUBSTITUTE(VLOOKUP(L$2,convert!$A$1:$B$4,2,0),"@@@",L502))</f>
        <v>'g4'</v>
      </c>
      <c r="AB502" s="4" t="str">
        <f>IF(M502="",IF(ISNUMBER(SEARCH("NOT NULL",UPPER(M$3))),"''","null"),SUBSTITUTE(VLOOKUP(M$2,convert!$A$1:$B$4,2,0),"@@@",M502))</f>
        <v>null</v>
      </c>
      <c r="AC502" s="4" t="str">
        <f>IF(N502="",IF(ISNUMBER(SEARCH("NOT NULL",UPPER(N$3))),"''","null"),SUBSTITUTE(VLOOKUP(N$2,convert!$A$1:$B$4,2,0),"@@@",N502))</f>
        <v>null</v>
      </c>
      <c r="AD502" s="4" t="str">
        <f>IF(O502="",IF(ISNUMBER(SEARCH("NOT NULL",UPPER(O$3))),"''","null"),SUBSTITUTE(VLOOKUP(O$2,convert!$A$1:$B$4,2,0),"@@@",O502))</f>
        <v>TRUE</v>
      </c>
      <c r="AE502" s="4" t="str">
        <f t="shared" si="7"/>
        <v>    ('0403N01', 'コリンク', 45, 65, 34, 40, 34, 45, '', 'electric', null, 'g4', null, null, TRUE),</v>
      </c>
    </row>
    <row r="503" spans="1:31">
      <c r="A503" s="4" t="s">
        <v>1019</v>
      </c>
      <c r="B503" s="4" t="s">
        <v>1020</v>
      </c>
      <c r="C503" s="5">
        <v>60</v>
      </c>
      <c r="D503" s="5">
        <v>85</v>
      </c>
      <c r="E503" s="5">
        <v>49</v>
      </c>
      <c r="F503" s="5">
        <v>60</v>
      </c>
      <c r="G503" s="5">
        <v>49</v>
      </c>
      <c r="H503" s="5">
        <v>60</v>
      </c>
      <c r="I503" s="5"/>
      <c r="J503" s="4" t="s">
        <v>106</v>
      </c>
      <c r="K503" s="5"/>
      <c r="L503" s="4" t="s">
        <v>986</v>
      </c>
      <c r="M503" s="5"/>
      <c r="N503" s="5"/>
      <c r="O503" s="5" t="b">
        <v>1</v>
      </c>
      <c r="P503" s="4" t="str">
        <f>IF(A503="",IF(ISNUMBER(SEARCH("NOT NULL",UPPER(A$3))),"''","null"),SUBSTITUTE(VLOOKUP(A$2,convert!$A$1:$B$4,2,0),"@@@",A503))</f>
        <v>'0404N01'</v>
      </c>
      <c r="Q503" s="4" t="str">
        <f>IF(B503="",IF(ISNUMBER(SEARCH("NOT NULL",UPPER(B$3))),"''","null"),SUBSTITUTE(VLOOKUP(B$2,convert!$A$1:$B$4,2,0),"@@@",B503))</f>
        <v>'ルクシオ'</v>
      </c>
      <c r="R503" s="4" t="str">
        <f>IF(C503="",IF(ISNUMBER(SEARCH("NOT NULL",UPPER(C$3))),"''","null"),SUBSTITUTE(VLOOKUP(C$2,convert!$A$1:$B$4,2,0),"@@@",C503))</f>
        <v>60</v>
      </c>
      <c r="S503" s="4" t="str">
        <f>IF(D503="",IF(ISNUMBER(SEARCH("NOT NULL",UPPER(D$3))),"''","null"),SUBSTITUTE(VLOOKUP(D$2,convert!$A$1:$B$4,2,0),"@@@",D503))</f>
        <v>85</v>
      </c>
      <c r="T503" s="4" t="str">
        <f>IF(E503="",IF(ISNUMBER(SEARCH("NOT NULL",UPPER(E$3))),"''","null"),SUBSTITUTE(VLOOKUP(E$2,convert!$A$1:$B$4,2,0),"@@@",E503))</f>
        <v>49</v>
      </c>
      <c r="U503" s="4" t="str">
        <f>IF(F503="",IF(ISNUMBER(SEARCH("NOT NULL",UPPER(F$3))),"''","null"),SUBSTITUTE(VLOOKUP(F$2,convert!$A$1:$B$4,2,0),"@@@",F503))</f>
        <v>60</v>
      </c>
      <c r="V503" s="4" t="str">
        <f>IF(G503="",IF(ISNUMBER(SEARCH("NOT NULL",UPPER(G$3))),"''","null"),SUBSTITUTE(VLOOKUP(G$2,convert!$A$1:$B$4,2,0),"@@@",G503))</f>
        <v>49</v>
      </c>
      <c r="W503" s="4" t="str">
        <f>IF(H503="",IF(ISNUMBER(SEARCH("NOT NULL",UPPER(H$3))),"''","null"),SUBSTITUTE(VLOOKUP(H$2,convert!$A$1:$B$4,2,0),"@@@",H503))</f>
        <v>60</v>
      </c>
      <c r="X503" s="4" t="str">
        <f>IF(I503="",IF(ISNUMBER(SEARCH("NOT NULL",UPPER(I$3))),"''","null"),SUBSTITUTE(VLOOKUP(I$2,convert!$A$1:$B$4,2,0),"@@@",I503))</f>
        <v>''</v>
      </c>
      <c r="Y503" s="4" t="str">
        <f>IF(J503="",IF(ISNUMBER(SEARCH("NOT NULL",UPPER(J$3))),"''","null"),SUBSTITUTE(VLOOKUP(J$2,convert!$A$1:$B$4,2,0),"@@@",J503))</f>
        <v>'electric'</v>
      </c>
      <c r="Z503" s="4" t="str">
        <f>IF(K503="",IF(ISNUMBER(SEARCH("NOT NULL",UPPER(K$3))),"''","null"),SUBSTITUTE(VLOOKUP(K$2,convert!$A$1:$B$4,2,0),"@@@",K503))</f>
        <v>null</v>
      </c>
      <c r="AA503" s="4" t="str">
        <f>IF(L503="",IF(ISNUMBER(SEARCH("NOT NULL",UPPER(L$3))),"''","null"),SUBSTITUTE(VLOOKUP(L$2,convert!$A$1:$B$4,2,0),"@@@",L503))</f>
        <v>'g4'</v>
      </c>
      <c r="AB503" s="4" t="str">
        <f>IF(M503="",IF(ISNUMBER(SEARCH("NOT NULL",UPPER(M$3))),"''","null"),SUBSTITUTE(VLOOKUP(M$2,convert!$A$1:$B$4,2,0),"@@@",M503))</f>
        <v>null</v>
      </c>
      <c r="AC503" s="4" t="str">
        <f>IF(N503="",IF(ISNUMBER(SEARCH("NOT NULL",UPPER(N$3))),"''","null"),SUBSTITUTE(VLOOKUP(N$2,convert!$A$1:$B$4,2,0),"@@@",N503))</f>
        <v>null</v>
      </c>
      <c r="AD503" s="4" t="str">
        <f>IF(O503="",IF(ISNUMBER(SEARCH("NOT NULL",UPPER(O$3))),"''","null"),SUBSTITUTE(VLOOKUP(O$2,convert!$A$1:$B$4,2,0),"@@@",O503))</f>
        <v>TRUE</v>
      </c>
      <c r="AE503" s="4" t="str">
        <f t="shared" si="7"/>
        <v>    ('0404N01', 'ルクシオ', 60, 85, 49, 60, 49, 60, '', 'electric', null, 'g4', null, null, TRUE),</v>
      </c>
    </row>
    <row r="504" spans="1:31">
      <c r="A504" s="4" t="s">
        <v>1021</v>
      </c>
      <c r="B504" s="4" t="s">
        <v>1022</v>
      </c>
      <c r="C504" s="5">
        <v>80</v>
      </c>
      <c r="D504" s="5">
        <v>120</v>
      </c>
      <c r="E504" s="5">
        <v>79</v>
      </c>
      <c r="F504" s="5">
        <v>95</v>
      </c>
      <c r="G504" s="5">
        <v>79</v>
      </c>
      <c r="H504" s="5">
        <v>70</v>
      </c>
      <c r="I504" s="5"/>
      <c r="J504" s="4" t="s">
        <v>106</v>
      </c>
      <c r="K504" s="5"/>
      <c r="L504" s="4" t="s">
        <v>986</v>
      </c>
      <c r="M504" s="5"/>
      <c r="N504" s="5"/>
      <c r="O504" s="5" t="b">
        <v>1</v>
      </c>
      <c r="P504" s="4" t="str">
        <f>IF(A504="",IF(ISNUMBER(SEARCH("NOT NULL",UPPER(A$3))),"''","null"),SUBSTITUTE(VLOOKUP(A$2,convert!$A$1:$B$4,2,0),"@@@",A504))</f>
        <v>'0405N01'</v>
      </c>
      <c r="Q504" s="4" t="str">
        <f>IF(B504="",IF(ISNUMBER(SEARCH("NOT NULL",UPPER(B$3))),"''","null"),SUBSTITUTE(VLOOKUP(B$2,convert!$A$1:$B$4,2,0),"@@@",B504))</f>
        <v>'レントラー'</v>
      </c>
      <c r="R504" s="4" t="str">
        <f>IF(C504="",IF(ISNUMBER(SEARCH("NOT NULL",UPPER(C$3))),"''","null"),SUBSTITUTE(VLOOKUP(C$2,convert!$A$1:$B$4,2,0),"@@@",C504))</f>
        <v>80</v>
      </c>
      <c r="S504" s="4" t="str">
        <f>IF(D504="",IF(ISNUMBER(SEARCH("NOT NULL",UPPER(D$3))),"''","null"),SUBSTITUTE(VLOOKUP(D$2,convert!$A$1:$B$4,2,0),"@@@",D504))</f>
        <v>120</v>
      </c>
      <c r="T504" s="4" t="str">
        <f>IF(E504="",IF(ISNUMBER(SEARCH("NOT NULL",UPPER(E$3))),"''","null"),SUBSTITUTE(VLOOKUP(E$2,convert!$A$1:$B$4,2,0),"@@@",E504))</f>
        <v>79</v>
      </c>
      <c r="U504" s="4" t="str">
        <f>IF(F504="",IF(ISNUMBER(SEARCH("NOT NULL",UPPER(F$3))),"''","null"),SUBSTITUTE(VLOOKUP(F$2,convert!$A$1:$B$4,2,0),"@@@",F504))</f>
        <v>95</v>
      </c>
      <c r="V504" s="4" t="str">
        <f>IF(G504="",IF(ISNUMBER(SEARCH("NOT NULL",UPPER(G$3))),"''","null"),SUBSTITUTE(VLOOKUP(G$2,convert!$A$1:$B$4,2,0),"@@@",G504))</f>
        <v>79</v>
      </c>
      <c r="W504" s="4" t="str">
        <f>IF(H504="",IF(ISNUMBER(SEARCH("NOT NULL",UPPER(H$3))),"''","null"),SUBSTITUTE(VLOOKUP(H$2,convert!$A$1:$B$4,2,0),"@@@",H504))</f>
        <v>70</v>
      </c>
      <c r="X504" s="4" t="str">
        <f>IF(I504="",IF(ISNUMBER(SEARCH("NOT NULL",UPPER(I$3))),"''","null"),SUBSTITUTE(VLOOKUP(I$2,convert!$A$1:$B$4,2,0),"@@@",I504))</f>
        <v>''</v>
      </c>
      <c r="Y504" s="4" t="str">
        <f>IF(J504="",IF(ISNUMBER(SEARCH("NOT NULL",UPPER(J$3))),"''","null"),SUBSTITUTE(VLOOKUP(J$2,convert!$A$1:$B$4,2,0),"@@@",J504))</f>
        <v>'electric'</v>
      </c>
      <c r="Z504" s="4" t="str">
        <f>IF(K504="",IF(ISNUMBER(SEARCH("NOT NULL",UPPER(K$3))),"''","null"),SUBSTITUTE(VLOOKUP(K$2,convert!$A$1:$B$4,2,0),"@@@",K504))</f>
        <v>null</v>
      </c>
      <c r="AA504" s="4" t="str">
        <f>IF(L504="",IF(ISNUMBER(SEARCH("NOT NULL",UPPER(L$3))),"''","null"),SUBSTITUTE(VLOOKUP(L$2,convert!$A$1:$B$4,2,0),"@@@",L504))</f>
        <v>'g4'</v>
      </c>
      <c r="AB504" s="4" t="str">
        <f>IF(M504="",IF(ISNUMBER(SEARCH("NOT NULL",UPPER(M$3))),"''","null"),SUBSTITUTE(VLOOKUP(M$2,convert!$A$1:$B$4,2,0),"@@@",M504))</f>
        <v>null</v>
      </c>
      <c r="AC504" s="4" t="str">
        <f>IF(N504="",IF(ISNUMBER(SEARCH("NOT NULL",UPPER(N$3))),"''","null"),SUBSTITUTE(VLOOKUP(N$2,convert!$A$1:$B$4,2,0),"@@@",N504))</f>
        <v>null</v>
      </c>
      <c r="AD504" s="4" t="str">
        <f>IF(O504="",IF(ISNUMBER(SEARCH("NOT NULL",UPPER(O$3))),"''","null"),SUBSTITUTE(VLOOKUP(O$2,convert!$A$1:$B$4,2,0),"@@@",O504))</f>
        <v>TRUE</v>
      </c>
      <c r="AE504" s="4" t="str">
        <f t="shared" si="7"/>
        <v>    ('0405N01', 'レントラー', 80, 120, 79, 95, 79, 70, '', 'electric', null, 'g4', null, null, TRUE),</v>
      </c>
    </row>
    <row r="505" spans="1:31">
      <c r="A505" s="4" t="s">
        <v>1023</v>
      </c>
      <c r="B505" s="4" t="s">
        <v>1024</v>
      </c>
      <c r="C505" s="5">
        <v>40</v>
      </c>
      <c r="D505" s="5">
        <v>30</v>
      </c>
      <c r="E505" s="5">
        <v>35</v>
      </c>
      <c r="F505" s="5">
        <v>50</v>
      </c>
      <c r="G505" s="5">
        <v>70</v>
      </c>
      <c r="H505" s="5">
        <v>55</v>
      </c>
      <c r="I505" s="5"/>
      <c r="J505" s="4" t="s">
        <v>30</v>
      </c>
      <c r="K505" s="4" t="s">
        <v>31</v>
      </c>
      <c r="L505" s="4" t="s">
        <v>986</v>
      </c>
      <c r="M505" s="5"/>
      <c r="N505" s="5"/>
      <c r="O505" s="5" t="b">
        <v>1</v>
      </c>
      <c r="P505" s="4" t="str">
        <f>IF(A505="",IF(ISNUMBER(SEARCH("NOT NULL",UPPER(A$3))),"''","null"),SUBSTITUTE(VLOOKUP(A$2,convert!$A$1:$B$4,2,0),"@@@",A505))</f>
        <v>'0406N01'</v>
      </c>
      <c r="Q505" s="4" t="str">
        <f>IF(B505="",IF(ISNUMBER(SEARCH("NOT NULL",UPPER(B$3))),"''","null"),SUBSTITUTE(VLOOKUP(B$2,convert!$A$1:$B$4,2,0),"@@@",B505))</f>
        <v>'スボミー'</v>
      </c>
      <c r="R505" s="4" t="str">
        <f>IF(C505="",IF(ISNUMBER(SEARCH("NOT NULL",UPPER(C$3))),"''","null"),SUBSTITUTE(VLOOKUP(C$2,convert!$A$1:$B$4,2,0),"@@@",C505))</f>
        <v>40</v>
      </c>
      <c r="S505" s="4" t="str">
        <f>IF(D505="",IF(ISNUMBER(SEARCH("NOT NULL",UPPER(D$3))),"''","null"),SUBSTITUTE(VLOOKUP(D$2,convert!$A$1:$B$4,2,0),"@@@",D505))</f>
        <v>30</v>
      </c>
      <c r="T505" s="4" t="str">
        <f>IF(E505="",IF(ISNUMBER(SEARCH("NOT NULL",UPPER(E$3))),"''","null"),SUBSTITUTE(VLOOKUP(E$2,convert!$A$1:$B$4,2,0),"@@@",E505))</f>
        <v>35</v>
      </c>
      <c r="U505" s="4" t="str">
        <f>IF(F505="",IF(ISNUMBER(SEARCH("NOT NULL",UPPER(F$3))),"''","null"),SUBSTITUTE(VLOOKUP(F$2,convert!$A$1:$B$4,2,0),"@@@",F505))</f>
        <v>50</v>
      </c>
      <c r="V505" s="4" t="str">
        <f>IF(G505="",IF(ISNUMBER(SEARCH("NOT NULL",UPPER(G$3))),"''","null"),SUBSTITUTE(VLOOKUP(G$2,convert!$A$1:$B$4,2,0),"@@@",G505))</f>
        <v>70</v>
      </c>
      <c r="W505" s="4" t="str">
        <f>IF(H505="",IF(ISNUMBER(SEARCH("NOT NULL",UPPER(H$3))),"''","null"),SUBSTITUTE(VLOOKUP(H$2,convert!$A$1:$B$4,2,0),"@@@",H505))</f>
        <v>55</v>
      </c>
      <c r="X505" s="4" t="str">
        <f>IF(I505="",IF(ISNUMBER(SEARCH("NOT NULL",UPPER(I$3))),"''","null"),SUBSTITUTE(VLOOKUP(I$2,convert!$A$1:$B$4,2,0),"@@@",I505))</f>
        <v>''</v>
      </c>
      <c r="Y505" s="4" t="str">
        <f>IF(J505="",IF(ISNUMBER(SEARCH("NOT NULL",UPPER(J$3))),"''","null"),SUBSTITUTE(VLOOKUP(J$2,convert!$A$1:$B$4,2,0),"@@@",J505))</f>
        <v>'grass'</v>
      </c>
      <c r="Z505" s="4" t="str">
        <f>IF(K505="",IF(ISNUMBER(SEARCH("NOT NULL",UPPER(K$3))),"''","null"),SUBSTITUTE(VLOOKUP(K$2,convert!$A$1:$B$4,2,0),"@@@",K505))</f>
        <v>'poison'</v>
      </c>
      <c r="AA505" s="4" t="str">
        <f>IF(L505="",IF(ISNUMBER(SEARCH("NOT NULL",UPPER(L$3))),"''","null"),SUBSTITUTE(VLOOKUP(L$2,convert!$A$1:$B$4,2,0),"@@@",L505))</f>
        <v>'g4'</v>
      </c>
      <c r="AB505" s="4" t="str">
        <f>IF(M505="",IF(ISNUMBER(SEARCH("NOT NULL",UPPER(M$3))),"''","null"),SUBSTITUTE(VLOOKUP(M$2,convert!$A$1:$B$4,2,0),"@@@",M505))</f>
        <v>null</v>
      </c>
      <c r="AC505" s="4" t="str">
        <f>IF(N505="",IF(ISNUMBER(SEARCH("NOT NULL",UPPER(N$3))),"''","null"),SUBSTITUTE(VLOOKUP(N$2,convert!$A$1:$B$4,2,0),"@@@",N505))</f>
        <v>null</v>
      </c>
      <c r="AD505" s="4" t="str">
        <f>IF(O505="",IF(ISNUMBER(SEARCH("NOT NULL",UPPER(O$3))),"''","null"),SUBSTITUTE(VLOOKUP(O$2,convert!$A$1:$B$4,2,0),"@@@",O505))</f>
        <v>TRUE</v>
      </c>
      <c r="AE505" s="4" t="str">
        <f t="shared" si="7"/>
        <v>    ('0406N01', 'スボミー', 40, 30, 35, 50, 70, 55, '', 'grass', 'poison', 'g4', null, null, TRUE),</v>
      </c>
    </row>
    <row r="506" spans="1:31">
      <c r="A506" s="4" t="s">
        <v>1025</v>
      </c>
      <c r="B506" s="4" t="s">
        <v>1026</v>
      </c>
      <c r="C506" s="5">
        <v>60</v>
      </c>
      <c r="D506" s="5">
        <v>70</v>
      </c>
      <c r="E506" s="5">
        <v>65</v>
      </c>
      <c r="F506" s="5">
        <v>125</v>
      </c>
      <c r="G506" s="5">
        <v>105</v>
      </c>
      <c r="H506" s="5">
        <v>90</v>
      </c>
      <c r="I506" s="5"/>
      <c r="J506" s="4" t="s">
        <v>30</v>
      </c>
      <c r="K506" s="4" t="s">
        <v>31</v>
      </c>
      <c r="L506" s="4" t="s">
        <v>986</v>
      </c>
      <c r="M506" s="5"/>
      <c r="N506" s="5"/>
      <c r="O506" s="5" t="b">
        <v>1</v>
      </c>
      <c r="P506" s="4" t="str">
        <f>IF(A506="",IF(ISNUMBER(SEARCH("NOT NULL",UPPER(A$3))),"''","null"),SUBSTITUTE(VLOOKUP(A$2,convert!$A$1:$B$4,2,0),"@@@",A506))</f>
        <v>'0407N01'</v>
      </c>
      <c r="Q506" s="4" t="str">
        <f>IF(B506="",IF(ISNUMBER(SEARCH("NOT NULL",UPPER(B$3))),"''","null"),SUBSTITUTE(VLOOKUP(B$2,convert!$A$1:$B$4,2,0),"@@@",B506))</f>
        <v>'ロズレイド'</v>
      </c>
      <c r="R506" s="4" t="str">
        <f>IF(C506="",IF(ISNUMBER(SEARCH("NOT NULL",UPPER(C$3))),"''","null"),SUBSTITUTE(VLOOKUP(C$2,convert!$A$1:$B$4,2,0),"@@@",C506))</f>
        <v>60</v>
      </c>
      <c r="S506" s="4" t="str">
        <f>IF(D506="",IF(ISNUMBER(SEARCH("NOT NULL",UPPER(D$3))),"''","null"),SUBSTITUTE(VLOOKUP(D$2,convert!$A$1:$B$4,2,0),"@@@",D506))</f>
        <v>70</v>
      </c>
      <c r="T506" s="4" t="str">
        <f>IF(E506="",IF(ISNUMBER(SEARCH("NOT NULL",UPPER(E$3))),"''","null"),SUBSTITUTE(VLOOKUP(E$2,convert!$A$1:$B$4,2,0),"@@@",E506))</f>
        <v>65</v>
      </c>
      <c r="U506" s="4" t="str">
        <f>IF(F506="",IF(ISNUMBER(SEARCH("NOT NULL",UPPER(F$3))),"''","null"),SUBSTITUTE(VLOOKUP(F$2,convert!$A$1:$B$4,2,0),"@@@",F506))</f>
        <v>125</v>
      </c>
      <c r="V506" s="4" t="str">
        <f>IF(G506="",IF(ISNUMBER(SEARCH("NOT NULL",UPPER(G$3))),"''","null"),SUBSTITUTE(VLOOKUP(G$2,convert!$A$1:$B$4,2,0),"@@@",G506))</f>
        <v>105</v>
      </c>
      <c r="W506" s="4" t="str">
        <f>IF(H506="",IF(ISNUMBER(SEARCH("NOT NULL",UPPER(H$3))),"''","null"),SUBSTITUTE(VLOOKUP(H$2,convert!$A$1:$B$4,2,0),"@@@",H506))</f>
        <v>90</v>
      </c>
      <c r="X506" s="4" t="str">
        <f>IF(I506="",IF(ISNUMBER(SEARCH("NOT NULL",UPPER(I$3))),"''","null"),SUBSTITUTE(VLOOKUP(I$2,convert!$A$1:$B$4,2,0),"@@@",I506))</f>
        <v>''</v>
      </c>
      <c r="Y506" s="4" t="str">
        <f>IF(J506="",IF(ISNUMBER(SEARCH("NOT NULL",UPPER(J$3))),"''","null"),SUBSTITUTE(VLOOKUP(J$2,convert!$A$1:$B$4,2,0),"@@@",J506))</f>
        <v>'grass'</v>
      </c>
      <c r="Z506" s="4" t="str">
        <f>IF(K506="",IF(ISNUMBER(SEARCH("NOT NULL",UPPER(K$3))),"''","null"),SUBSTITUTE(VLOOKUP(K$2,convert!$A$1:$B$4,2,0),"@@@",K506))</f>
        <v>'poison'</v>
      </c>
      <c r="AA506" s="4" t="str">
        <f>IF(L506="",IF(ISNUMBER(SEARCH("NOT NULL",UPPER(L$3))),"''","null"),SUBSTITUTE(VLOOKUP(L$2,convert!$A$1:$B$4,2,0),"@@@",L506))</f>
        <v>'g4'</v>
      </c>
      <c r="AB506" s="4" t="str">
        <f>IF(M506="",IF(ISNUMBER(SEARCH("NOT NULL",UPPER(M$3))),"''","null"),SUBSTITUTE(VLOOKUP(M$2,convert!$A$1:$B$4,2,0),"@@@",M506))</f>
        <v>null</v>
      </c>
      <c r="AC506" s="4" t="str">
        <f>IF(N506="",IF(ISNUMBER(SEARCH("NOT NULL",UPPER(N$3))),"''","null"),SUBSTITUTE(VLOOKUP(N$2,convert!$A$1:$B$4,2,0),"@@@",N506))</f>
        <v>null</v>
      </c>
      <c r="AD506" s="4" t="str">
        <f>IF(O506="",IF(ISNUMBER(SEARCH("NOT NULL",UPPER(O$3))),"''","null"),SUBSTITUTE(VLOOKUP(O$2,convert!$A$1:$B$4,2,0),"@@@",O506))</f>
        <v>TRUE</v>
      </c>
      <c r="AE506" s="4" t="str">
        <f t="shared" si="7"/>
        <v>    ('0407N01', 'ロズレイド', 60, 70, 65, 125, 105, 90, '', 'grass', 'poison', 'g4', null, null, TRUE),</v>
      </c>
    </row>
    <row r="507" spans="1:31">
      <c r="A507" s="4" t="s">
        <v>1027</v>
      </c>
      <c r="B507" s="4" t="s">
        <v>1028</v>
      </c>
      <c r="C507" s="5">
        <v>67</v>
      </c>
      <c r="D507" s="5">
        <v>125</v>
      </c>
      <c r="E507" s="5">
        <v>40</v>
      </c>
      <c r="F507" s="5">
        <v>30</v>
      </c>
      <c r="G507" s="5">
        <v>30</v>
      </c>
      <c r="H507" s="5">
        <v>58</v>
      </c>
      <c r="I507" s="5"/>
      <c r="J507" s="4" t="s">
        <v>196</v>
      </c>
      <c r="K507" s="5"/>
      <c r="L507" s="4" t="s">
        <v>986</v>
      </c>
      <c r="M507" s="5"/>
      <c r="N507" s="5"/>
      <c r="O507" s="5" t="b">
        <v>1</v>
      </c>
      <c r="P507" s="4" t="str">
        <f>IF(A507="",IF(ISNUMBER(SEARCH("NOT NULL",UPPER(A$3))),"''","null"),SUBSTITUTE(VLOOKUP(A$2,convert!$A$1:$B$4,2,0),"@@@",A507))</f>
        <v>'0408N01'</v>
      </c>
      <c r="Q507" s="4" t="str">
        <f>IF(B507="",IF(ISNUMBER(SEARCH("NOT NULL",UPPER(B$3))),"''","null"),SUBSTITUTE(VLOOKUP(B$2,convert!$A$1:$B$4,2,0),"@@@",B507))</f>
        <v>'ズガイドス'</v>
      </c>
      <c r="R507" s="4" t="str">
        <f>IF(C507="",IF(ISNUMBER(SEARCH("NOT NULL",UPPER(C$3))),"''","null"),SUBSTITUTE(VLOOKUP(C$2,convert!$A$1:$B$4,2,0),"@@@",C507))</f>
        <v>67</v>
      </c>
      <c r="S507" s="4" t="str">
        <f>IF(D507="",IF(ISNUMBER(SEARCH("NOT NULL",UPPER(D$3))),"''","null"),SUBSTITUTE(VLOOKUP(D$2,convert!$A$1:$B$4,2,0),"@@@",D507))</f>
        <v>125</v>
      </c>
      <c r="T507" s="4" t="str">
        <f>IF(E507="",IF(ISNUMBER(SEARCH("NOT NULL",UPPER(E$3))),"''","null"),SUBSTITUTE(VLOOKUP(E$2,convert!$A$1:$B$4,2,0),"@@@",E507))</f>
        <v>40</v>
      </c>
      <c r="U507" s="4" t="str">
        <f>IF(F507="",IF(ISNUMBER(SEARCH("NOT NULL",UPPER(F$3))),"''","null"),SUBSTITUTE(VLOOKUP(F$2,convert!$A$1:$B$4,2,0),"@@@",F507))</f>
        <v>30</v>
      </c>
      <c r="V507" s="4" t="str">
        <f>IF(G507="",IF(ISNUMBER(SEARCH("NOT NULL",UPPER(G$3))),"''","null"),SUBSTITUTE(VLOOKUP(G$2,convert!$A$1:$B$4,2,0),"@@@",G507))</f>
        <v>30</v>
      </c>
      <c r="W507" s="4" t="str">
        <f>IF(H507="",IF(ISNUMBER(SEARCH("NOT NULL",UPPER(H$3))),"''","null"),SUBSTITUTE(VLOOKUP(H$2,convert!$A$1:$B$4,2,0),"@@@",H507))</f>
        <v>58</v>
      </c>
      <c r="X507" s="4" t="str">
        <f>IF(I507="",IF(ISNUMBER(SEARCH("NOT NULL",UPPER(I$3))),"''","null"),SUBSTITUTE(VLOOKUP(I$2,convert!$A$1:$B$4,2,0),"@@@",I507))</f>
        <v>''</v>
      </c>
      <c r="Y507" s="4" t="str">
        <f>IF(J507="",IF(ISNUMBER(SEARCH("NOT NULL",UPPER(J$3))),"''","null"),SUBSTITUTE(VLOOKUP(J$2,convert!$A$1:$B$4,2,0),"@@@",J507))</f>
        <v>'rock'</v>
      </c>
      <c r="Z507" s="4" t="str">
        <f>IF(K507="",IF(ISNUMBER(SEARCH("NOT NULL",UPPER(K$3))),"''","null"),SUBSTITUTE(VLOOKUP(K$2,convert!$A$1:$B$4,2,0),"@@@",K507))</f>
        <v>null</v>
      </c>
      <c r="AA507" s="4" t="str">
        <f>IF(L507="",IF(ISNUMBER(SEARCH("NOT NULL",UPPER(L$3))),"''","null"),SUBSTITUTE(VLOOKUP(L$2,convert!$A$1:$B$4,2,0),"@@@",L507))</f>
        <v>'g4'</v>
      </c>
      <c r="AB507" s="4" t="str">
        <f>IF(M507="",IF(ISNUMBER(SEARCH("NOT NULL",UPPER(M$3))),"''","null"),SUBSTITUTE(VLOOKUP(M$2,convert!$A$1:$B$4,2,0),"@@@",M507))</f>
        <v>null</v>
      </c>
      <c r="AC507" s="4" t="str">
        <f>IF(N507="",IF(ISNUMBER(SEARCH("NOT NULL",UPPER(N$3))),"''","null"),SUBSTITUTE(VLOOKUP(N$2,convert!$A$1:$B$4,2,0),"@@@",N507))</f>
        <v>null</v>
      </c>
      <c r="AD507" s="4" t="str">
        <f>IF(O507="",IF(ISNUMBER(SEARCH("NOT NULL",UPPER(O$3))),"''","null"),SUBSTITUTE(VLOOKUP(O$2,convert!$A$1:$B$4,2,0),"@@@",O507))</f>
        <v>TRUE</v>
      </c>
      <c r="AE507" s="4" t="str">
        <f t="shared" si="7"/>
        <v>    ('0408N01', 'ズガイドス', 67, 125, 40, 30, 30, 58, '', 'rock', null, 'g4', null, null, TRUE),</v>
      </c>
    </row>
    <row r="508" spans="1:31">
      <c r="A508" s="4" t="s">
        <v>1029</v>
      </c>
      <c r="B508" s="4" t="s">
        <v>1030</v>
      </c>
      <c r="C508" s="5">
        <v>97</v>
      </c>
      <c r="D508" s="5">
        <v>165</v>
      </c>
      <c r="E508" s="5">
        <v>60</v>
      </c>
      <c r="F508" s="5">
        <v>65</v>
      </c>
      <c r="G508" s="5">
        <v>50</v>
      </c>
      <c r="H508" s="5">
        <v>58</v>
      </c>
      <c r="I508" s="5"/>
      <c r="J508" s="4" t="s">
        <v>196</v>
      </c>
      <c r="K508" s="5"/>
      <c r="L508" s="4" t="s">
        <v>986</v>
      </c>
      <c r="M508" s="5"/>
      <c r="N508" s="5"/>
      <c r="O508" s="5" t="b">
        <v>1</v>
      </c>
      <c r="P508" s="4" t="str">
        <f>IF(A508="",IF(ISNUMBER(SEARCH("NOT NULL",UPPER(A$3))),"''","null"),SUBSTITUTE(VLOOKUP(A$2,convert!$A$1:$B$4,2,0),"@@@",A508))</f>
        <v>'0409N01'</v>
      </c>
      <c r="Q508" s="4" t="str">
        <f>IF(B508="",IF(ISNUMBER(SEARCH("NOT NULL",UPPER(B$3))),"''","null"),SUBSTITUTE(VLOOKUP(B$2,convert!$A$1:$B$4,2,0),"@@@",B508))</f>
        <v>'ラムパルド'</v>
      </c>
      <c r="R508" s="4" t="str">
        <f>IF(C508="",IF(ISNUMBER(SEARCH("NOT NULL",UPPER(C$3))),"''","null"),SUBSTITUTE(VLOOKUP(C$2,convert!$A$1:$B$4,2,0),"@@@",C508))</f>
        <v>97</v>
      </c>
      <c r="S508" s="4" t="str">
        <f>IF(D508="",IF(ISNUMBER(SEARCH("NOT NULL",UPPER(D$3))),"''","null"),SUBSTITUTE(VLOOKUP(D$2,convert!$A$1:$B$4,2,0),"@@@",D508))</f>
        <v>165</v>
      </c>
      <c r="T508" s="4" t="str">
        <f>IF(E508="",IF(ISNUMBER(SEARCH("NOT NULL",UPPER(E$3))),"''","null"),SUBSTITUTE(VLOOKUP(E$2,convert!$A$1:$B$4,2,0),"@@@",E508))</f>
        <v>60</v>
      </c>
      <c r="U508" s="4" t="str">
        <f>IF(F508="",IF(ISNUMBER(SEARCH("NOT NULL",UPPER(F$3))),"''","null"),SUBSTITUTE(VLOOKUP(F$2,convert!$A$1:$B$4,2,0),"@@@",F508))</f>
        <v>65</v>
      </c>
      <c r="V508" s="4" t="str">
        <f>IF(G508="",IF(ISNUMBER(SEARCH("NOT NULL",UPPER(G$3))),"''","null"),SUBSTITUTE(VLOOKUP(G$2,convert!$A$1:$B$4,2,0),"@@@",G508))</f>
        <v>50</v>
      </c>
      <c r="W508" s="4" t="str">
        <f>IF(H508="",IF(ISNUMBER(SEARCH("NOT NULL",UPPER(H$3))),"''","null"),SUBSTITUTE(VLOOKUP(H$2,convert!$A$1:$B$4,2,0),"@@@",H508))</f>
        <v>58</v>
      </c>
      <c r="X508" s="4" t="str">
        <f>IF(I508="",IF(ISNUMBER(SEARCH("NOT NULL",UPPER(I$3))),"''","null"),SUBSTITUTE(VLOOKUP(I$2,convert!$A$1:$B$4,2,0),"@@@",I508))</f>
        <v>''</v>
      </c>
      <c r="Y508" s="4" t="str">
        <f>IF(J508="",IF(ISNUMBER(SEARCH("NOT NULL",UPPER(J$3))),"''","null"),SUBSTITUTE(VLOOKUP(J$2,convert!$A$1:$B$4,2,0),"@@@",J508))</f>
        <v>'rock'</v>
      </c>
      <c r="Z508" s="4" t="str">
        <f>IF(K508="",IF(ISNUMBER(SEARCH("NOT NULL",UPPER(K$3))),"''","null"),SUBSTITUTE(VLOOKUP(K$2,convert!$A$1:$B$4,2,0),"@@@",K508))</f>
        <v>null</v>
      </c>
      <c r="AA508" s="4" t="str">
        <f>IF(L508="",IF(ISNUMBER(SEARCH("NOT NULL",UPPER(L$3))),"''","null"),SUBSTITUTE(VLOOKUP(L$2,convert!$A$1:$B$4,2,0),"@@@",L508))</f>
        <v>'g4'</v>
      </c>
      <c r="AB508" s="4" t="str">
        <f>IF(M508="",IF(ISNUMBER(SEARCH("NOT NULL",UPPER(M$3))),"''","null"),SUBSTITUTE(VLOOKUP(M$2,convert!$A$1:$B$4,2,0),"@@@",M508))</f>
        <v>null</v>
      </c>
      <c r="AC508" s="4" t="str">
        <f>IF(N508="",IF(ISNUMBER(SEARCH("NOT NULL",UPPER(N$3))),"''","null"),SUBSTITUTE(VLOOKUP(N$2,convert!$A$1:$B$4,2,0),"@@@",N508))</f>
        <v>null</v>
      </c>
      <c r="AD508" s="4" t="str">
        <f>IF(O508="",IF(ISNUMBER(SEARCH("NOT NULL",UPPER(O$3))),"''","null"),SUBSTITUTE(VLOOKUP(O$2,convert!$A$1:$B$4,2,0),"@@@",O508))</f>
        <v>TRUE</v>
      </c>
      <c r="AE508" s="4" t="str">
        <f t="shared" si="7"/>
        <v>    ('0409N01', 'ラムパルド', 97, 165, 60, 65, 50, 58, '', 'rock', null, 'g4', null, null, TRUE),</v>
      </c>
    </row>
    <row r="509" spans="1:31">
      <c r="A509" s="4" t="s">
        <v>1031</v>
      </c>
      <c r="B509" s="4" t="s">
        <v>1032</v>
      </c>
      <c r="C509" s="5">
        <v>30</v>
      </c>
      <c r="D509" s="5">
        <v>42</v>
      </c>
      <c r="E509" s="5">
        <v>118</v>
      </c>
      <c r="F509" s="5">
        <v>42</v>
      </c>
      <c r="G509" s="5">
        <v>88</v>
      </c>
      <c r="H509" s="5">
        <v>30</v>
      </c>
      <c r="I509" s="5"/>
      <c r="J509" s="4" t="s">
        <v>196</v>
      </c>
      <c r="K509" s="4" t="s">
        <v>119</v>
      </c>
      <c r="L509" s="4" t="s">
        <v>986</v>
      </c>
      <c r="M509" s="5"/>
      <c r="N509" s="5"/>
      <c r="O509" s="5" t="b">
        <v>1</v>
      </c>
      <c r="P509" s="4" t="str">
        <f>IF(A509="",IF(ISNUMBER(SEARCH("NOT NULL",UPPER(A$3))),"''","null"),SUBSTITUTE(VLOOKUP(A$2,convert!$A$1:$B$4,2,0),"@@@",A509))</f>
        <v>'0410N01'</v>
      </c>
      <c r="Q509" s="4" t="str">
        <f>IF(B509="",IF(ISNUMBER(SEARCH("NOT NULL",UPPER(B$3))),"''","null"),SUBSTITUTE(VLOOKUP(B$2,convert!$A$1:$B$4,2,0),"@@@",B509))</f>
        <v>'タテトプス'</v>
      </c>
      <c r="R509" s="4" t="str">
        <f>IF(C509="",IF(ISNUMBER(SEARCH("NOT NULL",UPPER(C$3))),"''","null"),SUBSTITUTE(VLOOKUP(C$2,convert!$A$1:$B$4,2,0),"@@@",C509))</f>
        <v>30</v>
      </c>
      <c r="S509" s="4" t="str">
        <f>IF(D509="",IF(ISNUMBER(SEARCH("NOT NULL",UPPER(D$3))),"''","null"),SUBSTITUTE(VLOOKUP(D$2,convert!$A$1:$B$4,2,0),"@@@",D509))</f>
        <v>42</v>
      </c>
      <c r="T509" s="4" t="str">
        <f>IF(E509="",IF(ISNUMBER(SEARCH("NOT NULL",UPPER(E$3))),"''","null"),SUBSTITUTE(VLOOKUP(E$2,convert!$A$1:$B$4,2,0),"@@@",E509))</f>
        <v>118</v>
      </c>
      <c r="U509" s="4" t="str">
        <f>IF(F509="",IF(ISNUMBER(SEARCH("NOT NULL",UPPER(F$3))),"''","null"),SUBSTITUTE(VLOOKUP(F$2,convert!$A$1:$B$4,2,0),"@@@",F509))</f>
        <v>42</v>
      </c>
      <c r="V509" s="4" t="str">
        <f>IF(G509="",IF(ISNUMBER(SEARCH("NOT NULL",UPPER(G$3))),"''","null"),SUBSTITUTE(VLOOKUP(G$2,convert!$A$1:$B$4,2,0),"@@@",G509))</f>
        <v>88</v>
      </c>
      <c r="W509" s="4" t="str">
        <f>IF(H509="",IF(ISNUMBER(SEARCH("NOT NULL",UPPER(H$3))),"''","null"),SUBSTITUTE(VLOOKUP(H$2,convert!$A$1:$B$4,2,0),"@@@",H509))</f>
        <v>30</v>
      </c>
      <c r="X509" s="4" t="str">
        <f>IF(I509="",IF(ISNUMBER(SEARCH("NOT NULL",UPPER(I$3))),"''","null"),SUBSTITUTE(VLOOKUP(I$2,convert!$A$1:$B$4,2,0),"@@@",I509))</f>
        <v>''</v>
      </c>
      <c r="Y509" s="4" t="str">
        <f>IF(J509="",IF(ISNUMBER(SEARCH("NOT NULL",UPPER(J$3))),"''","null"),SUBSTITUTE(VLOOKUP(J$2,convert!$A$1:$B$4,2,0),"@@@",J509))</f>
        <v>'rock'</v>
      </c>
      <c r="Z509" s="4" t="str">
        <f>IF(K509="",IF(ISNUMBER(SEARCH("NOT NULL",UPPER(K$3))),"''","null"),SUBSTITUTE(VLOOKUP(K$2,convert!$A$1:$B$4,2,0),"@@@",K509))</f>
        <v>'steel'</v>
      </c>
      <c r="AA509" s="4" t="str">
        <f>IF(L509="",IF(ISNUMBER(SEARCH("NOT NULL",UPPER(L$3))),"''","null"),SUBSTITUTE(VLOOKUP(L$2,convert!$A$1:$B$4,2,0),"@@@",L509))</f>
        <v>'g4'</v>
      </c>
      <c r="AB509" s="4" t="str">
        <f>IF(M509="",IF(ISNUMBER(SEARCH("NOT NULL",UPPER(M$3))),"''","null"),SUBSTITUTE(VLOOKUP(M$2,convert!$A$1:$B$4,2,0),"@@@",M509))</f>
        <v>null</v>
      </c>
      <c r="AC509" s="4" t="str">
        <f>IF(N509="",IF(ISNUMBER(SEARCH("NOT NULL",UPPER(N$3))),"''","null"),SUBSTITUTE(VLOOKUP(N$2,convert!$A$1:$B$4,2,0),"@@@",N509))</f>
        <v>null</v>
      </c>
      <c r="AD509" s="4" t="str">
        <f>IF(O509="",IF(ISNUMBER(SEARCH("NOT NULL",UPPER(O$3))),"''","null"),SUBSTITUTE(VLOOKUP(O$2,convert!$A$1:$B$4,2,0),"@@@",O509))</f>
        <v>TRUE</v>
      </c>
      <c r="AE509" s="4" t="str">
        <f t="shared" si="7"/>
        <v>    ('0410N01', 'タテトプス', 30, 42, 118, 42, 88, 30, '', 'rock', 'steel', 'g4', null, null, TRUE),</v>
      </c>
    </row>
    <row r="510" spans="1:31">
      <c r="A510" s="4" t="s">
        <v>1033</v>
      </c>
      <c r="B510" s="4" t="s">
        <v>1034</v>
      </c>
      <c r="C510" s="5">
        <v>60</v>
      </c>
      <c r="D510" s="5">
        <v>52</v>
      </c>
      <c r="E510" s="5">
        <v>168</v>
      </c>
      <c r="F510" s="5">
        <v>47</v>
      </c>
      <c r="G510" s="5">
        <v>138</v>
      </c>
      <c r="H510" s="5">
        <v>30</v>
      </c>
      <c r="I510" s="5"/>
      <c r="J510" s="4" t="s">
        <v>196</v>
      </c>
      <c r="K510" s="4" t="s">
        <v>119</v>
      </c>
      <c r="L510" s="4" t="s">
        <v>986</v>
      </c>
      <c r="M510" s="5"/>
      <c r="N510" s="5"/>
      <c r="O510" s="5" t="b">
        <v>1</v>
      </c>
      <c r="P510" s="4" t="str">
        <f>IF(A510="",IF(ISNUMBER(SEARCH("NOT NULL",UPPER(A$3))),"''","null"),SUBSTITUTE(VLOOKUP(A$2,convert!$A$1:$B$4,2,0),"@@@",A510))</f>
        <v>'0411N01'</v>
      </c>
      <c r="Q510" s="4" t="str">
        <f>IF(B510="",IF(ISNUMBER(SEARCH("NOT NULL",UPPER(B$3))),"''","null"),SUBSTITUTE(VLOOKUP(B$2,convert!$A$1:$B$4,2,0),"@@@",B510))</f>
        <v>'トリデプス'</v>
      </c>
      <c r="R510" s="4" t="str">
        <f>IF(C510="",IF(ISNUMBER(SEARCH("NOT NULL",UPPER(C$3))),"''","null"),SUBSTITUTE(VLOOKUP(C$2,convert!$A$1:$B$4,2,0),"@@@",C510))</f>
        <v>60</v>
      </c>
      <c r="S510" s="4" t="str">
        <f>IF(D510="",IF(ISNUMBER(SEARCH("NOT NULL",UPPER(D$3))),"''","null"),SUBSTITUTE(VLOOKUP(D$2,convert!$A$1:$B$4,2,0),"@@@",D510))</f>
        <v>52</v>
      </c>
      <c r="T510" s="4" t="str">
        <f>IF(E510="",IF(ISNUMBER(SEARCH("NOT NULL",UPPER(E$3))),"''","null"),SUBSTITUTE(VLOOKUP(E$2,convert!$A$1:$B$4,2,0),"@@@",E510))</f>
        <v>168</v>
      </c>
      <c r="U510" s="4" t="str">
        <f>IF(F510="",IF(ISNUMBER(SEARCH("NOT NULL",UPPER(F$3))),"''","null"),SUBSTITUTE(VLOOKUP(F$2,convert!$A$1:$B$4,2,0),"@@@",F510))</f>
        <v>47</v>
      </c>
      <c r="V510" s="4" t="str">
        <f>IF(G510="",IF(ISNUMBER(SEARCH("NOT NULL",UPPER(G$3))),"''","null"),SUBSTITUTE(VLOOKUP(G$2,convert!$A$1:$B$4,2,0),"@@@",G510))</f>
        <v>138</v>
      </c>
      <c r="W510" s="4" t="str">
        <f>IF(H510="",IF(ISNUMBER(SEARCH("NOT NULL",UPPER(H$3))),"''","null"),SUBSTITUTE(VLOOKUP(H$2,convert!$A$1:$B$4,2,0),"@@@",H510))</f>
        <v>30</v>
      </c>
      <c r="X510" s="4" t="str">
        <f>IF(I510="",IF(ISNUMBER(SEARCH("NOT NULL",UPPER(I$3))),"''","null"),SUBSTITUTE(VLOOKUP(I$2,convert!$A$1:$B$4,2,0),"@@@",I510))</f>
        <v>''</v>
      </c>
      <c r="Y510" s="4" t="str">
        <f>IF(J510="",IF(ISNUMBER(SEARCH("NOT NULL",UPPER(J$3))),"''","null"),SUBSTITUTE(VLOOKUP(J$2,convert!$A$1:$B$4,2,0),"@@@",J510))</f>
        <v>'rock'</v>
      </c>
      <c r="Z510" s="4" t="str">
        <f>IF(K510="",IF(ISNUMBER(SEARCH("NOT NULL",UPPER(K$3))),"''","null"),SUBSTITUTE(VLOOKUP(K$2,convert!$A$1:$B$4,2,0),"@@@",K510))</f>
        <v>'steel'</v>
      </c>
      <c r="AA510" s="4" t="str">
        <f>IF(L510="",IF(ISNUMBER(SEARCH("NOT NULL",UPPER(L$3))),"''","null"),SUBSTITUTE(VLOOKUP(L$2,convert!$A$1:$B$4,2,0),"@@@",L510))</f>
        <v>'g4'</v>
      </c>
      <c r="AB510" s="4" t="str">
        <f>IF(M510="",IF(ISNUMBER(SEARCH("NOT NULL",UPPER(M$3))),"''","null"),SUBSTITUTE(VLOOKUP(M$2,convert!$A$1:$B$4,2,0),"@@@",M510))</f>
        <v>null</v>
      </c>
      <c r="AC510" s="4" t="str">
        <f>IF(N510="",IF(ISNUMBER(SEARCH("NOT NULL",UPPER(N$3))),"''","null"),SUBSTITUTE(VLOOKUP(N$2,convert!$A$1:$B$4,2,0),"@@@",N510))</f>
        <v>null</v>
      </c>
      <c r="AD510" s="4" t="str">
        <f>IF(O510="",IF(ISNUMBER(SEARCH("NOT NULL",UPPER(O$3))),"''","null"),SUBSTITUTE(VLOOKUP(O$2,convert!$A$1:$B$4,2,0),"@@@",O510))</f>
        <v>TRUE</v>
      </c>
      <c r="AE510" s="4" t="str">
        <f t="shared" si="7"/>
        <v>    ('0411N01', 'トリデプス', 60, 52, 168, 47, 138, 30, '', 'rock', 'steel', 'g4', null, null, TRUE),</v>
      </c>
    </row>
    <row r="511" spans="1:31">
      <c r="A511" s="4" t="s">
        <v>1035</v>
      </c>
      <c r="B511" s="4" t="s">
        <v>1036</v>
      </c>
      <c r="C511" s="5">
        <v>40</v>
      </c>
      <c r="D511" s="5">
        <v>29</v>
      </c>
      <c r="E511" s="5">
        <v>45</v>
      </c>
      <c r="F511" s="5">
        <v>29</v>
      </c>
      <c r="G511" s="5">
        <v>45</v>
      </c>
      <c r="H511" s="5">
        <v>36</v>
      </c>
      <c r="I511" s="4" t="s">
        <v>1037</v>
      </c>
      <c r="J511" s="4" t="s">
        <v>64</v>
      </c>
      <c r="K511" s="5"/>
      <c r="L511" s="4" t="s">
        <v>986</v>
      </c>
      <c r="M511" s="5"/>
      <c r="N511" s="5"/>
      <c r="O511" s="5" t="b">
        <v>1</v>
      </c>
      <c r="P511" s="4" t="str">
        <f>IF(A511="",IF(ISNUMBER(SEARCH("NOT NULL",UPPER(A$3))),"''","null"),SUBSTITUTE(VLOOKUP(A$2,convert!$A$1:$B$4,2,0),"@@@",A511))</f>
        <v>'0412N01'</v>
      </c>
      <c r="Q511" s="4" t="str">
        <f>IF(B511="",IF(ISNUMBER(SEARCH("NOT NULL",UPPER(B$3))),"''","null"),SUBSTITUTE(VLOOKUP(B$2,convert!$A$1:$B$4,2,0),"@@@",B511))</f>
        <v>'ミノムッチ'</v>
      </c>
      <c r="R511" s="4" t="str">
        <f>IF(C511="",IF(ISNUMBER(SEARCH("NOT NULL",UPPER(C$3))),"''","null"),SUBSTITUTE(VLOOKUP(C$2,convert!$A$1:$B$4,2,0),"@@@",C511))</f>
        <v>40</v>
      </c>
      <c r="S511" s="4" t="str">
        <f>IF(D511="",IF(ISNUMBER(SEARCH("NOT NULL",UPPER(D$3))),"''","null"),SUBSTITUTE(VLOOKUP(D$2,convert!$A$1:$B$4,2,0),"@@@",D511))</f>
        <v>29</v>
      </c>
      <c r="T511" s="4" t="str">
        <f>IF(E511="",IF(ISNUMBER(SEARCH("NOT NULL",UPPER(E$3))),"''","null"),SUBSTITUTE(VLOOKUP(E$2,convert!$A$1:$B$4,2,0),"@@@",E511))</f>
        <v>45</v>
      </c>
      <c r="U511" s="4" t="str">
        <f>IF(F511="",IF(ISNUMBER(SEARCH("NOT NULL",UPPER(F$3))),"''","null"),SUBSTITUTE(VLOOKUP(F$2,convert!$A$1:$B$4,2,0),"@@@",F511))</f>
        <v>29</v>
      </c>
      <c r="V511" s="4" t="str">
        <f>IF(G511="",IF(ISNUMBER(SEARCH("NOT NULL",UPPER(G$3))),"''","null"),SUBSTITUTE(VLOOKUP(G$2,convert!$A$1:$B$4,2,0),"@@@",G511))</f>
        <v>45</v>
      </c>
      <c r="W511" s="4" t="str">
        <f>IF(H511="",IF(ISNUMBER(SEARCH("NOT NULL",UPPER(H$3))),"''","null"),SUBSTITUTE(VLOOKUP(H$2,convert!$A$1:$B$4,2,0),"@@@",H511))</f>
        <v>36</v>
      </c>
      <c r="X511" s="4" t="str">
        <f>IF(I511="",IF(ISNUMBER(SEARCH("NOT NULL",UPPER(I$3))),"''","null"),SUBSTITUTE(VLOOKUP(I$2,convert!$A$1:$B$4,2,0),"@@@",I511))</f>
        <v>'くさきのミノ'</v>
      </c>
      <c r="Y511" s="4" t="str">
        <f>IF(J511="",IF(ISNUMBER(SEARCH("NOT NULL",UPPER(J$3))),"''","null"),SUBSTITUTE(VLOOKUP(J$2,convert!$A$1:$B$4,2,0),"@@@",J511))</f>
        <v>'bug'</v>
      </c>
      <c r="Z511" s="4" t="str">
        <f>IF(K511="",IF(ISNUMBER(SEARCH("NOT NULL",UPPER(K$3))),"''","null"),SUBSTITUTE(VLOOKUP(K$2,convert!$A$1:$B$4,2,0),"@@@",K511))</f>
        <v>null</v>
      </c>
      <c r="AA511" s="4" t="str">
        <f>IF(L511="",IF(ISNUMBER(SEARCH("NOT NULL",UPPER(L$3))),"''","null"),SUBSTITUTE(VLOOKUP(L$2,convert!$A$1:$B$4,2,0),"@@@",L511))</f>
        <v>'g4'</v>
      </c>
      <c r="AB511" s="4" t="str">
        <f>IF(M511="",IF(ISNUMBER(SEARCH("NOT NULL",UPPER(M$3))),"''","null"),SUBSTITUTE(VLOOKUP(M$2,convert!$A$1:$B$4,2,0),"@@@",M511))</f>
        <v>null</v>
      </c>
      <c r="AC511" s="4" t="str">
        <f>IF(N511="",IF(ISNUMBER(SEARCH("NOT NULL",UPPER(N$3))),"''","null"),SUBSTITUTE(VLOOKUP(N$2,convert!$A$1:$B$4,2,0),"@@@",N511))</f>
        <v>null</v>
      </c>
      <c r="AD511" s="4" t="str">
        <f>IF(O511="",IF(ISNUMBER(SEARCH("NOT NULL",UPPER(O$3))),"''","null"),SUBSTITUTE(VLOOKUP(O$2,convert!$A$1:$B$4,2,0),"@@@",O511))</f>
        <v>TRUE</v>
      </c>
      <c r="AE511" s="4" t="str">
        <f t="shared" si="7"/>
        <v>    ('0412N01', 'ミノムッチ', 40, 29, 45, 29, 45, 36, 'くさきのミノ', 'bug', null, 'g4', null, null, TRUE),</v>
      </c>
    </row>
    <row r="512" spans="1:31">
      <c r="A512" s="4" t="s">
        <v>1038</v>
      </c>
      <c r="B512" s="4" t="s">
        <v>1036</v>
      </c>
      <c r="C512" s="5">
        <v>40</v>
      </c>
      <c r="D512" s="5">
        <v>29</v>
      </c>
      <c r="E512" s="5">
        <v>45</v>
      </c>
      <c r="F512" s="5">
        <v>29</v>
      </c>
      <c r="G512" s="5">
        <v>45</v>
      </c>
      <c r="H512" s="5">
        <v>36</v>
      </c>
      <c r="I512" s="4" t="s">
        <v>1039</v>
      </c>
      <c r="J512" s="4" t="s">
        <v>64</v>
      </c>
      <c r="K512" s="5"/>
      <c r="L512" s="4" t="s">
        <v>986</v>
      </c>
      <c r="M512" s="5"/>
      <c r="N512" s="5"/>
      <c r="O512" s="5" t="b">
        <v>1</v>
      </c>
      <c r="P512" s="4" t="str">
        <f>IF(A512="",IF(ISNUMBER(SEARCH("NOT NULL",UPPER(A$3))),"''","null"),SUBSTITUTE(VLOOKUP(A$2,convert!$A$1:$B$4,2,0),"@@@",A512))</f>
        <v>'0412N02'</v>
      </c>
      <c r="Q512" s="4" t="str">
        <f>IF(B512="",IF(ISNUMBER(SEARCH("NOT NULL",UPPER(B$3))),"''","null"),SUBSTITUTE(VLOOKUP(B$2,convert!$A$1:$B$4,2,0),"@@@",B512))</f>
        <v>'ミノムッチ'</v>
      </c>
      <c r="R512" s="4" t="str">
        <f>IF(C512="",IF(ISNUMBER(SEARCH("NOT NULL",UPPER(C$3))),"''","null"),SUBSTITUTE(VLOOKUP(C$2,convert!$A$1:$B$4,2,0),"@@@",C512))</f>
        <v>40</v>
      </c>
      <c r="S512" s="4" t="str">
        <f>IF(D512="",IF(ISNUMBER(SEARCH("NOT NULL",UPPER(D$3))),"''","null"),SUBSTITUTE(VLOOKUP(D$2,convert!$A$1:$B$4,2,0),"@@@",D512))</f>
        <v>29</v>
      </c>
      <c r="T512" s="4" t="str">
        <f>IF(E512="",IF(ISNUMBER(SEARCH("NOT NULL",UPPER(E$3))),"''","null"),SUBSTITUTE(VLOOKUP(E$2,convert!$A$1:$B$4,2,0),"@@@",E512))</f>
        <v>45</v>
      </c>
      <c r="U512" s="4" t="str">
        <f>IF(F512="",IF(ISNUMBER(SEARCH("NOT NULL",UPPER(F$3))),"''","null"),SUBSTITUTE(VLOOKUP(F$2,convert!$A$1:$B$4,2,0),"@@@",F512))</f>
        <v>29</v>
      </c>
      <c r="V512" s="4" t="str">
        <f>IF(G512="",IF(ISNUMBER(SEARCH("NOT NULL",UPPER(G$3))),"''","null"),SUBSTITUTE(VLOOKUP(G$2,convert!$A$1:$B$4,2,0),"@@@",G512))</f>
        <v>45</v>
      </c>
      <c r="W512" s="4" t="str">
        <f>IF(H512="",IF(ISNUMBER(SEARCH("NOT NULL",UPPER(H$3))),"''","null"),SUBSTITUTE(VLOOKUP(H$2,convert!$A$1:$B$4,2,0),"@@@",H512))</f>
        <v>36</v>
      </c>
      <c r="X512" s="4" t="str">
        <f>IF(I512="",IF(ISNUMBER(SEARCH("NOT NULL",UPPER(I$3))),"''","null"),SUBSTITUTE(VLOOKUP(I$2,convert!$A$1:$B$4,2,0),"@@@",I512))</f>
        <v>'すなちのミノ'</v>
      </c>
      <c r="Y512" s="4" t="str">
        <f>IF(J512="",IF(ISNUMBER(SEARCH("NOT NULL",UPPER(J$3))),"''","null"),SUBSTITUTE(VLOOKUP(J$2,convert!$A$1:$B$4,2,0),"@@@",J512))</f>
        <v>'bug'</v>
      </c>
      <c r="Z512" s="4" t="str">
        <f>IF(K512="",IF(ISNUMBER(SEARCH("NOT NULL",UPPER(K$3))),"''","null"),SUBSTITUTE(VLOOKUP(K$2,convert!$A$1:$B$4,2,0),"@@@",K512))</f>
        <v>null</v>
      </c>
      <c r="AA512" s="4" t="str">
        <f>IF(L512="",IF(ISNUMBER(SEARCH("NOT NULL",UPPER(L$3))),"''","null"),SUBSTITUTE(VLOOKUP(L$2,convert!$A$1:$B$4,2,0),"@@@",L512))</f>
        <v>'g4'</v>
      </c>
      <c r="AB512" s="4" t="str">
        <f>IF(M512="",IF(ISNUMBER(SEARCH("NOT NULL",UPPER(M$3))),"''","null"),SUBSTITUTE(VLOOKUP(M$2,convert!$A$1:$B$4,2,0),"@@@",M512))</f>
        <v>null</v>
      </c>
      <c r="AC512" s="4" t="str">
        <f>IF(N512="",IF(ISNUMBER(SEARCH("NOT NULL",UPPER(N$3))),"''","null"),SUBSTITUTE(VLOOKUP(N$2,convert!$A$1:$B$4,2,0),"@@@",N512))</f>
        <v>null</v>
      </c>
      <c r="AD512" s="4" t="str">
        <f>IF(O512="",IF(ISNUMBER(SEARCH("NOT NULL",UPPER(O$3))),"''","null"),SUBSTITUTE(VLOOKUP(O$2,convert!$A$1:$B$4,2,0),"@@@",O512))</f>
        <v>TRUE</v>
      </c>
      <c r="AE512" s="4" t="str">
        <f t="shared" si="7"/>
        <v>    ('0412N02', 'ミノムッチ', 40, 29, 45, 29, 45, 36, 'すなちのミノ', 'bug', null, 'g4', null, null, TRUE),</v>
      </c>
    </row>
    <row r="513" spans="1:31">
      <c r="A513" s="4" t="s">
        <v>1040</v>
      </c>
      <c r="B513" s="4" t="s">
        <v>1036</v>
      </c>
      <c r="C513" s="5">
        <v>40</v>
      </c>
      <c r="D513" s="5">
        <v>29</v>
      </c>
      <c r="E513" s="5">
        <v>45</v>
      </c>
      <c r="F513" s="5">
        <v>29</v>
      </c>
      <c r="G513" s="5">
        <v>45</v>
      </c>
      <c r="H513" s="5">
        <v>36</v>
      </c>
      <c r="I513" s="4" t="s">
        <v>1041</v>
      </c>
      <c r="J513" s="4" t="s">
        <v>64</v>
      </c>
      <c r="K513" s="5"/>
      <c r="L513" s="4" t="s">
        <v>986</v>
      </c>
      <c r="M513" s="5"/>
      <c r="N513" s="5"/>
      <c r="O513" s="5" t="b">
        <v>1</v>
      </c>
      <c r="P513" s="4" t="str">
        <f>IF(A513="",IF(ISNUMBER(SEARCH("NOT NULL",UPPER(A$3))),"''","null"),SUBSTITUTE(VLOOKUP(A$2,convert!$A$1:$B$4,2,0),"@@@",A513))</f>
        <v>'0412N03'</v>
      </c>
      <c r="Q513" s="4" t="str">
        <f>IF(B513="",IF(ISNUMBER(SEARCH("NOT NULL",UPPER(B$3))),"''","null"),SUBSTITUTE(VLOOKUP(B$2,convert!$A$1:$B$4,2,0),"@@@",B513))</f>
        <v>'ミノムッチ'</v>
      </c>
      <c r="R513" s="4" t="str">
        <f>IF(C513="",IF(ISNUMBER(SEARCH("NOT NULL",UPPER(C$3))),"''","null"),SUBSTITUTE(VLOOKUP(C$2,convert!$A$1:$B$4,2,0),"@@@",C513))</f>
        <v>40</v>
      </c>
      <c r="S513" s="4" t="str">
        <f>IF(D513="",IF(ISNUMBER(SEARCH("NOT NULL",UPPER(D$3))),"''","null"),SUBSTITUTE(VLOOKUP(D$2,convert!$A$1:$B$4,2,0),"@@@",D513))</f>
        <v>29</v>
      </c>
      <c r="T513" s="4" t="str">
        <f>IF(E513="",IF(ISNUMBER(SEARCH("NOT NULL",UPPER(E$3))),"''","null"),SUBSTITUTE(VLOOKUP(E$2,convert!$A$1:$B$4,2,0),"@@@",E513))</f>
        <v>45</v>
      </c>
      <c r="U513" s="4" t="str">
        <f>IF(F513="",IF(ISNUMBER(SEARCH("NOT NULL",UPPER(F$3))),"''","null"),SUBSTITUTE(VLOOKUP(F$2,convert!$A$1:$B$4,2,0),"@@@",F513))</f>
        <v>29</v>
      </c>
      <c r="V513" s="4" t="str">
        <f>IF(G513="",IF(ISNUMBER(SEARCH("NOT NULL",UPPER(G$3))),"''","null"),SUBSTITUTE(VLOOKUP(G$2,convert!$A$1:$B$4,2,0),"@@@",G513))</f>
        <v>45</v>
      </c>
      <c r="W513" s="4" t="str">
        <f>IF(H513="",IF(ISNUMBER(SEARCH("NOT NULL",UPPER(H$3))),"''","null"),SUBSTITUTE(VLOOKUP(H$2,convert!$A$1:$B$4,2,0),"@@@",H513))</f>
        <v>36</v>
      </c>
      <c r="X513" s="4" t="str">
        <f>IF(I513="",IF(ISNUMBER(SEARCH("NOT NULL",UPPER(I$3))),"''","null"),SUBSTITUTE(VLOOKUP(I$2,convert!$A$1:$B$4,2,0),"@@@",I513))</f>
        <v>'ゴミのミノ'</v>
      </c>
      <c r="Y513" s="4" t="str">
        <f>IF(J513="",IF(ISNUMBER(SEARCH("NOT NULL",UPPER(J$3))),"''","null"),SUBSTITUTE(VLOOKUP(J$2,convert!$A$1:$B$4,2,0),"@@@",J513))</f>
        <v>'bug'</v>
      </c>
      <c r="Z513" s="4" t="str">
        <f>IF(K513="",IF(ISNUMBER(SEARCH("NOT NULL",UPPER(K$3))),"''","null"),SUBSTITUTE(VLOOKUP(K$2,convert!$A$1:$B$4,2,0),"@@@",K513))</f>
        <v>null</v>
      </c>
      <c r="AA513" s="4" t="str">
        <f>IF(L513="",IF(ISNUMBER(SEARCH("NOT NULL",UPPER(L$3))),"''","null"),SUBSTITUTE(VLOOKUP(L$2,convert!$A$1:$B$4,2,0),"@@@",L513))</f>
        <v>'g4'</v>
      </c>
      <c r="AB513" s="4" t="str">
        <f>IF(M513="",IF(ISNUMBER(SEARCH("NOT NULL",UPPER(M$3))),"''","null"),SUBSTITUTE(VLOOKUP(M$2,convert!$A$1:$B$4,2,0),"@@@",M513))</f>
        <v>null</v>
      </c>
      <c r="AC513" s="4" t="str">
        <f>IF(N513="",IF(ISNUMBER(SEARCH("NOT NULL",UPPER(N$3))),"''","null"),SUBSTITUTE(VLOOKUP(N$2,convert!$A$1:$B$4,2,0),"@@@",N513))</f>
        <v>null</v>
      </c>
      <c r="AD513" s="4" t="str">
        <f>IF(O513="",IF(ISNUMBER(SEARCH("NOT NULL",UPPER(O$3))),"''","null"),SUBSTITUTE(VLOOKUP(O$2,convert!$A$1:$B$4,2,0),"@@@",O513))</f>
        <v>TRUE</v>
      </c>
      <c r="AE513" s="4" t="str">
        <f t="shared" si="7"/>
        <v>    ('0412N03', 'ミノムッチ', 40, 29, 45, 29, 45, 36, 'ゴミのミノ', 'bug', null, 'g4', null, null, TRUE),</v>
      </c>
    </row>
    <row r="514" spans="1:31">
      <c r="A514" s="4" t="s">
        <v>1042</v>
      </c>
      <c r="B514" s="4" t="s">
        <v>1043</v>
      </c>
      <c r="C514" s="5">
        <v>60</v>
      </c>
      <c r="D514" s="5">
        <v>59</v>
      </c>
      <c r="E514" s="5">
        <v>85</v>
      </c>
      <c r="F514" s="5">
        <v>79</v>
      </c>
      <c r="G514" s="5">
        <v>105</v>
      </c>
      <c r="H514" s="5">
        <v>36</v>
      </c>
      <c r="I514" s="4" t="s">
        <v>1037</v>
      </c>
      <c r="J514" s="4" t="s">
        <v>64</v>
      </c>
      <c r="K514" s="4" t="s">
        <v>30</v>
      </c>
      <c r="L514" s="4" t="s">
        <v>986</v>
      </c>
      <c r="M514" s="5"/>
      <c r="N514" s="5"/>
      <c r="O514" s="5" t="b">
        <v>1</v>
      </c>
      <c r="P514" s="4" t="str">
        <f>IF(A514="",IF(ISNUMBER(SEARCH("NOT NULL",UPPER(A$3))),"''","null"),SUBSTITUTE(VLOOKUP(A$2,convert!$A$1:$B$4,2,0),"@@@",A514))</f>
        <v>'0413N01'</v>
      </c>
      <c r="Q514" s="4" t="str">
        <f>IF(B514="",IF(ISNUMBER(SEARCH("NOT NULL",UPPER(B$3))),"''","null"),SUBSTITUTE(VLOOKUP(B$2,convert!$A$1:$B$4,2,0),"@@@",B514))</f>
        <v>'ミノマダム'</v>
      </c>
      <c r="R514" s="4" t="str">
        <f>IF(C514="",IF(ISNUMBER(SEARCH("NOT NULL",UPPER(C$3))),"''","null"),SUBSTITUTE(VLOOKUP(C$2,convert!$A$1:$B$4,2,0),"@@@",C514))</f>
        <v>60</v>
      </c>
      <c r="S514" s="4" t="str">
        <f>IF(D514="",IF(ISNUMBER(SEARCH("NOT NULL",UPPER(D$3))),"''","null"),SUBSTITUTE(VLOOKUP(D$2,convert!$A$1:$B$4,2,0),"@@@",D514))</f>
        <v>59</v>
      </c>
      <c r="T514" s="4" t="str">
        <f>IF(E514="",IF(ISNUMBER(SEARCH("NOT NULL",UPPER(E$3))),"''","null"),SUBSTITUTE(VLOOKUP(E$2,convert!$A$1:$B$4,2,0),"@@@",E514))</f>
        <v>85</v>
      </c>
      <c r="U514" s="4" t="str">
        <f>IF(F514="",IF(ISNUMBER(SEARCH("NOT NULL",UPPER(F$3))),"''","null"),SUBSTITUTE(VLOOKUP(F$2,convert!$A$1:$B$4,2,0),"@@@",F514))</f>
        <v>79</v>
      </c>
      <c r="V514" s="4" t="str">
        <f>IF(G514="",IF(ISNUMBER(SEARCH("NOT NULL",UPPER(G$3))),"''","null"),SUBSTITUTE(VLOOKUP(G$2,convert!$A$1:$B$4,2,0),"@@@",G514))</f>
        <v>105</v>
      </c>
      <c r="W514" s="4" t="str">
        <f>IF(H514="",IF(ISNUMBER(SEARCH("NOT NULL",UPPER(H$3))),"''","null"),SUBSTITUTE(VLOOKUP(H$2,convert!$A$1:$B$4,2,0),"@@@",H514))</f>
        <v>36</v>
      </c>
      <c r="X514" s="4" t="str">
        <f>IF(I514="",IF(ISNUMBER(SEARCH("NOT NULL",UPPER(I$3))),"''","null"),SUBSTITUTE(VLOOKUP(I$2,convert!$A$1:$B$4,2,0),"@@@",I514))</f>
        <v>'くさきのミノ'</v>
      </c>
      <c r="Y514" s="4" t="str">
        <f>IF(J514="",IF(ISNUMBER(SEARCH("NOT NULL",UPPER(J$3))),"''","null"),SUBSTITUTE(VLOOKUP(J$2,convert!$A$1:$B$4,2,0),"@@@",J514))</f>
        <v>'bug'</v>
      </c>
      <c r="Z514" s="4" t="str">
        <f>IF(K514="",IF(ISNUMBER(SEARCH("NOT NULL",UPPER(K$3))),"''","null"),SUBSTITUTE(VLOOKUP(K$2,convert!$A$1:$B$4,2,0),"@@@",K514))</f>
        <v>'grass'</v>
      </c>
      <c r="AA514" s="4" t="str">
        <f>IF(L514="",IF(ISNUMBER(SEARCH("NOT NULL",UPPER(L$3))),"''","null"),SUBSTITUTE(VLOOKUP(L$2,convert!$A$1:$B$4,2,0),"@@@",L514))</f>
        <v>'g4'</v>
      </c>
      <c r="AB514" s="4" t="str">
        <f>IF(M514="",IF(ISNUMBER(SEARCH("NOT NULL",UPPER(M$3))),"''","null"),SUBSTITUTE(VLOOKUP(M$2,convert!$A$1:$B$4,2,0),"@@@",M514))</f>
        <v>null</v>
      </c>
      <c r="AC514" s="4" t="str">
        <f>IF(N514="",IF(ISNUMBER(SEARCH("NOT NULL",UPPER(N$3))),"''","null"),SUBSTITUTE(VLOOKUP(N$2,convert!$A$1:$B$4,2,0),"@@@",N514))</f>
        <v>null</v>
      </c>
      <c r="AD514" s="4" t="str">
        <f>IF(O514="",IF(ISNUMBER(SEARCH("NOT NULL",UPPER(O$3))),"''","null"),SUBSTITUTE(VLOOKUP(O$2,convert!$A$1:$B$4,2,0),"@@@",O514))</f>
        <v>TRUE</v>
      </c>
      <c r="AE514" s="4" t="str">
        <f t="shared" si="7"/>
        <v>    ('0413N01', 'ミノマダム', 60, 59, 85, 79, 105, 36, 'くさきのミノ', 'bug', 'grass', 'g4', null, null, TRUE),</v>
      </c>
    </row>
    <row r="515" spans="1:31">
      <c r="A515" s="4" t="s">
        <v>1044</v>
      </c>
      <c r="B515" s="4" t="s">
        <v>1043</v>
      </c>
      <c r="C515" s="5">
        <v>60</v>
      </c>
      <c r="D515" s="5">
        <v>79</v>
      </c>
      <c r="E515" s="5">
        <v>105</v>
      </c>
      <c r="F515" s="5">
        <v>59</v>
      </c>
      <c r="G515" s="5">
        <v>85</v>
      </c>
      <c r="H515" s="5">
        <v>36</v>
      </c>
      <c r="I515" s="4" t="s">
        <v>1039</v>
      </c>
      <c r="J515" s="4" t="s">
        <v>64</v>
      </c>
      <c r="K515" s="4" t="s">
        <v>116</v>
      </c>
      <c r="L515" s="4" t="s">
        <v>986</v>
      </c>
      <c r="M515" s="5"/>
      <c r="N515" s="5"/>
      <c r="O515" s="5" t="b">
        <v>1</v>
      </c>
      <c r="P515" s="4" t="str">
        <f>IF(A515="",IF(ISNUMBER(SEARCH("NOT NULL",UPPER(A$3))),"''","null"),SUBSTITUTE(VLOOKUP(A$2,convert!$A$1:$B$4,2,0),"@@@",A515))</f>
        <v>'0413N02'</v>
      </c>
      <c r="Q515" s="4" t="str">
        <f>IF(B515="",IF(ISNUMBER(SEARCH("NOT NULL",UPPER(B$3))),"''","null"),SUBSTITUTE(VLOOKUP(B$2,convert!$A$1:$B$4,2,0),"@@@",B515))</f>
        <v>'ミノマダム'</v>
      </c>
      <c r="R515" s="4" t="str">
        <f>IF(C515="",IF(ISNUMBER(SEARCH("NOT NULL",UPPER(C$3))),"''","null"),SUBSTITUTE(VLOOKUP(C$2,convert!$A$1:$B$4,2,0),"@@@",C515))</f>
        <v>60</v>
      </c>
      <c r="S515" s="4" t="str">
        <f>IF(D515="",IF(ISNUMBER(SEARCH("NOT NULL",UPPER(D$3))),"''","null"),SUBSTITUTE(VLOOKUP(D$2,convert!$A$1:$B$4,2,0),"@@@",D515))</f>
        <v>79</v>
      </c>
      <c r="T515" s="4" t="str">
        <f>IF(E515="",IF(ISNUMBER(SEARCH("NOT NULL",UPPER(E$3))),"''","null"),SUBSTITUTE(VLOOKUP(E$2,convert!$A$1:$B$4,2,0),"@@@",E515))</f>
        <v>105</v>
      </c>
      <c r="U515" s="4" t="str">
        <f>IF(F515="",IF(ISNUMBER(SEARCH("NOT NULL",UPPER(F$3))),"''","null"),SUBSTITUTE(VLOOKUP(F$2,convert!$A$1:$B$4,2,0),"@@@",F515))</f>
        <v>59</v>
      </c>
      <c r="V515" s="4" t="str">
        <f>IF(G515="",IF(ISNUMBER(SEARCH("NOT NULL",UPPER(G$3))),"''","null"),SUBSTITUTE(VLOOKUP(G$2,convert!$A$1:$B$4,2,0),"@@@",G515))</f>
        <v>85</v>
      </c>
      <c r="W515" s="4" t="str">
        <f>IF(H515="",IF(ISNUMBER(SEARCH("NOT NULL",UPPER(H$3))),"''","null"),SUBSTITUTE(VLOOKUP(H$2,convert!$A$1:$B$4,2,0),"@@@",H515))</f>
        <v>36</v>
      </c>
      <c r="X515" s="4" t="str">
        <f>IF(I515="",IF(ISNUMBER(SEARCH("NOT NULL",UPPER(I$3))),"''","null"),SUBSTITUTE(VLOOKUP(I$2,convert!$A$1:$B$4,2,0),"@@@",I515))</f>
        <v>'すなちのミノ'</v>
      </c>
      <c r="Y515" s="4" t="str">
        <f>IF(J515="",IF(ISNUMBER(SEARCH("NOT NULL",UPPER(J$3))),"''","null"),SUBSTITUTE(VLOOKUP(J$2,convert!$A$1:$B$4,2,0),"@@@",J515))</f>
        <v>'bug'</v>
      </c>
      <c r="Z515" s="4" t="str">
        <f>IF(K515="",IF(ISNUMBER(SEARCH("NOT NULL",UPPER(K$3))),"''","null"),SUBSTITUTE(VLOOKUP(K$2,convert!$A$1:$B$4,2,0),"@@@",K515))</f>
        <v>'ground'</v>
      </c>
      <c r="AA515" s="4" t="str">
        <f>IF(L515="",IF(ISNUMBER(SEARCH("NOT NULL",UPPER(L$3))),"''","null"),SUBSTITUTE(VLOOKUP(L$2,convert!$A$1:$B$4,2,0),"@@@",L515))</f>
        <v>'g4'</v>
      </c>
      <c r="AB515" s="4" t="str">
        <f>IF(M515="",IF(ISNUMBER(SEARCH("NOT NULL",UPPER(M$3))),"''","null"),SUBSTITUTE(VLOOKUP(M$2,convert!$A$1:$B$4,2,0),"@@@",M515))</f>
        <v>null</v>
      </c>
      <c r="AC515" s="4" t="str">
        <f>IF(N515="",IF(ISNUMBER(SEARCH("NOT NULL",UPPER(N$3))),"''","null"),SUBSTITUTE(VLOOKUP(N$2,convert!$A$1:$B$4,2,0),"@@@",N515))</f>
        <v>null</v>
      </c>
      <c r="AD515" s="4" t="str">
        <f>IF(O515="",IF(ISNUMBER(SEARCH("NOT NULL",UPPER(O$3))),"''","null"),SUBSTITUTE(VLOOKUP(O$2,convert!$A$1:$B$4,2,0),"@@@",O515))</f>
        <v>TRUE</v>
      </c>
      <c r="AE515" s="4" t="str">
        <f t="shared" si="7"/>
        <v>    ('0413N02', 'ミノマダム', 60, 79, 105, 59, 85, 36, 'すなちのミノ', 'bug', 'ground', 'g4', null, null, TRUE),</v>
      </c>
    </row>
    <row r="516" spans="1:31">
      <c r="A516" s="4" t="s">
        <v>1045</v>
      </c>
      <c r="B516" s="4" t="s">
        <v>1043</v>
      </c>
      <c r="C516" s="5">
        <v>60</v>
      </c>
      <c r="D516" s="5">
        <v>69</v>
      </c>
      <c r="E516" s="5">
        <v>95</v>
      </c>
      <c r="F516" s="5">
        <v>69</v>
      </c>
      <c r="G516" s="5">
        <v>95</v>
      </c>
      <c r="H516" s="5">
        <v>36</v>
      </c>
      <c r="I516" s="4" t="s">
        <v>1041</v>
      </c>
      <c r="J516" s="4" t="s">
        <v>64</v>
      </c>
      <c r="K516" s="4" t="s">
        <v>119</v>
      </c>
      <c r="L516" s="4" t="s">
        <v>986</v>
      </c>
      <c r="M516" s="5"/>
      <c r="N516" s="5"/>
      <c r="O516" s="5" t="b">
        <v>1</v>
      </c>
      <c r="P516" s="4" t="str">
        <f>IF(A516="",IF(ISNUMBER(SEARCH("NOT NULL",UPPER(A$3))),"''","null"),SUBSTITUTE(VLOOKUP(A$2,convert!$A$1:$B$4,2,0),"@@@",A516))</f>
        <v>'0413N03'</v>
      </c>
      <c r="Q516" s="4" t="str">
        <f>IF(B516="",IF(ISNUMBER(SEARCH("NOT NULL",UPPER(B$3))),"''","null"),SUBSTITUTE(VLOOKUP(B$2,convert!$A$1:$B$4,2,0),"@@@",B516))</f>
        <v>'ミノマダム'</v>
      </c>
      <c r="R516" s="4" t="str">
        <f>IF(C516="",IF(ISNUMBER(SEARCH("NOT NULL",UPPER(C$3))),"''","null"),SUBSTITUTE(VLOOKUP(C$2,convert!$A$1:$B$4,2,0),"@@@",C516))</f>
        <v>60</v>
      </c>
      <c r="S516" s="4" t="str">
        <f>IF(D516="",IF(ISNUMBER(SEARCH("NOT NULL",UPPER(D$3))),"''","null"),SUBSTITUTE(VLOOKUP(D$2,convert!$A$1:$B$4,2,0),"@@@",D516))</f>
        <v>69</v>
      </c>
      <c r="T516" s="4" t="str">
        <f>IF(E516="",IF(ISNUMBER(SEARCH("NOT NULL",UPPER(E$3))),"''","null"),SUBSTITUTE(VLOOKUP(E$2,convert!$A$1:$B$4,2,0),"@@@",E516))</f>
        <v>95</v>
      </c>
      <c r="U516" s="4" t="str">
        <f>IF(F516="",IF(ISNUMBER(SEARCH("NOT NULL",UPPER(F$3))),"''","null"),SUBSTITUTE(VLOOKUP(F$2,convert!$A$1:$B$4,2,0),"@@@",F516))</f>
        <v>69</v>
      </c>
      <c r="V516" s="4" t="str">
        <f>IF(G516="",IF(ISNUMBER(SEARCH("NOT NULL",UPPER(G$3))),"''","null"),SUBSTITUTE(VLOOKUP(G$2,convert!$A$1:$B$4,2,0),"@@@",G516))</f>
        <v>95</v>
      </c>
      <c r="W516" s="4" t="str">
        <f>IF(H516="",IF(ISNUMBER(SEARCH("NOT NULL",UPPER(H$3))),"''","null"),SUBSTITUTE(VLOOKUP(H$2,convert!$A$1:$B$4,2,0),"@@@",H516))</f>
        <v>36</v>
      </c>
      <c r="X516" s="4" t="str">
        <f>IF(I516="",IF(ISNUMBER(SEARCH("NOT NULL",UPPER(I$3))),"''","null"),SUBSTITUTE(VLOOKUP(I$2,convert!$A$1:$B$4,2,0),"@@@",I516))</f>
        <v>'ゴミのミノ'</v>
      </c>
      <c r="Y516" s="4" t="str">
        <f>IF(J516="",IF(ISNUMBER(SEARCH("NOT NULL",UPPER(J$3))),"''","null"),SUBSTITUTE(VLOOKUP(J$2,convert!$A$1:$B$4,2,0),"@@@",J516))</f>
        <v>'bug'</v>
      </c>
      <c r="Z516" s="4" t="str">
        <f>IF(K516="",IF(ISNUMBER(SEARCH("NOT NULL",UPPER(K$3))),"''","null"),SUBSTITUTE(VLOOKUP(K$2,convert!$A$1:$B$4,2,0),"@@@",K516))</f>
        <v>'steel'</v>
      </c>
      <c r="AA516" s="4" t="str">
        <f>IF(L516="",IF(ISNUMBER(SEARCH("NOT NULL",UPPER(L$3))),"''","null"),SUBSTITUTE(VLOOKUP(L$2,convert!$A$1:$B$4,2,0),"@@@",L516))</f>
        <v>'g4'</v>
      </c>
      <c r="AB516" s="4" t="str">
        <f>IF(M516="",IF(ISNUMBER(SEARCH("NOT NULL",UPPER(M$3))),"''","null"),SUBSTITUTE(VLOOKUP(M$2,convert!$A$1:$B$4,2,0),"@@@",M516))</f>
        <v>null</v>
      </c>
      <c r="AC516" s="4" t="str">
        <f>IF(N516="",IF(ISNUMBER(SEARCH("NOT NULL",UPPER(N$3))),"''","null"),SUBSTITUTE(VLOOKUP(N$2,convert!$A$1:$B$4,2,0),"@@@",N516))</f>
        <v>null</v>
      </c>
      <c r="AD516" s="4" t="str">
        <f>IF(O516="",IF(ISNUMBER(SEARCH("NOT NULL",UPPER(O$3))),"''","null"),SUBSTITUTE(VLOOKUP(O$2,convert!$A$1:$B$4,2,0),"@@@",O516))</f>
        <v>TRUE</v>
      </c>
      <c r="AE516" s="4" t="str">
        <f t="shared" si="7"/>
        <v>    ('0413N03', 'ミノマダム', 60, 69, 95, 69, 95, 36, 'ゴミのミノ', 'bug', 'steel', 'g4', null, null, TRUE),</v>
      </c>
    </row>
    <row r="517" spans="1:31">
      <c r="A517" s="4" t="s">
        <v>1046</v>
      </c>
      <c r="B517" s="4" t="s">
        <v>1047</v>
      </c>
      <c r="C517" s="5">
        <v>70</v>
      </c>
      <c r="D517" s="5">
        <v>94</v>
      </c>
      <c r="E517" s="5">
        <v>50</v>
      </c>
      <c r="F517" s="5">
        <v>94</v>
      </c>
      <c r="G517" s="5">
        <v>50</v>
      </c>
      <c r="H517" s="5">
        <v>66</v>
      </c>
      <c r="I517" s="5"/>
      <c r="J517" s="4" t="s">
        <v>64</v>
      </c>
      <c r="K517" s="4" t="s">
        <v>47</v>
      </c>
      <c r="L517" s="4" t="s">
        <v>986</v>
      </c>
      <c r="M517" s="5"/>
      <c r="N517" s="5"/>
      <c r="O517" s="5" t="b">
        <v>1</v>
      </c>
      <c r="P517" s="4" t="str">
        <f>IF(A517="",IF(ISNUMBER(SEARCH("NOT NULL",UPPER(A$3))),"''","null"),SUBSTITUTE(VLOOKUP(A$2,convert!$A$1:$B$4,2,0),"@@@",A517))</f>
        <v>'0414N01'</v>
      </c>
      <c r="Q517" s="4" t="str">
        <f>IF(B517="",IF(ISNUMBER(SEARCH("NOT NULL",UPPER(B$3))),"''","null"),SUBSTITUTE(VLOOKUP(B$2,convert!$A$1:$B$4,2,0),"@@@",B517))</f>
        <v>'ガーメイル'</v>
      </c>
      <c r="R517" s="4" t="str">
        <f>IF(C517="",IF(ISNUMBER(SEARCH("NOT NULL",UPPER(C$3))),"''","null"),SUBSTITUTE(VLOOKUP(C$2,convert!$A$1:$B$4,2,0),"@@@",C517))</f>
        <v>70</v>
      </c>
      <c r="S517" s="4" t="str">
        <f>IF(D517="",IF(ISNUMBER(SEARCH("NOT NULL",UPPER(D$3))),"''","null"),SUBSTITUTE(VLOOKUP(D$2,convert!$A$1:$B$4,2,0),"@@@",D517))</f>
        <v>94</v>
      </c>
      <c r="T517" s="4" t="str">
        <f>IF(E517="",IF(ISNUMBER(SEARCH("NOT NULL",UPPER(E$3))),"''","null"),SUBSTITUTE(VLOOKUP(E$2,convert!$A$1:$B$4,2,0),"@@@",E517))</f>
        <v>50</v>
      </c>
      <c r="U517" s="4" t="str">
        <f>IF(F517="",IF(ISNUMBER(SEARCH("NOT NULL",UPPER(F$3))),"''","null"),SUBSTITUTE(VLOOKUP(F$2,convert!$A$1:$B$4,2,0),"@@@",F517))</f>
        <v>94</v>
      </c>
      <c r="V517" s="4" t="str">
        <f>IF(G517="",IF(ISNUMBER(SEARCH("NOT NULL",UPPER(G$3))),"''","null"),SUBSTITUTE(VLOOKUP(G$2,convert!$A$1:$B$4,2,0),"@@@",G517))</f>
        <v>50</v>
      </c>
      <c r="W517" s="4" t="str">
        <f>IF(H517="",IF(ISNUMBER(SEARCH("NOT NULL",UPPER(H$3))),"''","null"),SUBSTITUTE(VLOOKUP(H$2,convert!$A$1:$B$4,2,0),"@@@",H517))</f>
        <v>66</v>
      </c>
      <c r="X517" s="4" t="str">
        <f>IF(I517="",IF(ISNUMBER(SEARCH("NOT NULL",UPPER(I$3))),"''","null"),SUBSTITUTE(VLOOKUP(I$2,convert!$A$1:$B$4,2,0),"@@@",I517))</f>
        <v>''</v>
      </c>
      <c r="Y517" s="4" t="str">
        <f>IF(J517="",IF(ISNUMBER(SEARCH("NOT NULL",UPPER(J$3))),"''","null"),SUBSTITUTE(VLOOKUP(J$2,convert!$A$1:$B$4,2,0),"@@@",J517))</f>
        <v>'bug'</v>
      </c>
      <c r="Z517" s="4" t="str">
        <f>IF(K517="",IF(ISNUMBER(SEARCH("NOT NULL",UPPER(K$3))),"''","null"),SUBSTITUTE(VLOOKUP(K$2,convert!$A$1:$B$4,2,0),"@@@",K517))</f>
        <v>'flying'</v>
      </c>
      <c r="AA517" s="4" t="str">
        <f>IF(L517="",IF(ISNUMBER(SEARCH("NOT NULL",UPPER(L$3))),"''","null"),SUBSTITUTE(VLOOKUP(L$2,convert!$A$1:$B$4,2,0),"@@@",L517))</f>
        <v>'g4'</v>
      </c>
      <c r="AB517" s="4" t="str">
        <f>IF(M517="",IF(ISNUMBER(SEARCH("NOT NULL",UPPER(M$3))),"''","null"),SUBSTITUTE(VLOOKUP(M$2,convert!$A$1:$B$4,2,0),"@@@",M517))</f>
        <v>null</v>
      </c>
      <c r="AC517" s="4" t="str">
        <f>IF(N517="",IF(ISNUMBER(SEARCH("NOT NULL",UPPER(N$3))),"''","null"),SUBSTITUTE(VLOOKUP(N$2,convert!$A$1:$B$4,2,0),"@@@",N517))</f>
        <v>null</v>
      </c>
      <c r="AD517" s="4" t="str">
        <f>IF(O517="",IF(ISNUMBER(SEARCH("NOT NULL",UPPER(O$3))),"''","null"),SUBSTITUTE(VLOOKUP(O$2,convert!$A$1:$B$4,2,0),"@@@",O517))</f>
        <v>TRUE</v>
      </c>
      <c r="AE517" s="4" t="str">
        <f t="shared" ref="AE517:AE580" si="8">"    ("&amp;_xlfn.TEXTJOIN(", ",FALSE,P517:AD517)&amp;"),"</f>
        <v>    ('0414N01', 'ガーメイル', 70, 94, 50, 94, 50, 66, '', 'bug', 'flying', 'g4', null, null, TRUE),</v>
      </c>
    </row>
    <row r="518" spans="1:31">
      <c r="A518" s="4" t="s">
        <v>1048</v>
      </c>
      <c r="B518" s="4" t="s">
        <v>1049</v>
      </c>
      <c r="C518" s="5">
        <v>30</v>
      </c>
      <c r="D518" s="5">
        <v>30</v>
      </c>
      <c r="E518" s="5">
        <v>42</v>
      </c>
      <c r="F518" s="5">
        <v>30</v>
      </c>
      <c r="G518" s="5">
        <v>42</v>
      </c>
      <c r="H518" s="5">
        <v>70</v>
      </c>
      <c r="I518" s="5"/>
      <c r="J518" s="4" t="s">
        <v>64</v>
      </c>
      <c r="K518" s="4" t="s">
        <v>47</v>
      </c>
      <c r="L518" s="4" t="s">
        <v>986</v>
      </c>
      <c r="M518" s="5"/>
      <c r="N518" s="5"/>
      <c r="O518" s="5" t="b">
        <v>1</v>
      </c>
      <c r="P518" s="4" t="str">
        <f>IF(A518="",IF(ISNUMBER(SEARCH("NOT NULL",UPPER(A$3))),"''","null"),SUBSTITUTE(VLOOKUP(A$2,convert!$A$1:$B$4,2,0),"@@@",A518))</f>
        <v>'0415N01'</v>
      </c>
      <c r="Q518" s="4" t="str">
        <f>IF(B518="",IF(ISNUMBER(SEARCH("NOT NULL",UPPER(B$3))),"''","null"),SUBSTITUTE(VLOOKUP(B$2,convert!$A$1:$B$4,2,0),"@@@",B518))</f>
        <v>'ミツハニー'</v>
      </c>
      <c r="R518" s="4" t="str">
        <f>IF(C518="",IF(ISNUMBER(SEARCH("NOT NULL",UPPER(C$3))),"''","null"),SUBSTITUTE(VLOOKUP(C$2,convert!$A$1:$B$4,2,0),"@@@",C518))</f>
        <v>30</v>
      </c>
      <c r="S518" s="4" t="str">
        <f>IF(D518="",IF(ISNUMBER(SEARCH("NOT NULL",UPPER(D$3))),"''","null"),SUBSTITUTE(VLOOKUP(D$2,convert!$A$1:$B$4,2,0),"@@@",D518))</f>
        <v>30</v>
      </c>
      <c r="T518" s="4" t="str">
        <f>IF(E518="",IF(ISNUMBER(SEARCH("NOT NULL",UPPER(E$3))),"''","null"),SUBSTITUTE(VLOOKUP(E$2,convert!$A$1:$B$4,2,0),"@@@",E518))</f>
        <v>42</v>
      </c>
      <c r="U518" s="4" t="str">
        <f>IF(F518="",IF(ISNUMBER(SEARCH("NOT NULL",UPPER(F$3))),"''","null"),SUBSTITUTE(VLOOKUP(F$2,convert!$A$1:$B$4,2,0),"@@@",F518))</f>
        <v>30</v>
      </c>
      <c r="V518" s="4" t="str">
        <f>IF(G518="",IF(ISNUMBER(SEARCH("NOT NULL",UPPER(G$3))),"''","null"),SUBSTITUTE(VLOOKUP(G$2,convert!$A$1:$B$4,2,0),"@@@",G518))</f>
        <v>42</v>
      </c>
      <c r="W518" s="4" t="str">
        <f>IF(H518="",IF(ISNUMBER(SEARCH("NOT NULL",UPPER(H$3))),"''","null"),SUBSTITUTE(VLOOKUP(H$2,convert!$A$1:$B$4,2,0),"@@@",H518))</f>
        <v>70</v>
      </c>
      <c r="X518" s="4" t="str">
        <f>IF(I518="",IF(ISNUMBER(SEARCH("NOT NULL",UPPER(I$3))),"''","null"),SUBSTITUTE(VLOOKUP(I$2,convert!$A$1:$B$4,2,0),"@@@",I518))</f>
        <v>''</v>
      </c>
      <c r="Y518" s="4" t="str">
        <f>IF(J518="",IF(ISNUMBER(SEARCH("NOT NULL",UPPER(J$3))),"''","null"),SUBSTITUTE(VLOOKUP(J$2,convert!$A$1:$B$4,2,0),"@@@",J518))</f>
        <v>'bug'</v>
      </c>
      <c r="Z518" s="4" t="str">
        <f>IF(K518="",IF(ISNUMBER(SEARCH("NOT NULL",UPPER(K$3))),"''","null"),SUBSTITUTE(VLOOKUP(K$2,convert!$A$1:$B$4,2,0),"@@@",K518))</f>
        <v>'flying'</v>
      </c>
      <c r="AA518" s="4" t="str">
        <f>IF(L518="",IF(ISNUMBER(SEARCH("NOT NULL",UPPER(L$3))),"''","null"),SUBSTITUTE(VLOOKUP(L$2,convert!$A$1:$B$4,2,0),"@@@",L518))</f>
        <v>'g4'</v>
      </c>
      <c r="AB518" s="4" t="str">
        <f>IF(M518="",IF(ISNUMBER(SEARCH("NOT NULL",UPPER(M$3))),"''","null"),SUBSTITUTE(VLOOKUP(M$2,convert!$A$1:$B$4,2,0),"@@@",M518))</f>
        <v>null</v>
      </c>
      <c r="AC518" s="4" t="str">
        <f>IF(N518="",IF(ISNUMBER(SEARCH("NOT NULL",UPPER(N$3))),"''","null"),SUBSTITUTE(VLOOKUP(N$2,convert!$A$1:$B$4,2,0),"@@@",N518))</f>
        <v>null</v>
      </c>
      <c r="AD518" s="4" t="str">
        <f>IF(O518="",IF(ISNUMBER(SEARCH("NOT NULL",UPPER(O$3))),"''","null"),SUBSTITUTE(VLOOKUP(O$2,convert!$A$1:$B$4,2,0),"@@@",O518))</f>
        <v>TRUE</v>
      </c>
      <c r="AE518" s="4" t="str">
        <f t="shared" si="8"/>
        <v>    ('0415N01', 'ミツハニー', 30, 30, 42, 30, 42, 70, '', 'bug', 'flying', 'g4', null, null, TRUE),</v>
      </c>
    </row>
    <row r="519" spans="1:31">
      <c r="A519" s="4" t="s">
        <v>1050</v>
      </c>
      <c r="B519" s="4" t="s">
        <v>1051</v>
      </c>
      <c r="C519" s="5">
        <v>70</v>
      </c>
      <c r="D519" s="5">
        <v>80</v>
      </c>
      <c r="E519" s="5">
        <v>102</v>
      </c>
      <c r="F519" s="5">
        <v>80</v>
      </c>
      <c r="G519" s="5">
        <v>102</v>
      </c>
      <c r="H519" s="5">
        <v>40</v>
      </c>
      <c r="I519" s="5"/>
      <c r="J519" s="4" t="s">
        <v>64</v>
      </c>
      <c r="K519" s="4" t="s">
        <v>47</v>
      </c>
      <c r="L519" s="4" t="s">
        <v>986</v>
      </c>
      <c r="M519" s="5"/>
      <c r="N519" s="5"/>
      <c r="O519" s="5" t="b">
        <v>1</v>
      </c>
      <c r="P519" s="4" t="str">
        <f>IF(A519="",IF(ISNUMBER(SEARCH("NOT NULL",UPPER(A$3))),"''","null"),SUBSTITUTE(VLOOKUP(A$2,convert!$A$1:$B$4,2,0),"@@@",A519))</f>
        <v>'0416N01'</v>
      </c>
      <c r="Q519" s="4" t="str">
        <f>IF(B519="",IF(ISNUMBER(SEARCH("NOT NULL",UPPER(B$3))),"''","null"),SUBSTITUTE(VLOOKUP(B$2,convert!$A$1:$B$4,2,0),"@@@",B519))</f>
        <v>'ビークイン'</v>
      </c>
      <c r="R519" s="4" t="str">
        <f>IF(C519="",IF(ISNUMBER(SEARCH("NOT NULL",UPPER(C$3))),"''","null"),SUBSTITUTE(VLOOKUP(C$2,convert!$A$1:$B$4,2,0),"@@@",C519))</f>
        <v>70</v>
      </c>
      <c r="S519" s="4" t="str">
        <f>IF(D519="",IF(ISNUMBER(SEARCH("NOT NULL",UPPER(D$3))),"''","null"),SUBSTITUTE(VLOOKUP(D$2,convert!$A$1:$B$4,2,0),"@@@",D519))</f>
        <v>80</v>
      </c>
      <c r="T519" s="4" t="str">
        <f>IF(E519="",IF(ISNUMBER(SEARCH("NOT NULL",UPPER(E$3))),"''","null"),SUBSTITUTE(VLOOKUP(E$2,convert!$A$1:$B$4,2,0),"@@@",E519))</f>
        <v>102</v>
      </c>
      <c r="U519" s="4" t="str">
        <f>IF(F519="",IF(ISNUMBER(SEARCH("NOT NULL",UPPER(F$3))),"''","null"),SUBSTITUTE(VLOOKUP(F$2,convert!$A$1:$B$4,2,0),"@@@",F519))</f>
        <v>80</v>
      </c>
      <c r="V519" s="4" t="str">
        <f>IF(G519="",IF(ISNUMBER(SEARCH("NOT NULL",UPPER(G$3))),"''","null"),SUBSTITUTE(VLOOKUP(G$2,convert!$A$1:$B$4,2,0),"@@@",G519))</f>
        <v>102</v>
      </c>
      <c r="W519" s="4" t="str">
        <f>IF(H519="",IF(ISNUMBER(SEARCH("NOT NULL",UPPER(H$3))),"''","null"),SUBSTITUTE(VLOOKUP(H$2,convert!$A$1:$B$4,2,0),"@@@",H519))</f>
        <v>40</v>
      </c>
      <c r="X519" s="4" t="str">
        <f>IF(I519="",IF(ISNUMBER(SEARCH("NOT NULL",UPPER(I$3))),"''","null"),SUBSTITUTE(VLOOKUP(I$2,convert!$A$1:$B$4,2,0),"@@@",I519))</f>
        <v>''</v>
      </c>
      <c r="Y519" s="4" t="str">
        <f>IF(J519="",IF(ISNUMBER(SEARCH("NOT NULL",UPPER(J$3))),"''","null"),SUBSTITUTE(VLOOKUP(J$2,convert!$A$1:$B$4,2,0),"@@@",J519))</f>
        <v>'bug'</v>
      </c>
      <c r="Z519" s="4" t="str">
        <f>IF(K519="",IF(ISNUMBER(SEARCH("NOT NULL",UPPER(K$3))),"''","null"),SUBSTITUTE(VLOOKUP(K$2,convert!$A$1:$B$4,2,0),"@@@",K519))</f>
        <v>'flying'</v>
      </c>
      <c r="AA519" s="4" t="str">
        <f>IF(L519="",IF(ISNUMBER(SEARCH("NOT NULL",UPPER(L$3))),"''","null"),SUBSTITUTE(VLOOKUP(L$2,convert!$A$1:$B$4,2,0),"@@@",L519))</f>
        <v>'g4'</v>
      </c>
      <c r="AB519" s="4" t="str">
        <f>IF(M519="",IF(ISNUMBER(SEARCH("NOT NULL",UPPER(M$3))),"''","null"),SUBSTITUTE(VLOOKUP(M$2,convert!$A$1:$B$4,2,0),"@@@",M519))</f>
        <v>null</v>
      </c>
      <c r="AC519" s="4" t="str">
        <f>IF(N519="",IF(ISNUMBER(SEARCH("NOT NULL",UPPER(N$3))),"''","null"),SUBSTITUTE(VLOOKUP(N$2,convert!$A$1:$B$4,2,0),"@@@",N519))</f>
        <v>null</v>
      </c>
      <c r="AD519" s="4" t="str">
        <f>IF(O519="",IF(ISNUMBER(SEARCH("NOT NULL",UPPER(O$3))),"''","null"),SUBSTITUTE(VLOOKUP(O$2,convert!$A$1:$B$4,2,0),"@@@",O519))</f>
        <v>TRUE</v>
      </c>
      <c r="AE519" s="4" t="str">
        <f t="shared" si="8"/>
        <v>    ('0416N01', 'ビークイン', 70, 80, 102, 80, 102, 40, '', 'bug', 'flying', 'g4', null, null, TRUE),</v>
      </c>
    </row>
    <row r="520" spans="1:31">
      <c r="A520" s="4" t="s">
        <v>1052</v>
      </c>
      <c r="B520" s="4" t="s">
        <v>1053</v>
      </c>
      <c r="C520" s="5">
        <v>60</v>
      </c>
      <c r="D520" s="5">
        <v>45</v>
      </c>
      <c r="E520" s="5">
        <v>70</v>
      </c>
      <c r="F520" s="5">
        <v>45</v>
      </c>
      <c r="G520" s="5">
        <v>90</v>
      </c>
      <c r="H520" s="5">
        <v>95</v>
      </c>
      <c r="I520" s="5"/>
      <c r="J520" s="4" t="s">
        <v>106</v>
      </c>
      <c r="K520" s="5"/>
      <c r="L520" s="4" t="s">
        <v>986</v>
      </c>
      <c r="M520" s="5"/>
      <c r="N520" s="5"/>
      <c r="O520" s="5" t="b">
        <v>1</v>
      </c>
      <c r="P520" s="4" t="str">
        <f>IF(A520="",IF(ISNUMBER(SEARCH("NOT NULL",UPPER(A$3))),"''","null"),SUBSTITUTE(VLOOKUP(A$2,convert!$A$1:$B$4,2,0),"@@@",A520))</f>
        <v>'0417N01'</v>
      </c>
      <c r="Q520" s="4" t="str">
        <f>IF(B520="",IF(ISNUMBER(SEARCH("NOT NULL",UPPER(B$3))),"''","null"),SUBSTITUTE(VLOOKUP(B$2,convert!$A$1:$B$4,2,0),"@@@",B520))</f>
        <v>'パチリス'</v>
      </c>
      <c r="R520" s="4" t="str">
        <f>IF(C520="",IF(ISNUMBER(SEARCH("NOT NULL",UPPER(C$3))),"''","null"),SUBSTITUTE(VLOOKUP(C$2,convert!$A$1:$B$4,2,0),"@@@",C520))</f>
        <v>60</v>
      </c>
      <c r="S520" s="4" t="str">
        <f>IF(D520="",IF(ISNUMBER(SEARCH("NOT NULL",UPPER(D$3))),"''","null"),SUBSTITUTE(VLOOKUP(D$2,convert!$A$1:$B$4,2,0),"@@@",D520))</f>
        <v>45</v>
      </c>
      <c r="T520" s="4" t="str">
        <f>IF(E520="",IF(ISNUMBER(SEARCH("NOT NULL",UPPER(E$3))),"''","null"),SUBSTITUTE(VLOOKUP(E$2,convert!$A$1:$B$4,2,0),"@@@",E520))</f>
        <v>70</v>
      </c>
      <c r="U520" s="4" t="str">
        <f>IF(F520="",IF(ISNUMBER(SEARCH("NOT NULL",UPPER(F$3))),"''","null"),SUBSTITUTE(VLOOKUP(F$2,convert!$A$1:$B$4,2,0),"@@@",F520))</f>
        <v>45</v>
      </c>
      <c r="V520" s="4" t="str">
        <f>IF(G520="",IF(ISNUMBER(SEARCH("NOT NULL",UPPER(G$3))),"''","null"),SUBSTITUTE(VLOOKUP(G$2,convert!$A$1:$B$4,2,0),"@@@",G520))</f>
        <v>90</v>
      </c>
      <c r="W520" s="4" t="str">
        <f>IF(H520="",IF(ISNUMBER(SEARCH("NOT NULL",UPPER(H$3))),"''","null"),SUBSTITUTE(VLOOKUP(H$2,convert!$A$1:$B$4,2,0),"@@@",H520))</f>
        <v>95</v>
      </c>
      <c r="X520" s="4" t="str">
        <f>IF(I520="",IF(ISNUMBER(SEARCH("NOT NULL",UPPER(I$3))),"''","null"),SUBSTITUTE(VLOOKUP(I$2,convert!$A$1:$B$4,2,0),"@@@",I520))</f>
        <v>''</v>
      </c>
      <c r="Y520" s="4" t="str">
        <f>IF(J520="",IF(ISNUMBER(SEARCH("NOT NULL",UPPER(J$3))),"''","null"),SUBSTITUTE(VLOOKUP(J$2,convert!$A$1:$B$4,2,0),"@@@",J520))</f>
        <v>'electric'</v>
      </c>
      <c r="Z520" s="4" t="str">
        <f>IF(K520="",IF(ISNUMBER(SEARCH("NOT NULL",UPPER(K$3))),"''","null"),SUBSTITUTE(VLOOKUP(K$2,convert!$A$1:$B$4,2,0),"@@@",K520))</f>
        <v>null</v>
      </c>
      <c r="AA520" s="4" t="str">
        <f>IF(L520="",IF(ISNUMBER(SEARCH("NOT NULL",UPPER(L$3))),"''","null"),SUBSTITUTE(VLOOKUP(L$2,convert!$A$1:$B$4,2,0),"@@@",L520))</f>
        <v>'g4'</v>
      </c>
      <c r="AB520" s="4" t="str">
        <f>IF(M520="",IF(ISNUMBER(SEARCH("NOT NULL",UPPER(M$3))),"''","null"),SUBSTITUTE(VLOOKUP(M$2,convert!$A$1:$B$4,2,0),"@@@",M520))</f>
        <v>null</v>
      </c>
      <c r="AC520" s="4" t="str">
        <f>IF(N520="",IF(ISNUMBER(SEARCH("NOT NULL",UPPER(N$3))),"''","null"),SUBSTITUTE(VLOOKUP(N$2,convert!$A$1:$B$4,2,0),"@@@",N520))</f>
        <v>null</v>
      </c>
      <c r="AD520" s="4" t="str">
        <f>IF(O520="",IF(ISNUMBER(SEARCH("NOT NULL",UPPER(O$3))),"''","null"),SUBSTITUTE(VLOOKUP(O$2,convert!$A$1:$B$4,2,0),"@@@",O520))</f>
        <v>TRUE</v>
      </c>
      <c r="AE520" s="4" t="str">
        <f t="shared" si="8"/>
        <v>    ('0417N01', 'パチリス', 60, 45, 70, 45, 90, 95, '', 'electric', null, 'g4', null, null, TRUE),</v>
      </c>
    </row>
    <row r="521" spans="1:31">
      <c r="A521" s="4" t="s">
        <v>1054</v>
      </c>
      <c r="B521" s="4" t="s">
        <v>1055</v>
      </c>
      <c r="C521" s="5">
        <v>55</v>
      </c>
      <c r="D521" s="5">
        <v>65</v>
      </c>
      <c r="E521" s="5">
        <v>35</v>
      </c>
      <c r="F521" s="5">
        <v>60</v>
      </c>
      <c r="G521" s="5">
        <v>30</v>
      </c>
      <c r="H521" s="5">
        <v>85</v>
      </c>
      <c r="I521" s="5"/>
      <c r="J521" s="4" t="s">
        <v>55</v>
      </c>
      <c r="K521" s="5"/>
      <c r="L521" s="4" t="s">
        <v>986</v>
      </c>
      <c r="M521" s="5"/>
      <c r="N521" s="5"/>
      <c r="O521" s="5" t="b">
        <v>1</v>
      </c>
      <c r="P521" s="4" t="str">
        <f>IF(A521="",IF(ISNUMBER(SEARCH("NOT NULL",UPPER(A$3))),"''","null"),SUBSTITUTE(VLOOKUP(A$2,convert!$A$1:$B$4,2,0),"@@@",A521))</f>
        <v>'0418N01'</v>
      </c>
      <c r="Q521" s="4" t="str">
        <f>IF(B521="",IF(ISNUMBER(SEARCH("NOT NULL",UPPER(B$3))),"''","null"),SUBSTITUTE(VLOOKUP(B$2,convert!$A$1:$B$4,2,0),"@@@",B521))</f>
        <v>'ブイゼル'</v>
      </c>
      <c r="R521" s="4" t="str">
        <f>IF(C521="",IF(ISNUMBER(SEARCH("NOT NULL",UPPER(C$3))),"''","null"),SUBSTITUTE(VLOOKUP(C$2,convert!$A$1:$B$4,2,0),"@@@",C521))</f>
        <v>55</v>
      </c>
      <c r="S521" s="4" t="str">
        <f>IF(D521="",IF(ISNUMBER(SEARCH("NOT NULL",UPPER(D$3))),"''","null"),SUBSTITUTE(VLOOKUP(D$2,convert!$A$1:$B$4,2,0),"@@@",D521))</f>
        <v>65</v>
      </c>
      <c r="T521" s="4" t="str">
        <f>IF(E521="",IF(ISNUMBER(SEARCH("NOT NULL",UPPER(E$3))),"''","null"),SUBSTITUTE(VLOOKUP(E$2,convert!$A$1:$B$4,2,0),"@@@",E521))</f>
        <v>35</v>
      </c>
      <c r="U521" s="4" t="str">
        <f>IF(F521="",IF(ISNUMBER(SEARCH("NOT NULL",UPPER(F$3))),"''","null"),SUBSTITUTE(VLOOKUP(F$2,convert!$A$1:$B$4,2,0),"@@@",F521))</f>
        <v>60</v>
      </c>
      <c r="V521" s="4" t="str">
        <f>IF(G521="",IF(ISNUMBER(SEARCH("NOT NULL",UPPER(G$3))),"''","null"),SUBSTITUTE(VLOOKUP(G$2,convert!$A$1:$B$4,2,0),"@@@",G521))</f>
        <v>30</v>
      </c>
      <c r="W521" s="4" t="str">
        <f>IF(H521="",IF(ISNUMBER(SEARCH("NOT NULL",UPPER(H$3))),"''","null"),SUBSTITUTE(VLOOKUP(H$2,convert!$A$1:$B$4,2,0),"@@@",H521))</f>
        <v>85</v>
      </c>
      <c r="X521" s="4" t="str">
        <f>IF(I521="",IF(ISNUMBER(SEARCH("NOT NULL",UPPER(I$3))),"''","null"),SUBSTITUTE(VLOOKUP(I$2,convert!$A$1:$B$4,2,0),"@@@",I521))</f>
        <v>''</v>
      </c>
      <c r="Y521" s="4" t="str">
        <f>IF(J521="",IF(ISNUMBER(SEARCH("NOT NULL",UPPER(J$3))),"''","null"),SUBSTITUTE(VLOOKUP(J$2,convert!$A$1:$B$4,2,0),"@@@",J521))</f>
        <v>'water'</v>
      </c>
      <c r="Z521" s="4" t="str">
        <f>IF(K521="",IF(ISNUMBER(SEARCH("NOT NULL",UPPER(K$3))),"''","null"),SUBSTITUTE(VLOOKUP(K$2,convert!$A$1:$B$4,2,0),"@@@",K521))</f>
        <v>null</v>
      </c>
      <c r="AA521" s="4" t="str">
        <f>IF(L521="",IF(ISNUMBER(SEARCH("NOT NULL",UPPER(L$3))),"''","null"),SUBSTITUTE(VLOOKUP(L$2,convert!$A$1:$B$4,2,0),"@@@",L521))</f>
        <v>'g4'</v>
      </c>
      <c r="AB521" s="4" t="str">
        <f>IF(M521="",IF(ISNUMBER(SEARCH("NOT NULL",UPPER(M$3))),"''","null"),SUBSTITUTE(VLOOKUP(M$2,convert!$A$1:$B$4,2,0),"@@@",M521))</f>
        <v>null</v>
      </c>
      <c r="AC521" s="4" t="str">
        <f>IF(N521="",IF(ISNUMBER(SEARCH("NOT NULL",UPPER(N$3))),"''","null"),SUBSTITUTE(VLOOKUP(N$2,convert!$A$1:$B$4,2,0),"@@@",N521))</f>
        <v>null</v>
      </c>
      <c r="AD521" s="4" t="str">
        <f>IF(O521="",IF(ISNUMBER(SEARCH("NOT NULL",UPPER(O$3))),"''","null"),SUBSTITUTE(VLOOKUP(O$2,convert!$A$1:$B$4,2,0),"@@@",O521))</f>
        <v>TRUE</v>
      </c>
      <c r="AE521" s="4" t="str">
        <f t="shared" si="8"/>
        <v>    ('0418N01', 'ブイゼル', 55, 65, 35, 60, 30, 85, '', 'water', null, 'g4', null, null, TRUE),</v>
      </c>
    </row>
    <row r="522" spans="1:31">
      <c r="A522" s="4" t="s">
        <v>1056</v>
      </c>
      <c r="B522" s="4" t="s">
        <v>1057</v>
      </c>
      <c r="C522" s="5">
        <v>85</v>
      </c>
      <c r="D522" s="5">
        <v>105</v>
      </c>
      <c r="E522" s="5">
        <v>55</v>
      </c>
      <c r="F522" s="5">
        <v>85</v>
      </c>
      <c r="G522" s="5">
        <v>50</v>
      </c>
      <c r="H522" s="5">
        <v>115</v>
      </c>
      <c r="I522" s="5"/>
      <c r="J522" s="4" t="s">
        <v>55</v>
      </c>
      <c r="K522" s="5"/>
      <c r="L522" s="4" t="s">
        <v>986</v>
      </c>
      <c r="M522" s="5"/>
      <c r="N522" s="5"/>
      <c r="O522" s="5" t="b">
        <v>1</v>
      </c>
      <c r="P522" s="4" t="str">
        <f>IF(A522="",IF(ISNUMBER(SEARCH("NOT NULL",UPPER(A$3))),"''","null"),SUBSTITUTE(VLOOKUP(A$2,convert!$A$1:$B$4,2,0),"@@@",A522))</f>
        <v>'0419N01'</v>
      </c>
      <c r="Q522" s="4" t="str">
        <f>IF(B522="",IF(ISNUMBER(SEARCH("NOT NULL",UPPER(B$3))),"''","null"),SUBSTITUTE(VLOOKUP(B$2,convert!$A$1:$B$4,2,0),"@@@",B522))</f>
        <v>'フローゼル'</v>
      </c>
      <c r="R522" s="4" t="str">
        <f>IF(C522="",IF(ISNUMBER(SEARCH("NOT NULL",UPPER(C$3))),"''","null"),SUBSTITUTE(VLOOKUP(C$2,convert!$A$1:$B$4,2,0),"@@@",C522))</f>
        <v>85</v>
      </c>
      <c r="S522" s="4" t="str">
        <f>IF(D522="",IF(ISNUMBER(SEARCH("NOT NULL",UPPER(D$3))),"''","null"),SUBSTITUTE(VLOOKUP(D$2,convert!$A$1:$B$4,2,0),"@@@",D522))</f>
        <v>105</v>
      </c>
      <c r="T522" s="4" t="str">
        <f>IF(E522="",IF(ISNUMBER(SEARCH("NOT NULL",UPPER(E$3))),"''","null"),SUBSTITUTE(VLOOKUP(E$2,convert!$A$1:$B$4,2,0),"@@@",E522))</f>
        <v>55</v>
      </c>
      <c r="U522" s="4" t="str">
        <f>IF(F522="",IF(ISNUMBER(SEARCH("NOT NULL",UPPER(F$3))),"''","null"),SUBSTITUTE(VLOOKUP(F$2,convert!$A$1:$B$4,2,0),"@@@",F522))</f>
        <v>85</v>
      </c>
      <c r="V522" s="4" t="str">
        <f>IF(G522="",IF(ISNUMBER(SEARCH("NOT NULL",UPPER(G$3))),"''","null"),SUBSTITUTE(VLOOKUP(G$2,convert!$A$1:$B$4,2,0),"@@@",G522))</f>
        <v>50</v>
      </c>
      <c r="W522" s="4" t="str">
        <f>IF(H522="",IF(ISNUMBER(SEARCH("NOT NULL",UPPER(H$3))),"''","null"),SUBSTITUTE(VLOOKUP(H$2,convert!$A$1:$B$4,2,0),"@@@",H522))</f>
        <v>115</v>
      </c>
      <c r="X522" s="4" t="str">
        <f>IF(I522="",IF(ISNUMBER(SEARCH("NOT NULL",UPPER(I$3))),"''","null"),SUBSTITUTE(VLOOKUP(I$2,convert!$A$1:$B$4,2,0),"@@@",I522))</f>
        <v>''</v>
      </c>
      <c r="Y522" s="4" t="str">
        <f>IF(J522="",IF(ISNUMBER(SEARCH("NOT NULL",UPPER(J$3))),"''","null"),SUBSTITUTE(VLOOKUP(J$2,convert!$A$1:$B$4,2,0),"@@@",J522))</f>
        <v>'water'</v>
      </c>
      <c r="Z522" s="4" t="str">
        <f>IF(K522="",IF(ISNUMBER(SEARCH("NOT NULL",UPPER(K$3))),"''","null"),SUBSTITUTE(VLOOKUP(K$2,convert!$A$1:$B$4,2,0),"@@@",K522))</f>
        <v>null</v>
      </c>
      <c r="AA522" s="4" t="str">
        <f>IF(L522="",IF(ISNUMBER(SEARCH("NOT NULL",UPPER(L$3))),"''","null"),SUBSTITUTE(VLOOKUP(L$2,convert!$A$1:$B$4,2,0),"@@@",L522))</f>
        <v>'g4'</v>
      </c>
      <c r="AB522" s="4" t="str">
        <f>IF(M522="",IF(ISNUMBER(SEARCH("NOT NULL",UPPER(M$3))),"''","null"),SUBSTITUTE(VLOOKUP(M$2,convert!$A$1:$B$4,2,0),"@@@",M522))</f>
        <v>null</v>
      </c>
      <c r="AC522" s="4" t="str">
        <f>IF(N522="",IF(ISNUMBER(SEARCH("NOT NULL",UPPER(N$3))),"''","null"),SUBSTITUTE(VLOOKUP(N$2,convert!$A$1:$B$4,2,0),"@@@",N522))</f>
        <v>null</v>
      </c>
      <c r="AD522" s="4" t="str">
        <f>IF(O522="",IF(ISNUMBER(SEARCH("NOT NULL",UPPER(O$3))),"''","null"),SUBSTITUTE(VLOOKUP(O$2,convert!$A$1:$B$4,2,0),"@@@",O522))</f>
        <v>TRUE</v>
      </c>
      <c r="AE522" s="4" t="str">
        <f t="shared" si="8"/>
        <v>    ('0419N01', 'フローゼル', 85, 105, 55, 85, 50, 115, '', 'water', null, 'g4', null, null, TRUE),</v>
      </c>
    </row>
    <row r="523" spans="1:31">
      <c r="A523" s="4" t="s">
        <v>1058</v>
      </c>
      <c r="B523" s="4" t="s">
        <v>1059</v>
      </c>
      <c r="C523" s="5">
        <v>45</v>
      </c>
      <c r="D523" s="5">
        <v>35</v>
      </c>
      <c r="E523" s="5">
        <v>45</v>
      </c>
      <c r="F523" s="5">
        <v>62</v>
      </c>
      <c r="G523" s="5">
        <v>53</v>
      </c>
      <c r="H523" s="5">
        <v>35</v>
      </c>
      <c r="I523" s="5"/>
      <c r="J523" s="4" t="s">
        <v>30</v>
      </c>
      <c r="K523" s="5"/>
      <c r="L523" s="4" t="s">
        <v>986</v>
      </c>
      <c r="M523" s="5"/>
      <c r="N523" s="5"/>
      <c r="O523" s="5" t="b">
        <v>1</v>
      </c>
      <c r="P523" s="4" t="str">
        <f>IF(A523="",IF(ISNUMBER(SEARCH("NOT NULL",UPPER(A$3))),"''","null"),SUBSTITUTE(VLOOKUP(A$2,convert!$A$1:$B$4,2,0),"@@@",A523))</f>
        <v>'0420N01'</v>
      </c>
      <c r="Q523" s="4" t="str">
        <f>IF(B523="",IF(ISNUMBER(SEARCH("NOT NULL",UPPER(B$3))),"''","null"),SUBSTITUTE(VLOOKUP(B$2,convert!$A$1:$B$4,2,0),"@@@",B523))</f>
        <v>'チェリンボ'</v>
      </c>
      <c r="R523" s="4" t="str">
        <f>IF(C523="",IF(ISNUMBER(SEARCH("NOT NULL",UPPER(C$3))),"''","null"),SUBSTITUTE(VLOOKUP(C$2,convert!$A$1:$B$4,2,0),"@@@",C523))</f>
        <v>45</v>
      </c>
      <c r="S523" s="4" t="str">
        <f>IF(D523="",IF(ISNUMBER(SEARCH("NOT NULL",UPPER(D$3))),"''","null"),SUBSTITUTE(VLOOKUP(D$2,convert!$A$1:$B$4,2,0),"@@@",D523))</f>
        <v>35</v>
      </c>
      <c r="T523" s="4" t="str">
        <f>IF(E523="",IF(ISNUMBER(SEARCH("NOT NULL",UPPER(E$3))),"''","null"),SUBSTITUTE(VLOOKUP(E$2,convert!$A$1:$B$4,2,0),"@@@",E523))</f>
        <v>45</v>
      </c>
      <c r="U523" s="4" t="str">
        <f>IF(F523="",IF(ISNUMBER(SEARCH("NOT NULL",UPPER(F$3))),"''","null"),SUBSTITUTE(VLOOKUP(F$2,convert!$A$1:$B$4,2,0),"@@@",F523))</f>
        <v>62</v>
      </c>
      <c r="V523" s="4" t="str">
        <f>IF(G523="",IF(ISNUMBER(SEARCH("NOT NULL",UPPER(G$3))),"''","null"),SUBSTITUTE(VLOOKUP(G$2,convert!$A$1:$B$4,2,0),"@@@",G523))</f>
        <v>53</v>
      </c>
      <c r="W523" s="4" t="str">
        <f>IF(H523="",IF(ISNUMBER(SEARCH("NOT NULL",UPPER(H$3))),"''","null"),SUBSTITUTE(VLOOKUP(H$2,convert!$A$1:$B$4,2,0),"@@@",H523))</f>
        <v>35</v>
      </c>
      <c r="X523" s="4" t="str">
        <f>IF(I523="",IF(ISNUMBER(SEARCH("NOT NULL",UPPER(I$3))),"''","null"),SUBSTITUTE(VLOOKUP(I$2,convert!$A$1:$B$4,2,0),"@@@",I523))</f>
        <v>''</v>
      </c>
      <c r="Y523" s="4" t="str">
        <f>IF(J523="",IF(ISNUMBER(SEARCH("NOT NULL",UPPER(J$3))),"''","null"),SUBSTITUTE(VLOOKUP(J$2,convert!$A$1:$B$4,2,0),"@@@",J523))</f>
        <v>'grass'</v>
      </c>
      <c r="Z523" s="4" t="str">
        <f>IF(K523="",IF(ISNUMBER(SEARCH("NOT NULL",UPPER(K$3))),"''","null"),SUBSTITUTE(VLOOKUP(K$2,convert!$A$1:$B$4,2,0),"@@@",K523))</f>
        <v>null</v>
      </c>
      <c r="AA523" s="4" t="str">
        <f>IF(L523="",IF(ISNUMBER(SEARCH("NOT NULL",UPPER(L$3))),"''","null"),SUBSTITUTE(VLOOKUP(L$2,convert!$A$1:$B$4,2,0),"@@@",L523))</f>
        <v>'g4'</v>
      </c>
      <c r="AB523" s="4" t="str">
        <f>IF(M523="",IF(ISNUMBER(SEARCH("NOT NULL",UPPER(M$3))),"''","null"),SUBSTITUTE(VLOOKUP(M$2,convert!$A$1:$B$4,2,0),"@@@",M523))</f>
        <v>null</v>
      </c>
      <c r="AC523" s="4" t="str">
        <f>IF(N523="",IF(ISNUMBER(SEARCH("NOT NULL",UPPER(N$3))),"''","null"),SUBSTITUTE(VLOOKUP(N$2,convert!$A$1:$B$4,2,0),"@@@",N523))</f>
        <v>null</v>
      </c>
      <c r="AD523" s="4" t="str">
        <f>IF(O523="",IF(ISNUMBER(SEARCH("NOT NULL",UPPER(O$3))),"''","null"),SUBSTITUTE(VLOOKUP(O$2,convert!$A$1:$B$4,2,0),"@@@",O523))</f>
        <v>TRUE</v>
      </c>
      <c r="AE523" s="4" t="str">
        <f t="shared" si="8"/>
        <v>    ('0420N01', 'チェリンボ', 45, 35, 45, 62, 53, 35, '', 'grass', null, 'g4', null, null, TRUE),</v>
      </c>
    </row>
    <row r="524" spans="1:31">
      <c r="A524" s="4" t="s">
        <v>1060</v>
      </c>
      <c r="B524" s="4" t="s">
        <v>1061</v>
      </c>
      <c r="C524" s="5">
        <v>70</v>
      </c>
      <c r="D524" s="5">
        <v>60</v>
      </c>
      <c r="E524" s="5">
        <v>70</v>
      </c>
      <c r="F524" s="5">
        <v>87</v>
      </c>
      <c r="G524" s="5">
        <v>78</v>
      </c>
      <c r="H524" s="5">
        <v>85</v>
      </c>
      <c r="I524" s="4" t="s">
        <v>1062</v>
      </c>
      <c r="J524" s="4" t="s">
        <v>30</v>
      </c>
      <c r="K524" s="5"/>
      <c r="L524" s="4" t="s">
        <v>986</v>
      </c>
      <c r="M524" s="5"/>
      <c r="N524" s="5"/>
      <c r="O524" s="5" t="b">
        <v>1</v>
      </c>
      <c r="P524" s="4" t="str">
        <f>IF(A524="",IF(ISNUMBER(SEARCH("NOT NULL",UPPER(A$3))),"''","null"),SUBSTITUTE(VLOOKUP(A$2,convert!$A$1:$B$4,2,0),"@@@",A524))</f>
        <v>'0421N01'</v>
      </c>
      <c r="Q524" s="4" t="str">
        <f>IF(B524="",IF(ISNUMBER(SEARCH("NOT NULL",UPPER(B$3))),"''","null"),SUBSTITUTE(VLOOKUP(B$2,convert!$A$1:$B$4,2,0),"@@@",B524))</f>
        <v>'チェリム'</v>
      </c>
      <c r="R524" s="4" t="str">
        <f>IF(C524="",IF(ISNUMBER(SEARCH("NOT NULL",UPPER(C$3))),"''","null"),SUBSTITUTE(VLOOKUP(C$2,convert!$A$1:$B$4,2,0),"@@@",C524))</f>
        <v>70</v>
      </c>
      <c r="S524" s="4" t="str">
        <f>IF(D524="",IF(ISNUMBER(SEARCH("NOT NULL",UPPER(D$3))),"''","null"),SUBSTITUTE(VLOOKUP(D$2,convert!$A$1:$B$4,2,0),"@@@",D524))</f>
        <v>60</v>
      </c>
      <c r="T524" s="4" t="str">
        <f>IF(E524="",IF(ISNUMBER(SEARCH("NOT NULL",UPPER(E$3))),"''","null"),SUBSTITUTE(VLOOKUP(E$2,convert!$A$1:$B$4,2,0),"@@@",E524))</f>
        <v>70</v>
      </c>
      <c r="U524" s="4" t="str">
        <f>IF(F524="",IF(ISNUMBER(SEARCH("NOT NULL",UPPER(F$3))),"''","null"),SUBSTITUTE(VLOOKUP(F$2,convert!$A$1:$B$4,2,0),"@@@",F524))</f>
        <v>87</v>
      </c>
      <c r="V524" s="4" t="str">
        <f>IF(G524="",IF(ISNUMBER(SEARCH("NOT NULL",UPPER(G$3))),"''","null"),SUBSTITUTE(VLOOKUP(G$2,convert!$A$1:$B$4,2,0),"@@@",G524))</f>
        <v>78</v>
      </c>
      <c r="W524" s="4" t="str">
        <f>IF(H524="",IF(ISNUMBER(SEARCH("NOT NULL",UPPER(H$3))),"''","null"),SUBSTITUTE(VLOOKUP(H$2,convert!$A$1:$B$4,2,0),"@@@",H524))</f>
        <v>85</v>
      </c>
      <c r="X524" s="4" t="str">
        <f>IF(I524="",IF(ISNUMBER(SEARCH("NOT NULL",UPPER(I$3))),"''","null"),SUBSTITUTE(VLOOKUP(I$2,convert!$A$1:$B$4,2,0),"@@@",I524))</f>
        <v>'ポジフォルム'</v>
      </c>
      <c r="Y524" s="4" t="str">
        <f>IF(J524="",IF(ISNUMBER(SEARCH("NOT NULL",UPPER(J$3))),"''","null"),SUBSTITUTE(VLOOKUP(J$2,convert!$A$1:$B$4,2,0),"@@@",J524))</f>
        <v>'grass'</v>
      </c>
      <c r="Z524" s="4" t="str">
        <f>IF(K524="",IF(ISNUMBER(SEARCH("NOT NULL",UPPER(K$3))),"''","null"),SUBSTITUTE(VLOOKUP(K$2,convert!$A$1:$B$4,2,0),"@@@",K524))</f>
        <v>null</v>
      </c>
      <c r="AA524" s="4" t="str">
        <f>IF(L524="",IF(ISNUMBER(SEARCH("NOT NULL",UPPER(L$3))),"''","null"),SUBSTITUTE(VLOOKUP(L$2,convert!$A$1:$B$4,2,0),"@@@",L524))</f>
        <v>'g4'</v>
      </c>
      <c r="AB524" s="4" t="str">
        <f>IF(M524="",IF(ISNUMBER(SEARCH("NOT NULL",UPPER(M$3))),"''","null"),SUBSTITUTE(VLOOKUP(M$2,convert!$A$1:$B$4,2,0),"@@@",M524))</f>
        <v>null</v>
      </c>
      <c r="AC524" s="4" t="str">
        <f>IF(N524="",IF(ISNUMBER(SEARCH("NOT NULL",UPPER(N$3))),"''","null"),SUBSTITUTE(VLOOKUP(N$2,convert!$A$1:$B$4,2,0),"@@@",N524))</f>
        <v>null</v>
      </c>
      <c r="AD524" s="4" t="str">
        <f>IF(O524="",IF(ISNUMBER(SEARCH("NOT NULL",UPPER(O$3))),"''","null"),SUBSTITUTE(VLOOKUP(O$2,convert!$A$1:$B$4,2,0),"@@@",O524))</f>
        <v>TRUE</v>
      </c>
      <c r="AE524" s="4" t="str">
        <f t="shared" si="8"/>
        <v>    ('0421N01', 'チェリム', 70, 60, 70, 87, 78, 85, 'ポジフォルム', 'grass', null, 'g4', null, null, TRUE),</v>
      </c>
    </row>
    <row r="525" spans="1:31">
      <c r="A525" s="4" t="s">
        <v>1063</v>
      </c>
      <c r="B525" s="4" t="s">
        <v>1061</v>
      </c>
      <c r="C525" s="5">
        <v>70</v>
      </c>
      <c r="D525" s="5">
        <v>60</v>
      </c>
      <c r="E525" s="5">
        <v>70</v>
      </c>
      <c r="F525" s="5">
        <v>87</v>
      </c>
      <c r="G525" s="5">
        <v>78</v>
      </c>
      <c r="H525" s="5">
        <v>85</v>
      </c>
      <c r="I525" s="4" t="s">
        <v>1064</v>
      </c>
      <c r="J525" s="4" t="s">
        <v>30</v>
      </c>
      <c r="K525" s="5"/>
      <c r="L525" s="4" t="s">
        <v>986</v>
      </c>
      <c r="M525" s="5"/>
      <c r="N525" s="5"/>
      <c r="O525" s="5" t="b">
        <v>1</v>
      </c>
      <c r="P525" s="4" t="str">
        <f>IF(A525="",IF(ISNUMBER(SEARCH("NOT NULL",UPPER(A$3))),"''","null"),SUBSTITUTE(VLOOKUP(A$2,convert!$A$1:$B$4,2,0),"@@@",A525))</f>
        <v>'0421N02'</v>
      </c>
      <c r="Q525" s="4" t="str">
        <f>IF(B525="",IF(ISNUMBER(SEARCH("NOT NULL",UPPER(B$3))),"''","null"),SUBSTITUTE(VLOOKUP(B$2,convert!$A$1:$B$4,2,0),"@@@",B525))</f>
        <v>'チェリム'</v>
      </c>
      <c r="R525" s="4" t="str">
        <f>IF(C525="",IF(ISNUMBER(SEARCH("NOT NULL",UPPER(C$3))),"''","null"),SUBSTITUTE(VLOOKUP(C$2,convert!$A$1:$B$4,2,0),"@@@",C525))</f>
        <v>70</v>
      </c>
      <c r="S525" s="4" t="str">
        <f>IF(D525="",IF(ISNUMBER(SEARCH("NOT NULL",UPPER(D$3))),"''","null"),SUBSTITUTE(VLOOKUP(D$2,convert!$A$1:$B$4,2,0),"@@@",D525))</f>
        <v>60</v>
      </c>
      <c r="T525" s="4" t="str">
        <f>IF(E525="",IF(ISNUMBER(SEARCH("NOT NULL",UPPER(E$3))),"''","null"),SUBSTITUTE(VLOOKUP(E$2,convert!$A$1:$B$4,2,0),"@@@",E525))</f>
        <v>70</v>
      </c>
      <c r="U525" s="4" t="str">
        <f>IF(F525="",IF(ISNUMBER(SEARCH("NOT NULL",UPPER(F$3))),"''","null"),SUBSTITUTE(VLOOKUP(F$2,convert!$A$1:$B$4,2,0),"@@@",F525))</f>
        <v>87</v>
      </c>
      <c r="V525" s="4" t="str">
        <f>IF(G525="",IF(ISNUMBER(SEARCH("NOT NULL",UPPER(G$3))),"''","null"),SUBSTITUTE(VLOOKUP(G$2,convert!$A$1:$B$4,2,0),"@@@",G525))</f>
        <v>78</v>
      </c>
      <c r="W525" s="4" t="str">
        <f>IF(H525="",IF(ISNUMBER(SEARCH("NOT NULL",UPPER(H$3))),"''","null"),SUBSTITUTE(VLOOKUP(H$2,convert!$A$1:$B$4,2,0),"@@@",H525))</f>
        <v>85</v>
      </c>
      <c r="X525" s="4" t="str">
        <f>IF(I525="",IF(ISNUMBER(SEARCH("NOT NULL",UPPER(I$3))),"''","null"),SUBSTITUTE(VLOOKUP(I$2,convert!$A$1:$B$4,2,0),"@@@",I525))</f>
        <v>'ネガフォルム'</v>
      </c>
      <c r="Y525" s="4" t="str">
        <f>IF(J525="",IF(ISNUMBER(SEARCH("NOT NULL",UPPER(J$3))),"''","null"),SUBSTITUTE(VLOOKUP(J$2,convert!$A$1:$B$4,2,0),"@@@",J525))</f>
        <v>'grass'</v>
      </c>
      <c r="Z525" s="4" t="str">
        <f>IF(K525="",IF(ISNUMBER(SEARCH("NOT NULL",UPPER(K$3))),"''","null"),SUBSTITUTE(VLOOKUP(K$2,convert!$A$1:$B$4,2,0),"@@@",K525))</f>
        <v>null</v>
      </c>
      <c r="AA525" s="4" t="str">
        <f>IF(L525="",IF(ISNUMBER(SEARCH("NOT NULL",UPPER(L$3))),"''","null"),SUBSTITUTE(VLOOKUP(L$2,convert!$A$1:$B$4,2,0),"@@@",L525))</f>
        <v>'g4'</v>
      </c>
      <c r="AB525" s="4" t="str">
        <f>IF(M525="",IF(ISNUMBER(SEARCH("NOT NULL",UPPER(M$3))),"''","null"),SUBSTITUTE(VLOOKUP(M$2,convert!$A$1:$B$4,2,0),"@@@",M525))</f>
        <v>null</v>
      </c>
      <c r="AC525" s="4" t="str">
        <f>IF(N525="",IF(ISNUMBER(SEARCH("NOT NULL",UPPER(N$3))),"''","null"),SUBSTITUTE(VLOOKUP(N$2,convert!$A$1:$B$4,2,0),"@@@",N525))</f>
        <v>null</v>
      </c>
      <c r="AD525" s="4" t="str">
        <f>IF(O525="",IF(ISNUMBER(SEARCH("NOT NULL",UPPER(O$3))),"''","null"),SUBSTITUTE(VLOOKUP(O$2,convert!$A$1:$B$4,2,0),"@@@",O525))</f>
        <v>TRUE</v>
      </c>
      <c r="AE525" s="4" t="str">
        <f t="shared" si="8"/>
        <v>    ('0421N02', 'チェリム', 70, 60, 70, 87, 78, 85, 'ネガフォルム', 'grass', null, 'g4', null, null, TRUE),</v>
      </c>
    </row>
    <row r="526" spans="1:31">
      <c r="A526" s="4" t="s">
        <v>1065</v>
      </c>
      <c r="B526" s="4" t="s">
        <v>1066</v>
      </c>
      <c r="C526" s="5">
        <v>76</v>
      </c>
      <c r="D526" s="5">
        <v>48</v>
      </c>
      <c r="E526" s="5">
        <v>48</v>
      </c>
      <c r="F526" s="5">
        <v>57</v>
      </c>
      <c r="G526" s="5">
        <v>62</v>
      </c>
      <c r="H526" s="5">
        <v>34</v>
      </c>
      <c r="I526" s="4" t="s">
        <v>1067</v>
      </c>
      <c r="J526" s="4" t="s">
        <v>55</v>
      </c>
      <c r="K526" s="5"/>
      <c r="L526" s="4" t="s">
        <v>986</v>
      </c>
      <c r="M526" s="5"/>
      <c r="N526" s="5"/>
      <c r="O526" s="5" t="b">
        <v>1</v>
      </c>
      <c r="P526" s="4" t="str">
        <f>IF(A526="",IF(ISNUMBER(SEARCH("NOT NULL",UPPER(A$3))),"''","null"),SUBSTITUTE(VLOOKUP(A$2,convert!$A$1:$B$4,2,0),"@@@",A526))</f>
        <v>'0422N01'</v>
      </c>
      <c r="Q526" s="4" t="str">
        <f>IF(B526="",IF(ISNUMBER(SEARCH("NOT NULL",UPPER(B$3))),"''","null"),SUBSTITUTE(VLOOKUP(B$2,convert!$A$1:$B$4,2,0),"@@@",B526))</f>
        <v>'カラナクシ'</v>
      </c>
      <c r="R526" s="4" t="str">
        <f>IF(C526="",IF(ISNUMBER(SEARCH("NOT NULL",UPPER(C$3))),"''","null"),SUBSTITUTE(VLOOKUP(C$2,convert!$A$1:$B$4,2,0),"@@@",C526))</f>
        <v>76</v>
      </c>
      <c r="S526" s="4" t="str">
        <f>IF(D526="",IF(ISNUMBER(SEARCH("NOT NULL",UPPER(D$3))),"''","null"),SUBSTITUTE(VLOOKUP(D$2,convert!$A$1:$B$4,2,0),"@@@",D526))</f>
        <v>48</v>
      </c>
      <c r="T526" s="4" t="str">
        <f>IF(E526="",IF(ISNUMBER(SEARCH("NOT NULL",UPPER(E$3))),"''","null"),SUBSTITUTE(VLOOKUP(E$2,convert!$A$1:$B$4,2,0),"@@@",E526))</f>
        <v>48</v>
      </c>
      <c r="U526" s="4" t="str">
        <f>IF(F526="",IF(ISNUMBER(SEARCH("NOT NULL",UPPER(F$3))),"''","null"),SUBSTITUTE(VLOOKUP(F$2,convert!$A$1:$B$4,2,0),"@@@",F526))</f>
        <v>57</v>
      </c>
      <c r="V526" s="4" t="str">
        <f>IF(G526="",IF(ISNUMBER(SEARCH("NOT NULL",UPPER(G$3))),"''","null"),SUBSTITUTE(VLOOKUP(G$2,convert!$A$1:$B$4,2,0),"@@@",G526))</f>
        <v>62</v>
      </c>
      <c r="W526" s="4" t="str">
        <f>IF(H526="",IF(ISNUMBER(SEARCH("NOT NULL",UPPER(H$3))),"''","null"),SUBSTITUTE(VLOOKUP(H$2,convert!$A$1:$B$4,2,0),"@@@",H526))</f>
        <v>34</v>
      </c>
      <c r="X526" s="4" t="str">
        <f>IF(I526="",IF(ISNUMBER(SEARCH("NOT NULL",UPPER(I$3))),"''","null"),SUBSTITUTE(VLOOKUP(I$2,convert!$A$1:$B$4,2,0),"@@@",I526))</f>
        <v>'にしのうみ'</v>
      </c>
      <c r="Y526" s="4" t="str">
        <f>IF(J526="",IF(ISNUMBER(SEARCH("NOT NULL",UPPER(J$3))),"''","null"),SUBSTITUTE(VLOOKUP(J$2,convert!$A$1:$B$4,2,0),"@@@",J526))</f>
        <v>'water'</v>
      </c>
      <c r="Z526" s="4" t="str">
        <f>IF(K526="",IF(ISNUMBER(SEARCH("NOT NULL",UPPER(K$3))),"''","null"),SUBSTITUTE(VLOOKUP(K$2,convert!$A$1:$B$4,2,0),"@@@",K526))</f>
        <v>null</v>
      </c>
      <c r="AA526" s="4" t="str">
        <f>IF(L526="",IF(ISNUMBER(SEARCH("NOT NULL",UPPER(L$3))),"''","null"),SUBSTITUTE(VLOOKUP(L$2,convert!$A$1:$B$4,2,0),"@@@",L526))</f>
        <v>'g4'</v>
      </c>
      <c r="AB526" s="4" t="str">
        <f>IF(M526="",IF(ISNUMBER(SEARCH("NOT NULL",UPPER(M$3))),"''","null"),SUBSTITUTE(VLOOKUP(M$2,convert!$A$1:$B$4,2,0),"@@@",M526))</f>
        <v>null</v>
      </c>
      <c r="AC526" s="4" t="str">
        <f>IF(N526="",IF(ISNUMBER(SEARCH("NOT NULL",UPPER(N$3))),"''","null"),SUBSTITUTE(VLOOKUP(N$2,convert!$A$1:$B$4,2,0),"@@@",N526))</f>
        <v>null</v>
      </c>
      <c r="AD526" s="4" t="str">
        <f>IF(O526="",IF(ISNUMBER(SEARCH("NOT NULL",UPPER(O$3))),"''","null"),SUBSTITUTE(VLOOKUP(O$2,convert!$A$1:$B$4,2,0),"@@@",O526))</f>
        <v>TRUE</v>
      </c>
      <c r="AE526" s="4" t="str">
        <f t="shared" si="8"/>
        <v>    ('0422N01', 'カラナクシ', 76, 48, 48, 57, 62, 34, 'にしのうみ', 'water', null, 'g4', null, null, TRUE),</v>
      </c>
    </row>
    <row r="527" spans="1:31">
      <c r="A527" s="4" t="s">
        <v>1068</v>
      </c>
      <c r="B527" s="4" t="s">
        <v>1066</v>
      </c>
      <c r="C527" s="5">
        <v>76</v>
      </c>
      <c r="D527" s="5">
        <v>48</v>
      </c>
      <c r="E527" s="5">
        <v>48</v>
      </c>
      <c r="F527" s="5">
        <v>57</v>
      </c>
      <c r="G527" s="5">
        <v>62</v>
      </c>
      <c r="H527" s="5">
        <v>34</v>
      </c>
      <c r="I527" s="4" t="s">
        <v>1069</v>
      </c>
      <c r="J527" s="4" t="s">
        <v>55</v>
      </c>
      <c r="K527" s="5"/>
      <c r="L527" s="4" t="s">
        <v>986</v>
      </c>
      <c r="M527" s="5"/>
      <c r="N527" s="5"/>
      <c r="O527" s="5" t="b">
        <v>1</v>
      </c>
      <c r="P527" s="4" t="str">
        <f>IF(A527="",IF(ISNUMBER(SEARCH("NOT NULL",UPPER(A$3))),"''","null"),SUBSTITUTE(VLOOKUP(A$2,convert!$A$1:$B$4,2,0),"@@@",A527))</f>
        <v>'0422N02'</v>
      </c>
      <c r="Q527" s="4" t="str">
        <f>IF(B527="",IF(ISNUMBER(SEARCH("NOT NULL",UPPER(B$3))),"''","null"),SUBSTITUTE(VLOOKUP(B$2,convert!$A$1:$B$4,2,0),"@@@",B527))</f>
        <v>'カラナクシ'</v>
      </c>
      <c r="R527" s="4" t="str">
        <f>IF(C527="",IF(ISNUMBER(SEARCH("NOT NULL",UPPER(C$3))),"''","null"),SUBSTITUTE(VLOOKUP(C$2,convert!$A$1:$B$4,2,0),"@@@",C527))</f>
        <v>76</v>
      </c>
      <c r="S527" s="4" t="str">
        <f>IF(D527="",IF(ISNUMBER(SEARCH("NOT NULL",UPPER(D$3))),"''","null"),SUBSTITUTE(VLOOKUP(D$2,convert!$A$1:$B$4,2,0),"@@@",D527))</f>
        <v>48</v>
      </c>
      <c r="T527" s="4" t="str">
        <f>IF(E527="",IF(ISNUMBER(SEARCH("NOT NULL",UPPER(E$3))),"''","null"),SUBSTITUTE(VLOOKUP(E$2,convert!$A$1:$B$4,2,0),"@@@",E527))</f>
        <v>48</v>
      </c>
      <c r="U527" s="4" t="str">
        <f>IF(F527="",IF(ISNUMBER(SEARCH("NOT NULL",UPPER(F$3))),"''","null"),SUBSTITUTE(VLOOKUP(F$2,convert!$A$1:$B$4,2,0),"@@@",F527))</f>
        <v>57</v>
      </c>
      <c r="V527" s="4" t="str">
        <f>IF(G527="",IF(ISNUMBER(SEARCH("NOT NULL",UPPER(G$3))),"''","null"),SUBSTITUTE(VLOOKUP(G$2,convert!$A$1:$B$4,2,0),"@@@",G527))</f>
        <v>62</v>
      </c>
      <c r="W527" s="4" t="str">
        <f>IF(H527="",IF(ISNUMBER(SEARCH("NOT NULL",UPPER(H$3))),"''","null"),SUBSTITUTE(VLOOKUP(H$2,convert!$A$1:$B$4,2,0),"@@@",H527))</f>
        <v>34</v>
      </c>
      <c r="X527" s="4" t="str">
        <f>IF(I527="",IF(ISNUMBER(SEARCH("NOT NULL",UPPER(I$3))),"''","null"),SUBSTITUTE(VLOOKUP(I$2,convert!$A$1:$B$4,2,0),"@@@",I527))</f>
        <v>'ひがしのうみ'</v>
      </c>
      <c r="Y527" s="4" t="str">
        <f>IF(J527="",IF(ISNUMBER(SEARCH("NOT NULL",UPPER(J$3))),"''","null"),SUBSTITUTE(VLOOKUP(J$2,convert!$A$1:$B$4,2,0),"@@@",J527))</f>
        <v>'water'</v>
      </c>
      <c r="Z527" s="4" t="str">
        <f>IF(K527="",IF(ISNUMBER(SEARCH("NOT NULL",UPPER(K$3))),"''","null"),SUBSTITUTE(VLOOKUP(K$2,convert!$A$1:$B$4,2,0),"@@@",K527))</f>
        <v>null</v>
      </c>
      <c r="AA527" s="4" t="str">
        <f>IF(L527="",IF(ISNUMBER(SEARCH("NOT NULL",UPPER(L$3))),"''","null"),SUBSTITUTE(VLOOKUP(L$2,convert!$A$1:$B$4,2,0),"@@@",L527))</f>
        <v>'g4'</v>
      </c>
      <c r="AB527" s="4" t="str">
        <f>IF(M527="",IF(ISNUMBER(SEARCH("NOT NULL",UPPER(M$3))),"''","null"),SUBSTITUTE(VLOOKUP(M$2,convert!$A$1:$B$4,2,0),"@@@",M527))</f>
        <v>null</v>
      </c>
      <c r="AC527" s="4" t="str">
        <f>IF(N527="",IF(ISNUMBER(SEARCH("NOT NULL",UPPER(N$3))),"''","null"),SUBSTITUTE(VLOOKUP(N$2,convert!$A$1:$B$4,2,0),"@@@",N527))</f>
        <v>null</v>
      </c>
      <c r="AD527" s="4" t="str">
        <f>IF(O527="",IF(ISNUMBER(SEARCH("NOT NULL",UPPER(O$3))),"''","null"),SUBSTITUTE(VLOOKUP(O$2,convert!$A$1:$B$4,2,0),"@@@",O527))</f>
        <v>TRUE</v>
      </c>
      <c r="AE527" s="4" t="str">
        <f t="shared" si="8"/>
        <v>    ('0422N02', 'カラナクシ', 76, 48, 48, 57, 62, 34, 'ひがしのうみ', 'water', null, 'g4', null, null, TRUE),</v>
      </c>
    </row>
    <row r="528" spans="1:31">
      <c r="A528" s="4" t="s">
        <v>1070</v>
      </c>
      <c r="B528" s="4" t="s">
        <v>1071</v>
      </c>
      <c r="C528" s="5">
        <v>111</v>
      </c>
      <c r="D528" s="5">
        <v>83</v>
      </c>
      <c r="E528" s="5">
        <v>68</v>
      </c>
      <c r="F528" s="5">
        <v>92</v>
      </c>
      <c r="G528" s="5">
        <v>82</v>
      </c>
      <c r="H528" s="5">
        <v>39</v>
      </c>
      <c r="I528" s="4" t="s">
        <v>1067</v>
      </c>
      <c r="J528" s="4" t="s">
        <v>55</v>
      </c>
      <c r="K528" s="4" t="s">
        <v>116</v>
      </c>
      <c r="L528" s="4" t="s">
        <v>986</v>
      </c>
      <c r="M528" s="5"/>
      <c r="N528" s="5"/>
      <c r="O528" s="5" t="b">
        <v>1</v>
      </c>
      <c r="P528" s="4" t="str">
        <f>IF(A528="",IF(ISNUMBER(SEARCH("NOT NULL",UPPER(A$3))),"''","null"),SUBSTITUTE(VLOOKUP(A$2,convert!$A$1:$B$4,2,0),"@@@",A528))</f>
        <v>'0423N01'</v>
      </c>
      <c r="Q528" s="4" t="str">
        <f>IF(B528="",IF(ISNUMBER(SEARCH("NOT NULL",UPPER(B$3))),"''","null"),SUBSTITUTE(VLOOKUP(B$2,convert!$A$1:$B$4,2,0),"@@@",B528))</f>
        <v>'トリトドン'</v>
      </c>
      <c r="R528" s="4" t="str">
        <f>IF(C528="",IF(ISNUMBER(SEARCH("NOT NULL",UPPER(C$3))),"''","null"),SUBSTITUTE(VLOOKUP(C$2,convert!$A$1:$B$4,2,0),"@@@",C528))</f>
        <v>111</v>
      </c>
      <c r="S528" s="4" t="str">
        <f>IF(D528="",IF(ISNUMBER(SEARCH("NOT NULL",UPPER(D$3))),"''","null"),SUBSTITUTE(VLOOKUP(D$2,convert!$A$1:$B$4,2,0),"@@@",D528))</f>
        <v>83</v>
      </c>
      <c r="T528" s="4" t="str">
        <f>IF(E528="",IF(ISNUMBER(SEARCH("NOT NULL",UPPER(E$3))),"''","null"),SUBSTITUTE(VLOOKUP(E$2,convert!$A$1:$B$4,2,0),"@@@",E528))</f>
        <v>68</v>
      </c>
      <c r="U528" s="4" t="str">
        <f>IF(F528="",IF(ISNUMBER(SEARCH("NOT NULL",UPPER(F$3))),"''","null"),SUBSTITUTE(VLOOKUP(F$2,convert!$A$1:$B$4,2,0),"@@@",F528))</f>
        <v>92</v>
      </c>
      <c r="V528" s="4" t="str">
        <f>IF(G528="",IF(ISNUMBER(SEARCH("NOT NULL",UPPER(G$3))),"''","null"),SUBSTITUTE(VLOOKUP(G$2,convert!$A$1:$B$4,2,0),"@@@",G528))</f>
        <v>82</v>
      </c>
      <c r="W528" s="4" t="str">
        <f>IF(H528="",IF(ISNUMBER(SEARCH("NOT NULL",UPPER(H$3))),"''","null"),SUBSTITUTE(VLOOKUP(H$2,convert!$A$1:$B$4,2,0),"@@@",H528))</f>
        <v>39</v>
      </c>
      <c r="X528" s="4" t="str">
        <f>IF(I528="",IF(ISNUMBER(SEARCH("NOT NULL",UPPER(I$3))),"''","null"),SUBSTITUTE(VLOOKUP(I$2,convert!$A$1:$B$4,2,0),"@@@",I528))</f>
        <v>'にしのうみ'</v>
      </c>
      <c r="Y528" s="4" t="str">
        <f>IF(J528="",IF(ISNUMBER(SEARCH("NOT NULL",UPPER(J$3))),"''","null"),SUBSTITUTE(VLOOKUP(J$2,convert!$A$1:$B$4,2,0),"@@@",J528))</f>
        <v>'water'</v>
      </c>
      <c r="Z528" s="4" t="str">
        <f>IF(K528="",IF(ISNUMBER(SEARCH("NOT NULL",UPPER(K$3))),"''","null"),SUBSTITUTE(VLOOKUP(K$2,convert!$A$1:$B$4,2,0),"@@@",K528))</f>
        <v>'ground'</v>
      </c>
      <c r="AA528" s="4" t="str">
        <f>IF(L528="",IF(ISNUMBER(SEARCH("NOT NULL",UPPER(L$3))),"''","null"),SUBSTITUTE(VLOOKUP(L$2,convert!$A$1:$B$4,2,0),"@@@",L528))</f>
        <v>'g4'</v>
      </c>
      <c r="AB528" s="4" t="str">
        <f>IF(M528="",IF(ISNUMBER(SEARCH("NOT NULL",UPPER(M$3))),"''","null"),SUBSTITUTE(VLOOKUP(M$2,convert!$A$1:$B$4,2,0),"@@@",M528))</f>
        <v>null</v>
      </c>
      <c r="AC528" s="4" t="str">
        <f>IF(N528="",IF(ISNUMBER(SEARCH("NOT NULL",UPPER(N$3))),"''","null"),SUBSTITUTE(VLOOKUP(N$2,convert!$A$1:$B$4,2,0),"@@@",N528))</f>
        <v>null</v>
      </c>
      <c r="AD528" s="4" t="str">
        <f>IF(O528="",IF(ISNUMBER(SEARCH("NOT NULL",UPPER(O$3))),"''","null"),SUBSTITUTE(VLOOKUP(O$2,convert!$A$1:$B$4,2,0),"@@@",O528))</f>
        <v>TRUE</v>
      </c>
      <c r="AE528" s="4" t="str">
        <f t="shared" si="8"/>
        <v>    ('0423N01', 'トリトドン', 111, 83, 68, 92, 82, 39, 'にしのうみ', 'water', 'ground', 'g4', null, null, TRUE),</v>
      </c>
    </row>
    <row r="529" spans="1:31">
      <c r="A529" s="4" t="s">
        <v>1072</v>
      </c>
      <c r="B529" s="4" t="s">
        <v>1071</v>
      </c>
      <c r="C529" s="5">
        <v>111</v>
      </c>
      <c r="D529" s="5">
        <v>83</v>
      </c>
      <c r="E529" s="5">
        <v>68</v>
      </c>
      <c r="F529" s="5">
        <v>92</v>
      </c>
      <c r="G529" s="5">
        <v>82</v>
      </c>
      <c r="H529" s="5">
        <v>39</v>
      </c>
      <c r="I529" s="4" t="s">
        <v>1069</v>
      </c>
      <c r="J529" s="4" t="s">
        <v>55</v>
      </c>
      <c r="K529" s="4" t="s">
        <v>116</v>
      </c>
      <c r="L529" s="4" t="s">
        <v>986</v>
      </c>
      <c r="M529" s="5"/>
      <c r="N529" s="5"/>
      <c r="O529" s="5" t="b">
        <v>1</v>
      </c>
      <c r="P529" s="4" t="str">
        <f>IF(A529="",IF(ISNUMBER(SEARCH("NOT NULL",UPPER(A$3))),"''","null"),SUBSTITUTE(VLOOKUP(A$2,convert!$A$1:$B$4,2,0),"@@@",A529))</f>
        <v>'0423N02'</v>
      </c>
      <c r="Q529" s="4" t="str">
        <f>IF(B529="",IF(ISNUMBER(SEARCH("NOT NULL",UPPER(B$3))),"''","null"),SUBSTITUTE(VLOOKUP(B$2,convert!$A$1:$B$4,2,0),"@@@",B529))</f>
        <v>'トリトドン'</v>
      </c>
      <c r="R529" s="4" t="str">
        <f>IF(C529="",IF(ISNUMBER(SEARCH("NOT NULL",UPPER(C$3))),"''","null"),SUBSTITUTE(VLOOKUP(C$2,convert!$A$1:$B$4,2,0),"@@@",C529))</f>
        <v>111</v>
      </c>
      <c r="S529" s="4" t="str">
        <f>IF(D529="",IF(ISNUMBER(SEARCH("NOT NULL",UPPER(D$3))),"''","null"),SUBSTITUTE(VLOOKUP(D$2,convert!$A$1:$B$4,2,0),"@@@",D529))</f>
        <v>83</v>
      </c>
      <c r="T529" s="4" t="str">
        <f>IF(E529="",IF(ISNUMBER(SEARCH("NOT NULL",UPPER(E$3))),"''","null"),SUBSTITUTE(VLOOKUP(E$2,convert!$A$1:$B$4,2,0),"@@@",E529))</f>
        <v>68</v>
      </c>
      <c r="U529" s="4" t="str">
        <f>IF(F529="",IF(ISNUMBER(SEARCH("NOT NULL",UPPER(F$3))),"''","null"),SUBSTITUTE(VLOOKUP(F$2,convert!$A$1:$B$4,2,0),"@@@",F529))</f>
        <v>92</v>
      </c>
      <c r="V529" s="4" t="str">
        <f>IF(G529="",IF(ISNUMBER(SEARCH("NOT NULL",UPPER(G$3))),"''","null"),SUBSTITUTE(VLOOKUP(G$2,convert!$A$1:$B$4,2,0),"@@@",G529))</f>
        <v>82</v>
      </c>
      <c r="W529" s="4" t="str">
        <f>IF(H529="",IF(ISNUMBER(SEARCH("NOT NULL",UPPER(H$3))),"''","null"),SUBSTITUTE(VLOOKUP(H$2,convert!$A$1:$B$4,2,0),"@@@",H529))</f>
        <v>39</v>
      </c>
      <c r="X529" s="4" t="str">
        <f>IF(I529="",IF(ISNUMBER(SEARCH("NOT NULL",UPPER(I$3))),"''","null"),SUBSTITUTE(VLOOKUP(I$2,convert!$A$1:$B$4,2,0),"@@@",I529))</f>
        <v>'ひがしのうみ'</v>
      </c>
      <c r="Y529" s="4" t="str">
        <f>IF(J529="",IF(ISNUMBER(SEARCH("NOT NULL",UPPER(J$3))),"''","null"),SUBSTITUTE(VLOOKUP(J$2,convert!$A$1:$B$4,2,0),"@@@",J529))</f>
        <v>'water'</v>
      </c>
      <c r="Z529" s="4" t="str">
        <f>IF(K529="",IF(ISNUMBER(SEARCH("NOT NULL",UPPER(K$3))),"''","null"),SUBSTITUTE(VLOOKUP(K$2,convert!$A$1:$B$4,2,0),"@@@",K529))</f>
        <v>'ground'</v>
      </c>
      <c r="AA529" s="4" t="str">
        <f>IF(L529="",IF(ISNUMBER(SEARCH("NOT NULL",UPPER(L$3))),"''","null"),SUBSTITUTE(VLOOKUP(L$2,convert!$A$1:$B$4,2,0),"@@@",L529))</f>
        <v>'g4'</v>
      </c>
      <c r="AB529" s="4" t="str">
        <f>IF(M529="",IF(ISNUMBER(SEARCH("NOT NULL",UPPER(M$3))),"''","null"),SUBSTITUTE(VLOOKUP(M$2,convert!$A$1:$B$4,2,0),"@@@",M529))</f>
        <v>null</v>
      </c>
      <c r="AC529" s="4" t="str">
        <f>IF(N529="",IF(ISNUMBER(SEARCH("NOT NULL",UPPER(N$3))),"''","null"),SUBSTITUTE(VLOOKUP(N$2,convert!$A$1:$B$4,2,0),"@@@",N529))</f>
        <v>null</v>
      </c>
      <c r="AD529" s="4" t="str">
        <f>IF(O529="",IF(ISNUMBER(SEARCH("NOT NULL",UPPER(O$3))),"''","null"),SUBSTITUTE(VLOOKUP(O$2,convert!$A$1:$B$4,2,0),"@@@",O529))</f>
        <v>TRUE</v>
      </c>
      <c r="AE529" s="4" t="str">
        <f t="shared" si="8"/>
        <v>    ('0423N02', 'トリトドン', 111, 83, 68, 92, 82, 39, 'ひがしのうみ', 'water', 'ground', 'g4', null, null, TRUE),</v>
      </c>
    </row>
    <row r="530" spans="1:31">
      <c r="A530" s="4" t="s">
        <v>1073</v>
      </c>
      <c r="B530" s="4" t="s">
        <v>1074</v>
      </c>
      <c r="C530" s="5">
        <v>75</v>
      </c>
      <c r="D530" s="5">
        <v>100</v>
      </c>
      <c r="E530" s="5">
        <v>66</v>
      </c>
      <c r="F530" s="5">
        <v>60</v>
      </c>
      <c r="G530" s="5">
        <v>66</v>
      </c>
      <c r="H530" s="5">
        <v>115</v>
      </c>
      <c r="I530" s="5"/>
      <c r="J530" s="4" t="s">
        <v>80</v>
      </c>
      <c r="K530" s="5"/>
      <c r="L530" s="4" t="s">
        <v>986</v>
      </c>
      <c r="M530" s="5"/>
      <c r="N530" s="5"/>
      <c r="O530" s="5" t="b">
        <v>1</v>
      </c>
      <c r="P530" s="4" t="str">
        <f>IF(A530="",IF(ISNUMBER(SEARCH("NOT NULL",UPPER(A$3))),"''","null"),SUBSTITUTE(VLOOKUP(A$2,convert!$A$1:$B$4,2,0),"@@@",A530))</f>
        <v>'0424N01'</v>
      </c>
      <c r="Q530" s="4" t="str">
        <f>IF(B530="",IF(ISNUMBER(SEARCH("NOT NULL",UPPER(B$3))),"''","null"),SUBSTITUTE(VLOOKUP(B$2,convert!$A$1:$B$4,2,0),"@@@",B530))</f>
        <v>'エテボース'</v>
      </c>
      <c r="R530" s="4" t="str">
        <f>IF(C530="",IF(ISNUMBER(SEARCH("NOT NULL",UPPER(C$3))),"''","null"),SUBSTITUTE(VLOOKUP(C$2,convert!$A$1:$B$4,2,0),"@@@",C530))</f>
        <v>75</v>
      </c>
      <c r="S530" s="4" t="str">
        <f>IF(D530="",IF(ISNUMBER(SEARCH("NOT NULL",UPPER(D$3))),"''","null"),SUBSTITUTE(VLOOKUP(D$2,convert!$A$1:$B$4,2,0),"@@@",D530))</f>
        <v>100</v>
      </c>
      <c r="T530" s="4" t="str">
        <f>IF(E530="",IF(ISNUMBER(SEARCH("NOT NULL",UPPER(E$3))),"''","null"),SUBSTITUTE(VLOOKUP(E$2,convert!$A$1:$B$4,2,0),"@@@",E530))</f>
        <v>66</v>
      </c>
      <c r="U530" s="4" t="str">
        <f>IF(F530="",IF(ISNUMBER(SEARCH("NOT NULL",UPPER(F$3))),"''","null"),SUBSTITUTE(VLOOKUP(F$2,convert!$A$1:$B$4,2,0),"@@@",F530))</f>
        <v>60</v>
      </c>
      <c r="V530" s="4" t="str">
        <f>IF(G530="",IF(ISNUMBER(SEARCH("NOT NULL",UPPER(G$3))),"''","null"),SUBSTITUTE(VLOOKUP(G$2,convert!$A$1:$B$4,2,0),"@@@",G530))</f>
        <v>66</v>
      </c>
      <c r="W530" s="4" t="str">
        <f>IF(H530="",IF(ISNUMBER(SEARCH("NOT NULL",UPPER(H$3))),"''","null"),SUBSTITUTE(VLOOKUP(H$2,convert!$A$1:$B$4,2,0),"@@@",H530))</f>
        <v>115</v>
      </c>
      <c r="X530" s="4" t="str">
        <f>IF(I530="",IF(ISNUMBER(SEARCH("NOT NULL",UPPER(I$3))),"''","null"),SUBSTITUTE(VLOOKUP(I$2,convert!$A$1:$B$4,2,0),"@@@",I530))</f>
        <v>''</v>
      </c>
      <c r="Y530" s="4" t="str">
        <f>IF(J530="",IF(ISNUMBER(SEARCH("NOT NULL",UPPER(J$3))),"''","null"),SUBSTITUTE(VLOOKUP(J$2,convert!$A$1:$B$4,2,0),"@@@",J530))</f>
        <v>'normal'</v>
      </c>
      <c r="Z530" s="4" t="str">
        <f>IF(K530="",IF(ISNUMBER(SEARCH("NOT NULL",UPPER(K$3))),"''","null"),SUBSTITUTE(VLOOKUP(K$2,convert!$A$1:$B$4,2,0),"@@@",K530))</f>
        <v>null</v>
      </c>
      <c r="AA530" s="4" t="str">
        <f>IF(L530="",IF(ISNUMBER(SEARCH("NOT NULL",UPPER(L$3))),"''","null"),SUBSTITUTE(VLOOKUP(L$2,convert!$A$1:$B$4,2,0),"@@@",L530))</f>
        <v>'g4'</v>
      </c>
      <c r="AB530" s="4" t="str">
        <f>IF(M530="",IF(ISNUMBER(SEARCH("NOT NULL",UPPER(M$3))),"''","null"),SUBSTITUTE(VLOOKUP(M$2,convert!$A$1:$B$4,2,0),"@@@",M530))</f>
        <v>null</v>
      </c>
      <c r="AC530" s="4" t="str">
        <f>IF(N530="",IF(ISNUMBER(SEARCH("NOT NULL",UPPER(N$3))),"''","null"),SUBSTITUTE(VLOOKUP(N$2,convert!$A$1:$B$4,2,0),"@@@",N530))</f>
        <v>null</v>
      </c>
      <c r="AD530" s="4" t="str">
        <f>IF(O530="",IF(ISNUMBER(SEARCH("NOT NULL",UPPER(O$3))),"''","null"),SUBSTITUTE(VLOOKUP(O$2,convert!$A$1:$B$4,2,0),"@@@",O530))</f>
        <v>TRUE</v>
      </c>
      <c r="AE530" s="4" t="str">
        <f t="shared" si="8"/>
        <v>    ('0424N01', 'エテボース', 75, 100, 66, 60, 66, 115, '', 'normal', null, 'g4', null, null, TRUE),</v>
      </c>
    </row>
    <row r="531" spans="1:31">
      <c r="A531" s="4" t="s">
        <v>1075</v>
      </c>
      <c r="B531" s="4" t="s">
        <v>1076</v>
      </c>
      <c r="C531" s="5">
        <v>90</v>
      </c>
      <c r="D531" s="5">
        <v>50</v>
      </c>
      <c r="E531" s="5">
        <v>34</v>
      </c>
      <c r="F531" s="5">
        <v>60</v>
      </c>
      <c r="G531" s="5">
        <v>44</v>
      </c>
      <c r="H531" s="5">
        <v>70</v>
      </c>
      <c r="I531" s="5"/>
      <c r="J531" s="4" t="s">
        <v>281</v>
      </c>
      <c r="K531" s="4" t="s">
        <v>47</v>
      </c>
      <c r="L531" s="4" t="s">
        <v>986</v>
      </c>
      <c r="M531" s="5"/>
      <c r="N531" s="5"/>
      <c r="O531" s="5" t="b">
        <v>1</v>
      </c>
      <c r="P531" s="4" t="str">
        <f>IF(A531="",IF(ISNUMBER(SEARCH("NOT NULL",UPPER(A$3))),"''","null"),SUBSTITUTE(VLOOKUP(A$2,convert!$A$1:$B$4,2,0),"@@@",A531))</f>
        <v>'0425N01'</v>
      </c>
      <c r="Q531" s="4" t="str">
        <f>IF(B531="",IF(ISNUMBER(SEARCH("NOT NULL",UPPER(B$3))),"''","null"),SUBSTITUTE(VLOOKUP(B$2,convert!$A$1:$B$4,2,0),"@@@",B531))</f>
        <v>'フワンテ'</v>
      </c>
      <c r="R531" s="4" t="str">
        <f>IF(C531="",IF(ISNUMBER(SEARCH("NOT NULL",UPPER(C$3))),"''","null"),SUBSTITUTE(VLOOKUP(C$2,convert!$A$1:$B$4,2,0),"@@@",C531))</f>
        <v>90</v>
      </c>
      <c r="S531" s="4" t="str">
        <f>IF(D531="",IF(ISNUMBER(SEARCH("NOT NULL",UPPER(D$3))),"''","null"),SUBSTITUTE(VLOOKUP(D$2,convert!$A$1:$B$4,2,0),"@@@",D531))</f>
        <v>50</v>
      </c>
      <c r="T531" s="4" t="str">
        <f>IF(E531="",IF(ISNUMBER(SEARCH("NOT NULL",UPPER(E$3))),"''","null"),SUBSTITUTE(VLOOKUP(E$2,convert!$A$1:$B$4,2,0),"@@@",E531))</f>
        <v>34</v>
      </c>
      <c r="U531" s="4" t="str">
        <f>IF(F531="",IF(ISNUMBER(SEARCH("NOT NULL",UPPER(F$3))),"''","null"),SUBSTITUTE(VLOOKUP(F$2,convert!$A$1:$B$4,2,0),"@@@",F531))</f>
        <v>60</v>
      </c>
      <c r="V531" s="4" t="str">
        <f>IF(G531="",IF(ISNUMBER(SEARCH("NOT NULL",UPPER(G$3))),"''","null"),SUBSTITUTE(VLOOKUP(G$2,convert!$A$1:$B$4,2,0),"@@@",G531))</f>
        <v>44</v>
      </c>
      <c r="W531" s="4" t="str">
        <f>IF(H531="",IF(ISNUMBER(SEARCH("NOT NULL",UPPER(H$3))),"''","null"),SUBSTITUTE(VLOOKUP(H$2,convert!$A$1:$B$4,2,0),"@@@",H531))</f>
        <v>70</v>
      </c>
      <c r="X531" s="4" t="str">
        <f>IF(I531="",IF(ISNUMBER(SEARCH("NOT NULL",UPPER(I$3))),"''","null"),SUBSTITUTE(VLOOKUP(I$2,convert!$A$1:$B$4,2,0),"@@@",I531))</f>
        <v>''</v>
      </c>
      <c r="Y531" s="4" t="str">
        <f>IF(J531="",IF(ISNUMBER(SEARCH("NOT NULL",UPPER(J$3))),"''","null"),SUBSTITUTE(VLOOKUP(J$2,convert!$A$1:$B$4,2,0),"@@@",J531))</f>
        <v>'ghost'</v>
      </c>
      <c r="Z531" s="4" t="str">
        <f>IF(K531="",IF(ISNUMBER(SEARCH("NOT NULL",UPPER(K$3))),"''","null"),SUBSTITUTE(VLOOKUP(K$2,convert!$A$1:$B$4,2,0),"@@@",K531))</f>
        <v>'flying'</v>
      </c>
      <c r="AA531" s="4" t="str">
        <f>IF(L531="",IF(ISNUMBER(SEARCH("NOT NULL",UPPER(L$3))),"''","null"),SUBSTITUTE(VLOOKUP(L$2,convert!$A$1:$B$4,2,0),"@@@",L531))</f>
        <v>'g4'</v>
      </c>
      <c r="AB531" s="4" t="str">
        <f>IF(M531="",IF(ISNUMBER(SEARCH("NOT NULL",UPPER(M$3))),"''","null"),SUBSTITUTE(VLOOKUP(M$2,convert!$A$1:$B$4,2,0),"@@@",M531))</f>
        <v>null</v>
      </c>
      <c r="AC531" s="4" t="str">
        <f>IF(N531="",IF(ISNUMBER(SEARCH("NOT NULL",UPPER(N$3))),"''","null"),SUBSTITUTE(VLOOKUP(N$2,convert!$A$1:$B$4,2,0),"@@@",N531))</f>
        <v>null</v>
      </c>
      <c r="AD531" s="4" t="str">
        <f>IF(O531="",IF(ISNUMBER(SEARCH("NOT NULL",UPPER(O$3))),"''","null"),SUBSTITUTE(VLOOKUP(O$2,convert!$A$1:$B$4,2,0),"@@@",O531))</f>
        <v>TRUE</v>
      </c>
      <c r="AE531" s="4" t="str">
        <f t="shared" si="8"/>
        <v>    ('0425N01', 'フワンテ', 90, 50, 34, 60, 44, 70, '', 'ghost', 'flying', 'g4', null, null, TRUE),</v>
      </c>
    </row>
    <row r="532" spans="1:31">
      <c r="A532" s="4" t="s">
        <v>1077</v>
      </c>
      <c r="B532" s="4" t="s">
        <v>1078</v>
      </c>
      <c r="C532" s="5">
        <v>150</v>
      </c>
      <c r="D532" s="5">
        <v>80</v>
      </c>
      <c r="E532" s="5">
        <v>44</v>
      </c>
      <c r="F532" s="5">
        <v>90</v>
      </c>
      <c r="G532" s="5">
        <v>54</v>
      </c>
      <c r="H532" s="5">
        <v>80</v>
      </c>
      <c r="I532" s="5"/>
      <c r="J532" s="4" t="s">
        <v>281</v>
      </c>
      <c r="K532" s="4" t="s">
        <v>47</v>
      </c>
      <c r="L532" s="4" t="s">
        <v>986</v>
      </c>
      <c r="M532" s="5"/>
      <c r="N532" s="5"/>
      <c r="O532" s="5" t="b">
        <v>1</v>
      </c>
      <c r="P532" s="4" t="str">
        <f>IF(A532="",IF(ISNUMBER(SEARCH("NOT NULL",UPPER(A$3))),"''","null"),SUBSTITUTE(VLOOKUP(A$2,convert!$A$1:$B$4,2,0),"@@@",A532))</f>
        <v>'0426N01'</v>
      </c>
      <c r="Q532" s="4" t="str">
        <f>IF(B532="",IF(ISNUMBER(SEARCH("NOT NULL",UPPER(B$3))),"''","null"),SUBSTITUTE(VLOOKUP(B$2,convert!$A$1:$B$4,2,0),"@@@",B532))</f>
        <v>'フワライド'</v>
      </c>
      <c r="R532" s="4" t="str">
        <f>IF(C532="",IF(ISNUMBER(SEARCH("NOT NULL",UPPER(C$3))),"''","null"),SUBSTITUTE(VLOOKUP(C$2,convert!$A$1:$B$4,2,0),"@@@",C532))</f>
        <v>150</v>
      </c>
      <c r="S532" s="4" t="str">
        <f>IF(D532="",IF(ISNUMBER(SEARCH("NOT NULL",UPPER(D$3))),"''","null"),SUBSTITUTE(VLOOKUP(D$2,convert!$A$1:$B$4,2,0),"@@@",D532))</f>
        <v>80</v>
      </c>
      <c r="T532" s="4" t="str">
        <f>IF(E532="",IF(ISNUMBER(SEARCH("NOT NULL",UPPER(E$3))),"''","null"),SUBSTITUTE(VLOOKUP(E$2,convert!$A$1:$B$4,2,0),"@@@",E532))</f>
        <v>44</v>
      </c>
      <c r="U532" s="4" t="str">
        <f>IF(F532="",IF(ISNUMBER(SEARCH("NOT NULL",UPPER(F$3))),"''","null"),SUBSTITUTE(VLOOKUP(F$2,convert!$A$1:$B$4,2,0),"@@@",F532))</f>
        <v>90</v>
      </c>
      <c r="V532" s="4" t="str">
        <f>IF(G532="",IF(ISNUMBER(SEARCH("NOT NULL",UPPER(G$3))),"''","null"),SUBSTITUTE(VLOOKUP(G$2,convert!$A$1:$B$4,2,0),"@@@",G532))</f>
        <v>54</v>
      </c>
      <c r="W532" s="4" t="str">
        <f>IF(H532="",IF(ISNUMBER(SEARCH("NOT NULL",UPPER(H$3))),"''","null"),SUBSTITUTE(VLOOKUP(H$2,convert!$A$1:$B$4,2,0),"@@@",H532))</f>
        <v>80</v>
      </c>
      <c r="X532" s="4" t="str">
        <f>IF(I532="",IF(ISNUMBER(SEARCH("NOT NULL",UPPER(I$3))),"''","null"),SUBSTITUTE(VLOOKUP(I$2,convert!$A$1:$B$4,2,0),"@@@",I532))</f>
        <v>''</v>
      </c>
      <c r="Y532" s="4" t="str">
        <f>IF(J532="",IF(ISNUMBER(SEARCH("NOT NULL",UPPER(J$3))),"''","null"),SUBSTITUTE(VLOOKUP(J$2,convert!$A$1:$B$4,2,0),"@@@",J532))</f>
        <v>'ghost'</v>
      </c>
      <c r="Z532" s="4" t="str">
        <f>IF(K532="",IF(ISNUMBER(SEARCH("NOT NULL",UPPER(K$3))),"''","null"),SUBSTITUTE(VLOOKUP(K$2,convert!$A$1:$B$4,2,0),"@@@",K532))</f>
        <v>'flying'</v>
      </c>
      <c r="AA532" s="4" t="str">
        <f>IF(L532="",IF(ISNUMBER(SEARCH("NOT NULL",UPPER(L$3))),"''","null"),SUBSTITUTE(VLOOKUP(L$2,convert!$A$1:$B$4,2,0),"@@@",L532))</f>
        <v>'g4'</v>
      </c>
      <c r="AB532" s="4" t="str">
        <f>IF(M532="",IF(ISNUMBER(SEARCH("NOT NULL",UPPER(M$3))),"''","null"),SUBSTITUTE(VLOOKUP(M$2,convert!$A$1:$B$4,2,0),"@@@",M532))</f>
        <v>null</v>
      </c>
      <c r="AC532" s="4" t="str">
        <f>IF(N532="",IF(ISNUMBER(SEARCH("NOT NULL",UPPER(N$3))),"''","null"),SUBSTITUTE(VLOOKUP(N$2,convert!$A$1:$B$4,2,0),"@@@",N532))</f>
        <v>null</v>
      </c>
      <c r="AD532" s="4" t="str">
        <f>IF(O532="",IF(ISNUMBER(SEARCH("NOT NULL",UPPER(O$3))),"''","null"),SUBSTITUTE(VLOOKUP(O$2,convert!$A$1:$B$4,2,0),"@@@",O532))</f>
        <v>TRUE</v>
      </c>
      <c r="AE532" s="4" t="str">
        <f t="shared" si="8"/>
        <v>    ('0426N01', 'フワライド', 150, 80, 44, 90, 54, 80, '', 'ghost', 'flying', 'g4', null, null, TRUE),</v>
      </c>
    </row>
    <row r="533" spans="1:31">
      <c r="A533" s="4" t="s">
        <v>1079</v>
      </c>
      <c r="B533" s="4" t="s">
        <v>1080</v>
      </c>
      <c r="C533" s="5">
        <v>55</v>
      </c>
      <c r="D533" s="5">
        <v>66</v>
      </c>
      <c r="E533" s="5">
        <v>44</v>
      </c>
      <c r="F533" s="5">
        <v>44</v>
      </c>
      <c r="G533" s="5">
        <v>56</v>
      </c>
      <c r="H533" s="5">
        <v>85</v>
      </c>
      <c r="I533" s="5"/>
      <c r="J533" s="4" t="s">
        <v>80</v>
      </c>
      <c r="K533" s="5"/>
      <c r="L533" s="4" t="s">
        <v>986</v>
      </c>
      <c r="M533" s="5"/>
      <c r="N533" s="5"/>
      <c r="O533" s="5" t="b">
        <v>1</v>
      </c>
      <c r="P533" s="4" t="str">
        <f>IF(A533="",IF(ISNUMBER(SEARCH("NOT NULL",UPPER(A$3))),"''","null"),SUBSTITUTE(VLOOKUP(A$2,convert!$A$1:$B$4,2,0),"@@@",A533))</f>
        <v>'0427N01'</v>
      </c>
      <c r="Q533" s="4" t="str">
        <f>IF(B533="",IF(ISNUMBER(SEARCH("NOT NULL",UPPER(B$3))),"''","null"),SUBSTITUTE(VLOOKUP(B$2,convert!$A$1:$B$4,2,0),"@@@",B533))</f>
        <v>'ミミロル'</v>
      </c>
      <c r="R533" s="4" t="str">
        <f>IF(C533="",IF(ISNUMBER(SEARCH("NOT NULL",UPPER(C$3))),"''","null"),SUBSTITUTE(VLOOKUP(C$2,convert!$A$1:$B$4,2,0),"@@@",C533))</f>
        <v>55</v>
      </c>
      <c r="S533" s="4" t="str">
        <f>IF(D533="",IF(ISNUMBER(SEARCH("NOT NULL",UPPER(D$3))),"''","null"),SUBSTITUTE(VLOOKUP(D$2,convert!$A$1:$B$4,2,0),"@@@",D533))</f>
        <v>66</v>
      </c>
      <c r="T533" s="4" t="str">
        <f>IF(E533="",IF(ISNUMBER(SEARCH("NOT NULL",UPPER(E$3))),"''","null"),SUBSTITUTE(VLOOKUP(E$2,convert!$A$1:$B$4,2,0),"@@@",E533))</f>
        <v>44</v>
      </c>
      <c r="U533" s="4" t="str">
        <f>IF(F533="",IF(ISNUMBER(SEARCH("NOT NULL",UPPER(F$3))),"''","null"),SUBSTITUTE(VLOOKUP(F$2,convert!$A$1:$B$4,2,0),"@@@",F533))</f>
        <v>44</v>
      </c>
      <c r="V533" s="4" t="str">
        <f>IF(G533="",IF(ISNUMBER(SEARCH("NOT NULL",UPPER(G$3))),"''","null"),SUBSTITUTE(VLOOKUP(G$2,convert!$A$1:$B$4,2,0),"@@@",G533))</f>
        <v>56</v>
      </c>
      <c r="W533" s="4" t="str">
        <f>IF(H533="",IF(ISNUMBER(SEARCH("NOT NULL",UPPER(H$3))),"''","null"),SUBSTITUTE(VLOOKUP(H$2,convert!$A$1:$B$4,2,0),"@@@",H533))</f>
        <v>85</v>
      </c>
      <c r="X533" s="4" t="str">
        <f>IF(I533="",IF(ISNUMBER(SEARCH("NOT NULL",UPPER(I$3))),"''","null"),SUBSTITUTE(VLOOKUP(I$2,convert!$A$1:$B$4,2,0),"@@@",I533))</f>
        <v>''</v>
      </c>
      <c r="Y533" s="4" t="str">
        <f>IF(J533="",IF(ISNUMBER(SEARCH("NOT NULL",UPPER(J$3))),"''","null"),SUBSTITUTE(VLOOKUP(J$2,convert!$A$1:$B$4,2,0),"@@@",J533))</f>
        <v>'normal'</v>
      </c>
      <c r="Z533" s="4" t="str">
        <f>IF(K533="",IF(ISNUMBER(SEARCH("NOT NULL",UPPER(K$3))),"''","null"),SUBSTITUTE(VLOOKUP(K$2,convert!$A$1:$B$4,2,0),"@@@",K533))</f>
        <v>null</v>
      </c>
      <c r="AA533" s="4" t="str">
        <f>IF(L533="",IF(ISNUMBER(SEARCH("NOT NULL",UPPER(L$3))),"''","null"),SUBSTITUTE(VLOOKUP(L$2,convert!$A$1:$B$4,2,0),"@@@",L533))</f>
        <v>'g4'</v>
      </c>
      <c r="AB533" s="4" t="str">
        <f>IF(M533="",IF(ISNUMBER(SEARCH("NOT NULL",UPPER(M$3))),"''","null"),SUBSTITUTE(VLOOKUP(M$2,convert!$A$1:$B$4,2,0),"@@@",M533))</f>
        <v>null</v>
      </c>
      <c r="AC533" s="4" t="str">
        <f>IF(N533="",IF(ISNUMBER(SEARCH("NOT NULL",UPPER(N$3))),"''","null"),SUBSTITUTE(VLOOKUP(N$2,convert!$A$1:$B$4,2,0),"@@@",N533))</f>
        <v>null</v>
      </c>
      <c r="AD533" s="4" t="str">
        <f>IF(O533="",IF(ISNUMBER(SEARCH("NOT NULL",UPPER(O$3))),"''","null"),SUBSTITUTE(VLOOKUP(O$2,convert!$A$1:$B$4,2,0),"@@@",O533))</f>
        <v>TRUE</v>
      </c>
      <c r="AE533" s="4" t="str">
        <f t="shared" si="8"/>
        <v>    ('0427N01', 'ミミロル', 55, 66, 44, 44, 56, 85, '', 'normal', null, 'g4', null, null, TRUE),</v>
      </c>
    </row>
    <row r="534" spans="1:31">
      <c r="A534" s="4" t="s">
        <v>1081</v>
      </c>
      <c r="B534" s="4" t="s">
        <v>1082</v>
      </c>
      <c r="C534" s="5">
        <v>65</v>
      </c>
      <c r="D534" s="5">
        <v>76</v>
      </c>
      <c r="E534" s="5">
        <v>84</v>
      </c>
      <c r="F534" s="5">
        <v>54</v>
      </c>
      <c r="G534" s="5">
        <v>96</v>
      </c>
      <c r="H534" s="5">
        <v>105</v>
      </c>
      <c r="I534" s="5"/>
      <c r="J534" s="4" t="s">
        <v>80</v>
      </c>
      <c r="K534" s="5"/>
      <c r="L534" s="4" t="s">
        <v>986</v>
      </c>
      <c r="M534" s="5"/>
      <c r="N534" s="5"/>
      <c r="O534" s="5" t="b">
        <v>1</v>
      </c>
      <c r="P534" s="4" t="str">
        <f>IF(A534="",IF(ISNUMBER(SEARCH("NOT NULL",UPPER(A$3))),"''","null"),SUBSTITUTE(VLOOKUP(A$2,convert!$A$1:$B$4,2,0),"@@@",A534))</f>
        <v>'0428N01'</v>
      </c>
      <c r="Q534" s="4" t="str">
        <f>IF(B534="",IF(ISNUMBER(SEARCH("NOT NULL",UPPER(B$3))),"''","null"),SUBSTITUTE(VLOOKUP(B$2,convert!$A$1:$B$4,2,0),"@@@",B534))</f>
        <v>'ミミロップ'</v>
      </c>
      <c r="R534" s="4" t="str">
        <f>IF(C534="",IF(ISNUMBER(SEARCH("NOT NULL",UPPER(C$3))),"''","null"),SUBSTITUTE(VLOOKUP(C$2,convert!$A$1:$B$4,2,0),"@@@",C534))</f>
        <v>65</v>
      </c>
      <c r="S534" s="4" t="str">
        <f>IF(D534="",IF(ISNUMBER(SEARCH("NOT NULL",UPPER(D$3))),"''","null"),SUBSTITUTE(VLOOKUP(D$2,convert!$A$1:$B$4,2,0),"@@@",D534))</f>
        <v>76</v>
      </c>
      <c r="T534" s="4" t="str">
        <f>IF(E534="",IF(ISNUMBER(SEARCH("NOT NULL",UPPER(E$3))),"''","null"),SUBSTITUTE(VLOOKUP(E$2,convert!$A$1:$B$4,2,0),"@@@",E534))</f>
        <v>84</v>
      </c>
      <c r="U534" s="4" t="str">
        <f>IF(F534="",IF(ISNUMBER(SEARCH("NOT NULL",UPPER(F$3))),"''","null"),SUBSTITUTE(VLOOKUP(F$2,convert!$A$1:$B$4,2,0),"@@@",F534))</f>
        <v>54</v>
      </c>
      <c r="V534" s="4" t="str">
        <f>IF(G534="",IF(ISNUMBER(SEARCH("NOT NULL",UPPER(G$3))),"''","null"),SUBSTITUTE(VLOOKUP(G$2,convert!$A$1:$B$4,2,0),"@@@",G534))</f>
        <v>96</v>
      </c>
      <c r="W534" s="4" t="str">
        <f>IF(H534="",IF(ISNUMBER(SEARCH("NOT NULL",UPPER(H$3))),"''","null"),SUBSTITUTE(VLOOKUP(H$2,convert!$A$1:$B$4,2,0),"@@@",H534))</f>
        <v>105</v>
      </c>
      <c r="X534" s="4" t="str">
        <f>IF(I534="",IF(ISNUMBER(SEARCH("NOT NULL",UPPER(I$3))),"''","null"),SUBSTITUTE(VLOOKUP(I$2,convert!$A$1:$B$4,2,0),"@@@",I534))</f>
        <v>''</v>
      </c>
      <c r="Y534" s="4" t="str">
        <f>IF(J534="",IF(ISNUMBER(SEARCH("NOT NULL",UPPER(J$3))),"''","null"),SUBSTITUTE(VLOOKUP(J$2,convert!$A$1:$B$4,2,0),"@@@",J534))</f>
        <v>'normal'</v>
      </c>
      <c r="Z534" s="4" t="str">
        <f>IF(K534="",IF(ISNUMBER(SEARCH("NOT NULL",UPPER(K$3))),"''","null"),SUBSTITUTE(VLOOKUP(K$2,convert!$A$1:$B$4,2,0),"@@@",K534))</f>
        <v>null</v>
      </c>
      <c r="AA534" s="4" t="str">
        <f>IF(L534="",IF(ISNUMBER(SEARCH("NOT NULL",UPPER(L$3))),"''","null"),SUBSTITUTE(VLOOKUP(L$2,convert!$A$1:$B$4,2,0),"@@@",L534))</f>
        <v>'g4'</v>
      </c>
      <c r="AB534" s="4" t="str">
        <f>IF(M534="",IF(ISNUMBER(SEARCH("NOT NULL",UPPER(M$3))),"''","null"),SUBSTITUTE(VLOOKUP(M$2,convert!$A$1:$B$4,2,0),"@@@",M534))</f>
        <v>null</v>
      </c>
      <c r="AC534" s="4" t="str">
        <f>IF(N534="",IF(ISNUMBER(SEARCH("NOT NULL",UPPER(N$3))),"''","null"),SUBSTITUTE(VLOOKUP(N$2,convert!$A$1:$B$4,2,0),"@@@",N534))</f>
        <v>null</v>
      </c>
      <c r="AD534" s="4" t="str">
        <f>IF(O534="",IF(ISNUMBER(SEARCH("NOT NULL",UPPER(O$3))),"''","null"),SUBSTITUTE(VLOOKUP(O$2,convert!$A$1:$B$4,2,0),"@@@",O534))</f>
        <v>TRUE</v>
      </c>
      <c r="AE534" s="4" t="str">
        <f t="shared" si="8"/>
        <v>    ('0428N01', 'ミミロップ', 65, 76, 84, 54, 96, 105, '', 'normal', null, 'g4', null, null, TRUE),</v>
      </c>
    </row>
    <row r="535" spans="1:31">
      <c r="A535" s="4" t="s">
        <v>1083</v>
      </c>
      <c r="B535" s="4" t="s">
        <v>1084</v>
      </c>
      <c r="C535" s="5">
        <v>65</v>
      </c>
      <c r="D535" s="5">
        <v>136</v>
      </c>
      <c r="E535" s="5">
        <v>94</v>
      </c>
      <c r="F535" s="5">
        <v>54</v>
      </c>
      <c r="G535" s="5">
        <v>96</v>
      </c>
      <c r="H535" s="5">
        <v>135</v>
      </c>
      <c r="I535" s="5"/>
      <c r="J535" s="4" t="s">
        <v>80</v>
      </c>
      <c r="K535" s="4" t="s">
        <v>189</v>
      </c>
      <c r="L535" s="4" t="s">
        <v>77</v>
      </c>
      <c r="M535" s="5"/>
      <c r="N535" s="5"/>
      <c r="O535" s="5" t="b">
        <v>1</v>
      </c>
      <c r="P535" s="4" t="str">
        <f>IF(A535="",IF(ISNUMBER(SEARCH("NOT NULL",UPPER(A$3))),"''","null"),SUBSTITUTE(VLOOKUP(A$2,convert!$A$1:$B$4,2,0),"@@@",A535))</f>
        <v>'0428M01'</v>
      </c>
      <c r="Q535" s="4" t="str">
        <f>IF(B535="",IF(ISNUMBER(SEARCH("NOT NULL",UPPER(B$3))),"''","null"),SUBSTITUTE(VLOOKUP(B$2,convert!$A$1:$B$4,2,0),"@@@",B535))</f>
        <v>'メガミミロップ'</v>
      </c>
      <c r="R535" s="4" t="str">
        <f>IF(C535="",IF(ISNUMBER(SEARCH("NOT NULL",UPPER(C$3))),"''","null"),SUBSTITUTE(VLOOKUP(C$2,convert!$A$1:$B$4,2,0),"@@@",C535))</f>
        <v>65</v>
      </c>
      <c r="S535" s="4" t="str">
        <f>IF(D535="",IF(ISNUMBER(SEARCH("NOT NULL",UPPER(D$3))),"''","null"),SUBSTITUTE(VLOOKUP(D$2,convert!$A$1:$B$4,2,0),"@@@",D535))</f>
        <v>136</v>
      </c>
      <c r="T535" s="4" t="str">
        <f>IF(E535="",IF(ISNUMBER(SEARCH("NOT NULL",UPPER(E$3))),"''","null"),SUBSTITUTE(VLOOKUP(E$2,convert!$A$1:$B$4,2,0),"@@@",E535))</f>
        <v>94</v>
      </c>
      <c r="U535" s="4" t="str">
        <f>IF(F535="",IF(ISNUMBER(SEARCH("NOT NULL",UPPER(F$3))),"''","null"),SUBSTITUTE(VLOOKUP(F$2,convert!$A$1:$B$4,2,0),"@@@",F535))</f>
        <v>54</v>
      </c>
      <c r="V535" s="4" t="str">
        <f>IF(G535="",IF(ISNUMBER(SEARCH("NOT NULL",UPPER(G$3))),"''","null"),SUBSTITUTE(VLOOKUP(G$2,convert!$A$1:$B$4,2,0),"@@@",G535))</f>
        <v>96</v>
      </c>
      <c r="W535" s="4" t="str">
        <f>IF(H535="",IF(ISNUMBER(SEARCH("NOT NULL",UPPER(H$3))),"''","null"),SUBSTITUTE(VLOOKUP(H$2,convert!$A$1:$B$4,2,0),"@@@",H535))</f>
        <v>135</v>
      </c>
      <c r="X535" s="4" t="str">
        <f>IF(I535="",IF(ISNUMBER(SEARCH("NOT NULL",UPPER(I$3))),"''","null"),SUBSTITUTE(VLOOKUP(I$2,convert!$A$1:$B$4,2,0),"@@@",I535))</f>
        <v>''</v>
      </c>
      <c r="Y535" s="4" t="str">
        <f>IF(J535="",IF(ISNUMBER(SEARCH("NOT NULL",UPPER(J$3))),"''","null"),SUBSTITUTE(VLOOKUP(J$2,convert!$A$1:$B$4,2,0),"@@@",J535))</f>
        <v>'normal'</v>
      </c>
      <c r="Z535" s="4" t="str">
        <f>IF(K535="",IF(ISNUMBER(SEARCH("NOT NULL",UPPER(K$3))),"''","null"),SUBSTITUTE(VLOOKUP(K$2,convert!$A$1:$B$4,2,0),"@@@",K535))</f>
        <v>'fighting'</v>
      </c>
      <c r="AA535" s="4" t="str">
        <f>IF(L535="",IF(ISNUMBER(SEARCH("NOT NULL",UPPER(L$3))),"''","null"),SUBSTITUTE(VLOOKUP(L$2,convert!$A$1:$B$4,2,0),"@@@",L535))</f>
        <v>'g6oras'</v>
      </c>
      <c r="AB535" s="4" t="str">
        <f>IF(M535="",IF(ISNUMBER(SEARCH("NOT NULL",UPPER(M$3))),"''","null"),SUBSTITUTE(VLOOKUP(M$2,convert!$A$1:$B$4,2,0),"@@@",M535))</f>
        <v>null</v>
      </c>
      <c r="AC535" s="4" t="str">
        <f>IF(N535="",IF(ISNUMBER(SEARCH("NOT NULL",UPPER(N$3))),"''","null"),SUBSTITUTE(VLOOKUP(N$2,convert!$A$1:$B$4,2,0),"@@@",N535))</f>
        <v>null</v>
      </c>
      <c r="AD535" s="4" t="str">
        <f>IF(O535="",IF(ISNUMBER(SEARCH("NOT NULL",UPPER(O$3))),"''","null"),SUBSTITUTE(VLOOKUP(O$2,convert!$A$1:$B$4,2,0),"@@@",O535))</f>
        <v>TRUE</v>
      </c>
      <c r="AE535" s="4" t="str">
        <f t="shared" si="8"/>
        <v>    ('0428M01', 'メガミミロップ', 65, 136, 94, 54, 96, 135, '', 'normal', 'fighting', 'g6oras', null, null, TRUE),</v>
      </c>
    </row>
    <row r="536" spans="1:31">
      <c r="A536" s="4" t="s">
        <v>1085</v>
      </c>
      <c r="B536" s="4" t="s">
        <v>1086</v>
      </c>
      <c r="C536" s="5">
        <v>60</v>
      </c>
      <c r="D536" s="5">
        <v>60</v>
      </c>
      <c r="E536" s="5">
        <v>60</v>
      </c>
      <c r="F536" s="5">
        <v>105</v>
      </c>
      <c r="G536" s="5">
        <v>105</v>
      </c>
      <c r="H536" s="5">
        <v>105</v>
      </c>
      <c r="I536" s="5"/>
      <c r="J536" s="4" t="s">
        <v>281</v>
      </c>
      <c r="K536" s="5"/>
      <c r="L536" s="4" t="s">
        <v>986</v>
      </c>
      <c r="M536" s="5"/>
      <c r="N536" s="5"/>
      <c r="O536" s="5" t="b">
        <v>1</v>
      </c>
      <c r="P536" s="4" t="str">
        <f>IF(A536="",IF(ISNUMBER(SEARCH("NOT NULL",UPPER(A$3))),"''","null"),SUBSTITUTE(VLOOKUP(A$2,convert!$A$1:$B$4,2,0),"@@@",A536))</f>
        <v>'0429N01'</v>
      </c>
      <c r="Q536" s="4" t="str">
        <f>IF(B536="",IF(ISNUMBER(SEARCH("NOT NULL",UPPER(B$3))),"''","null"),SUBSTITUTE(VLOOKUP(B$2,convert!$A$1:$B$4,2,0),"@@@",B536))</f>
        <v>'ムウマージ'</v>
      </c>
      <c r="R536" s="4" t="str">
        <f>IF(C536="",IF(ISNUMBER(SEARCH("NOT NULL",UPPER(C$3))),"''","null"),SUBSTITUTE(VLOOKUP(C$2,convert!$A$1:$B$4,2,0),"@@@",C536))</f>
        <v>60</v>
      </c>
      <c r="S536" s="4" t="str">
        <f>IF(D536="",IF(ISNUMBER(SEARCH("NOT NULL",UPPER(D$3))),"''","null"),SUBSTITUTE(VLOOKUP(D$2,convert!$A$1:$B$4,2,0),"@@@",D536))</f>
        <v>60</v>
      </c>
      <c r="T536" s="4" t="str">
        <f>IF(E536="",IF(ISNUMBER(SEARCH("NOT NULL",UPPER(E$3))),"''","null"),SUBSTITUTE(VLOOKUP(E$2,convert!$A$1:$B$4,2,0),"@@@",E536))</f>
        <v>60</v>
      </c>
      <c r="U536" s="4" t="str">
        <f>IF(F536="",IF(ISNUMBER(SEARCH("NOT NULL",UPPER(F$3))),"''","null"),SUBSTITUTE(VLOOKUP(F$2,convert!$A$1:$B$4,2,0),"@@@",F536))</f>
        <v>105</v>
      </c>
      <c r="V536" s="4" t="str">
        <f>IF(G536="",IF(ISNUMBER(SEARCH("NOT NULL",UPPER(G$3))),"''","null"),SUBSTITUTE(VLOOKUP(G$2,convert!$A$1:$B$4,2,0),"@@@",G536))</f>
        <v>105</v>
      </c>
      <c r="W536" s="4" t="str">
        <f>IF(H536="",IF(ISNUMBER(SEARCH("NOT NULL",UPPER(H$3))),"''","null"),SUBSTITUTE(VLOOKUP(H$2,convert!$A$1:$B$4,2,0),"@@@",H536))</f>
        <v>105</v>
      </c>
      <c r="X536" s="4" t="str">
        <f>IF(I536="",IF(ISNUMBER(SEARCH("NOT NULL",UPPER(I$3))),"''","null"),SUBSTITUTE(VLOOKUP(I$2,convert!$A$1:$B$4,2,0),"@@@",I536))</f>
        <v>''</v>
      </c>
      <c r="Y536" s="4" t="str">
        <f>IF(J536="",IF(ISNUMBER(SEARCH("NOT NULL",UPPER(J$3))),"''","null"),SUBSTITUTE(VLOOKUP(J$2,convert!$A$1:$B$4,2,0),"@@@",J536))</f>
        <v>'ghost'</v>
      </c>
      <c r="Z536" s="4" t="str">
        <f>IF(K536="",IF(ISNUMBER(SEARCH("NOT NULL",UPPER(K$3))),"''","null"),SUBSTITUTE(VLOOKUP(K$2,convert!$A$1:$B$4,2,0),"@@@",K536))</f>
        <v>null</v>
      </c>
      <c r="AA536" s="4" t="str">
        <f>IF(L536="",IF(ISNUMBER(SEARCH("NOT NULL",UPPER(L$3))),"''","null"),SUBSTITUTE(VLOOKUP(L$2,convert!$A$1:$B$4,2,0),"@@@",L536))</f>
        <v>'g4'</v>
      </c>
      <c r="AB536" s="4" t="str">
        <f>IF(M536="",IF(ISNUMBER(SEARCH("NOT NULL",UPPER(M$3))),"''","null"),SUBSTITUTE(VLOOKUP(M$2,convert!$A$1:$B$4,2,0),"@@@",M536))</f>
        <v>null</v>
      </c>
      <c r="AC536" s="4" t="str">
        <f>IF(N536="",IF(ISNUMBER(SEARCH("NOT NULL",UPPER(N$3))),"''","null"),SUBSTITUTE(VLOOKUP(N$2,convert!$A$1:$B$4,2,0),"@@@",N536))</f>
        <v>null</v>
      </c>
      <c r="AD536" s="4" t="str">
        <f>IF(O536="",IF(ISNUMBER(SEARCH("NOT NULL",UPPER(O$3))),"''","null"),SUBSTITUTE(VLOOKUP(O$2,convert!$A$1:$B$4,2,0),"@@@",O536))</f>
        <v>TRUE</v>
      </c>
      <c r="AE536" s="4" t="str">
        <f t="shared" si="8"/>
        <v>    ('0429N01', 'ムウマージ', 60, 60, 60, 105, 105, 105, '', 'ghost', null, 'g4', null, null, TRUE),</v>
      </c>
    </row>
    <row r="537" spans="1:31">
      <c r="A537" s="4" t="s">
        <v>1087</v>
      </c>
      <c r="B537" s="4" t="s">
        <v>1088</v>
      </c>
      <c r="C537" s="5">
        <v>100</v>
      </c>
      <c r="D537" s="5">
        <v>125</v>
      </c>
      <c r="E537" s="5">
        <v>52</v>
      </c>
      <c r="F537" s="5">
        <v>105</v>
      </c>
      <c r="G537" s="5">
        <v>52</v>
      </c>
      <c r="H537" s="5">
        <v>71</v>
      </c>
      <c r="I537" s="5"/>
      <c r="J537" s="4" t="s">
        <v>91</v>
      </c>
      <c r="K537" s="4" t="s">
        <v>47</v>
      </c>
      <c r="L537" s="4" t="s">
        <v>986</v>
      </c>
      <c r="M537" s="5"/>
      <c r="N537" s="5"/>
      <c r="O537" s="5" t="b">
        <v>1</v>
      </c>
      <c r="P537" s="4" t="str">
        <f>IF(A537="",IF(ISNUMBER(SEARCH("NOT NULL",UPPER(A$3))),"''","null"),SUBSTITUTE(VLOOKUP(A$2,convert!$A$1:$B$4,2,0),"@@@",A537))</f>
        <v>'0430N01'</v>
      </c>
      <c r="Q537" s="4" t="str">
        <f>IF(B537="",IF(ISNUMBER(SEARCH("NOT NULL",UPPER(B$3))),"''","null"),SUBSTITUTE(VLOOKUP(B$2,convert!$A$1:$B$4,2,0),"@@@",B537))</f>
        <v>'ドンカラス'</v>
      </c>
      <c r="R537" s="4" t="str">
        <f>IF(C537="",IF(ISNUMBER(SEARCH("NOT NULL",UPPER(C$3))),"''","null"),SUBSTITUTE(VLOOKUP(C$2,convert!$A$1:$B$4,2,0),"@@@",C537))</f>
        <v>100</v>
      </c>
      <c r="S537" s="4" t="str">
        <f>IF(D537="",IF(ISNUMBER(SEARCH("NOT NULL",UPPER(D$3))),"''","null"),SUBSTITUTE(VLOOKUP(D$2,convert!$A$1:$B$4,2,0),"@@@",D537))</f>
        <v>125</v>
      </c>
      <c r="T537" s="4" t="str">
        <f>IF(E537="",IF(ISNUMBER(SEARCH("NOT NULL",UPPER(E$3))),"''","null"),SUBSTITUTE(VLOOKUP(E$2,convert!$A$1:$B$4,2,0),"@@@",E537))</f>
        <v>52</v>
      </c>
      <c r="U537" s="4" t="str">
        <f>IF(F537="",IF(ISNUMBER(SEARCH("NOT NULL",UPPER(F$3))),"''","null"),SUBSTITUTE(VLOOKUP(F$2,convert!$A$1:$B$4,2,0),"@@@",F537))</f>
        <v>105</v>
      </c>
      <c r="V537" s="4" t="str">
        <f>IF(G537="",IF(ISNUMBER(SEARCH("NOT NULL",UPPER(G$3))),"''","null"),SUBSTITUTE(VLOOKUP(G$2,convert!$A$1:$B$4,2,0),"@@@",G537))</f>
        <v>52</v>
      </c>
      <c r="W537" s="4" t="str">
        <f>IF(H537="",IF(ISNUMBER(SEARCH("NOT NULL",UPPER(H$3))),"''","null"),SUBSTITUTE(VLOOKUP(H$2,convert!$A$1:$B$4,2,0),"@@@",H537))</f>
        <v>71</v>
      </c>
      <c r="X537" s="4" t="str">
        <f>IF(I537="",IF(ISNUMBER(SEARCH("NOT NULL",UPPER(I$3))),"''","null"),SUBSTITUTE(VLOOKUP(I$2,convert!$A$1:$B$4,2,0),"@@@",I537))</f>
        <v>''</v>
      </c>
      <c r="Y537" s="4" t="str">
        <f>IF(J537="",IF(ISNUMBER(SEARCH("NOT NULL",UPPER(J$3))),"''","null"),SUBSTITUTE(VLOOKUP(J$2,convert!$A$1:$B$4,2,0),"@@@",J537))</f>
        <v>'dark'</v>
      </c>
      <c r="Z537" s="4" t="str">
        <f>IF(K537="",IF(ISNUMBER(SEARCH("NOT NULL",UPPER(K$3))),"''","null"),SUBSTITUTE(VLOOKUP(K$2,convert!$A$1:$B$4,2,0),"@@@",K537))</f>
        <v>'flying'</v>
      </c>
      <c r="AA537" s="4" t="str">
        <f>IF(L537="",IF(ISNUMBER(SEARCH("NOT NULL",UPPER(L$3))),"''","null"),SUBSTITUTE(VLOOKUP(L$2,convert!$A$1:$B$4,2,0),"@@@",L537))</f>
        <v>'g4'</v>
      </c>
      <c r="AB537" s="4" t="str">
        <f>IF(M537="",IF(ISNUMBER(SEARCH("NOT NULL",UPPER(M$3))),"''","null"),SUBSTITUTE(VLOOKUP(M$2,convert!$A$1:$B$4,2,0),"@@@",M537))</f>
        <v>null</v>
      </c>
      <c r="AC537" s="4" t="str">
        <f>IF(N537="",IF(ISNUMBER(SEARCH("NOT NULL",UPPER(N$3))),"''","null"),SUBSTITUTE(VLOOKUP(N$2,convert!$A$1:$B$4,2,0),"@@@",N537))</f>
        <v>null</v>
      </c>
      <c r="AD537" s="4" t="str">
        <f>IF(O537="",IF(ISNUMBER(SEARCH("NOT NULL",UPPER(O$3))),"''","null"),SUBSTITUTE(VLOOKUP(O$2,convert!$A$1:$B$4,2,0),"@@@",O537))</f>
        <v>TRUE</v>
      </c>
      <c r="AE537" s="4" t="str">
        <f t="shared" si="8"/>
        <v>    ('0430N01', 'ドンカラス', 100, 125, 52, 105, 52, 71, '', 'dark', 'flying', 'g4', null, null, TRUE),</v>
      </c>
    </row>
    <row r="538" spans="1:31">
      <c r="A538" s="4" t="s">
        <v>1089</v>
      </c>
      <c r="B538" s="4" t="s">
        <v>1090</v>
      </c>
      <c r="C538" s="5">
        <v>49</v>
      </c>
      <c r="D538" s="5">
        <v>55</v>
      </c>
      <c r="E538" s="5">
        <v>42</v>
      </c>
      <c r="F538" s="5">
        <v>42</v>
      </c>
      <c r="G538" s="5">
        <v>37</v>
      </c>
      <c r="H538" s="5">
        <v>85</v>
      </c>
      <c r="I538" s="5"/>
      <c r="J538" s="4" t="s">
        <v>80</v>
      </c>
      <c r="K538" s="5"/>
      <c r="L538" s="4" t="s">
        <v>986</v>
      </c>
      <c r="M538" s="5"/>
      <c r="N538" s="5"/>
      <c r="O538" s="5" t="b">
        <v>1</v>
      </c>
      <c r="P538" s="4" t="str">
        <f>IF(A538="",IF(ISNUMBER(SEARCH("NOT NULL",UPPER(A$3))),"''","null"),SUBSTITUTE(VLOOKUP(A$2,convert!$A$1:$B$4,2,0),"@@@",A538))</f>
        <v>'0431N01'</v>
      </c>
      <c r="Q538" s="4" t="str">
        <f>IF(B538="",IF(ISNUMBER(SEARCH("NOT NULL",UPPER(B$3))),"''","null"),SUBSTITUTE(VLOOKUP(B$2,convert!$A$1:$B$4,2,0),"@@@",B538))</f>
        <v>'ニャルマー'</v>
      </c>
      <c r="R538" s="4" t="str">
        <f>IF(C538="",IF(ISNUMBER(SEARCH("NOT NULL",UPPER(C$3))),"''","null"),SUBSTITUTE(VLOOKUP(C$2,convert!$A$1:$B$4,2,0),"@@@",C538))</f>
        <v>49</v>
      </c>
      <c r="S538" s="4" t="str">
        <f>IF(D538="",IF(ISNUMBER(SEARCH("NOT NULL",UPPER(D$3))),"''","null"),SUBSTITUTE(VLOOKUP(D$2,convert!$A$1:$B$4,2,0),"@@@",D538))</f>
        <v>55</v>
      </c>
      <c r="T538" s="4" t="str">
        <f>IF(E538="",IF(ISNUMBER(SEARCH("NOT NULL",UPPER(E$3))),"''","null"),SUBSTITUTE(VLOOKUP(E$2,convert!$A$1:$B$4,2,0),"@@@",E538))</f>
        <v>42</v>
      </c>
      <c r="U538" s="4" t="str">
        <f>IF(F538="",IF(ISNUMBER(SEARCH("NOT NULL",UPPER(F$3))),"''","null"),SUBSTITUTE(VLOOKUP(F$2,convert!$A$1:$B$4,2,0),"@@@",F538))</f>
        <v>42</v>
      </c>
      <c r="V538" s="4" t="str">
        <f>IF(G538="",IF(ISNUMBER(SEARCH("NOT NULL",UPPER(G$3))),"''","null"),SUBSTITUTE(VLOOKUP(G$2,convert!$A$1:$B$4,2,0),"@@@",G538))</f>
        <v>37</v>
      </c>
      <c r="W538" s="4" t="str">
        <f>IF(H538="",IF(ISNUMBER(SEARCH("NOT NULL",UPPER(H$3))),"''","null"),SUBSTITUTE(VLOOKUP(H$2,convert!$A$1:$B$4,2,0),"@@@",H538))</f>
        <v>85</v>
      </c>
      <c r="X538" s="4" t="str">
        <f>IF(I538="",IF(ISNUMBER(SEARCH("NOT NULL",UPPER(I$3))),"''","null"),SUBSTITUTE(VLOOKUP(I$2,convert!$A$1:$B$4,2,0),"@@@",I538))</f>
        <v>''</v>
      </c>
      <c r="Y538" s="4" t="str">
        <f>IF(J538="",IF(ISNUMBER(SEARCH("NOT NULL",UPPER(J$3))),"''","null"),SUBSTITUTE(VLOOKUP(J$2,convert!$A$1:$B$4,2,0),"@@@",J538))</f>
        <v>'normal'</v>
      </c>
      <c r="Z538" s="4" t="str">
        <f>IF(K538="",IF(ISNUMBER(SEARCH("NOT NULL",UPPER(K$3))),"''","null"),SUBSTITUTE(VLOOKUP(K$2,convert!$A$1:$B$4,2,0),"@@@",K538))</f>
        <v>null</v>
      </c>
      <c r="AA538" s="4" t="str">
        <f>IF(L538="",IF(ISNUMBER(SEARCH("NOT NULL",UPPER(L$3))),"''","null"),SUBSTITUTE(VLOOKUP(L$2,convert!$A$1:$B$4,2,0),"@@@",L538))</f>
        <v>'g4'</v>
      </c>
      <c r="AB538" s="4" t="str">
        <f>IF(M538="",IF(ISNUMBER(SEARCH("NOT NULL",UPPER(M$3))),"''","null"),SUBSTITUTE(VLOOKUP(M$2,convert!$A$1:$B$4,2,0),"@@@",M538))</f>
        <v>null</v>
      </c>
      <c r="AC538" s="4" t="str">
        <f>IF(N538="",IF(ISNUMBER(SEARCH("NOT NULL",UPPER(N$3))),"''","null"),SUBSTITUTE(VLOOKUP(N$2,convert!$A$1:$B$4,2,0),"@@@",N538))</f>
        <v>null</v>
      </c>
      <c r="AD538" s="4" t="str">
        <f>IF(O538="",IF(ISNUMBER(SEARCH("NOT NULL",UPPER(O$3))),"''","null"),SUBSTITUTE(VLOOKUP(O$2,convert!$A$1:$B$4,2,0),"@@@",O538))</f>
        <v>TRUE</v>
      </c>
      <c r="AE538" s="4" t="str">
        <f t="shared" si="8"/>
        <v>    ('0431N01', 'ニャルマー', 49, 55, 42, 42, 37, 85, '', 'normal', null, 'g4', null, null, TRUE),</v>
      </c>
    </row>
    <row r="539" spans="1:31">
      <c r="A539" s="4" t="s">
        <v>1091</v>
      </c>
      <c r="B539" s="4" t="s">
        <v>1092</v>
      </c>
      <c r="C539" s="5">
        <v>71</v>
      </c>
      <c r="D539" s="5">
        <v>82</v>
      </c>
      <c r="E539" s="5">
        <v>64</v>
      </c>
      <c r="F539" s="5">
        <v>64</v>
      </c>
      <c r="G539" s="5">
        <v>59</v>
      </c>
      <c r="H539" s="5">
        <v>112</v>
      </c>
      <c r="I539" s="5"/>
      <c r="J539" s="4" t="s">
        <v>80</v>
      </c>
      <c r="K539" s="5"/>
      <c r="L539" s="4" t="s">
        <v>986</v>
      </c>
      <c r="M539" s="5"/>
      <c r="N539" s="5"/>
      <c r="O539" s="5" t="b">
        <v>1</v>
      </c>
      <c r="P539" s="4" t="str">
        <f>IF(A539="",IF(ISNUMBER(SEARCH("NOT NULL",UPPER(A$3))),"''","null"),SUBSTITUTE(VLOOKUP(A$2,convert!$A$1:$B$4,2,0),"@@@",A539))</f>
        <v>'0432N01'</v>
      </c>
      <c r="Q539" s="4" t="str">
        <f>IF(B539="",IF(ISNUMBER(SEARCH("NOT NULL",UPPER(B$3))),"''","null"),SUBSTITUTE(VLOOKUP(B$2,convert!$A$1:$B$4,2,0),"@@@",B539))</f>
        <v>'ブニャット'</v>
      </c>
      <c r="R539" s="4" t="str">
        <f>IF(C539="",IF(ISNUMBER(SEARCH("NOT NULL",UPPER(C$3))),"''","null"),SUBSTITUTE(VLOOKUP(C$2,convert!$A$1:$B$4,2,0),"@@@",C539))</f>
        <v>71</v>
      </c>
      <c r="S539" s="4" t="str">
        <f>IF(D539="",IF(ISNUMBER(SEARCH("NOT NULL",UPPER(D$3))),"''","null"),SUBSTITUTE(VLOOKUP(D$2,convert!$A$1:$B$4,2,0),"@@@",D539))</f>
        <v>82</v>
      </c>
      <c r="T539" s="4" t="str">
        <f>IF(E539="",IF(ISNUMBER(SEARCH("NOT NULL",UPPER(E$3))),"''","null"),SUBSTITUTE(VLOOKUP(E$2,convert!$A$1:$B$4,2,0),"@@@",E539))</f>
        <v>64</v>
      </c>
      <c r="U539" s="4" t="str">
        <f>IF(F539="",IF(ISNUMBER(SEARCH("NOT NULL",UPPER(F$3))),"''","null"),SUBSTITUTE(VLOOKUP(F$2,convert!$A$1:$B$4,2,0),"@@@",F539))</f>
        <v>64</v>
      </c>
      <c r="V539" s="4" t="str">
        <f>IF(G539="",IF(ISNUMBER(SEARCH("NOT NULL",UPPER(G$3))),"''","null"),SUBSTITUTE(VLOOKUP(G$2,convert!$A$1:$B$4,2,0),"@@@",G539))</f>
        <v>59</v>
      </c>
      <c r="W539" s="4" t="str">
        <f>IF(H539="",IF(ISNUMBER(SEARCH("NOT NULL",UPPER(H$3))),"''","null"),SUBSTITUTE(VLOOKUP(H$2,convert!$A$1:$B$4,2,0),"@@@",H539))</f>
        <v>112</v>
      </c>
      <c r="X539" s="4" t="str">
        <f>IF(I539="",IF(ISNUMBER(SEARCH("NOT NULL",UPPER(I$3))),"''","null"),SUBSTITUTE(VLOOKUP(I$2,convert!$A$1:$B$4,2,0),"@@@",I539))</f>
        <v>''</v>
      </c>
      <c r="Y539" s="4" t="str">
        <f>IF(J539="",IF(ISNUMBER(SEARCH("NOT NULL",UPPER(J$3))),"''","null"),SUBSTITUTE(VLOOKUP(J$2,convert!$A$1:$B$4,2,0),"@@@",J539))</f>
        <v>'normal'</v>
      </c>
      <c r="Z539" s="4" t="str">
        <f>IF(K539="",IF(ISNUMBER(SEARCH("NOT NULL",UPPER(K$3))),"''","null"),SUBSTITUTE(VLOOKUP(K$2,convert!$A$1:$B$4,2,0),"@@@",K539))</f>
        <v>null</v>
      </c>
      <c r="AA539" s="4" t="str">
        <f>IF(L539="",IF(ISNUMBER(SEARCH("NOT NULL",UPPER(L$3))),"''","null"),SUBSTITUTE(VLOOKUP(L$2,convert!$A$1:$B$4,2,0),"@@@",L539))</f>
        <v>'g4'</v>
      </c>
      <c r="AB539" s="4" t="str">
        <f>IF(M539="",IF(ISNUMBER(SEARCH("NOT NULL",UPPER(M$3))),"''","null"),SUBSTITUTE(VLOOKUP(M$2,convert!$A$1:$B$4,2,0),"@@@",M539))</f>
        <v>null</v>
      </c>
      <c r="AC539" s="4" t="str">
        <f>IF(N539="",IF(ISNUMBER(SEARCH("NOT NULL",UPPER(N$3))),"''","null"),SUBSTITUTE(VLOOKUP(N$2,convert!$A$1:$B$4,2,0),"@@@",N539))</f>
        <v>null</v>
      </c>
      <c r="AD539" s="4" t="str">
        <f>IF(O539="",IF(ISNUMBER(SEARCH("NOT NULL",UPPER(O$3))),"''","null"),SUBSTITUTE(VLOOKUP(O$2,convert!$A$1:$B$4,2,0),"@@@",O539))</f>
        <v>TRUE</v>
      </c>
      <c r="AE539" s="4" t="str">
        <f t="shared" si="8"/>
        <v>    ('0432N01', 'ブニャット', 71, 82, 64, 64, 59, 112, '', 'normal', null, 'g4', null, null, TRUE),</v>
      </c>
    </row>
    <row r="540" spans="1:31">
      <c r="A540" s="4" t="s">
        <v>1093</v>
      </c>
      <c r="B540" s="4" t="s">
        <v>1094</v>
      </c>
      <c r="C540" s="5">
        <v>45</v>
      </c>
      <c r="D540" s="5">
        <v>30</v>
      </c>
      <c r="E540" s="5">
        <v>50</v>
      </c>
      <c r="F540" s="5">
        <v>65</v>
      </c>
      <c r="G540" s="5">
        <v>50</v>
      </c>
      <c r="H540" s="5">
        <v>45</v>
      </c>
      <c r="I540" s="5"/>
      <c r="J540" s="4" t="s">
        <v>113</v>
      </c>
      <c r="K540" s="5"/>
      <c r="L540" s="4" t="s">
        <v>986</v>
      </c>
      <c r="M540" s="5"/>
      <c r="N540" s="5"/>
      <c r="O540" s="5" t="b">
        <v>1</v>
      </c>
      <c r="P540" s="4" t="str">
        <f>IF(A540="",IF(ISNUMBER(SEARCH("NOT NULL",UPPER(A$3))),"''","null"),SUBSTITUTE(VLOOKUP(A$2,convert!$A$1:$B$4,2,0),"@@@",A540))</f>
        <v>'0433N01'</v>
      </c>
      <c r="Q540" s="4" t="str">
        <f>IF(B540="",IF(ISNUMBER(SEARCH("NOT NULL",UPPER(B$3))),"''","null"),SUBSTITUTE(VLOOKUP(B$2,convert!$A$1:$B$4,2,0),"@@@",B540))</f>
        <v>'リーシャン'</v>
      </c>
      <c r="R540" s="4" t="str">
        <f>IF(C540="",IF(ISNUMBER(SEARCH("NOT NULL",UPPER(C$3))),"''","null"),SUBSTITUTE(VLOOKUP(C$2,convert!$A$1:$B$4,2,0),"@@@",C540))</f>
        <v>45</v>
      </c>
      <c r="S540" s="4" t="str">
        <f>IF(D540="",IF(ISNUMBER(SEARCH("NOT NULL",UPPER(D$3))),"''","null"),SUBSTITUTE(VLOOKUP(D$2,convert!$A$1:$B$4,2,0),"@@@",D540))</f>
        <v>30</v>
      </c>
      <c r="T540" s="4" t="str">
        <f>IF(E540="",IF(ISNUMBER(SEARCH("NOT NULL",UPPER(E$3))),"''","null"),SUBSTITUTE(VLOOKUP(E$2,convert!$A$1:$B$4,2,0),"@@@",E540))</f>
        <v>50</v>
      </c>
      <c r="U540" s="4" t="str">
        <f>IF(F540="",IF(ISNUMBER(SEARCH("NOT NULL",UPPER(F$3))),"''","null"),SUBSTITUTE(VLOOKUP(F$2,convert!$A$1:$B$4,2,0),"@@@",F540))</f>
        <v>65</v>
      </c>
      <c r="V540" s="4" t="str">
        <f>IF(G540="",IF(ISNUMBER(SEARCH("NOT NULL",UPPER(G$3))),"''","null"),SUBSTITUTE(VLOOKUP(G$2,convert!$A$1:$B$4,2,0),"@@@",G540))</f>
        <v>50</v>
      </c>
      <c r="W540" s="4" t="str">
        <f>IF(H540="",IF(ISNUMBER(SEARCH("NOT NULL",UPPER(H$3))),"''","null"),SUBSTITUTE(VLOOKUP(H$2,convert!$A$1:$B$4,2,0),"@@@",H540))</f>
        <v>45</v>
      </c>
      <c r="X540" s="4" t="str">
        <f>IF(I540="",IF(ISNUMBER(SEARCH("NOT NULL",UPPER(I$3))),"''","null"),SUBSTITUTE(VLOOKUP(I$2,convert!$A$1:$B$4,2,0),"@@@",I540))</f>
        <v>''</v>
      </c>
      <c r="Y540" s="4" t="str">
        <f>IF(J540="",IF(ISNUMBER(SEARCH("NOT NULL",UPPER(J$3))),"''","null"),SUBSTITUTE(VLOOKUP(J$2,convert!$A$1:$B$4,2,0),"@@@",J540))</f>
        <v>'psychic'</v>
      </c>
      <c r="Z540" s="4" t="str">
        <f>IF(K540="",IF(ISNUMBER(SEARCH("NOT NULL",UPPER(K$3))),"''","null"),SUBSTITUTE(VLOOKUP(K$2,convert!$A$1:$B$4,2,0),"@@@",K540))</f>
        <v>null</v>
      </c>
      <c r="AA540" s="4" t="str">
        <f>IF(L540="",IF(ISNUMBER(SEARCH("NOT NULL",UPPER(L$3))),"''","null"),SUBSTITUTE(VLOOKUP(L$2,convert!$A$1:$B$4,2,0),"@@@",L540))</f>
        <v>'g4'</v>
      </c>
      <c r="AB540" s="4" t="str">
        <f>IF(M540="",IF(ISNUMBER(SEARCH("NOT NULL",UPPER(M$3))),"''","null"),SUBSTITUTE(VLOOKUP(M$2,convert!$A$1:$B$4,2,0),"@@@",M540))</f>
        <v>null</v>
      </c>
      <c r="AC540" s="4" t="str">
        <f>IF(N540="",IF(ISNUMBER(SEARCH("NOT NULL",UPPER(N$3))),"''","null"),SUBSTITUTE(VLOOKUP(N$2,convert!$A$1:$B$4,2,0),"@@@",N540))</f>
        <v>null</v>
      </c>
      <c r="AD540" s="4" t="str">
        <f>IF(O540="",IF(ISNUMBER(SEARCH("NOT NULL",UPPER(O$3))),"''","null"),SUBSTITUTE(VLOOKUP(O$2,convert!$A$1:$B$4,2,0),"@@@",O540))</f>
        <v>TRUE</v>
      </c>
      <c r="AE540" s="4" t="str">
        <f t="shared" si="8"/>
        <v>    ('0433N01', 'リーシャン', 45, 30, 50, 65, 50, 45, '', 'psychic', null, 'g4', null, null, TRUE),</v>
      </c>
    </row>
    <row r="541" spans="1:31">
      <c r="A541" s="4" t="s">
        <v>1095</v>
      </c>
      <c r="B541" s="4" t="s">
        <v>1096</v>
      </c>
      <c r="C541" s="5">
        <v>63</v>
      </c>
      <c r="D541" s="5">
        <v>63</v>
      </c>
      <c r="E541" s="5">
        <v>47</v>
      </c>
      <c r="F541" s="5">
        <v>41</v>
      </c>
      <c r="G541" s="5">
        <v>41</v>
      </c>
      <c r="H541" s="5">
        <v>74</v>
      </c>
      <c r="I541" s="5"/>
      <c r="J541" s="4" t="s">
        <v>31</v>
      </c>
      <c r="K541" s="4" t="s">
        <v>91</v>
      </c>
      <c r="L541" s="4" t="s">
        <v>986</v>
      </c>
      <c r="M541" s="5"/>
      <c r="N541" s="5"/>
      <c r="O541" s="5" t="b">
        <v>1</v>
      </c>
      <c r="P541" s="4" t="str">
        <f>IF(A541="",IF(ISNUMBER(SEARCH("NOT NULL",UPPER(A$3))),"''","null"),SUBSTITUTE(VLOOKUP(A$2,convert!$A$1:$B$4,2,0),"@@@",A541))</f>
        <v>'0434N01'</v>
      </c>
      <c r="Q541" s="4" t="str">
        <f>IF(B541="",IF(ISNUMBER(SEARCH("NOT NULL",UPPER(B$3))),"''","null"),SUBSTITUTE(VLOOKUP(B$2,convert!$A$1:$B$4,2,0),"@@@",B541))</f>
        <v>'スカンプー'</v>
      </c>
      <c r="R541" s="4" t="str">
        <f>IF(C541="",IF(ISNUMBER(SEARCH("NOT NULL",UPPER(C$3))),"''","null"),SUBSTITUTE(VLOOKUP(C$2,convert!$A$1:$B$4,2,0),"@@@",C541))</f>
        <v>63</v>
      </c>
      <c r="S541" s="4" t="str">
        <f>IF(D541="",IF(ISNUMBER(SEARCH("NOT NULL",UPPER(D$3))),"''","null"),SUBSTITUTE(VLOOKUP(D$2,convert!$A$1:$B$4,2,0),"@@@",D541))</f>
        <v>63</v>
      </c>
      <c r="T541" s="4" t="str">
        <f>IF(E541="",IF(ISNUMBER(SEARCH("NOT NULL",UPPER(E$3))),"''","null"),SUBSTITUTE(VLOOKUP(E$2,convert!$A$1:$B$4,2,0),"@@@",E541))</f>
        <v>47</v>
      </c>
      <c r="U541" s="4" t="str">
        <f>IF(F541="",IF(ISNUMBER(SEARCH("NOT NULL",UPPER(F$3))),"''","null"),SUBSTITUTE(VLOOKUP(F$2,convert!$A$1:$B$4,2,0),"@@@",F541))</f>
        <v>41</v>
      </c>
      <c r="V541" s="4" t="str">
        <f>IF(G541="",IF(ISNUMBER(SEARCH("NOT NULL",UPPER(G$3))),"''","null"),SUBSTITUTE(VLOOKUP(G$2,convert!$A$1:$B$4,2,0),"@@@",G541))</f>
        <v>41</v>
      </c>
      <c r="W541" s="4" t="str">
        <f>IF(H541="",IF(ISNUMBER(SEARCH("NOT NULL",UPPER(H$3))),"''","null"),SUBSTITUTE(VLOOKUP(H$2,convert!$A$1:$B$4,2,0),"@@@",H541))</f>
        <v>74</v>
      </c>
      <c r="X541" s="4" t="str">
        <f>IF(I541="",IF(ISNUMBER(SEARCH("NOT NULL",UPPER(I$3))),"''","null"),SUBSTITUTE(VLOOKUP(I$2,convert!$A$1:$B$4,2,0),"@@@",I541))</f>
        <v>''</v>
      </c>
      <c r="Y541" s="4" t="str">
        <f>IF(J541="",IF(ISNUMBER(SEARCH("NOT NULL",UPPER(J$3))),"''","null"),SUBSTITUTE(VLOOKUP(J$2,convert!$A$1:$B$4,2,0),"@@@",J541))</f>
        <v>'poison'</v>
      </c>
      <c r="Z541" s="4" t="str">
        <f>IF(K541="",IF(ISNUMBER(SEARCH("NOT NULL",UPPER(K$3))),"''","null"),SUBSTITUTE(VLOOKUP(K$2,convert!$A$1:$B$4,2,0),"@@@",K541))</f>
        <v>'dark'</v>
      </c>
      <c r="AA541" s="4" t="str">
        <f>IF(L541="",IF(ISNUMBER(SEARCH("NOT NULL",UPPER(L$3))),"''","null"),SUBSTITUTE(VLOOKUP(L$2,convert!$A$1:$B$4,2,0),"@@@",L541))</f>
        <v>'g4'</v>
      </c>
      <c r="AB541" s="4" t="str">
        <f>IF(M541="",IF(ISNUMBER(SEARCH("NOT NULL",UPPER(M$3))),"''","null"),SUBSTITUTE(VLOOKUP(M$2,convert!$A$1:$B$4,2,0),"@@@",M541))</f>
        <v>null</v>
      </c>
      <c r="AC541" s="4" t="str">
        <f>IF(N541="",IF(ISNUMBER(SEARCH("NOT NULL",UPPER(N$3))),"''","null"),SUBSTITUTE(VLOOKUP(N$2,convert!$A$1:$B$4,2,0),"@@@",N541))</f>
        <v>null</v>
      </c>
      <c r="AD541" s="4" t="str">
        <f>IF(O541="",IF(ISNUMBER(SEARCH("NOT NULL",UPPER(O$3))),"''","null"),SUBSTITUTE(VLOOKUP(O$2,convert!$A$1:$B$4,2,0),"@@@",O541))</f>
        <v>TRUE</v>
      </c>
      <c r="AE541" s="4" t="str">
        <f t="shared" si="8"/>
        <v>    ('0434N01', 'スカンプー', 63, 63, 47, 41, 41, 74, '', 'poison', 'dark', 'g4', null, null, TRUE),</v>
      </c>
    </row>
    <row r="542" spans="1:31">
      <c r="A542" s="4" t="s">
        <v>1097</v>
      </c>
      <c r="B542" s="4" t="s">
        <v>1098</v>
      </c>
      <c r="C542" s="5">
        <v>103</v>
      </c>
      <c r="D542" s="5">
        <v>93</v>
      </c>
      <c r="E542" s="5">
        <v>67</v>
      </c>
      <c r="F542" s="5">
        <v>71</v>
      </c>
      <c r="G542" s="5">
        <v>61</v>
      </c>
      <c r="H542" s="5">
        <v>84</v>
      </c>
      <c r="I542" s="5"/>
      <c r="J542" s="4" t="s">
        <v>31</v>
      </c>
      <c r="K542" s="4" t="s">
        <v>91</v>
      </c>
      <c r="L542" s="4" t="s">
        <v>986</v>
      </c>
      <c r="M542" s="5"/>
      <c r="N542" s="5"/>
      <c r="O542" s="5" t="b">
        <v>1</v>
      </c>
      <c r="P542" s="4" t="str">
        <f>IF(A542="",IF(ISNUMBER(SEARCH("NOT NULL",UPPER(A$3))),"''","null"),SUBSTITUTE(VLOOKUP(A$2,convert!$A$1:$B$4,2,0),"@@@",A542))</f>
        <v>'0435N01'</v>
      </c>
      <c r="Q542" s="4" t="str">
        <f>IF(B542="",IF(ISNUMBER(SEARCH("NOT NULL",UPPER(B$3))),"''","null"),SUBSTITUTE(VLOOKUP(B$2,convert!$A$1:$B$4,2,0),"@@@",B542))</f>
        <v>'スカタンク'</v>
      </c>
      <c r="R542" s="4" t="str">
        <f>IF(C542="",IF(ISNUMBER(SEARCH("NOT NULL",UPPER(C$3))),"''","null"),SUBSTITUTE(VLOOKUP(C$2,convert!$A$1:$B$4,2,0),"@@@",C542))</f>
        <v>103</v>
      </c>
      <c r="S542" s="4" t="str">
        <f>IF(D542="",IF(ISNUMBER(SEARCH("NOT NULL",UPPER(D$3))),"''","null"),SUBSTITUTE(VLOOKUP(D$2,convert!$A$1:$B$4,2,0),"@@@",D542))</f>
        <v>93</v>
      </c>
      <c r="T542" s="4" t="str">
        <f>IF(E542="",IF(ISNUMBER(SEARCH("NOT NULL",UPPER(E$3))),"''","null"),SUBSTITUTE(VLOOKUP(E$2,convert!$A$1:$B$4,2,0),"@@@",E542))</f>
        <v>67</v>
      </c>
      <c r="U542" s="4" t="str">
        <f>IF(F542="",IF(ISNUMBER(SEARCH("NOT NULL",UPPER(F$3))),"''","null"),SUBSTITUTE(VLOOKUP(F$2,convert!$A$1:$B$4,2,0),"@@@",F542))</f>
        <v>71</v>
      </c>
      <c r="V542" s="4" t="str">
        <f>IF(G542="",IF(ISNUMBER(SEARCH("NOT NULL",UPPER(G$3))),"''","null"),SUBSTITUTE(VLOOKUP(G$2,convert!$A$1:$B$4,2,0),"@@@",G542))</f>
        <v>61</v>
      </c>
      <c r="W542" s="4" t="str">
        <f>IF(H542="",IF(ISNUMBER(SEARCH("NOT NULL",UPPER(H$3))),"''","null"),SUBSTITUTE(VLOOKUP(H$2,convert!$A$1:$B$4,2,0),"@@@",H542))</f>
        <v>84</v>
      </c>
      <c r="X542" s="4" t="str">
        <f>IF(I542="",IF(ISNUMBER(SEARCH("NOT NULL",UPPER(I$3))),"''","null"),SUBSTITUTE(VLOOKUP(I$2,convert!$A$1:$B$4,2,0),"@@@",I542))</f>
        <v>''</v>
      </c>
      <c r="Y542" s="4" t="str">
        <f>IF(J542="",IF(ISNUMBER(SEARCH("NOT NULL",UPPER(J$3))),"''","null"),SUBSTITUTE(VLOOKUP(J$2,convert!$A$1:$B$4,2,0),"@@@",J542))</f>
        <v>'poison'</v>
      </c>
      <c r="Z542" s="4" t="str">
        <f>IF(K542="",IF(ISNUMBER(SEARCH("NOT NULL",UPPER(K$3))),"''","null"),SUBSTITUTE(VLOOKUP(K$2,convert!$A$1:$B$4,2,0),"@@@",K542))</f>
        <v>'dark'</v>
      </c>
      <c r="AA542" s="4" t="str">
        <f>IF(L542="",IF(ISNUMBER(SEARCH("NOT NULL",UPPER(L$3))),"''","null"),SUBSTITUTE(VLOOKUP(L$2,convert!$A$1:$B$4,2,0),"@@@",L542))</f>
        <v>'g4'</v>
      </c>
      <c r="AB542" s="4" t="str">
        <f>IF(M542="",IF(ISNUMBER(SEARCH("NOT NULL",UPPER(M$3))),"''","null"),SUBSTITUTE(VLOOKUP(M$2,convert!$A$1:$B$4,2,0),"@@@",M542))</f>
        <v>null</v>
      </c>
      <c r="AC542" s="4" t="str">
        <f>IF(N542="",IF(ISNUMBER(SEARCH("NOT NULL",UPPER(N$3))),"''","null"),SUBSTITUTE(VLOOKUP(N$2,convert!$A$1:$B$4,2,0),"@@@",N542))</f>
        <v>null</v>
      </c>
      <c r="AD542" s="4" t="str">
        <f>IF(O542="",IF(ISNUMBER(SEARCH("NOT NULL",UPPER(O$3))),"''","null"),SUBSTITUTE(VLOOKUP(O$2,convert!$A$1:$B$4,2,0),"@@@",O542))</f>
        <v>TRUE</v>
      </c>
      <c r="AE542" s="4" t="str">
        <f t="shared" si="8"/>
        <v>    ('0435N01', 'スカタンク', 103, 93, 67, 71, 61, 84, '', 'poison', 'dark', 'g4', null, null, TRUE),</v>
      </c>
    </row>
    <row r="543" spans="1:31">
      <c r="A543" s="4" t="s">
        <v>1099</v>
      </c>
      <c r="B543" s="4" t="s">
        <v>1100</v>
      </c>
      <c r="C543" s="5">
        <v>57</v>
      </c>
      <c r="D543" s="5">
        <v>24</v>
      </c>
      <c r="E543" s="5">
        <v>86</v>
      </c>
      <c r="F543" s="5">
        <v>24</v>
      </c>
      <c r="G543" s="5">
        <v>86</v>
      </c>
      <c r="H543" s="5">
        <v>23</v>
      </c>
      <c r="I543" s="5"/>
      <c r="J543" s="4" t="s">
        <v>119</v>
      </c>
      <c r="K543" s="4" t="s">
        <v>113</v>
      </c>
      <c r="L543" s="4" t="s">
        <v>986</v>
      </c>
      <c r="M543" s="5"/>
      <c r="N543" s="5"/>
      <c r="O543" s="5" t="b">
        <v>1</v>
      </c>
      <c r="P543" s="4" t="str">
        <f>IF(A543="",IF(ISNUMBER(SEARCH("NOT NULL",UPPER(A$3))),"''","null"),SUBSTITUTE(VLOOKUP(A$2,convert!$A$1:$B$4,2,0),"@@@",A543))</f>
        <v>'0436N01'</v>
      </c>
      <c r="Q543" s="4" t="str">
        <f>IF(B543="",IF(ISNUMBER(SEARCH("NOT NULL",UPPER(B$3))),"''","null"),SUBSTITUTE(VLOOKUP(B$2,convert!$A$1:$B$4,2,0),"@@@",B543))</f>
        <v>'ドーミラー'</v>
      </c>
      <c r="R543" s="4" t="str">
        <f>IF(C543="",IF(ISNUMBER(SEARCH("NOT NULL",UPPER(C$3))),"''","null"),SUBSTITUTE(VLOOKUP(C$2,convert!$A$1:$B$4,2,0),"@@@",C543))</f>
        <v>57</v>
      </c>
      <c r="S543" s="4" t="str">
        <f>IF(D543="",IF(ISNUMBER(SEARCH("NOT NULL",UPPER(D$3))),"''","null"),SUBSTITUTE(VLOOKUP(D$2,convert!$A$1:$B$4,2,0),"@@@",D543))</f>
        <v>24</v>
      </c>
      <c r="T543" s="4" t="str">
        <f>IF(E543="",IF(ISNUMBER(SEARCH("NOT NULL",UPPER(E$3))),"''","null"),SUBSTITUTE(VLOOKUP(E$2,convert!$A$1:$B$4,2,0),"@@@",E543))</f>
        <v>86</v>
      </c>
      <c r="U543" s="4" t="str">
        <f>IF(F543="",IF(ISNUMBER(SEARCH("NOT NULL",UPPER(F$3))),"''","null"),SUBSTITUTE(VLOOKUP(F$2,convert!$A$1:$B$4,2,0),"@@@",F543))</f>
        <v>24</v>
      </c>
      <c r="V543" s="4" t="str">
        <f>IF(G543="",IF(ISNUMBER(SEARCH("NOT NULL",UPPER(G$3))),"''","null"),SUBSTITUTE(VLOOKUP(G$2,convert!$A$1:$B$4,2,0),"@@@",G543))</f>
        <v>86</v>
      </c>
      <c r="W543" s="4" t="str">
        <f>IF(H543="",IF(ISNUMBER(SEARCH("NOT NULL",UPPER(H$3))),"''","null"),SUBSTITUTE(VLOOKUP(H$2,convert!$A$1:$B$4,2,0),"@@@",H543))</f>
        <v>23</v>
      </c>
      <c r="X543" s="4" t="str">
        <f>IF(I543="",IF(ISNUMBER(SEARCH("NOT NULL",UPPER(I$3))),"''","null"),SUBSTITUTE(VLOOKUP(I$2,convert!$A$1:$B$4,2,0),"@@@",I543))</f>
        <v>''</v>
      </c>
      <c r="Y543" s="4" t="str">
        <f>IF(J543="",IF(ISNUMBER(SEARCH("NOT NULL",UPPER(J$3))),"''","null"),SUBSTITUTE(VLOOKUP(J$2,convert!$A$1:$B$4,2,0),"@@@",J543))</f>
        <v>'steel'</v>
      </c>
      <c r="Z543" s="4" t="str">
        <f>IF(K543="",IF(ISNUMBER(SEARCH("NOT NULL",UPPER(K$3))),"''","null"),SUBSTITUTE(VLOOKUP(K$2,convert!$A$1:$B$4,2,0),"@@@",K543))</f>
        <v>'psychic'</v>
      </c>
      <c r="AA543" s="4" t="str">
        <f>IF(L543="",IF(ISNUMBER(SEARCH("NOT NULL",UPPER(L$3))),"''","null"),SUBSTITUTE(VLOOKUP(L$2,convert!$A$1:$B$4,2,0),"@@@",L543))</f>
        <v>'g4'</v>
      </c>
      <c r="AB543" s="4" t="str">
        <f>IF(M543="",IF(ISNUMBER(SEARCH("NOT NULL",UPPER(M$3))),"''","null"),SUBSTITUTE(VLOOKUP(M$2,convert!$A$1:$B$4,2,0),"@@@",M543))</f>
        <v>null</v>
      </c>
      <c r="AC543" s="4" t="str">
        <f>IF(N543="",IF(ISNUMBER(SEARCH("NOT NULL",UPPER(N$3))),"''","null"),SUBSTITUTE(VLOOKUP(N$2,convert!$A$1:$B$4,2,0),"@@@",N543))</f>
        <v>null</v>
      </c>
      <c r="AD543" s="4" t="str">
        <f>IF(O543="",IF(ISNUMBER(SEARCH("NOT NULL",UPPER(O$3))),"''","null"),SUBSTITUTE(VLOOKUP(O$2,convert!$A$1:$B$4,2,0),"@@@",O543))</f>
        <v>TRUE</v>
      </c>
      <c r="AE543" s="4" t="str">
        <f t="shared" si="8"/>
        <v>    ('0436N01', 'ドーミラー', 57, 24, 86, 24, 86, 23, '', 'steel', 'psychic', 'g4', null, null, TRUE),</v>
      </c>
    </row>
    <row r="544" spans="1:31">
      <c r="A544" s="4" t="s">
        <v>1101</v>
      </c>
      <c r="B544" s="4" t="s">
        <v>1102</v>
      </c>
      <c r="C544" s="5">
        <v>67</v>
      </c>
      <c r="D544" s="5">
        <v>89</v>
      </c>
      <c r="E544" s="5">
        <v>116</v>
      </c>
      <c r="F544" s="5">
        <v>79</v>
      </c>
      <c r="G544" s="5">
        <v>116</v>
      </c>
      <c r="H544" s="5">
        <v>33</v>
      </c>
      <c r="I544" s="5"/>
      <c r="J544" s="4" t="s">
        <v>119</v>
      </c>
      <c r="K544" s="4" t="s">
        <v>113</v>
      </c>
      <c r="L544" s="4" t="s">
        <v>986</v>
      </c>
      <c r="M544" s="5"/>
      <c r="N544" s="5"/>
      <c r="O544" s="5" t="b">
        <v>1</v>
      </c>
      <c r="P544" s="4" t="str">
        <f>IF(A544="",IF(ISNUMBER(SEARCH("NOT NULL",UPPER(A$3))),"''","null"),SUBSTITUTE(VLOOKUP(A$2,convert!$A$1:$B$4,2,0),"@@@",A544))</f>
        <v>'0437N01'</v>
      </c>
      <c r="Q544" s="4" t="str">
        <f>IF(B544="",IF(ISNUMBER(SEARCH("NOT NULL",UPPER(B$3))),"''","null"),SUBSTITUTE(VLOOKUP(B$2,convert!$A$1:$B$4,2,0),"@@@",B544))</f>
        <v>'ドータクン'</v>
      </c>
      <c r="R544" s="4" t="str">
        <f>IF(C544="",IF(ISNUMBER(SEARCH("NOT NULL",UPPER(C$3))),"''","null"),SUBSTITUTE(VLOOKUP(C$2,convert!$A$1:$B$4,2,0),"@@@",C544))</f>
        <v>67</v>
      </c>
      <c r="S544" s="4" t="str">
        <f>IF(D544="",IF(ISNUMBER(SEARCH("NOT NULL",UPPER(D$3))),"''","null"),SUBSTITUTE(VLOOKUP(D$2,convert!$A$1:$B$4,2,0),"@@@",D544))</f>
        <v>89</v>
      </c>
      <c r="T544" s="4" t="str">
        <f>IF(E544="",IF(ISNUMBER(SEARCH("NOT NULL",UPPER(E$3))),"''","null"),SUBSTITUTE(VLOOKUP(E$2,convert!$A$1:$B$4,2,0),"@@@",E544))</f>
        <v>116</v>
      </c>
      <c r="U544" s="4" t="str">
        <f>IF(F544="",IF(ISNUMBER(SEARCH("NOT NULL",UPPER(F$3))),"''","null"),SUBSTITUTE(VLOOKUP(F$2,convert!$A$1:$B$4,2,0),"@@@",F544))</f>
        <v>79</v>
      </c>
      <c r="V544" s="4" t="str">
        <f>IF(G544="",IF(ISNUMBER(SEARCH("NOT NULL",UPPER(G$3))),"''","null"),SUBSTITUTE(VLOOKUP(G$2,convert!$A$1:$B$4,2,0),"@@@",G544))</f>
        <v>116</v>
      </c>
      <c r="W544" s="4" t="str">
        <f>IF(H544="",IF(ISNUMBER(SEARCH("NOT NULL",UPPER(H$3))),"''","null"),SUBSTITUTE(VLOOKUP(H$2,convert!$A$1:$B$4,2,0),"@@@",H544))</f>
        <v>33</v>
      </c>
      <c r="X544" s="4" t="str">
        <f>IF(I544="",IF(ISNUMBER(SEARCH("NOT NULL",UPPER(I$3))),"''","null"),SUBSTITUTE(VLOOKUP(I$2,convert!$A$1:$B$4,2,0),"@@@",I544))</f>
        <v>''</v>
      </c>
      <c r="Y544" s="4" t="str">
        <f>IF(J544="",IF(ISNUMBER(SEARCH("NOT NULL",UPPER(J$3))),"''","null"),SUBSTITUTE(VLOOKUP(J$2,convert!$A$1:$B$4,2,0),"@@@",J544))</f>
        <v>'steel'</v>
      </c>
      <c r="Z544" s="4" t="str">
        <f>IF(K544="",IF(ISNUMBER(SEARCH("NOT NULL",UPPER(K$3))),"''","null"),SUBSTITUTE(VLOOKUP(K$2,convert!$A$1:$B$4,2,0),"@@@",K544))</f>
        <v>'psychic'</v>
      </c>
      <c r="AA544" s="4" t="str">
        <f>IF(L544="",IF(ISNUMBER(SEARCH("NOT NULL",UPPER(L$3))),"''","null"),SUBSTITUTE(VLOOKUP(L$2,convert!$A$1:$B$4,2,0),"@@@",L544))</f>
        <v>'g4'</v>
      </c>
      <c r="AB544" s="4" t="str">
        <f>IF(M544="",IF(ISNUMBER(SEARCH("NOT NULL",UPPER(M$3))),"''","null"),SUBSTITUTE(VLOOKUP(M$2,convert!$A$1:$B$4,2,0),"@@@",M544))</f>
        <v>null</v>
      </c>
      <c r="AC544" s="4" t="str">
        <f>IF(N544="",IF(ISNUMBER(SEARCH("NOT NULL",UPPER(N$3))),"''","null"),SUBSTITUTE(VLOOKUP(N$2,convert!$A$1:$B$4,2,0),"@@@",N544))</f>
        <v>null</v>
      </c>
      <c r="AD544" s="4" t="str">
        <f>IF(O544="",IF(ISNUMBER(SEARCH("NOT NULL",UPPER(O$3))),"''","null"),SUBSTITUTE(VLOOKUP(O$2,convert!$A$1:$B$4,2,0),"@@@",O544))</f>
        <v>TRUE</v>
      </c>
      <c r="AE544" s="4" t="str">
        <f t="shared" si="8"/>
        <v>    ('0437N01', 'ドータクン', 67, 89, 116, 79, 116, 33, '', 'steel', 'psychic', 'g4', null, null, TRUE),</v>
      </c>
    </row>
    <row r="545" spans="1:31">
      <c r="A545" s="4" t="s">
        <v>1103</v>
      </c>
      <c r="B545" s="4" t="s">
        <v>1104</v>
      </c>
      <c r="C545" s="5">
        <v>50</v>
      </c>
      <c r="D545" s="5">
        <v>80</v>
      </c>
      <c r="E545" s="5">
        <v>95</v>
      </c>
      <c r="F545" s="5">
        <v>10</v>
      </c>
      <c r="G545" s="5">
        <v>45</v>
      </c>
      <c r="H545" s="5">
        <v>10</v>
      </c>
      <c r="I545" s="5"/>
      <c r="J545" s="4" t="s">
        <v>196</v>
      </c>
      <c r="K545" s="5"/>
      <c r="L545" s="4" t="s">
        <v>986</v>
      </c>
      <c r="M545" s="5"/>
      <c r="N545" s="5"/>
      <c r="O545" s="5" t="b">
        <v>1</v>
      </c>
      <c r="P545" s="4" t="str">
        <f>IF(A545="",IF(ISNUMBER(SEARCH("NOT NULL",UPPER(A$3))),"''","null"),SUBSTITUTE(VLOOKUP(A$2,convert!$A$1:$B$4,2,0),"@@@",A545))</f>
        <v>'0438N01'</v>
      </c>
      <c r="Q545" s="4" t="str">
        <f>IF(B545="",IF(ISNUMBER(SEARCH("NOT NULL",UPPER(B$3))),"''","null"),SUBSTITUTE(VLOOKUP(B$2,convert!$A$1:$B$4,2,0),"@@@",B545))</f>
        <v>'ウソハチ'</v>
      </c>
      <c r="R545" s="4" t="str">
        <f>IF(C545="",IF(ISNUMBER(SEARCH("NOT NULL",UPPER(C$3))),"''","null"),SUBSTITUTE(VLOOKUP(C$2,convert!$A$1:$B$4,2,0),"@@@",C545))</f>
        <v>50</v>
      </c>
      <c r="S545" s="4" t="str">
        <f>IF(D545="",IF(ISNUMBER(SEARCH("NOT NULL",UPPER(D$3))),"''","null"),SUBSTITUTE(VLOOKUP(D$2,convert!$A$1:$B$4,2,0),"@@@",D545))</f>
        <v>80</v>
      </c>
      <c r="T545" s="4" t="str">
        <f>IF(E545="",IF(ISNUMBER(SEARCH("NOT NULL",UPPER(E$3))),"''","null"),SUBSTITUTE(VLOOKUP(E$2,convert!$A$1:$B$4,2,0),"@@@",E545))</f>
        <v>95</v>
      </c>
      <c r="U545" s="4" t="str">
        <f>IF(F545="",IF(ISNUMBER(SEARCH("NOT NULL",UPPER(F$3))),"''","null"),SUBSTITUTE(VLOOKUP(F$2,convert!$A$1:$B$4,2,0),"@@@",F545))</f>
        <v>10</v>
      </c>
      <c r="V545" s="4" t="str">
        <f>IF(G545="",IF(ISNUMBER(SEARCH("NOT NULL",UPPER(G$3))),"''","null"),SUBSTITUTE(VLOOKUP(G$2,convert!$A$1:$B$4,2,0),"@@@",G545))</f>
        <v>45</v>
      </c>
      <c r="W545" s="4" t="str">
        <f>IF(H545="",IF(ISNUMBER(SEARCH("NOT NULL",UPPER(H$3))),"''","null"),SUBSTITUTE(VLOOKUP(H$2,convert!$A$1:$B$4,2,0),"@@@",H545))</f>
        <v>10</v>
      </c>
      <c r="X545" s="4" t="str">
        <f>IF(I545="",IF(ISNUMBER(SEARCH("NOT NULL",UPPER(I$3))),"''","null"),SUBSTITUTE(VLOOKUP(I$2,convert!$A$1:$B$4,2,0),"@@@",I545))</f>
        <v>''</v>
      </c>
      <c r="Y545" s="4" t="str">
        <f>IF(J545="",IF(ISNUMBER(SEARCH("NOT NULL",UPPER(J$3))),"''","null"),SUBSTITUTE(VLOOKUP(J$2,convert!$A$1:$B$4,2,0),"@@@",J545))</f>
        <v>'rock'</v>
      </c>
      <c r="Z545" s="4" t="str">
        <f>IF(K545="",IF(ISNUMBER(SEARCH("NOT NULL",UPPER(K$3))),"''","null"),SUBSTITUTE(VLOOKUP(K$2,convert!$A$1:$B$4,2,0),"@@@",K545))</f>
        <v>null</v>
      </c>
      <c r="AA545" s="4" t="str">
        <f>IF(L545="",IF(ISNUMBER(SEARCH("NOT NULL",UPPER(L$3))),"''","null"),SUBSTITUTE(VLOOKUP(L$2,convert!$A$1:$B$4,2,0),"@@@",L545))</f>
        <v>'g4'</v>
      </c>
      <c r="AB545" s="4" t="str">
        <f>IF(M545="",IF(ISNUMBER(SEARCH("NOT NULL",UPPER(M$3))),"''","null"),SUBSTITUTE(VLOOKUP(M$2,convert!$A$1:$B$4,2,0),"@@@",M545))</f>
        <v>null</v>
      </c>
      <c r="AC545" s="4" t="str">
        <f>IF(N545="",IF(ISNUMBER(SEARCH("NOT NULL",UPPER(N$3))),"''","null"),SUBSTITUTE(VLOOKUP(N$2,convert!$A$1:$B$4,2,0),"@@@",N545))</f>
        <v>null</v>
      </c>
      <c r="AD545" s="4" t="str">
        <f>IF(O545="",IF(ISNUMBER(SEARCH("NOT NULL",UPPER(O$3))),"''","null"),SUBSTITUTE(VLOOKUP(O$2,convert!$A$1:$B$4,2,0),"@@@",O545))</f>
        <v>TRUE</v>
      </c>
      <c r="AE545" s="4" t="str">
        <f t="shared" si="8"/>
        <v>    ('0438N01', 'ウソハチ', 50, 80, 95, 10, 45, 10, '', 'rock', null, 'g4', null, null, TRUE),</v>
      </c>
    </row>
    <row r="546" spans="1:31">
      <c r="A546" s="4" t="s">
        <v>1105</v>
      </c>
      <c r="B546" s="4" t="s">
        <v>1106</v>
      </c>
      <c r="C546" s="5">
        <v>20</v>
      </c>
      <c r="D546" s="5">
        <v>25</v>
      </c>
      <c r="E546" s="5">
        <v>45</v>
      </c>
      <c r="F546" s="5">
        <v>70</v>
      </c>
      <c r="G546" s="5">
        <v>90</v>
      </c>
      <c r="H546" s="5">
        <v>60</v>
      </c>
      <c r="I546" s="5"/>
      <c r="J546" s="4" t="s">
        <v>113</v>
      </c>
      <c r="K546" s="4" t="s">
        <v>137</v>
      </c>
      <c r="L546" s="4" t="s">
        <v>986</v>
      </c>
      <c r="M546" s="5"/>
      <c r="N546" s="5"/>
      <c r="O546" s="5" t="b">
        <v>1</v>
      </c>
      <c r="P546" s="4" t="str">
        <f>IF(A546="",IF(ISNUMBER(SEARCH("NOT NULL",UPPER(A$3))),"''","null"),SUBSTITUTE(VLOOKUP(A$2,convert!$A$1:$B$4,2,0),"@@@",A546))</f>
        <v>'0439N01'</v>
      </c>
      <c r="Q546" s="4" t="str">
        <f>IF(B546="",IF(ISNUMBER(SEARCH("NOT NULL",UPPER(B$3))),"''","null"),SUBSTITUTE(VLOOKUP(B$2,convert!$A$1:$B$4,2,0),"@@@",B546))</f>
        <v>'マネネ'</v>
      </c>
      <c r="R546" s="4" t="str">
        <f>IF(C546="",IF(ISNUMBER(SEARCH("NOT NULL",UPPER(C$3))),"''","null"),SUBSTITUTE(VLOOKUP(C$2,convert!$A$1:$B$4,2,0),"@@@",C546))</f>
        <v>20</v>
      </c>
      <c r="S546" s="4" t="str">
        <f>IF(D546="",IF(ISNUMBER(SEARCH("NOT NULL",UPPER(D$3))),"''","null"),SUBSTITUTE(VLOOKUP(D$2,convert!$A$1:$B$4,2,0),"@@@",D546))</f>
        <v>25</v>
      </c>
      <c r="T546" s="4" t="str">
        <f>IF(E546="",IF(ISNUMBER(SEARCH("NOT NULL",UPPER(E$3))),"''","null"),SUBSTITUTE(VLOOKUP(E$2,convert!$A$1:$B$4,2,0),"@@@",E546))</f>
        <v>45</v>
      </c>
      <c r="U546" s="4" t="str">
        <f>IF(F546="",IF(ISNUMBER(SEARCH("NOT NULL",UPPER(F$3))),"''","null"),SUBSTITUTE(VLOOKUP(F$2,convert!$A$1:$B$4,2,0),"@@@",F546))</f>
        <v>70</v>
      </c>
      <c r="V546" s="4" t="str">
        <f>IF(G546="",IF(ISNUMBER(SEARCH("NOT NULL",UPPER(G$3))),"''","null"),SUBSTITUTE(VLOOKUP(G$2,convert!$A$1:$B$4,2,0),"@@@",G546))</f>
        <v>90</v>
      </c>
      <c r="W546" s="4" t="str">
        <f>IF(H546="",IF(ISNUMBER(SEARCH("NOT NULL",UPPER(H$3))),"''","null"),SUBSTITUTE(VLOOKUP(H$2,convert!$A$1:$B$4,2,0),"@@@",H546))</f>
        <v>60</v>
      </c>
      <c r="X546" s="4" t="str">
        <f>IF(I546="",IF(ISNUMBER(SEARCH("NOT NULL",UPPER(I$3))),"''","null"),SUBSTITUTE(VLOOKUP(I$2,convert!$A$1:$B$4,2,0),"@@@",I546))</f>
        <v>''</v>
      </c>
      <c r="Y546" s="4" t="str">
        <f>IF(J546="",IF(ISNUMBER(SEARCH("NOT NULL",UPPER(J$3))),"''","null"),SUBSTITUTE(VLOOKUP(J$2,convert!$A$1:$B$4,2,0),"@@@",J546))</f>
        <v>'psychic'</v>
      </c>
      <c r="Z546" s="4" t="str">
        <f>IF(K546="",IF(ISNUMBER(SEARCH("NOT NULL",UPPER(K$3))),"''","null"),SUBSTITUTE(VLOOKUP(K$2,convert!$A$1:$B$4,2,0),"@@@",K546))</f>
        <v>'fairy'</v>
      </c>
      <c r="AA546" s="4" t="str">
        <f>IF(L546="",IF(ISNUMBER(SEARCH("NOT NULL",UPPER(L$3))),"''","null"),SUBSTITUTE(VLOOKUP(L$2,convert!$A$1:$B$4,2,0),"@@@",L546))</f>
        <v>'g4'</v>
      </c>
      <c r="AB546" s="4" t="str">
        <f>IF(M546="",IF(ISNUMBER(SEARCH("NOT NULL",UPPER(M$3))),"''","null"),SUBSTITUTE(VLOOKUP(M$2,convert!$A$1:$B$4,2,0),"@@@",M546))</f>
        <v>null</v>
      </c>
      <c r="AC546" s="4" t="str">
        <f>IF(N546="",IF(ISNUMBER(SEARCH("NOT NULL",UPPER(N$3))),"''","null"),SUBSTITUTE(VLOOKUP(N$2,convert!$A$1:$B$4,2,0),"@@@",N546))</f>
        <v>null</v>
      </c>
      <c r="AD546" s="4" t="str">
        <f>IF(O546="",IF(ISNUMBER(SEARCH("NOT NULL",UPPER(O$3))),"''","null"),SUBSTITUTE(VLOOKUP(O$2,convert!$A$1:$B$4,2,0),"@@@",O546))</f>
        <v>TRUE</v>
      </c>
      <c r="AE546" s="4" t="str">
        <f t="shared" si="8"/>
        <v>    ('0439N01', 'マネネ', 20, 25, 45, 70, 90, 60, '', 'psychic', 'fairy', 'g4', null, null, TRUE),</v>
      </c>
    </row>
    <row r="547" spans="1:31">
      <c r="A547" s="4" t="s">
        <v>1107</v>
      </c>
      <c r="B547" s="4" t="s">
        <v>1108</v>
      </c>
      <c r="C547" s="5">
        <v>100</v>
      </c>
      <c r="D547" s="5">
        <v>5</v>
      </c>
      <c r="E547" s="5">
        <v>5</v>
      </c>
      <c r="F547" s="5">
        <v>15</v>
      </c>
      <c r="G547" s="5">
        <v>65</v>
      </c>
      <c r="H547" s="5">
        <v>30</v>
      </c>
      <c r="I547" s="5"/>
      <c r="J547" s="4" t="s">
        <v>80</v>
      </c>
      <c r="K547" s="5"/>
      <c r="L547" s="4" t="s">
        <v>986</v>
      </c>
      <c r="M547" s="5"/>
      <c r="N547" s="5"/>
      <c r="O547" s="5" t="b">
        <v>1</v>
      </c>
      <c r="P547" s="4" t="str">
        <f>IF(A547="",IF(ISNUMBER(SEARCH("NOT NULL",UPPER(A$3))),"''","null"),SUBSTITUTE(VLOOKUP(A$2,convert!$A$1:$B$4,2,0),"@@@",A547))</f>
        <v>'0440N01'</v>
      </c>
      <c r="Q547" s="4" t="str">
        <f>IF(B547="",IF(ISNUMBER(SEARCH("NOT NULL",UPPER(B$3))),"''","null"),SUBSTITUTE(VLOOKUP(B$2,convert!$A$1:$B$4,2,0),"@@@",B547))</f>
        <v>'ピンプク'</v>
      </c>
      <c r="R547" s="4" t="str">
        <f>IF(C547="",IF(ISNUMBER(SEARCH("NOT NULL",UPPER(C$3))),"''","null"),SUBSTITUTE(VLOOKUP(C$2,convert!$A$1:$B$4,2,0),"@@@",C547))</f>
        <v>100</v>
      </c>
      <c r="S547" s="4" t="str">
        <f>IF(D547="",IF(ISNUMBER(SEARCH("NOT NULL",UPPER(D$3))),"''","null"),SUBSTITUTE(VLOOKUP(D$2,convert!$A$1:$B$4,2,0),"@@@",D547))</f>
        <v>5</v>
      </c>
      <c r="T547" s="4" t="str">
        <f>IF(E547="",IF(ISNUMBER(SEARCH("NOT NULL",UPPER(E$3))),"''","null"),SUBSTITUTE(VLOOKUP(E$2,convert!$A$1:$B$4,2,0),"@@@",E547))</f>
        <v>5</v>
      </c>
      <c r="U547" s="4" t="str">
        <f>IF(F547="",IF(ISNUMBER(SEARCH("NOT NULL",UPPER(F$3))),"''","null"),SUBSTITUTE(VLOOKUP(F$2,convert!$A$1:$B$4,2,0),"@@@",F547))</f>
        <v>15</v>
      </c>
      <c r="V547" s="4" t="str">
        <f>IF(G547="",IF(ISNUMBER(SEARCH("NOT NULL",UPPER(G$3))),"''","null"),SUBSTITUTE(VLOOKUP(G$2,convert!$A$1:$B$4,2,0),"@@@",G547))</f>
        <v>65</v>
      </c>
      <c r="W547" s="4" t="str">
        <f>IF(H547="",IF(ISNUMBER(SEARCH("NOT NULL",UPPER(H$3))),"''","null"),SUBSTITUTE(VLOOKUP(H$2,convert!$A$1:$B$4,2,0),"@@@",H547))</f>
        <v>30</v>
      </c>
      <c r="X547" s="4" t="str">
        <f>IF(I547="",IF(ISNUMBER(SEARCH("NOT NULL",UPPER(I$3))),"''","null"),SUBSTITUTE(VLOOKUP(I$2,convert!$A$1:$B$4,2,0),"@@@",I547))</f>
        <v>''</v>
      </c>
      <c r="Y547" s="4" t="str">
        <f>IF(J547="",IF(ISNUMBER(SEARCH("NOT NULL",UPPER(J$3))),"''","null"),SUBSTITUTE(VLOOKUP(J$2,convert!$A$1:$B$4,2,0),"@@@",J547))</f>
        <v>'normal'</v>
      </c>
      <c r="Z547" s="4" t="str">
        <f>IF(K547="",IF(ISNUMBER(SEARCH("NOT NULL",UPPER(K$3))),"''","null"),SUBSTITUTE(VLOOKUP(K$2,convert!$A$1:$B$4,2,0),"@@@",K547))</f>
        <v>null</v>
      </c>
      <c r="AA547" s="4" t="str">
        <f>IF(L547="",IF(ISNUMBER(SEARCH("NOT NULL",UPPER(L$3))),"''","null"),SUBSTITUTE(VLOOKUP(L$2,convert!$A$1:$B$4,2,0),"@@@",L547))</f>
        <v>'g4'</v>
      </c>
      <c r="AB547" s="4" t="str">
        <f>IF(M547="",IF(ISNUMBER(SEARCH("NOT NULL",UPPER(M$3))),"''","null"),SUBSTITUTE(VLOOKUP(M$2,convert!$A$1:$B$4,2,0),"@@@",M547))</f>
        <v>null</v>
      </c>
      <c r="AC547" s="4" t="str">
        <f>IF(N547="",IF(ISNUMBER(SEARCH("NOT NULL",UPPER(N$3))),"''","null"),SUBSTITUTE(VLOOKUP(N$2,convert!$A$1:$B$4,2,0),"@@@",N547))</f>
        <v>null</v>
      </c>
      <c r="AD547" s="4" t="str">
        <f>IF(O547="",IF(ISNUMBER(SEARCH("NOT NULL",UPPER(O$3))),"''","null"),SUBSTITUTE(VLOOKUP(O$2,convert!$A$1:$B$4,2,0),"@@@",O547))</f>
        <v>TRUE</v>
      </c>
      <c r="AE547" s="4" t="str">
        <f t="shared" si="8"/>
        <v>    ('0440N01', 'ピンプク', 100, 5, 5, 15, 65, 30, '', 'normal', null, 'g4', null, null, TRUE),</v>
      </c>
    </row>
    <row r="548" spans="1:31">
      <c r="A548" s="4" t="s">
        <v>1109</v>
      </c>
      <c r="B548" s="4" t="s">
        <v>1110</v>
      </c>
      <c r="C548" s="5">
        <v>76</v>
      </c>
      <c r="D548" s="5">
        <v>65</v>
      </c>
      <c r="E548" s="5">
        <v>45</v>
      </c>
      <c r="F548" s="5">
        <v>92</v>
      </c>
      <c r="G548" s="5">
        <v>42</v>
      </c>
      <c r="H548" s="5">
        <v>91</v>
      </c>
      <c r="I548" s="5"/>
      <c r="J548" s="4" t="s">
        <v>80</v>
      </c>
      <c r="K548" s="4" t="s">
        <v>47</v>
      </c>
      <c r="L548" s="4" t="s">
        <v>986</v>
      </c>
      <c r="M548" s="5"/>
      <c r="N548" s="5"/>
      <c r="O548" s="5" t="b">
        <v>1</v>
      </c>
      <c r="P548" s="4" t="str">
        <f>IF(A548="",IF(ISNUMBER(SEARCH("NOT NULL",UPPER(A$3))),"''","null"),SUBSTITUTE(VLOOKUP(A$2,convert!$A$1:$B$4,2,0),"@@@",A548))</f>
        <v>'0441N01'</v>
      </c>
      <c r="Q548" s="4" t="str">
        <f>IF(B548="",IF(ISNUMBER(SEARCH("NOT NULL",UPPER(B$3))),"''","null"),SUBSTITUTE(VLOOKUP(B$2,convert!$A$1:$B$4,2,0),"@@@",B548))</f>
        <v>'ペラップ'</v>
      </c>
      <c r="R548" s="4" t="str">
        <f>IF(C548="",IF(ISNUMBER(SEARCH("NOT NULL",UPPER(C$3))),"''","null"),SUBSTITUTE(VLOOKUP(C$2,convert!$A$1:$B$4,2,0),"@@@",C548))</f>
        <v>76</v>
      </c>
      <c r="S548" s="4" t="str">
        <f>IF(D548="",IF(ISNUMBER(SEARCH("NOT NULL",UPPER(D$3))),"''","null"),SUBSTITUTE(VLOOKUP(D$2,convert!$A$1:$B$4,2,0),"@@@",D548))</f>
        <v>65</v>
      </c>
      <c r="T548" s="4" t="str">
        <f>IF(E548="",IF(ISNUMBER(SEARCH("NOT NULL",UPPER(E$3))),"''","null"),SUBSTITUTE(VLOOKUP(E$2,convert!$A$1:$B$4,2,0),"@@@",E548))</f>
        <v>45</v>
      </c>
      <c r="U548" s="4" t="str">
        <f>IF(F548="",IF(ISNUMBER(SEARCH("NOT NULL",UPPER(F$3))),"''","null"),SUBSTITUTE(VLOOKUP(F$2,convert!$A$1:$B$4,2,0),"@@@",F548))</f>
        <v>92</v>
      </c>
      <c r="V548" s="4" t="str">
        <f>IF(G548="",IF(ISNUMBER(SEARCH("NOT NULL",UPPER(G$3))),"''","null"),SUBSTITUTE(VLOOKUP(G$2,convert!$A$1:$B$4,2,0),"@@@",G548))</f>
        <v>42</v>
      </c>
      <c r="W548" s="4" t="str">
        <f>IF(H548="",IF(ISNUMBER(SEARCH("NOT NULL",UPPER(H$3))),"''","null"),SUBSTITUTE(VLOOKUP(H$2,convert!$A$1:$B$4,2,0),"@@@",H548))</f>
        <v>91</v>
      </c>
      <c r="X548" s="4" t="str">
        <f>IF(I548="",IF(ISNUMBER(SEARCH("NOT NULL",UPPER(I$3))),"''","null"),SUBSTITUTE(VLOOKUP(I$2,convert!$A$1:$B$4,2,0),"@@@",I548))</f>
        <v>''</v>
      </c>
      <c r="Y548" s="4" t="str">
        <f>IF(J548="",IF(ISNUMBER(SEARCH("NOT NULL",UPPER(J$3))),"''","null"),SUBSTITUTE(VLOOKUP(J$2,convert!$A$1:$B$4,2,0),"@@@",J548))</f>
        <v>'normal'</v>
      </c>
      <c r="Z548" s="4" t="str">
        <f>IF(K548="",IF(ISNUMBER(SEARCH("NOT NULL",UPPER(K$3))),"''","null"),SUBSTITUTE(VLOOKUP(K$2,convert!$A$1:$B$4,2,0),"@@@",K548))</f>
        <v>'flying'</v>
      </c>
      <c r="AA548" s="4" t="str">
        <f>IF(L548="",IF(ISNUMBER(SEARCH("NOT NULL",UPPER(L$3))),"''","null"),SUBSTITUTE(VLOOKUP(L$2,convert!$A$1:$B$4,2,0),"@@@",L548))</f>
        <v>'g4'</v>
      </c>
      <c r="AB548" s="4" t="str">
        <f>IF(M548="",IF(ISNUMBER(SEARCH("NOT NULL",UPPER(M$3))),"''","null"),SUBSTITUTE(VLOOKUP(M$2,convert!$A$1:$B$4,2,0),"@@@",M548))</f>
        <v>null</v>
      </c>
      <c r="AC548" s="4" t="str">
        <f>IF(N548="",IF(ISNUMBER(SEARCH("NOT NULL",UPPER(N$3))),"''","null"),SUBSTITUTE(VLOOKUP(N$2,convert!$A$1:$B$4,2,0),"@@@",N548))</f>
        <v>null</v>
      </c>
      <c r="AD548" s="4" t="str">
        <f>IF(O548="",IF(ISNUMBER(SEARCH("NOT NULL",UPPER(O$3))),"''","null"),SUBSTITUTE(VLOOKUP(O$2,convert!$A$1:$B$4,2,0),"@@@",O548))</f>
        <v>TRUE</v>
      </c>
      <c r="AE548" s="4" t="str">
        <f t="shared" si="8"/>
        <v>    ('0441N01', 'ペラップ', 76, 65, 45, 92, 42, 91, '', 'normal', 'flying', 'g4', null, null, TRUE),</v>
      </c>
    </row>
    <row r="549" spans="1:31">
      <c r="A549" s="4" t="s">
        <v>1111</v>
      </c>
      <c r="B549" s="4" t="s">
        <v>1112</v>
      </c>
      <c r="C549" s="5">
        <v>50</v>
      </c>
      <c r="D549" s="5">
        <v>92</v>
      </c>
      <c r="E549" s="5">
        <v>108</v>
      </c>
      <c r="F549" s="5">
        <v>92</v>
      </c>
      <c r="G549" s="5">
        <v>108</v>
      </c>
      <c r="H549" s="5">
        <v>35</v>
      </c>
      <c r="I549" s="5"/>
      <c r="J549" s="4" t="s">
        <v>281</v>
      </c>
      <c r="K549" s="4" t="s">
        <v>91</v>
      </c>
      <c r="L549" s="4" t="s">
        <v>986</v>
      </c>
      <c r="M549" s="5"/>
      <c r="N549" s="5"/>
      <c r="O549" s="5" t="b">
        <v>1</v>
      </c>
      <c r="P549" s="4" t="str">
        <f>IF(A549="",IF(ISNUMBER(SEARCH("NOT NULL",UPPER(A$3))),"''","null"),SUBSTITUTE(VLOOKUP(A$2,convert!$A$1:$B$4,2,0),"@@@",A549))</f>
        <v>'0442N01'</v>
      </c>
      <c r="Q549" s="4" t="str">
        <f>IF(B549="",IF(ISNUMBER(SEARCH("NOT NULL",UPPER(B$3))),"''","null"),SUBSTITUTE(VLOOKUP(B$2,convert!$A$1:$B$4,2,0),"@@@",B549))</f>
        <v>'ミカルゲ'</v>
      </c>
      <c r="R549" s="4" t="str">
        <f>IF(C549="",IF(ISNUMBER(SEARCH("NOT NULL",UPPER(C$3))),"''","null"),SUBSTITUTE(VLOOKUP(C$2,convert!$A$1:$B$4,2,0),"@@@",C549))</f>
        <v>50</v>
      </c>
      <c r="S549" s="4" t="str">
        <f>IF(D549="",IF(ISNUMBER(SEARCH("NOT NULL",UPPER(D$3))),"''","null"),SUBSTITUTE(VLOOKUP(D$2,convert!$A$1:$B$4,2,0),"@@@",D549))</f>
        <v>92</v>
      </c>
      <c r="T549" s="4" t="str">
        <f>IF(E549="",IF(ISNUMBER(SEARCH("NOT NULL",UPPER(E$3))),"''","null"),SUBSTITUTE(VLOOKUP(E$2,convert!$A$1:$B$4,2,0),"@@@",E549))</f>
        <v>108</v>
      </c>
      <c r="U549" s="4" t="str">
        <f>IF(F549="",IF(ISNUMBER(SEARCH("NOT NULL",UPPER(F$3))),"''","null"),SUBSTITUTE(VLOOKUP(F$2,convert!$A$1:$B$4,2,0),"@@@",F549))</f>
        <v>92</v>
      </c>
      <c r="V549" s="4" t="str">
        <f>IF(G549="",IF(ISNUMBER(SEARCH("NOT NULL",UPPER(G$3))),"''","null"),SUBSTITUTE(VLOOKUP(G$2,convert!$A$1:$B$4,2,0),"@@@",G549))</f>
        <v>108</v>
      </c>
      <c r="W549" s="4" t="str">
        <f>IF(H549="",IF(ISNUMBER(SEARCH("NOT NULL",UPPER(H$3))),"''","null"),SUBSTITUTE(VLOOKUP(H$2,convert!$A$1:$B$4,2,0),"@@@",H549))</f>
        <v>35</v>
      </c>
      <c r="X549" s="4" t="str">
        <f>IF(I549="",IF(ISNUMBER(SEARCH("NOT NULL",UPPER(I$3))),"''","null"),SUBSTITUTE(VLOOKUP(I$2,convert!$A$1:$B$4,2,0),"@@@",I549))</f>
        <v>''</v>
      </c>
      <c r="Y549" s="4" t="str">
        <f>IF(J549="",IF(ISNUMBER(SEARCH("NOT NULL",UPPER(J$3))),"''","null"),SUBSTITUTE(VLOOKUP(J$2,convert!$A$1:$B$4,2,0),"@@@",J549))</f>
        <v>'ghost'</v>
      </c>
      <c r="Z549" s="4" t="str">
        <f>IF(K549="",IF(ISNUMBER(SEARCH("NOT NULL",UPPER(K$3))),"''","null"),SUBSTITUTE(VLOOKUP(K$2,convert!$A$1:$B$4,2,0),"@@@",K549))</f>
        <v>'dark'</v>
      </c>
      <c r="AA549" s="4" t="str">
        <f>IF(L549="",IF(ISNUMBER(SEARCH("NOT NULL",UPPER(L$3))),"''","null"),SUBSTITUTE(VLOOKUP(L$2,convert!$A$1:$B$4,2,0),"@@@",L549))</f>
        <v>'g4'</v>
      </c>
      <c r="AB549" s="4" t="str">
        <f>IF(M549="",IF(ISNUMBER(SEARCH("NOT NULL",UPPER(M$3))),"''","null"),SUBSTITUTE(VLOOKUP(M$2,convert!$A$1:$B$4,2,0),"@@@",M549))</f>
        <v>null</v>
      </c>
      <c r="AC549" s="4" t="str">
        <f>IF(N549="",IF(ISNUMBER(SEARCH("NOT NULL",UPPER(N$3))),"''","null"),SUBSTITUTE(VLOOKUP(N$2,convert!$A$1:$B$4,2,0),"@@@",N549))</f>
        <v>null</v>
      </c>
      <c r="AD549" s="4" t="str">
        <f>IF(O549="",IF(ISNUMBER(SEARCH("NOT NULL",UPPER(O$3))),"''","null"),SUBSTITUTE(VLOOKUP(O$2,convert!$A$1:$B$4,2,0),"@@@",O549))</f>
        <v>TRUE</v>
      </c>
      <c r="AE549" s="4" t="str">
        <f t="shared" si="8"/>
        <v>    ('0442N01', 'ミカルゲ', 50, 92, 108, 92, 108, 35, '', 'ghost', 'dark', 'g4', null, null, TRUE),</v>
      </c>
    </row>
    <row r="550" spans="1:31">
      <c r="A550" s="4" t="s">
        <v>1113</v>
      </c>
      <c r="B550" s="4" t="s">
        <v>1114</v>
      </c>
      <c r="C550" s="5">
        <v>58</v>
      </c>
      <c r="D550" s="5">
        <v>70</v>
      </c>
      <c r="E550" s="5">
        <v>45</v>
      </c>
      <c r="F550" s="5">
        <v>40</v>
      </c>
      <c r="G550" s="5">
        <v>45</v>
      </c>
      <c r="H550" s="5">
        <v>42</v>
      </c>
      <c r="I550" s="5"/>
      <c r="J550" s="4" t="s">
        <v>50</v>
      </c>
      <c r="K550" s="4" t="s">
        <v>116</v>
      </c>
      <c r="L550" s="4" t="s">
        <v>986</v>
      </c>
      <c r="M550" s="5"/>
      <c r="N550" s="5"/>
      <c r="O550" s="5" t="b">
        <v>1</v>
      </c>
      <c r="P550" s="4" t="str">
        <f>IF(A550="",IF(ISNUMBER(SEARCH("NOT NULL",UPPER(A$3))),"''","null"),SUBSTITUTE(VLOOKUP(A$2,convert!$A$1:$B$4,2,0),"@@@",A550))</f>
        <v>'0443N01'</v>
      </c>
      <c r="Q550" s="4" t="str">
        <f>IF(B550="",IF(ISNUMBER(SEARCH("NOT NULL",UPPER(B$3))),"''","null"),SUBSTITUTE(VLOOKUP(B$2,convert!$A$1:$B$4,2,0),"@@@",B550))</f>
        <v>'フカマル'</v>
      </c>
      <c r="R550" s="4" t="str">
        <f>IF(C550="",IF(ISNUMBER(SEARCH("NOT NULL",UPPER(C$3))),"''","null"),SUBSTITUTE(VLOOKUP(C$2,convert!$A$1:$B$4,2,0),"@@@",C550))</f>
        <v>58</v>
      </c>
      <c r="S550" s="4" t="str">
        <f>IF(D550="",IF(ISNUMBER(SEARCH("NOT NULL",UPPER(D$3))),"''","null"),SUBSTITUTE(VLOOKUP(D$2,convert!$A$1:$B$4,2,0),"@@@",D550))</f>
        <v>70</v>
      </c>
      <c r="T550" s="4" t="str">
        <f>IF(E550="",IF(ISNUMBER(SEARCH("NOT NULL",UPPER(E$3))),"''","null"),SUBSTITUTE(VLOOKUP(E$2,convert!$A$1:$B$4,2,0),"@@@",E550))</f>
        <v>45</v>
      </c>
      <c r="U550" s="4" t="str">
        <f>IF(F550="",IF(ISNUMBER(SEARCH("NOT NULL",UPPER(F$3))),"''","null"),SUBSTITUTE(VLOOKUP(F$2,convert!$A$1:$B$4,2,0),"@@@",F550))</f>
        <v>40</v>
      </c>
      <c r="V550" s="4" t="str">
        <f>IF(G550="",IF(ISNUMBER(SEARCH("NOT NULL",UPPER(G$3))),"''","null"),SUBSTITUTE(VLOOKUP(G$2,convert!$A$1:$B$4,2,0),"@@@",G550))</f>
        <v>45</v>
      </c>
      <c r="W550" s="4" t="str">
        <f>IF(H550="",IF(ISNUMBER(SEARCH("NOT NULL",UPPER(H$3))),"''","null"),SUBSTITUTE(VLOOKUP(H$2,convert!$A$1:$B$4,2,0),"@@@",H550))</f>
        <v>42</v>
      </c>
      <c r="X550" s="4" t="str">
        <f>IF(I550="",IF(ISNUMBER(SEARCH("NOT NULL",UPPER(I$3))),"''","null"),SUBSTITUTE(VLOOKUP(I$2,convert!$A$1:$B$4,2,0),"@@@",I550))</f>
        <v>''</v>
      </c>
      <c r="Y550" s="4" t="str">
        <f>IF(J550="",IF(ISNUMBER(SEARCH("NOT NULL",UPPER(J$3))),"''","null"),SUBSTITUTE(VLOOKUP(J$2,convert!$A$1:$B$4,2,0),"@@@",J550))</f>
        <v>'dragon'</v>
      </c>
      <c r="Z550" s="4" t="str">
        <f>IF(K550="",IF(ISNUMBER(SEARCH("NOT NULL",UPPER(K$3))),"''","null"),SUBSTITUTE(VLOOKUP(K$2,convert!$A$1:$B$4,2,0),"@@@",K550))</f>
        <v>'ground'</v>
      </c>
      <c r="AA550" s="4" t="str">
        <f>IF(L550="",IF(ISNUMBER(SEARCH("NOT NULL",UPPER(L$3))),"''","null"),SUBSTITUTE(VLOOKUP(L$2,convert!$A$1:$B$4,2,0),"@@@",L550))</f>
        <v>'g4'</v>
      </c>
      <c r="AB550" s="4" t="str">
        <f>IF(M550="",IF(ISNUMBER(SEARCH("NOT NULL",UPPER(M$3))),"''","null"),SUBSTITUTE(VLOOKUP(M$2,convert!$A$1:$B$4,2,0),"@@@",M550))</f>
        <v>null</v>
      </c>
      <c r="AC550" s="4" t="str">
        <f>IF(N550="",IF(ISNUMBER(SEARCH("NOT NULL",UPPER(N$3))),"''","null"),SUBSTITUTE(VLOOKUP(N$2,convert!$A$1:$B$4,2,0),"@@@",N550))</f>
        <v>null</v>
      </c>
      <c r="AD550" s="4" t="str">
        <f>IF(O550="",IF(ISNUMBER(SEARCH("NOT NULL",UPPER(O$3))),"''","null"),SUBSTITUTE(VLOOKUP(O$2,convert!$A$1:$B$4,2,0),"@@@",O550))</f>
        <v>TRUE</v>
      </c>
      <c r="AE550" s="4" t="str">
        <f t="shared" si="8"/>
        <v>    ('0443N01', 'フカマル', 58, 70, 45, 40, 45, 42, '', 'dragon', 'ground', 'g4', null, null, TRUE),</v>
      </c>
    </row>
    <row r="551" spans="1:31">
      <c r="A551" s="4" t="s">
        <v>1115</v>
      </c>
      <c r="B551" s="4" t="s">
        <v>1116</v>
      </c>
      <c r="C551" s="5">
        <v>68</v>
      </c>
      <c r="D551" s="5">
        <v>90</v>
      </c>
      <c r="E551" s="5">
        <v>65</v>
      </c>
      <c r="F551" s="5">
        <v>50</v>
      </c>
      <c r="G551" s="5">
        <v>55</v>
      </c>
      <c r="H551" s="5">
        <v>82</v>
      </c>
      <c r="I551" s="5"/>
      <c r="J551" s="4" t="s">
        <v>50</v>
      </c>
      <c r="K551" s="4" t="s">
        <v>116</v>
      </c>
      <c r="L551" s="4" t="s">
        <v>986</v>
      </c>
      <c r="M551" s="5"/>
      <c r="N551" s="5"/>
      <c r="O551" s="5" t="b">
        <v>1</v>
      </c>
      <c r="P551" s="4" t="str">
        <f>IF(A551="",IF(ISNUMBER(SEARCH("NOT NULL",UPPER(A$3))),"''","null"),SUBSTITUTE(VLOOKUP(A$2,convert!$A$1:$B$4,2,0),"@@@",A551))</f>
        <v>'0444N01'</v>
      </c>
      <c r="Q551" s="4" t="str">
        <f>IF(B551="",IF(ISNUMBER(SEARCH("NOT NULL",UPPER(B$3))),"''","null"),SUBSTITUTE(VLOOKUP(B$2,convert!$A$1:$B$4,2,0),"@@@",B551))</f>
        <v>'ガバイト'</v>
      </c>
      <c r="R551" s="4" t="str">
        <f>IF(C551="",IF(ISNUMBER(SEARCH("NOT NULL",UPPER(C$3))),"''","null"),SUBSTITUTE(VLOOKUP(C$2,convert!$A$1:$B$4,2,0),"@@@",C551))</f>
        <v>68</v>
      </c>
      <c r="S551" s="4" t="str">
        <f>IF(D551="",IF(ISNUMBER(SEARCH("NOT NULL",UPPER(D$3))),"''","null"),SUBSTITUTE(VLOOKUP(D$2,convert!$A$1:$B$4,2,0),"@@@",D551))</f>
        <v>90</v>
      </c>
      <c r="T551" s="4" t="str">
        <f>IF(E551="",IF(ISNUMBER(SEARCH("NOT NULL",UPPER(E$3))),"''","null"),SUBSTITUTE(VLOOKUP(E$2,convert!$A$1:$B$4,2,0),"@@@",E551))</f>
        <v>65</v>
      </c>
      <c r="U551" s="4" t="str">
        <f>IF(F551="",IF(ISNUMBER(SEARCH("NOT NULL",UPPER(F$3))),"''","null"),SUBSTITUTE(VLOOKUP(F$2,convert!$A$1:$B$4,2,0),"@@@",F551))</f>
        <v>50</v>
      </c>
      <c r="V551" s="4" t="str">
        <f>IF(G551="",IF(ISNUMBER(SEARCH("NOT NULL",UPPER(G$3))),"''","null"),SUBSTITUTE(VLOOKUP(G$2,convert!$A$1:$B$4,2,0),"@@@",G551))</f>
        <v>55</v>
      </c>
      <c r="W551" s="4" t="str">
        <f>IF(H551="",IF(ISNUMBER(SEARCH("NOT NULL",UPPER(H$3))),"''","null"),SUBSTITUTE(VLOOKUP(H$2,convert!$A$1:$B$4,2,0),"@@@",H551))</f>
        <v>82</v>
      </c>
      <c r="X551" s="4" t="str">
        <f>IF(I551="",IF(ISNUMBER(SEARCH("NOT NULL",UPPER(I$3))),"''","null"),SUBSTITUTE(VLOOKUP(I$2,convert!$A$1:$B$4,2,0),"@@@",I551))</f>
        <v>''</v>
      </c>
      <c r="Y551" s="4" t="str">
        <f>IF(J551="",IF(ISNUMBER(SEARCH("NOT NULL",UPPER(J$3))),"''","null"),SUBSTITUTE(VLOOKUP(J$2,convert!$A$1:$B$4,2,0),"@@@",J551))</f>
        <v>'dragon'</v>
      </c>
      <c r="Z551" s="4" t="str">
        <f>IF(K551="",IF(ISNUMBER(SEARCH("NOT NULL",UPPER(K$3))),"''","null"),SUBSTITUTE(VLOOKUP(K$2,convert!$A$1:$B$4,2,0),"@@@",K551))</f>
        <v>'ground'</v>
      </c>
      <c r="AA551" s="4" t="str">
        <f>IF(L551="",IF(ISNUMBER(SEARCH("NOT NULL",UPPER(L$3))),"''","null"),SUBSTITUTE(VLOOKUP(L$2,convert!$A$1:$B$4,2,0),"@@@",L551))</f>
        <v>'g4'</v>
      </c>
      <c r="AB551" s="4" t="str">
        <f>IF(M551="",IF(ISNUMBER(SEARCH("NOT NULL",UPPER(M$3))),"''","null"),SUBSTITUTE(VLOOKUP(M$2,convert!$A$1:$B$4,2,0),"@@@",M551))</f>
        <v>null</v>
      </c>
      <c r="AC551" s="4" t="str">
        <f>IF(N551="",IF(ISNUMBER(SEARCH("NOT NULL",UPPER(N$3))),"''","null"),SUBSTITUTE(VLOOKUP(N$2,convert!$A$1:$B$4,2,0),"@@@",N551))</f>
        <v>null</v>
      </c>
      <c r="AD551" s="4" t="str">
        <f>IF(O551="",IF(ISNUMBER(SEARCH("NOT NULL",UPPER(O$3))),"''","null"),SUBSTITUTE(VLOOKUP(O$2,convert!$A$1:$B$4,2,0),"@@@",O551))</f>
        <v>TRUE</v>
      </c>
      <c r="AE551" s="4" t="str">
        <f t="shared" si="8"/>
        <v>    ('0444N01', 'ガバイト', 68, 90, 65, 50, 55, 82, '', 'dragon', 'ground', 'g4', null, null, TRUE),</v>
      </c>
    </row>
    <row r="552" spans="1:31">
      <c r="A552" s="4" t="s">
        <v>1117</v>
      </c>
      <c r="B552" s="4" t="s">
        <v>1118</v>
      </c>
      <c r="C552" s="5">
        <v>108</v>
      </c>
      <c r="D552" s="5">
        <v>130</v>
      </c>
      <c r="E552" s="5">
        <v>95</v>
      </c>
      <c r="F552" s="5">
        <v>80</v>
      </c>
      <c r="G552" s="5">
        <v>85</v>
      </c>
      <c r="H552" s="5">
        <v>102</v>
      </c>
      <c r="I552" s="5"/>
      <c r="J552" s="4" t="s">
        <v>50</v>
      </c>
      <c r="K552" s="4" t="s">
        <v>116</v>
      </c>
      <c r="L552" s="4" t="s">
        <v>986</v>
      </c>
      <c r="M552" s="5"/>
      <c r="N552" s="5"/>
      <c r="O552" s="5" t="b">
        <v>1</v>
      </c>
      <c r="P552" s="4" t="str">
        <f>IF(A552="",IF(ISNUMBER(SEARCH("NOT NULL",UPPER(A$3))),"''","null"),SUBSTITUTE(VLOOKUP(A$2,convert!$A$1:$B$4,2,0),"@@@",A552))</f>
        <v>'0445N01'</v>
      </c>
      <c r="Q552" s="4" t="str">
        <f>IF(B552="",IF(ISNUMBER(SEARCH("NOT NULL",UPPER(B$3))),"''","null"),SUBSTITUTE(VLOOKUP(B$2,convert!$A$1:$B$4,2,0),"@@@",B552))</f>
        <v>'ガブリアス'</v>
      </c>
      <c r="R552" s="4" t="str">
        <f>IF(C552="",IF(ISNUMBER(SEARCH("NOT NULL",UPPER(C$3))),"''","null"),SUBSTITUTE(VLOOKUP(C$2,convert!$A$1:$B$4,2,0),"@@@",C552))</f>
        <v>108</v>
      </c>
      <c r="S552" s="4" t="str">
        <f>IF(D552="",IF(ISNUMBER(SEARCH("NOT NULL",UPPER(D$3))),"''","null"),SUBSTITUTE(VLOOKUP(D$2,convert!$A$1:$B$4,2,0),"@@@",D552))</f>
        <v>130</v>
      </c>
      <c r="T552" s="4" t="str">
        <f>IF(E552="",IF(ISNUMBER(SEARCH("NOT NULL",UPPER(E$3))),"''","null"),SUBSTITUTE(VLOOKUP(E$2,convert!$A$1:$B$4,2,0),"@@@",E552))</f>
        <v>95</v>
      </c>
      <c r="U552" s="4" t="str">
        <f>IF(F552="",IF(ISNUMBER(SEARCH("NOT NULL",UPPER(F$3))),"''","null"),SUBSTITUTE(VLOOKUP(F$2,convert!$A$1:$B$4,2,0),"@@@",F552))</f>
        <v>80</v>
      </c>
      <c r="V552" s="4" t="str">
        <f>IF(G552="",IF(ISNUMBER(SEARCH("NOT NULL",UPPER(G$3))),"''","null"),SUBSTITUTE(VLOOKUP(G$2,convert!$A$1:$B$4,2,0),"@@@",G552))</f>
        <v>85</v>
      </c>
      <c r="W552" s="4" t="str">
        <f>IF(H552="",IF(ISNUMBER(SEARCH("NOT NULL",UPPER(H$3))),"''","null"),SUBSTITUTE(VLOOKUP(H$2,convert!$A$1:$B$4,2,0),"@@@",H552))</f>
        <v>102</v>
      </c>
      <c r="X552" s="4" t="str">
        <f>IF(I552="",IF(ISNUMBER(SEARCH("NOT NULL",UPPER(I$3))),"''","null"),SUBSTITUTE(VLOOKUP(I$2,convert!$A$1:$B$4,2,0),"@@@",I552))</f>
        <v>''</v>
      </c>
      <c r="Y552" s="4" t="str">
        <f>IF(J552="",IF(ISNUMBER(SEARCH("NOT NULL",UPPER(J$3))),"''","null"),SUBSTITUTE(VLOOKUP(J$2,convert!$A$1:$B$4,2,0),"@@@",J552))</f>
        <v>'dragon'</v>
      </c>
      <c r="Z552" s="4" t="str">
        <f>IF(K552="",IF(ISNUMBER(SEARCH("NOT NULL",UPPER(K$3))),"''","null"),SUBSTITUTE(VLOOKUP(K$2,convert!$A$1:$B$4,2,0),"@@@",K552))</f>
        <v>'ground'</v>
      </c>
      <c r="AA552" s="4" t="str">
        <f>IF(L552="",IF(ISNUMBER(SEARCH("NOT NULL",UPPER(L$3))),"''","null"),SUBSTITUTE(VLOOKUP(L$2,convert!$A$1:$B$4,2,0),"@@@",L552))</f>
        <v>'g4'</v>
      </c>
      <c r="AB552" s="4" t="str">
        <f>IF(M552="",IF(ISNUMBER(SEARCH("NOT NULL",UPPER(M$3))),"''","null"),SUBSTITUTE(VLOOKUP(M$2,convert!$A$1:$B$4,2,0),"@@@",M552))</f>
        <v>null</v>
      </c>
      <c r="AC552" s="4" t="str">
        <f>IF(N552="",IF(ISNUMBER(SEARCH("NOT NULL",UPPER(N$3))),"''","null"),SUBSTITUTE(VLOOKUP(N$2,convert!$A$1:$B$4,2,0),"@@@",N552))</f>
        <v>null</v>
      </c>
      <c r="AD552" s="4" t="str">
        <f>IF(O552="",IF(ISNUMBER(SEARCH("NOT NULL",UPPER(O$3))),"''","null"),SUBSTITUTE(VLOOKUP(O$2,convert!$A$1:$B$4,2,0),"@@@",O552))</f>
        <v>TRUE</v>
      </c>
      <c r="AE552" s="4" t="str">
        <f t="shared" si="8"/>
        <v>    ('0445N01', 'ガブリアス', 108, 130, 95, 80, 85, 102, '', 'dragon', 'ground', 'g4', null, null, TRUE),</v>
      </c>
    </row>
    <row r="553" spans="1:31">
      <c r="A553" s="4" t="s">
        <v>1119</v>
      </c>
      <c r="B553" s="4" t="s">
        <v>1120</v>
      </c>
      <c r="C553" s="5">
        <v>108</v>
      </c>
      <c r="D553" s="5">
        <v>170</v>
      </c>
      <c r="E553" s="5">
        <v>115</v>
      </c>
      <c r="F553" s="5">
        <v>120</v>
      </c>
      <c r="G553" s="5">
        <v>95</v>
      </c>
      <c r="H553" s="5">
        <v>92</v>
      </c>
      <c r="I553" s="5"/>
      <c r="J553" s="4" t="s">
        <v>50</v>
      </c>
      <c r="K553" s="4" t="s">
        <v>116</v>
      </c>
      <c r="L553" s="4" t="s">
        <v>39</v>
      </c>
      <c r="M553" s="5"/>
      <c r="N553" s="5"/>
      <c r="O553" s="5" t="b">
        <v>1</v>
      </c>
      <c r="P553" s="4" t="str">
        <f>IF(A553="",IF(ISNUMBER(SEARCH("NOT NULL",UPPER(A$3))),"''","null"),SUBSTITUTE(VLOOKUP(A$2,convert!$A$1:$B$4,2,0),"@@@",A553))</f>
        <v>'0445M01'</v>
      </c>
      <c r="Q553" s="4" t="str">
        <f>IF(B553="",IF(ISNUMBER(SEARCH("NOT NULL",UPPER(B$3))),"''","null"),SUBSTITUTE(VLOOKUP(B$2,convert!$A$1:$B$4,2,0),"@@@",B553))</f>
        <v>'メガガブリアス'</v>
      </c>
      <c r="R553" s="4" t="str">
        <f>IF(C553="",IF(ISNUMBER(SEARCH("NOT NULL",UPPER(C$3))),"''","null"),SUBSTITUTE(VLOOKUP(C$2,convert!$A$1:$B$4,2,0),"@@@",C553))</f>
        <v>108</v>
      </c>
      <c r="S553" s="4" t="str">
        <f>IF(D553="",IF(ISNUMBER(SEARCH("NOT NULL",UPPER(D$3))),"''","null"),SUBSTITUTE(VLOOKUP(D$2,convert!$A$1:$B$4,2,0),"@@@",D553))</f>
        <v>170</v>
      </c>
      <c r="T553" s="4" t="str">
        <f>IF(E553="",IF(ISNUMBER(SEARCH("NOT NULL",UPPER(E$3))),"''","null"),SUBSTITUTE(VLOOKUP(E$2,convert!$A$1:$B$4,2,0),"@@@",E553))</f>
        <v>115</v>
      </c>
      <c r="U553" s="4" t="str">
        <f>IF(F553="",IF(ISNUMBER(SEARCH("NOT NULL",UPPER(F$3))),"''","null"),SUBSTITUTE(VLOOKUP(F$2,convert!$A$1:$B$4,2,0),"@@@",F553))</f>
        <v>120</v>
      </c>
      <c r="V553" s="4" t="str">
        <f>IF(G553="",IF(ISNUMBER(SEARCH("NOT NULL",UPPER(G$3))),"''","null"),SUBSTITUTE(VLOOKUP(G$2,convert!$A$1:$B$4,2,0),"@@@",G553))</f>
        <v>95</v>
      </c>
      <c r="W553" s="4" t="str">
        <f>IF(H553="",IF(ISNUMBER(SEARCH("NOT NULL",UPPER(H$3))),"''","null"),SUBSTITUTE(VLOOKUP(H$2,convert!$A$1:$B$4,2,0),"@@@",H553))</f>
        <v>92</v>
      </c>
      <c r="X553" s="4" t="str">
        <f>IF(I553="",IF(ISNUMBER(SEARCH("NOT NULL",UPPER(I$3))),"''","null"),SUBSTITUTE(VLOOKUP(I$2,convert!$A$1:$B$4,2,0),"@@@",I553))</f>
        <v>''</v>
      </c>
      <c r="Y553" s="4" t="str">
        <f>IF(J553="",IF(ISNUMBER(SEARCH("NOT NULL",UPPER(J$3))),"''","null"),SUBSTITUTE(VLOOKUP(J$2,convert!$A$1:$B$4,2,0),"@@@",J553))</f>
        <v>'dragon'</v>
      </c>
      <c r="Z553" s="4" t="str">
        <f>IF(K553="",IF(ISNUMBER(SEARCH("NOT NULL",UPPER(K$3))),"''","null"),SUBSTITUTE(VLOOKUP(K$2,convert!$A$1:$B$4,2,0),"@@@",K553))</f>
        <v>'ground'</v>
      </c>
      <c r="AA553" s="4" t="str">
        <f>IF(L553="",IF(ISNUMBER(SEARCH("NOT NULL",UPPER(L$3))),"''","null"),SUBSTITUTE(VLOOKUP(L$2,convert!$A$1:$B$4,2,0),"@@@",L553))</f>
        <v>'g6'</v>
      </c>
      <c r="AB553" s="4" t="str">
        <f>IF(M553="",IF(ISNUMBER(SEARCH("NOT NULL",UPPER(M$3))),"''","null"),SUBSTITUTE(VLOOKUP(M$2,convert!$A$1:$B$4,2,0),"@@@",M553))</f>
        <v>null</v>
      </c>
      <c r="AC553" s="4" t="str">
        <f>IF(N553="",IF(ISNUMBER(SEARCH("NOT NULL",UPPER(N$3))),"''","null"),SUBSTITUTE(VLOOKUP(N$2,convert!$A$1:$B$4,2,0),"@@@",N553))</f>
        <v>null</v>
      </c>
      <c r="AD553" s="4" t="str">
        <f>IF(O553="",IF(ISNUMBER(SEARCH("NOT NULL",UPPER(O$3))),"''","null"),SUBSTITUTE(VLOOKUP(O$2,convert!$A$1:$B$4,2,0),"@@@",O553))</f>
        <v>TRUE</v>
      </c>
      <c r="AE553" s="4" t="str">
        <f t="shared" si="8"/>
        <v>    ('0445M01', 'メガガブリアス', 108, 170, 115, 120, 95, 92, '', 'dragon', 'ground', 'g6', null, null, TRUE),</v>
      </c>
    </row>
    <row r="554" spans="1:31">
      <c r="A554" s="4" t="s">
        <v>1121</v>
      </c>
      <c r="B554" s="4" t="s">
        <v>1122</v>
      </c>
      <c r="C554" s="5">
        <v>135</v>
      </c>
      <c r="D554" s="5">
        <v>85</v>
      </c>
      <c r="E554" s="5">
        <v>40</v>
      </c>
      <c r="F554" s="5">
        <v>40</v>
      </c>
      <c r="G554" s="5">
        <v>85</v>
      </c>
      <c r="H554" s="5">
        <v>5</v>
      </c>
      <c r="I554" s="5"/>
      <c r="J554" s="4" t="s">
        <v>80</v>
      </c>
      <c r="K554" s="5"/>
      <c r="L554" s="4" t="s">
        <v>986</v>
      </c>
      <c r="M554" s="5"/>
      <c r="N554" s="5"/>
      <c r="O554" s="5" t="b">
        <v>1</v>
      </c>
      <c r="P554" s="4" t="str">
        <f>IF(A554="",IF(ISNUMBER(SEARCH("NOT NULL",UPPER(A$3))),"''","null"),SUBSTITUTE(VLOOKUP(A$2,convert!$A$1:$B$4,2,0),"@@@",A554))</f>
        <v>'0446N01'</v>
      </c>
      <c r="Q554" s="4" t="str">
        <f>IF(B554="",IF(ISNUMBER(SEARCH("NOT NULL",UPPER(B$3))),"''","null"),SUBSTITUTE(VLOOKUP(B$2,convert!$A$1:$B$4,2,0),"@@@",B554))</f>
        <v>'ゴンベ'</v>
      </c>
      <c r="R554" s="4" t="str">
        <f>IF(C554="",IF(ISNUMBER(SEARCH("NOT NULL",UPPER(C$3))),"''","null"),SUBSTITUTE(VLOOKUP(C$2,convert!$A$1:$B$4,2,0),"@@@",C554))</f>
        <v>135</v>
      </c>
      <c r="S554" s="4" t="str">
        <f>IF(D554="",IF(ISNUMBER(SEARCH("NOT NULL",UPPER(D$3))),"''","null"),SUBSTITUTE(VLOOKUP(D$2,convert!$A$1:$B$4,2,0),"@@@",D554))</f>
        <v>85</v>
      </c>
      <c r="T554" s="4" t="str">
        <f>IF(E554="",IF(ISNUMBER(SEARCH("NOT NULL",UPPER(E$3))),"''","null"),SUBSTITUTE(VLOOKUP(E$2,convert!$A$1:$B$4,2,0),"@@@",E554))</f>
        <v>40</v>
      </c>
      <c r="U554" s="4" t="str">
        <f>IF(F554="",IF(ISNUMBER(SEARCH("NOT NULL",UPPER(F$3))),"''","null"),SUBSTITUTE(VLOOKUP(F$2,convert!$A$1:$B$4,2,0),"@@@",F554))</f>
        <v>40</v>
      </c>
      <c r="V554" s="4" t="str">
        <f>IF(G554="",IF(ISNUMBER(SEARCH("NOT NULL",UPPER(G$3))),"''","null"),SUBSTITUTE(VLOOKUP(G$2,convert!$A$1:$B$4,2,0),"@@@",G554))</f>
        <v>85</v>
      </c>
      <c r="W554" s="4" t="str">
        <f>IF(H554="",IF(ISNUMBER(SEARCH("NOT NULL",UPPER(H$3))),"''","null"),SUBSTITUTE(VLOOKUP(H$2,convert!$A$1:$B$4,2,0),"@@@",H554))</f>
        <v>5</v>
      </c>
      <c r="X554" s="4" t="str">
        <f>IF(I554="",IF(ISNUMBER(SEARCH("NOT NULL",UPPER(I$3))),"''","null"),SUBSTITUTE(VLOOKUP(I$2,convert!$A$1:$B$4,2,0),"@@@",I554))</f>
        <v>''</v>
      </c>
      <c r="Y554" s="4" t="str">
        <f>IF(J554="",IF(ISNUMBER(SEARCH("NOT NULL",UPPER(J$3))),"''","null"),SUBSTITUTE(VLOOKUP(J$2,convert!$A$1:$B$4,2,0),"@@@",J554))</f>
        <v>'normal'</v>
      </c>
      <c r="Z554" s="4" t="str">
        <f>IF(K554="",IF(ISNUMBER(SEARCH("NOT NULL",UPPER(K$3))),"''","null"),SUBSTITUTE(VLOOKUP(K$2,convert!$A$1:$B$4,2,0),"@@@",K554))</f>
        <v>null</v>
      </c>
      <c r="AA554" s="4" t="str">
        <f>IF(L554="",IF(ISNUMBER(SEARCH("NOT NULL",UPPER(L$3))),"''","null"),SUBSTITUTE(VLOOKUP(L$2,convert!$A$1:$B$4,2,0),"@@@",L554))</f>
        <v>'g4'</v>
      </c>
      <c r="AB554" s="4" t="str">
        <f>IF(M554="",IF(ISNUMBER(SEARCH("NOT NULL",UPPER(M$3))),"''","null"),SUBSTITUTE(VLOOKUP(M$2,convert!$A$1:$B$4,2,0),"@@@",M554))</f>
        <v>null</v>
      </c>
      <c r="AC554" s="4" t="str">
        <f>IF(N554="",IF(ISNUMBER(SEARCH("NOT NULL",UPPER(N$3))),"''","null"),SUBSTITUTE(VLOOKUP(N$2,convert!$A$1:$B$4,2,0),"@@@",N554))</f>
        <v>null</v>
      </c>
      <c r="AD554" s="4" t="str">
        <f>IF(O554="",IF(ISNUMBER(SEARCH("NOT NULL",UPPER(O$3))),"''","null"),SUBSTITUTE(VLOOKUP(O$2,convert!$A$1:$B$4,2,0),"@@@",O554))</f>
        <v>TRUE</v>
      </c>
      <c r="AE554" s="4" t="str">
        <f t="shared" si="8"/>
        <v>    ('0446N01', 'ゴンベ', 135, 85, 40, 40, 85, 5, '', 'normal', null, 'g4', null, null, TRUE),</v>
      </c>
    </row>
    <row r="555" spans="1:31">
      <c r="A555" s="4" t="s">
        <v>1123</v>
      </c>
      <c r="B555" s="4" t="s">
        <v>1124</v>
      </c>
      <c r="C555" s="5">
        <v>40</v>
      </c>
      <c r="D555" s="5">
        <v>70</v>
      </c>
      <c r="E555" s="5">
        <v>40</v>
      </c>
      <c r="F555" s="5">
        <v>35</v>
      </c>
      <c r="G555" s="5">
        <v>40</v>
      </c>
      <c r="H555" s="5">
        <v>60</v>
      </c>
      <c r="I555" s="5"/>
      <c r="J555" s="4" t="s">
        <v>189</v>
      </c>
      <c r="K555" s="5"/>
      <c r="L555" s="4" t="s">
        <v>986</v>
      </c>
      <c r="M555" s="5"/>
      <c r="N555" s="5"/>
      <c r="O555" s="5" t="b">
        <v>1</v>
      </c>
      <c r="P555" s="4" t="str">
        <f>IF(A555="",IF(ISNUMBER(SEARCH("NOT NULL",UPPER(A$3))),"''","null"),SUBSTITUTE(VLOOKUP(A$2,convert!$A$1:$B$4,2,0),"@@@",A555))</f>
        <v>'0447N01'</v>
      </c>
      <c r="Q555" s="4" t="str">
        <f>IF(B555="",IF(ISNUMBER(SEARCH("NOT NULL",UPPER(B$3))),"''","null"),SUBSTITUTE(VLOOKUP(B$2,convert!$A$1:$B$4,2,0),"@@@",B555))</f>
        <v>'リオル'</v>
      </c>
      <c r="R555" s="4" t="str">
        <f>IF(C555="",IF(ISNUMBER(SEARCH("NOT NULL",UPPER(C$3))),"''","null"),SUBSTITUTE(VLOOKUP(C$2,convert!$A$1:$B$4,2,0),"@@@",C555))</f>
        <v>40</v>
      </c>
      <c r="S555" s="4" t="str">
        <f>IF(D555="",IF(ISNUMBER(SEARCH("NOT NULL",UPPER(D$3))),"''","null"),SUBSTITUTE(VLOOKUP(D$2,convert!$A$1:$B$4,2,0),"@@@",D555))</f>
        <v>70</v>
      </c>
      <c r="T555" s="4" t="str">
        <f>IF(E555="",IF(ISNUMBER(SEARCH("NOT NULL",UPPER(E$3))),"''","null"),SUBSTITUTE(VLOOKUP(E$2,convert!$A$1:$B$4,2,0),"@@@",E555))</f>
        <v>40</v>
      </c>
      <c r="U555" s="4" t="str">
        <f>IF(F555="",IF(ISNUMBER(SEARCH("NOT NULL",UPPER(F$3))),"''","null"),SUBSTITUTE(VLOOKUP(F$2,convert!$A$1:$B$4,2,0),"@@@",F555))</f>
        <v>35</v>
      </c>
      <c r="V555" s="4" t="str">
        <f>IF(G555="",IF(ISNUMBER(SEARCH("NOT NULL",UPPER(G$3))),"''","null"),SUBSTITUTE(VLOOKUP(G$2,convert!$A$1:$B$4,2,0),"@@@",G555))</f>
        <v>40</v>
      </c>
      <c r="W555" s="4" t="str">
        <f>IF(H555="",IF(ISNUMBER(SEARCH("NOT NULL",UPPER(H$3))),"''","null"),SUBSTITUTE(VLOOKUP(H$2,convert!$A$1:$B$4,2,0),"@@@",H555))</f>
        <v>60</v>
      </c>
      <c r="X555" s="4" t="str">
        <f>IF(I555="",IF(ISNUMBER(SEARCH("NOT NULL",UPPER(I$3))),"''","null"),SUBSTITUTE(VLOOKUP(I$2,convert!$A$1:$B$4,2,0),"@@@",I555))</f>
        <v>''</v>
      </c>
      <c r="Y555" s="4" t="str">
        <f>IF(J555="",IF(ISNUMBER(SEARCH("NOT NULL",UPPER(J$3))),"''","null"),SUBSTITUTE(VLOOKUP(J$2,convert!$A$1:$B$4,2,0),"@@@",J555))</f>
        <v>'fighting'</v>
      </c>
      <c r="Z555" s="4" t="str">
        <f>IF(K555="",IF(ISNUMBER(SEARCH("NOT NULL",UPPER(K$3))),"''","null"),SUBSTITUTE(VLOOKUP(K$2,convert!$A$1:$B$4,2,0),"@@@",K555))</f>
        <v>null</v>
      </c>
      <c r="AA555" s="4" t="str">
        <f>IF(L555="",IF(ISNUMBER(SEARCH("NOT NULL",UPPER(L$3))),"''","null"),SUBSTITUTE(VLOOKUP(L$2,convert!$A$1:$B$4,2,0),"@@@",L555))</f>
        <v>'g4'</v>
      </c>
      <c r="AB555" s="4" t="str">
        <f>IF(M555="",IF(ISNUMBER(SEARCH("NOT NULL",UPPER(M$3))),"''","null"),SUBSTITUTE(VLOOKUP(M$2,convert!$A$1:$B$4,2,0),"@@@",M555))</f>
        <v>null</v>
      </c>
      <c r="AC555" s="4" t="str">
        <f>IF(N555="",IF(ISNUMBER(SEARCH("NOT NULL",UPPER(N$3))),"''","null"),SUBSTITUTE(VLOOKUP(N$2,convert!$A$1:$B$4,2,0),"@@@",N555))</f>
        <v>null</v>
      </c>
      <c r="AD555" s="4" t="str">
        <f>IF(O555="",IF(ISNUMBER(SEARCH("NOT NULL",UPPER(O$3))),"''","null"),SUBSTITUTE(VLOOKUP(O$2,convert!$A$1:$B$4,2,0),"@@@",O555))</f>
        <v>TRUE</v>
      </c>
      <c r="AE555" s="4" t="str">
        <f t="shared" si="8"/>
        <v>    ('0447N01', 'リオル', 40, 70, 40, 35, 40, 60, '', 'fighting', null, 'g4', null, null, TRUE),</v>
      </c>
    </row>
    <row r="556" spans="1:31">
      <c r="A556" s="4" t="s">
        <v>1125</v>
      </c>
      <c r="B556" s="4" t="s">
        <v>1126</v>
      </c>
      <c r="C556" s="5">
        <v>70</v>
      </c>
      <c r="D556" s="5">
        <v>110</v>
      </c>
      <c r="E556" s="5">
        <v>70</v>
      </c>
      <c r="F556" s="5">
        <v>115</v>
      </c>
      <c r="G556" s="5">
        <v>70</v>
      </c>
      <c r="H556" s="5">
        <v>90</v>
      </c>
      <c r="I556" s="5"/>
      <c r="J556" s="4" t="s">
        <v>189</v>
      </c>
      <c r="K556" s="4" t="s">
        <v>119</v>
      </c>
      <c r="L556" s="4" t="s">
        <v>986</v>
      </c>
      <c r="M556" s="5"/>
      <c r="N556" s="5"/>
      <c r="O556" s="5" t="b">
        <v>1</v>
      </c>
      <c r="P556" s="4" t="str">
        <f>IF(A556="",IF(ISNUMBER(SEARCH("NOT NULL",UPPER(A$3))),"''","null"),SUBSTITUTE(VLOOKUP(A$2,convert!$A$1:$B$4,2,0),"@@@",A556))</f>
        <v>'0448N01'</v>
      </c>
      <c r="Q556" s="4" t="str">
        <f>IF(B556="",IF(ISNUMBER(SEARCH("NOT NULL",UPPER(B$3))),"''","null"),SUBSTITUTE(VLOOKUP(B$2,convert!$A$1:$B$4,2,0),"@@@",B556))</f>
        <v>'ルカリオ'</v>
      </c>
      <c r="R556" s="4" t="str">
        <f>IF(C556="",IF(ISNUMBER(SEARCH("NOT NULL",UPPER(C$3))),"''","null"),SUBSTITUTE(VLOOKUP(C$2,convert!$A$1:$B$4,2,0),"@@@",C556))</f>
        <v>70</v>
      </c>
      <c r="S556" s="4" t="str">
        <f>IF(D556="",IF(ISNUMBER(SEARCH("NOT NULL",UPPER(D$3))),"''","null"),SUBSTITUTE(VLOOKUP(D$2,convert!$A$1:$B$4,2,0),"@@@",D556))</f>
        <v>110</v>
      </c>
      <c r="T556" s="4" t="str">
        <f>IF(E556="",IF(ISNUMBER(SEARCH("NOT NULL",UPPER(E$3))),"''","null"),SUBSTITUTE(VLOOKUP(E$2,convert!$A$1:$B$4,2,0),"@@@",E556))</f>
        <v>70</v>
      </c>
      <c r="U556" s="4" t="str">
        <f>IF(F556="",IF(ISNUMBER(SEARCH("NOT NULL",UPPER(F$3))),"''","null"),SUBSTITUTE(VLOOKUP(F$2,convert!$A$1:$B$4,2,0),"@@@",F556))</f>
        <v>115</v>
      </c>
      <c r="V556" s="4" t="str">
        <f>IF(G556="",IF(ISNUMBER(SEARCH("NOT NULL",UPPER(G$3))),"''","null"),SUBSTITUTE(VLOOKUP(G$2,convert!$A$1:$B$4,2,0),"@@@",G556))</f>
        <v>70</v>
      </c>
      <c r="W556" s="4" t="str">
        <f>IF(H556="",IF(ISNUMBER(SEARCH("NOT NULL",UPPER(H$3))),"''","null"),SUBSTITUTE(VLOOKUP(H$2,convert!$A$1:$B$4,2,0),"@@@",H556))</f>
        <v>90</v>
      </c>
      <c r="X556" s="4" t="str">
        <f>IF(I556="",IF(ISNUMBER(SEARCH("NOT NULL",UPPER(I$3))),"''","null"),SUBSTITUTE(VLOOKUP(I$2,convert!$A$1:$B$4,2,0),"@@@",I556))</f>
        <v>''</v>
      </c>
      <c r="Y556" s="4" t="str">
        <f>IF(J556="",IF(ISNUMBER(SEARCH("NOT NULL",UPPER(J$3))),"''","null"),SUBSTITUTE(VLOOKUP(J$2,convert!$A$1:$B$4,2,0),"@@@",J556))</f>
        <v>'fighting'</v>
      </c>
      <c r="Z556" s="4" t="str">
        <f>IF(K556="",IF(ISNUMBER(SEARCH("NOT NULL",UPPER(K$3))),"''","null"),SUBSTITUTE(VLOOKUP(K$2,convert!$A$1:$B$4,2,0),"@@@",K556))</f>
        <v>'steel'</v>
      </c>
      <c r="AA556" s="4" t="str">
        <f>IF(L556="",IF(ISNUMBER(SEARCH("NOT NULL",UPPER(L$3))),"''","null"),SUBSTITUTE(VLOOKUP(L$2,convert!$A$1:$B$4,2,0),"@@@",L556))</f>
        <v>'g4'</v>
      </c>
      <c r="AB556" s="4" t="str">
        <f>IF(M556="",IF(ISNUMBER(SEARCH("NOT NULL",UPPER(M$3))),"''","null"),SUBSTITUTE(VLOOKUP(M$2,convert!$A$1:$B$4,2,0),"@@@",M556))</f>
        <v>null</v>
      </c>
      <c r="AC556" s="4" t="str">
        <f>IF(N556="",IF(ISNUMBER(SEARCH("NOT NULL",UPPER(N$3))),"''","null"),SUBSTITUTE(VLOOKUP(N$2,convert!$A$1:$B$4,2,0),"@@@",N556))</f>
        <v>null</v>
      </c>
      <c r="AD556" s="4" t="str">
        <f>IF(O556="",IF(ISNUMBER(SEARCH("NOT NULL",UPPER(O$3))),"''","null"),SUBSTITUTE(VLOOKUP(O$2,convert!$A$1:$B$4,2,0),"@@@",O556))</f>
        <v>TRUE</v>
      </c>
      <c r="AE556" s="4" t="str">
        <f t="shared" si="8"/>
        <v>    ('0448N01', 'ルカリオ', 70, 110, 70, 115, 70, 90, '', 'fighting', 'steel', 'g4', null, null, TRUE),</v>
      </c>
    </row>
    <row r="557" spans="1:31">
      <c r="A557" s="4" t="s">
        <v>1127</v>
      </c>
      <c r="B557" s="4" t="s">
        <v>1128</v>
      </c>
      <c r="C557" s="5">
        <v>70</v>
      </c>
      <c r="D557" s="5">
        <v>145</v>
      </c>
      <c r="E557" s="5">
        <v>88</v>
      </c>
      <c r="F557" s="5">
        <v>140</v>
      </c>
      <c r="G557" s="5">
        <v>70</v>
      </c>
      <c r="H557" s="5">
        <v>112</v>
      </c>
      <c r="I557" s="5"/>
      <c r="J557" s="4" t="s">
        <v>189</v>
      </c>
      <c r="K557" s="4" t="s">
        <v>119</v>
      </c>
      <c r="L557" s="4" t="s">
        <v>39</v>
      </c>
      <c r="M557" s="5"/>
      <c r="N557" s="5"/>
      <c r="O557" s="5" t="b">
        <v>0</v>
      </c>
      <c r="P557" s="4" t="str">
        <f>IF(A557="",IF(ISNUMBER(SEARCH("NOT NULL",UPPER(A$3))),"''","null"),SUBSTITUTE(VLOOKUP(A$2,convert!$A$1:$B$4,2,0),"@@@",A557))</f>
        <v>'0448M01'</v>
      </c>
      <c r="Q557" s="4" t="str">
        <f>IF(B557="",IF(ISNUMBER(SEARCH("NOT NULL",UPPER(B$3))),"''","null"),SUBSTITUTE(VLOOKUP(B$2,convert!$A$1:$B$4,2,0),"@@@",B557))</f>
        <v>'メガルカリオ'</v>
      </c>
      <c r="R557" s="4" t="str">
        <f>IF(C557="",IF(ISNUMBER(SEARCH("NOT NULL",UPPER(C$3))),"''","null"),SUBSTITUTE(VLOOKUP(C$2,convert!$A$1:$B$4,2,0),"@@@",C557))</f>
        <v>70</v>
      </c>
      <c r="S557" s="4" t="str">
        <f>IF(D557="",IF(ISNUMBER(SEARCH("NOT NULL",UPPER(D$3))),"''","null"),SUBSTITUTE(VLOOKUP(D$2,convert!$A$1:$B$4,2,0),"@@@",D557))</f>
        <v>145</v>
      </c>
      <c r="T557" s="4" t="str">
        <f>IF(E557="",IF(ISNUMBER(SEARCH("NOT NULL",UPPER(E$3))),"''","null"),SUBSTITUTE(VLOOKUP(E$2,convert!$A$1:$B$4,2,0),"@@@",E557))</f>
        <v>88</v>
      </c>
      <c r="U557" s="4" t="str">
        <f>IF(F557="",IF(ISNUMBER(SEARCH("NOT NULL",UPPER(F$3))),"''","null"),SUBSTITUTE(VLOOKUP(F$2,convert!$A$1:$B$4,2,0),"@@@",F557))</f>
        <v>140</v>
      </c>
      <c r="V557" s="4" t="str">
        <f>IF(G557="",IF(ISNUMBER(SEARCH("NOT NULL",UPPER(G$3))),"''","null"),SUBSTITUTE(VLOOKUP(G$2,convert!$A$1:$B$4,2,0),"@@@",G557))</f>
        <v>70</v>
      </c>
      <c r="W557" s="4" t="str">
        <f>IF(H557="",IF(ISNUMBER(SEARCH("NOT NULL",UPPER(H$3))),"''","null"),SUBSTITUTE(VLOOKUP(H$2,convert!$A$1:$B$4,2,0),"@@@",H557))</f>
        <v>112</v>
      </c>
      <c r="X557" s="4" t="str">
        <f>IF(I557="",IF(ISNUMBER(SEARCH("NOT NULL",UPPER(I$3))),"''","null"),SUBSTITUTE(VLOOKUP(I$2,convert!$A$1:$B$4,2,0),"@@@",I557))</f>
        <v>''</v>
      </c>
      <c r="Y557" s="4" t="str">
        <f>IF(J557="",IF(ISNUMBER(SEARCH("NOT NULL",UPPER(J$3))),"''","null"),SUBSTITUTE(VLOOKUP(J$2,convert!$A$1:$B$4,2,0),"@@@",J557))</f>
        <v>'fighting'</v>
      </c>
      <c r="Z557" s="4" t="str">
        <f>IF(K557="",IF(ISNUMBER(SEARCH("NOT NULL",UPPER(K$3))),"''","null"),SUBSTITUTE(VLOOKUP(K$2,convert!$A$1:$B$4,2,0),"@@@",K557))</f>
        <v>'steel'</v>
      </c>
      <c r="AA557" s="4" t="str">
        <f>IF(L557="",IF(ISNUMBER(SEARCH("NOT NULL",UPPER(L$3))),"''","null"),SUBSTITUTE(VLOOKUP(L$2,convert!$A$1:$B$4,2,0),"@@@",L557))</f>
        <v>'g6'</v>
      </c>
      <c r="AB557" s="4" t="str">
        <f>IF(M557="",IF(ISNUMBER(SEARCH("NOT NULL",UPPER(M$3))),"''","null"),SUBSTITUTE(VLOOKUP(M$2,convert!$A$1:$B$4,2,0),"@@@",M557))</f>
        <v>null</v>
      </c>
      <c r="AC557" s="4" t="str">
        <f>IF(N557="",IF(ISNUMBER(SEARCH("NOT NULL",UPPER(N$3))),"''","null"),SUBSTITUTE(VLOOKUP(N$2,convert!$A$1:$B$4,2,0),"@@@",N557))</f>
        <v>null</v>
      </c>
      <c r="AD557" s="4" t="str">
        <f>IF(O557="",IF(ISNUMBER(SEARCH("NOT NULL",UPPER(O$3))),"''","null"),SUBSTITUTE(VLOOKUP(O$2,convert!$A$1:$B$4,2,0),"@@@",O557))</f>
        <v>FALSE</v>
      </c>
      <c r="AE557" s="4" t="str">
        <f t="shared" si="8"/>
        <v>    ('0448M01', 'メガルカリオ', 70, 145, 88, 140, 70, 112, '', 'fighting', 'steel', 'g6', null, null, FALSE),</v>
      </c>
    </row>
    <row r="558" spans="1:31">
      <c r="A558" s="4" t="s">
        <v>1129</v>
      </c>
      <c r="B558" s="4" t="s">
        <v>1130</v>
      </c>
      <c r="C558" s="5">
        <v>68</v>
      </c>
      <c r="D558" s="5">
        <v>72</v>
      </c>
      <c r="E558" s="5">
        <v>78</v>
      </c>
      <c r="F558" s="5">
        <v>38</v>
      </c>
      <c r="G558" s="5">
        <v>42</v>
      </c>
      <c r="H558" s="5">
        <v>32</v>
      </c>
      <c r="I558" s="5"/>
      <c r="J558" s="4" t="s">
        <v>116</v>
      </c>
      <c r="K558" s="5"/>
      <c r="L558" s="4" t="s">
        <v>986</v>
      </c>
      <c r="M558" s="5"/>
      <c r="N558" s="5"/>
      <c r="O558" s="5" t="b">
        <v>1</v>
      </c>
      <c r="P558" s="4" t="str">
        <f>IF(A558="",IF(ISNUMBER(SEARCH("NOT NULL",UPPER(A$3))),"''","null"),SUBSTITUTE(VLOOKUP(A$2,convert!$A$1:$B$4,2,0),"@@@",A558))</f>
        <v>'0449N01'</v>
      </c>
      <c r="Q558" s="4" t="str">
        <f>IF(B558="",IF(ISNUMBER(SEARCH("NOT NULL",UPPER(B$3))),"''","null"),SUBSTITUTE(VLOOKUP(B$2,convert!$A$1:$B$4,2,0),"@@@",B558))</f>
        <v>'ヒポポタス'</v>
      </c>
      <c r="R558" s="4" t="str">
        <f>IF(C558="",IF(ISNUMBER(SEARCH("NOT NULL",UPPER(C$3))),"''","null"),SUBSTITUTE(VLOOKUP(C$2,convert!$A$1:$B$4,2,0),"@@@",C558))</f>
        <v>68</v>
      </c>
      <c r="S558" s="4" t="str">
        <f>IF(D558="",IF(ISNUMBER(SEARCH("NOT NULL",UPPER(D$3))),"''","null"),SUBSTITUTE(VLOOKUP(D$2,convert!$A$1:$B$4,2,0),"@@@",D558))</f>
        <v>72</v>
      </c>
      <c r="T558" s="4" t="str">
        <f>IF(E558="",IF(ISNUMBER(SEARCH("NOT NULL",UPPER(E$3))),"''","null"),SUBSTITUTE(VLOOKUP(E$2,convert!$A$1:$B$4,2,0),"@@@",E558))</f>
        <v>78</v>
      </c>
      <c r="U558" s="4" t="str">
        <f>IF(F558="",IF(ISNUMBER(SEARCH("NOT NULL",UPPER(F$3))),"''","null"),SUBSTITUTE(VLOOKUP(F$2,convert!$A$1:$B$4,2,0),"@@@",F558))</f>
        <v>38</v>
      </c>
      <c r="V558" s="4" t="str">
        <f>IF(G558="",IF(ISNUMBER(SEARCH("NOT NULL",UPPER(G$3))),"''","null"),SUBSTITUTE(VLOOKUP(G$2,convert!$A$1:$B$4,2,0),"@@@",G558))</f>
        <v>42</v>
      </c>
      <c r="W558" s="4" t="str">
        <f>IF(H558="",IF(ISNUMBER(SEARCH("NOT NULL",UPPER(H$3))),"''","null"),SUBSTITUTE(VLOOKUP(H$2,convert!$A$1:$B$4,2,0),"@@@",H558))</f>
        <v>32</v>
      </c>
      <c r="X558" s="4" t="str">
        <f>IF(I558="",IF(ISNUMBER(SEARCH("NOT NULL",UPPER(I$3))),"''","null"),SUBSTITUTE(VLOOKUP(I$2,convert!$A$1:$B$4,2,0),"@@@",I558))</f>
        <v>''</v>
      </c>
      <c r="Y558" s="4" t="str">
        <f>IF(J558="",IF(ISNUMBER(SEARCH("NOT NULL",UPPER(J$3))),"''","null"),SUBSTITUTE(VLOOKUP(J$2,convert!$A$1:$B$4,2,0),"@@@",J558))</f>
        <v>'ground'</v>
      </c>
      <c r="Z558" s="4" t="str">
        <f>IF(K558="",IF(ISNUMBER(SEARCH("NOT NULL",UPPER(K$3))),"''","null"),SUBSTITUTE(VLOOKUP(K$2,convert!$A$1:$B$4,2,0),"@@@",K558))</f>
        <v>null</v>
      </c>
      <c r="AA558" s="4" t="str">
        <f>IF(L558="",IF(ISNUMBER(SEARCH("NOT NULL",UPPER(L$3))),"''","null"),SUBSTITUTE(VLOOKUP(L$2,convert!$A$1:$B$4,2,0),"@@@",L558))</f>
        <v>'g4'</v>
      </c>
      <c r="AB558" s="4" t="str">
        <f>IF(M558="",IF(ISNUMBER(SEARCH("NOT NULL",UPPER(M$3))),"''","null"),SUBSTITUTE(VLOOKUP(M$2,convert!$A$1:$B$4,2,0),"@@@",M558))</f>
        <v>null</v>
      </c>
      <c r="AC558" s="4" t="str">
        <f>IF(N558="",IF(ISNUMBER(SEARCH("NOT NULL",UPPER(N$3))),"''","null"),SUBSTITUTE(VLOOKUP(N$2,convert!$A$1:$B$4,2,0),"@@@",N558))</f>
        <v>null</v>
      </c>
      <c r="AD558" s="4" t="str">
        <f>IF(O558="",IF(ISNUMBER(SEARCH("NOT NULL",UPPER(O$3))),"''","null"),SUBSTITUTE(VLOOKUP(O$2,convert!$A$1:$B$4,2,0),"@@@",O558))</f>
        <v>TRUE</v>
      </c>
      <c r="AE558" s="4" t="str">
        <f t="shared" si="8"/>
        <v>    ('0449N01', 'ヒポポタス', 68, 72, 78, 38, 42, 32, '', 'ground', null, 'g4', null, null, TRUE),</v>
      </c>
    </row>
    <row r="559" spans="1:31">
      <c r="A559" s="4" t="s">
        <v>1131</v>
      </c>
      <c r="B559" s="4" t="s">
        <v>1132</v>
      </c>
      <c r="C559" s="5">
        <v>108</v>
      </c>
      <c r="D559" s="5">
        <v>112</v>
      </c>
      <c r="E559" s="5">
        <v>118</v>
      </c>
      <c r="F559" s="5">
        <v>68</v>
      </c>
      <c r="G559" s="5">
        <v>72</v>
      </c>
      <c r="H559" s="5">
        <v>47</v>
      </c>
      <c r="I559" s="5"/>
      <c r="J559" s="4" t="s">
        <v>116</v>
      </c>
      <c r="K559" s="5"/>
      <c r="L559" s="4" t="s">
        <v>986</v>
      </c>
      <c r="M559" s="5"/>
      <c r="N559" s="5"/>
      <c r="O559" s="5" t="b">
        <v>1</v>
      </c>
      <c r="P559" s="4" t="str">
        <f>IF(A559="",IF(ISNUMBER(SEARCH("NOT NULL",UPPER(A$3))),"''","null"),SUBSTITUTE(VLOOKUP(A$2,convert!$A$1:$B$4,2,0),"@@@",A559))</f>
        <v>'0450N01'</v>
      </c>
      <c r="Q559" s="4" t="str">
        <f>IF(B559="",IF(ISNUMBER(SEARCH("NOT NULL",UPPER(B$3))),"''","null"),SUBSTITUTE(VLOOKUP(B$2,convert!$A$1:$B$4,2,0),"@@@",B559))</f>
        <v>'カバルドン'</v>
      </c>
      <c r="R559" s="4" t="str">
        <f>IF(C559="",IF(ISNUMBER(SEARCH("NOT NULL",UPPER(C$3))),"''","null"),SUBSTITUTE(VLOOKUP(C$2,convert!$A$1:$B$4,2,0),"@@@",C559))</f>
        <v>108</v>
      </c>
      <c r="S559" s="4" t="str">
        <f>IF(D559="",IF(ISNUMBER(SEARCH("NOT NULL",UPPER(D$3))),"''","null"),SUBSTITUTE(VLOOKUP(D$2,convert!$A$1:$B$4,2,0),"@@@",D559))</f>
        <v>112</v>
      </c>
      <c r="T559" s="4" t="str">
        <f>IF(E559="",IF(ISNUMBER(SEARCH("NOT NULL",UPPER(E$3))),"''","null"),SUBSTITUTE(VLOOKUP(E$2,convert!$A$1:$B$4,2,0),"@@@",E559))</f>
        <v>118</v>
      </c>
      <c r="U559" s="4" t="str">
        <f>IF(F559="",IF(ISNUMBER(SEARCH("NOT NULL",UPPER(F$3))),"''","null"),SUBSTITUTE(VLOOKUP(F$2,convert!$A$1:$B$4,2,0),"@@@",F559))</f>
        <v>68</v>
      </c>
      <c r="V559" s="4" t="str">
        <f>IF(G559="",IF(ISNUMBER(SEARCH("NOT NULL",UPPER(G$3))),"''","null"),SUBSTITUTE(VLOOKUP(G$2,convert!$A$1:$B$4,2,0),"@@@",G559))</f>
        <v>72</v>
      </c>
      <c r="W559" s="4" t="str">
        <f>IF(H559="",IF(ISNUMBER(SEARCH("NOT NULL",UPPER(H$3))),"''","null"),SUBSTITUTE(VLOOKUP(H$2,convert!$A$1:$B$4,2,0),"@@@",H559))</f>
        <v>47</v>
      </c>
      <c r="X559" s="4" t="str">
        <f>IF(I559="",IF(ISNUMBER(SEARCH("NOT NULL",UPPER(I$3))),"''","null"),SUBSTITUTE(VLOOKUP(I$2,convert!$A$1:$B$4,2,0),"@@@",I559))</f>
        <v>''</v>
      </c>
      <c r="Y559" s="4" t="str">
        <f>IF(J559="",IF(ISNUMBER(SEARCH("NOT NULL",UPPER(J$3))),"''","null"),SUBSTITUTE(VLOOKUP(J$2,convert!$A$1:$B$4,2,0),"@@@",J559))</f>
        <v>'ground'</v>
      </c>
      <c r="Z559" s="4" t="str">
        <f>IF(K559="",IF(ISNUMBER(SEARCH("NOT NULL",UPPER(K$3))),"''","null"),SUBSTITUTE(VLOOKUP(K$2,convert!$A$1:$B$4,2,0),"@@@",K559))</f>
        <v>null</v>
      </c>
      <c r="AA559" s="4" t="str">
        <f>IF(L559="",IF(ISNUMBER(SEARCH("NOT NULL",UPPER(L$3))),"''","null"),SUBSTITUTE(VLOOKUP(L$2,convert!$A$1:$B$4,2,0),"@@@",L559))</f>
        <v>'g4'</v>
      </c>
      <c r="AB559" s="4" t="str">
        <f>IF(M559="",IF(ISNUMBER(SEARCH("NOT NULL",UPPER(M$3))),"''","null"),SUBSTITUTE(VLOOKUP(M$2,convert!$A$1:$B$4,2,0),"@@@",M559))</f>
        <v>null</v>
      </c>
      <c r="AC559" s="4" t="str">
        <f>IF(N559="",IF(ISNUMBER(SEARCH("NOT NULL",UPPER(N$3))),"''","null"),SUBSTITUTE(VLOOKUP(N$2,convert!$A$1:$B$4,2,0),"@@@",N559))</f>
        <v>null</v>
      </c>
      <c r="AD559" s="4" t="str">
        <f>IF(O559="",IF(ISNUMBER(SEARCH("NOT NULL",UPPER(O$3))),"''","null"),SUBSTITUTE(VLOOKUP(O$2,convert!$A$1:$B$4,2,0),"@@@",O559))</f>
        <v>TRUE</v>
      </c>
      <c r="AE559" s="4" t="str">
        <f t="shared" si="8"/>
        <v>    ('0450N01', 'カバルドン', 108, 112, 118, 68, 72, 47, '', 'ground', null, 'g4', null, null, TRUE),</v>
      </c>
    </row>
    <row r="560" spans="1:31">
      <c r="A560" s="4" t="s">
        <v>1133</v>
      </c>
      <c r="B560" s="4" t="s">
        <v>1134</v>
      </c>
      <c r="C560" s="5">
        <v>40</v>
      </c>
      <c r="D560" s="5">
        <v>50</v>
      </c>
      <c r="E560" s="5">
        <v>90</v>
      </c>
      <c r="F560" s="5">
        <v>30</v>
      </c>
      <c r="G560" s="5">
        <v>55</v>
      </c>
      <c r="H560" s="5">
        <v>65</v>
      </c>
      <c r="I560" s="5"/>
      <c r="J560" s="4" t="s">
        <v>31</v>
      </c>
      <c r="K560" s="4" t="s">
        <v>64</v>
      </c>
      <c r="L560" s="4" t="s">
        <v>986</v>
      </c>
      <c r="M560" s="5"/>
      <c r="N560" s="5"/>
      <c r="O560" s="5" t="b">
        <v>1</v>
      </c>
      <c r="P560" s="4" t="str">
        <f>IF(A560="",IF(ISNUMBER(SEARCH("NOT NULL",UPPER(A$3))),"''","null"),SUBSTITUTE(VLOOKUP(A$2,convert!$A$1:$B$4,2,0),"@@@",A560))</f>
        <v>'0451N01'</v>
      </c>
      <c r="Q560" s="4" t="str">
        <f>IF(B560="",IF(ISNUMBER(SEARCH("NOT NULL",UPPER(B$3))),"''","null"),SUBSTITUTE(VLOOKUP(B$2,convert!$A$1:$B$4,2,0),"@@@",B560))</f>
        <v>'スコルピ'</v>
      </c>
      <c r="R560" s="4" t="str">
        <f>IF(C560="",IF(ISNUMBER(SEARCH("NOT NULL",UPPER(C$3))),"''","null"),SUBSTITUTE(VLOOKUP(C$2,convert!$A$1:$B$4,2,0),"@@@",C560))</f>
        <v>40</v>
      </c>
      <c r="S560" s="4" t="str">
        <f>IF(D560="",IF(ISNUMBER(SEARCH("NOT NULL",UPPER(D$3))),"''","null"),SUBSTITUTE(VLOOKUP(D$2,convert!$A$1:$B$4,2,0),"@@@",D560))</f>
        <v>50</v>
      </c>
      <c r="T560" s="4" t="str">
        <f>IF(E560="",IF(ISNUMBER(SEARCH("NOT NULL",UPPER(E$3))),"''","null"),SUBSTITUTE(VLOOKUP(E$2,convert!$A$1:$B$4,2,0),"@@@",E560))</f>
        <v>90</v>
      </c>
      <c r="U560" s="4" t="str">
        <f>IF(F560="",IF(ISNUMBER(SEARCH("NOT NULL",UPPER(F$3))),"''","null"),SUBSTITUTE(VLOOKUP(F$2,convert!$A$1:$B$4,2,0),"@@@",F560))</f>
        <v>30</v>
      </c>
      <c r="V560" s="4" t="str">
        <f>IF(G560="",IF(ISNUMBER(SEARCH("NOT NULL",UPPER(G$3))),"''","null"),SUBSTITUTE(VLOOKUP(G$2,convert!$A$1:$B$4,2,0),"@@@",G560))</f>
        <v>55</v>
      </c>
      <c r="W560" s="4" t="str">
        <f>IF(H560="",IF(ISNUMBER(SEARCH("NOT NULL",UPPER(H$3))),"''","null"),SUBSTITUTE(VLOOKUP(H$2,convert!$A$1:$B$4,2,0),"@@@",H560))</f>
        <v>65</v>
      </c>
      <c r="X560" s="4" t="str">
        <f>IF(I560="",IF(ISNUMBER(SEARCH("NOT NULL",UPPER(I$3))),"''","null"),SUBSTITUTE(VLOOKUP(I$2,convert!$A$1:$B$4,2,0),"@@@",I560))</f>
        <v>''</v>
      </c>
      <c r="Y560" s="4" t="str">
        <f>IF(J560="",IF(ISNUMBER(SEARCH("NOT NULL",UPPER(J$3))),"''","null"),SUBSTITUTE(VLOOKUP(J$2,convert!$A$1:$B$4,2,0),"@@@",J560))</f>
        <v>'poison'</v>
      </c>
      <c r="Z560" s="4" t="str">
        <f>IF(K560="",IF(ISNUMBER(SEARCH("NOT NULL",UPPER(K$3))),"''","null"),SUBSTITUTE(VLOOKUP(K$2,convert!$A$1:$B$4,2,0),"@@@",K560))</f>
        <v>'bug'</v>
      </c>
      <c r="AA560" s="4" t="str">
        <f>IF(L560="",IF(ISNUMBER(SEARCH("NOT NULL",UPPER(L$3))),"''","null"),SUBSTITUTE(VLOOKUP(L$2,convert!$A$1:$B$4,2,0),"@@@",L560))</f>
        <v>'g4'</v>
      </c>
      <c r="AB560" s="4" t="str">
        <f>IF(M560="",IF(ISNUMBER(SEARCH("NOT NULL",UPPER(M$3))),"''","null"),SUBSTITUTE(VLOOKUP(M$2,convert!$A$1:$B$4,2,0),"@@@",M560))</f>
        <v>null</v>
      </c>
      <c r="AC560" s="4" t="str">
        <f>IF(N560="",IF(ISNUMBER(SEARCH("NOT NULL",UPPER(N$3))),"''","null"),SUBSTITUTE(VLOOKUP(N$2,convert!$A$1:$B$4,2,0),"@@@",N560))</f>
        <v>null</v>
      </c>
      <c r="AD560" s="4" t="str">
        <f>IF(O560="",IF(ISNUMBER(SEARCH("NOT NULL",UPPER(O$3))),"''","null"),SUBSTITUTE(VLOOKUP(O$2,convert!$A$1:$B$4,2,0),"@@@",O560))</f>
        <v>TRUE</v>
      </c>
      <c r="AE560" s="4" t="str">
        <f t="shared" si="8"/>
        <v>    ('0451N01', 'スコルピ', 40, 50, 90, 30, 55, 65, '', 'poison', 'bug', 'g4', null, null, TRUE),</v>
      </c>
    </row>
    <row r="561" spans="1:31">
      <c r="A561" s="4" t="s">
        <v>1135</v>
      </c>
      <c r="B561" s="4" t="s">
        <v>1136</v>
      </c>
      <c r="C561" s="5">
        <v>70</v>
      </c>
      <c r="D561" s="5">
        <v>90</v>
      </c>
      <c r="E561" s="5">
        <v>110</v>
      </c>
      <c r="F561" s="5">
        <v>60</v>
      </c>
      <c r="G561" s="5">
        <v>75</v>
      </c>
      <c r="H561" s="5">
        <v>95</v>
      </c>
      <c r="I561" s="5"/>
      <c r="J561" s="4" t="s">
        <v>31</v>
      </c>
      <c r="K561" s="4" t="s">
        <v>91</v>
      </c>
      <c r="L561" s="4" t="s">
        <v>986</v>
      </c>
      <c r="M561" s="5"/>
      <c r="N561" s="5"/>
      <c r="O561" s="5" t="b">
        <v>1</v>
      </c>
      <c r="P561" s="4" t="str">
        <f>IF(A561="",IF(ISNUMBER(SEARCH("NOT NULL",UPPER(A$3))),"''","null"),SUBSTITUTE(VLOOKUP(A$2,convert!$A$1:$B$4,2,0),"@@@",A561))</f>
        <v>'0452N01'</v>
      </c>
      <c r="Q561" s="4" t="str">
        <f>IF(B561="",IF(ISNUMBER(SEARCH("NOT NULL",UPPER(B$3))),"''","null"),SUBSTITUTE(VLOOKUP(B$2,convert!$A$1:$B$4,2,0),"@@@",B561))</f>
        <v>'ドラピオン'</v>
      </c>
      <c r="R561" s="4" t="str">
        <f>IF(C561="",IF(ISNUMBER(SEARCH("NOT NULL",UPPER(C$3))),"''","null"),SUBSTITUTE(VLOOKUP(C$2,convert!$A$1:$B$4,2,0),"@@@",C561))</f>
        <v>70</v>
      </c>
      <c r="S561" s="4" t="str">
        <f>IF(D561="",IF(ISNUMBER(SEARCH("NOT NULL",UPPER(D$3))),"''","null"),SUBSTITUTE(VLOOKUP(D$2,convert!$A$1:$B$4,2,0),"@@@",D561))</f>
        <v>90</v>
      </c>
      <c r="T561" s="4" t="str">
        <f>IF(E561="",IF(ISNUMBER(SEARCH("NOT NULL",UPPER(E$3))),"''","null"),SUBSTITUTE(VLOOKUP(E$2,convert!$A$1:$B$4,2,0),"@@@",E561))</f>
        <v>110</v>
      </c>
      <c r="U561" s="4" t="str">
        <f>IF(F561="",IF(ISNUMBER(SEARCH("NOT NULL",UPPER(F$3))),"''","null"),SUBSTITUTE(VLOOKUP(F$2,convert!$A$1:$B$4,2,0),"@@@",F561))</f>
        <v>60</v>
      </c>
      <c r="V561" s="4" t="str">
        <f>IF(G561="",IF(ISNUMBER(SEARCH("NOT NULL",UPPER(G$3))),"''","null"),SUBSTITUTE(VLOOKUP(G$2,convert!$A$1:$B$4,2,0),"@@@",G561))</f>
        <v>75</v>
      </c>
      <c r="W561" s="4" t="str">
        <f>IF(H561="",IF(ISNUMBER(SEARCH("NOT NULL",UPPER(H$3))),"''","null"),SUBSTITUTE(VLOOKUP(H$2,convert!$A$1:$B$4,2,0),"@@@",H561))</f>
        <v>95</v>
      </c>
      <c r="X561" s="4" t="str">
        <f>IF(I561="",IF(ISNUMBER(SEARCH("NOT NULL",UPPER(I$3))),"''","null"),SUBSTITUTE(VLOOKUP(I$2,convert!$A$1:$B$4,2,0),"@@@",I561))</f>
        <v>''</v>
      </c>
      <c r="Y561" s="4" t="str">
        <f>IF(J561="",IF(ISNUMBER(SEARCH("NOT NULL",UPPER(J$3))),"''","null"),SUBSTITUTE(VLOOKUP(J$2,convert!$A$1:$B$4,2,0),"@@@",J561))</f>
        <v>'poison'</v>
      </c>
      <c r="Z561" s="4" t="str">
        <f>IF(K561="",IF(ISNUMBER(SEARCH("NOT NULL",UPPER(K$3))),"''","null"),SUBSTITUTE(VLOOKUP(K$2,convert!$A$1:$B$4,2,0),"@@@",K561))</f>
        <v>'dark'</v>
      </c>
      <c r="AA561" s="4" t="str">
        <f>IF(L561="",IF(ISNUMBER(SEARCH("NOT NULL",UPPER(L$3))),"''","null"),SUBSTITUTE(VLOOKUP(L$2,convert!$A$1:$B$4,2,0),"@@@",L561))</f>
        <v>'g4'</v>
      </c>
      <c r="AB561" s="4" t="str">
        <f>IF(M561="",IF(ISNUMBER(SEARCH("NOT NULL",UPPER(M$3))),"''","null"),SUBSTITUTE(VLOOKUP(M$2,convert!$A$1:$B$4,2,0),"@@@",M561))</f>
        <v>null</v>
      </c>
      <c r="AC561" s="4" t="str">
        <f>IF(N561="",IF(ISNUMBER(SEARCH("NOT NULL",UPPER(N$3))),"''","null"),SUBSTITUTE(VLOOKUP(N$2,convert!$A$1:$B$4,2,0),"@@@",N561))</f>
        <v>null</v>
      </c>
      <c r="AD561" s="4" t="str">
        <f>IF(O561="",IF(ISNUMBER(SEARCH("NOT NULL",UPPER(O$3))),"''","null"),SUBSTITUTE(VLOOKUP(O$2,convert!$A$1:$B$4,2,0),"@@@",O561))</f>
        <v>TRUE</v>
      </c>
      <c r="AE561" s="4" t="str">
        <f t="shared" si="8"/>
        <v>    ('0452N01', 'ドラピオン', 70, 90, 110, 60, 75, 95, '', 'poison', 'dark', 'g4', null, null, TRUE),</v>
      </c>
    </row>
    <row r="562" spans="1:31">
      <c r="A562" s="4" t="s">
        <v>1137</v>
      </c>
      <c r="B562" s="4" t="s">
        <v>1138</v>
      </c>
      <c r="C562" s="5">
        <v>48</v>
      </c>
      <c r="D562" s="5">
        <v>61</v>
      </c>
      <c r="E562" s="5">
        <v>40</v>
      </c>
      <c r="F562" s="5">
        <v>61</v>
      </c>
      <c r="G562" s="5">
        <v>40</v>
      </c>
      <c r="H562" s="5">
        <v>50</v>
      </c>
      <c r="I562" s="5"/>
      <c r="J562" s="4" t="s">
        <v>31</v>
      </c>
      <c r="K562" s="4" t="s">
        <v>189</v>
      </c>
      <c r="L562" s="4" t="s">
        <v>986</v>
      </c>
      <c r="M562" s="5"/>
      <c r="N562" s="5"/>
      <c r="O562" s="5" t="b">
        <v>1</v>
      </c>
      <c r="P562" s="4" t="str">
        <f>IF(A562="",IF(ISNUMBER(SEARCH("NOT NULL",UPPER(A$3))),"''","null"),SUBSTITUTE(VLOOKUP(A$2,convert!$A$1:$B$4,2,0),"@@@",A562))</f>
        <v>'0453N01'</v>
      </c>
      <c r="Q562" s="4" t="str">
        <f>IF(B562="",IF(ISNUMBER(SEARCH("NOT NULL",UPPER(B$3))),"''","null"),SUBSTITUTE(VLOOKUP(B$2,convert!$A$1:$B$4,2,0),"@@@",B562))</f>
        <v>'グレッグル'</v>
      </c>
      <c r="R562" s="4" t="str">
        <f>IF(C562="",IF(ISNUMBER(SEARCH("NOT NULL",UPPER(C$3))),"''","null"),SUBSTITUTE(VLOOKUP(C$2,convert!$A$1:$B$4,2,0),"@@@",C562))</f>
        <v>48</v>
      </c>
      <c r="S562" s="4" t="str">
        <f>IF(D562="",IF(ISNUMBER(SEARCH("NOT NULL",UPPER(D$3))),"''","null"),SUBSTITUTE(VLOOKUP(D$2,convert!$A$1:$B$4,2,0),"@@@",D562))</f>
        <v>61</v>
      </c>
      <c r="T562" s="4" t="str">
        <f>IF(E562="",IF(ISNUMBER(SEARCH("NOT NULL",UPPER(E$3))),"''","null"),SUBSTITUTE(VLOOKUP(E$2,convert!$A$1:$B$4,2,0),"@@@",E562))</f>
        <v>40</v>
      </c>
      <c r="U562" s="4" t="str">
        <f>IF(F562="",IF(ISNUMBER(SEARCH("NOT NULL",UPPER(F$3))),"''","null"),SUBSTITUTE(VLOOKUP(F$2,convert!$A$1:$B$4,2,0),"@@@",F562))</f>
        <v>61</v>
      </c>
      <c r="V562" s="4" t="str">
        <f>IF(G562="",IF(ISNUMBER(SEARCH("NOT NULL",UPPER(G$3))),"''","null"),SUBSTITUTE(VLOOKUP(G$2,convert!$A$1:$B$4,2,0),"@@@",G562))</f>
        <v>40</v>
      </c>
      <c r="W562" s="4" t="str">
        <f>IF(H562="",IF(ISNUMBER(SEARCH("NOT NULL",UPPER(H$3))),"''","null"),SUBSTITUTE(VLOOKUP(H$2,convert!$A$1:$B$4,2,0),"@@@",H562))</f>
        <v>50</v>
      </c>
      <c r="X562" s="4" t="str">
        <f>IF(I562="",IF(ISNUMBER(SEARCH("NOT NULL",UPPER(I$3))),"''","null"),SUBSTITUTE(VLOOKUP(I$2,convert!$A$1:$B$4,2,0),"@@@",I562))</f>
        <v>''</v>
      </c>
      <c r="Y562" s="4" t="str">
        <f>IF(J562="",IF(ISNUMBER(SEARCH("NOT NULL",UPPER(J$3))),"''","null"),SUBSTITUTE(VLOOKUP(J$2,convert!$A$1:$B$4,2,0),"@@@",J562))</f>
        <v>'poison'</v>
      </c>
      <c r="Z562" s="4" t="str">
        <f>IF(K562="",IF(ISNUMBER(SEARCH("NOT NULL",UPPER(K$3))),"''","null"),SUBSTITUTE(VLOOKUP(K$2,convert!$A$1:$B$4,2,0),"@@@",K562))</f>
        <v>'fighting'</v>
      </c>
      <c r="AA562" s="4" t="str">
        <f>IF(L562="",IF(ISNUMBER(SEARCH("NOT NULL",UPPER(L$3))),"''","null"),SUBSTITUTE(VLOOKUP(L$2,convert!$A$1:$B$4,2,0),"@@@",L562))</f>
        <v>'g4'</v>
      </c>
      <c r="AB562" s="4" t="str">
        <f>IF(M562="",IF(ISNUMBER(SEARCH("NOT NULL",UPPER(M$3))),"''","null"),SUBSTITUTE(VLOOKUP(M$2,convert!$A$1:$B$4,2,0),"@@@",M562))</f>
        <v>null</v>
      </c>
      <c r="AC562" s="4" t="str">
        <f>IF(N562="",IF(ISNUMBER(SEARCH("NOT NULL",UPPER(N$3))),"''","null"),SUBSTITUTE(VLOOKUP(N$2,convert!$A$1:$B$4,2,0),"@@@",N562))</f>
        <v>null</v>
      </c>
      <c r="AD562" s="4" t="str">
        <f>IF(O562="",IF(ISNUMBER(SEARCH("NOT NULL",UPPER(O$3))),"''","null"),SUBSTITUTE(VLOOKUP(O$2,convert!$A$1:$B$4,2,0),"@@@",O562))</f>
        <v>TRUE</v>
      </c>
      <c r="AE562" s="4" t="str">
        <f t="shared" si="8"/>
        <v>    ('0453N01', 'グレッグル', 48, 61, 40, 61, 40, 50, '', 'poison', 'fighting', 'g4', null, null, TRUE),</v>
      </c>
    </row>
    <row r="563" spans="1:31">
      <c r="A563" s="4" t="s">
        <v>1139</v>
      </c>
      <c r="B563" s="4" t="s">
        <v>1140</v>
      </c>
      <c r="C563" s="5">
        <v>83</v>
      </c>
      <c r="D563" s="5">
        <v>106</v>
      </c>
      <c r="E563" s="5">
        <v>65</v>
      </c>
      <c r="F563" s="5">
        <v>86</v>
      </c>
      <c r="G563" s="5">
        <v>65</v>
      </c>
      <c r="H563" s="5">
        <v>85</v>
      </c>
      <c r="I563" s="5"/>
      <c r="J563" s="4" t="s">
        <v>31</v>
      </c>
      <c r="K563" s="4" t="s">
        <v>189</v>
      </c>
      <c r="L563" s="4" t="s">
        <v>986</v>
      </c>
      <c r="M563" s="5"/>
      <c r="N563" s="5"/>
      <c r="O563" s="5" t="b">
        <v>1</v>
      </c>
      <c r="P563" s="4" t="str">
        <f>IF(A563="",IF(ISNUMBER(SEARCH("NOT NULL",UPPER(A$3))),"''","null"),SUBSTITUTE(VLOOKUP(A$2,convert!$A$1:$B$4,2,0),"@@@",A563))</f>
        <v>'0454N01'</v>
      </c>
      <c r="Q563" s="4" t="str">
        <f>IF(B563="",IF(ISNUMBER(SEARCH("NOT NULL",UPPER(B$3))),"''","null"),SUBSTITUTE(VLOOKUP(B$2,convert!$A$1:$B$4,2,0),"@@@",B563))</f>
        <v>'ドクロッグ'</v>
      </c>
      <c r="R563" s="4" t="str">
        <f>IF(C563="",IF(ISNUMBER(SEARCH("NOT NULL",UPPER(C$3))),"''","null"),SUBSTITUTE(VLOOKUP(C$2,convert!$A$1:$B$4,2,0),"@@@",C563))</f>
        <v>83</v>
      </c>
      <c r="S563" s="4" t="str">
        <f>IF(D563="",IF(ISNUMBER(SEARCH("NOT NULL",UPPER(D$3))),"''","null"),SUBSTITUTE(VLOOKUP(D$2,convert!$A$1:$B$4,2,0),"@@@",D563))</f>
        <v>106</v>
      </c>
      <c r="T563" s="4" t="str">
        <f>IF(E563="",IF(ISNUMBER(SEARCH("NOT NULL",UPPER(E$3))),"''","null"),SUBSTITUTE(VLOOKUP(E$2,convert!$A$1:$B$4,2,0),"@@@",E563))</f>
        <v>65</v>
      </c>
      <c r="U563" s="4" t="str">
        <f>IF(F563="",IF(ISNUMBER(SEARCH("NOT NULL",UPPER(F$3))),"''","null"),SUBSTITUTE(VLOOKUP(F$2,convert!$A$1:$B$4,2,0),"@@@",F563))</f>
        <v>86</v>
      </c>
      <c r="V563" s="4" t="str">
        <f>IF(G563="",IF(ISNUMBER(SEARCH("NOT NULL",UPPER(G$3))),"''","null"),SUBSTITUTE(VLOOKUP(G$2,convert!$A$1:$B$4,2,0),"@@@",G563))</f>
        <v>65</v>
      </c>
      <c r="W563" s="4" t="str">
        <f>IF(H563="",IF(ISNUMBER(SEARCH("NOT NULL",UPPER(H$3))),"''","null"),SUBSTITUTE(VLOOKUP(H$2,convert!$A$1:$B$4,2,0),"@@@",H563))</f>
        <v>85</v>
      </c>
      <c r="X563" s="4" t="str">
        <f>IF(I563="",IF(ISNUMBER(SEARCH("NOT NULL",UPPER(I$3))),"''","null"),SUBSTITUTE(VLOOKUP(I$2,convert!$A$1:$B$4,2,0),"@@@",I563))</f>
        <v>''</v>
      </c>
      <c r="Y563" s="4" t="str">
        <f>IF(J563="",IF(ISNUMBER(SEARCH("NOT NULL",UPPER(J$3))),"''","null"),SUBSTITUTE(VLOOKUP(J$2,convert!$A$1:$B$4,2,0),"@@@",J563))</f>
        <v>'poison'</v>
      </c>
      <c r="Z563" s="4" t="str">
        <f>IF(K563="",IF(ISNUMBER(SEARCH("NOT NULL",UPPER(K$3))),"''","null"),SUBSTITUTE(VLOOKUP(K$2,convert!$A$1:$B$4,2,0),"@@@",K563))</f>
        <v>'fighting'</v>
      </c>
      <c r="AA563" s="4" t="str">
        <f>IF(L563="",IF(ISNUMBER(SEARCH("NOT NULL",UPPER(L$3))),"''","null"),SUBSTITUTE(VLOOKUP(L$2,convert!$A$1:$B$4,2,0),"@@@",L563))</f>
        <v>'g4'</v>
      </c>
      <c r="AB563" s="4" t="str">
        <f>IF(M563="",IF(ISNUMBER(SEARCH("NOT NULL",UPPER(M$3))),"''","null"),SUBSTITUTE(VLOOKUP(M$2,convert!$A$1:$B$4,2,0),"@@@",M563))</f>
        <v>null</v>
      </c>
      <c r="AC563" s="4" t="str">
        <f>IF(N563="",IF(ISNUMBER(SEARCH("NOT NULL",UPPER(N$3))),"''","null"),SUBSTITUTE(VLOOKUP(N$2,convert!$A$1:$B$4,2,0),"@@@",N563))</f>
        <v>null</v>
      </c>
      <c r="AD563" s="4" t="str">
        <f>IF(O563="",IF(ISNUMBER(SEARCH("NOT NULL",UPPER(O$3))),"''","null"),SUBSTITUTE(VLOOKUP(O$2,convert!$A$1:$B$4,2,0),"@@@",O563))</f>
        <v>TRUE</v>
      </c>
      <c r="AE563" s="4" t="str">
        <f t="shared" si="8"/>
        <v>    ('0454N01', 'ドクロッグ', 83, 106, 65, 86, 65, 85, '', 'poison', 'fighting', 'g4', null, null, TRUE),</v>
      </c>
    </row>
    <row r="564" spans="1:31">
      <c r="A564" s="4" t="s">
        <v>1141</v>
      </c>
      <c r="B564" s="4" t="s">
        <v>1142</v>
      </c>
      <c r="C564" s="5">
        <v>74</v>
      </c>
      <c r="D564" s="5">
        <v>100</v>
      </c>
      <c r="E564" s="5">
        <v>72</v>
      </c>
      <c r="F564" s="5">
        <v>90</v>
      </c>
      <c r="G564" s="5">
        <v>72</v>
      </c>
      <c r="H564" s="5">
        <v>46</v>
      </c>
      <c r="I564" s="5"/>
      <c r="J564" s="4" t="s">
        <v>30</v>
      </c>
      <c r="K564" s="5"/>
      <c r="L564" s="4" t="s">
        <v>986</v>
      </c>
      <c r="M564" s="5"/>
      <c r="N564" s="5"/>
      <c r="O564" s="5" t="b">
        <v>1</v>
      </c>
      <c r="P564" s="4" t="str">
        <f>IF(A564="",IF(ISNUMBER(SEARCH("NOT NULL",UPPER(A$3))),"''","null"),SUBSTITUTE(VLOOKUP(A$2,convert!$A$1:$B$4,2,0),"@@@",A564))</f>
        <v>'0455N01'</v>
      </c>
      <c r="Q564" s="4" t="str">
        <f>IF(B564="",IF(ISNUMBER(SEARCH("NOT NULL",UPPER(B$3))),"''","null"),SUBSTITUTE(VLOOKUP(B$2,convert!$A$1:$B$4,2,0),"@@@",B564))</f>
        <v>'マスキッパ'</v>
      </c>
      <c r="R564" s="4" t="str">
        <f>IF(C564="",IF(ISNUMBER(SEARCH("NOT NULL",UPPER(C$3))),"''","null"),SUBSTITUTE(VLOOKUP(C$2,convert!$A$1:$B$4,2,0),"@@@",C564))</f>
        <v>74</v>
      </c>
      <c r="S564" s="4" t="str">
        <f>IF(D564="",IF(ISNUMBER(SEARCH("NOT NULL",UPPER(D$3))),"''","null"),SUBSTITUTE(VLOOKUP(D$2,convert!$A$1:$B$4,2,0),"@@@",D564))</f>
        <v>100</v>
      </c>
      <c r="T564" s="4" t="str">
        <f>IF(E564="",IF(ISNUMBER(SEARCH("NOT NULL",UPPER(E$3))),"''","null"),SUBSTITUTE(VLOOKUP(E$2,convert!$A$1:$B$4,2,0),"@@@",E564))</f>
        <v>72</v>
      </c>
      <c r="U564" s="4" t="str">
        <f>IF(F564="",IF(ISNUMBER(SEARCH("NOT NULL",UPPER(F$3))),"''","null"),SUBSTITUTE(VLOOKUP(F$2,convert!$A$1:$B$4,2,0),"@@@",F564))</f>
        <v>90</v>
      </c>
      <c r="V564" s="4" t="str">
        <f>IF(G564="",IF(ISNUMBER(SEARCH("NOT NULL",UPPER(G$3))),"''","null"),SUBSTITUTE(VLOOKUP(G$2,convert!$A$1:$B$4,2,0),"@@@",G564))</f>
        <v>72</v>
      </c>
      <c r="W564" s="4" t="str">
        <f>IF(H564="",IF(ISNUMBER(SEARCH("NOT NULL",UPPER(H$3))),"''","null"),SUBSTITUTE(VLOOKUP(H$2,convert!$A$1:$B$4,2,0),"@@@",H564))</f>
        <v>46</v>
      </c>
      <c r="X564" s="4" t="str">
        <f>IF(I564="",IF(ISNUMBER(SEARCH("NOT NULL",UPPER(I$3))),"''","null"),SUBSTITUTE(VLOOKUP(I$2,convert!$A$1:$B$4,2,0),"@@@",I564))</f>
        <v>''</v>
      </c>
      <c r="Y564" s="4" t="str">
        <f>IF(J564="",IF(ISNUMBER(SEARCH("NOT NULL",UPPER(J$3))),"''","null"),SUBSTITUTE(VLOOKUP(J$2,convert!$A$1:$B$4,2,0),"@@@",J564))</f>
        <v>'grass'</v>
      </c>
      <c r="Z564" s="4" t="str">
        <f>IF(K564="",IF(ISNUMBER(SEARCH("NOT NULL",UPPER(K$3))),"''","null"),SUBSTITUTE(VLOOKUP(K$2,convert!$A$1:$B$4,2,0),"@@@",K564))</f>
        <v>null</v>
      </c>
      <c r="AA564" s="4" t="str">
        <f>IF(L564="",IF(ISNUMBER(SEARCH("NOT NULL",UPPER(L$3))),"''","null"),SUBSTITUTE(VLOOKUP(L$2,convert!$A$1:$B$4,2,0),"@@@",L564))</f>
        <v>'g4'</v>
      </c>
      <c r="AB564" s="4" t="str">
        <f>IF(M564="",IF(ISNUMBER(SEARCH("NOT NULL",UPPER(M$3))),"''","null"),SUBSTITUTE(VLOOKUP(M$2,convert!$A$1:$B$4,2,0),"@@@",M564))</f>
        <v>null</v>
      </c>
      <c r="AC564" s="4" t="str">
        <f>IF(N564="",IF(ISNUMBER(SEARCH("NOT NULL",UPPER(N$3))),"''","null"),SUBSTITUTE(VLOOKUP(N$2,convert!$A$1:$B$4,2,0),"@@@",N564))</f>
        <v>null</v>
      </c>
      <c r="AD564" s="4" t="str">
        <f>IF(O564="",IF(ISNUMBER(SEARCH("NOT NULL",UPPER(O$3))),"''","null"),SUBSTITUTE(VLOOKUP(O$2,convert!$A$1:$B$4,2,0),"@@@",O564))</f>
        <v>TRUE</v>
      </c>
      <c r="AE564" s="4" t="str">
        <f t="shared" si="8"/>
        <v>    ('0455N01', 'マスキッパ', 74, 100, 72, 90, 72, 46, '', 'grass', null, 'g4', null, null, TRUE),</v>
      </c>
    </row>
    <row r="565" spans="1:31">
      <c r="A565" s="4" t="s">
        <v>1143</v>
      </c>
      <c r="B565" s="4" t="s">
        <v>1144</v>
      </c>
      <c r="C565" s="5">
        <v>49</v>
      </c>
      <c r="D565" s="5">
        <v>49</v>
      </c>
      <c r="E565" s="5">
        <v>56</v>
      </c>
      <c r="F565" s="5">
        <v>49</v>
      </c>
      <c r="G565" s="5">
        <v>61</v>
      </c>
      <c r="H565" s="5">
        <v>66</v>
      </c>
      <c r="I565" s="5"/>
      <c r="J565" s="4" t="s">
        <v>55</v>
      </c>
      <c r="K565" s="5"/>
      <c r="L565" s="4" t="s">
        <v>986</v>
      </c>
      <c r="M565" s="5"/>
      <c r="N565" s="5"/>
      <c r="O565" s="5" t="b">
        <v>1</v>
      </c>
      <c r="P565" s="4" t="str">
        <f>IF(A565="",IF(ISNUMBER(SEARCH("NOT NULL",UPPER(A$3))),"''","null"),SUBSTITUTE(VLOOKUP(A$2,convert!$A$1:$B$4,2,0),"@@@",A565))</f>
        <v>'0456N01'</v>
      </c>
      <c r="Q565" s="4" t="str">
        <f>IF(B565="",IF(ISNUMBER(SEARCH("NOT NULL",UPPER(B$3))),"''","null"),SUBSTITUTE(VLOOKUP(B$2,convert!$A$1:$B$4,2,0),"@@@",B565))</f>
        <v>'ケイコウオ'</v>
      </c>
      <c r="R565" s="4" t="str">
        <f>IF(C565="",IF(ISNUMBER(SEARCH("NOT NULL",UPPER(C$3))),"''","null"),SUBSTITUTE(VLOOKUP(C$2,convert!$A$1:$B$4,2,0),"@@@",C565))</f>
        <v>49</v>
      </c>
      <c r="S565" s="4" t="str">
        <f>IF(D565="",IF(ISNUMBER(SEARCH("NOT NULL",UPPER(D$3))),"''","null"),SUBSTITUTE(VLOOKUP(D$2,convert!$A$1:$B$4,2,0),"@@@",D565))</f>
        <v>49</v>
      </c>
      <c r="T565" s="4" t="str">
        <f>IF(E565="",IF(ISNUMBER(SEARCH("NOT NULL",UPPER(E$3))),"''","null"),SUBSTITUTE(VLOOKUP(E$2,convert!$A$1:$B$4,2,0),"@@@",E565))</f>
        <v>56</v>
      </c>
      <c r="U565" s="4" t="str">
        <f>IF(F565="",IF(ISNUMBER(SEARCH("NOT NULL",UPPER(F$3))),"''","null"),SUBSTITUTE(VLOOKUP(F$2,convert!$A$1:$B$4,2,0),"@@@",F565))</f>
        <v>49</v>
      </c>
      <c r="V565" s="4" t="str">
        <f>IF(G565="",IF(ISNUMBER(SEARCH("NOT NULL",UPPER(G$3))),"''","null"),SUBSTITUTE(VLOOKUP(G$2,convert!$A$1:$B$4,2,0),"@@@",G565))</f>
        <v>61</v>
      </c>
      <c r="W565" s="4" t="str">
        <f>IF(H565="",IF(ISNUMBER(SEARCH("NOT NULL",UPPER(H$3))),"''","null"),SUBSTITUTE(VLOOKUP(H$2,convert!$A$1:$B$4,2,0),"@@@",H565))</f>
        <v>66</v>
      </c>
      <c r="X565" s="4" t="str">
        <f>IF(I565="",IF(ISNUMBER(SEARCH("NOT NULL",UPPER(I$3))),"''","null"),SUBSTITUTE(VLOOKUP(I$2,convert!$A$1:$B$4,2,0),"@@@",I565))</f>
        <v>''</v>
      </c>
      <c r="Y565" s="4" t="str">
        <f>IF(J565="",IF(ISNUMBER(SEARCH("NOT NULL",UPPER(J$3))),"''","null"),SUBSTITUTE(VLOOKUP(J$2,convert!$A$1:$B$4,2,0),"@@@",J565))</f>
        <v>'water'</v>
      </c>
      <c r="Z565" s="4" t="str">
        <f>IF(K565="",IF(ISNUMBER(SEARCH("NOT NULL",UPPER(K$3))),"''","null"),SUBSTITUTE(VLOOKUP(K$2,convert!$A$1:$B$4,2,0),"@@@",K565))</f>
        <v>null</v>
      </c>
      <c r="AA565" s="4" t="str">
        <f>IF(L565="",IF(ISNUMBER(SEARCH("NOT NULL",UPPER(L$3))),"''","null"),SUBSTITUTE(VLOOKUP(L$2,convert!$A$1:$B$4,2,0),"@@@",L565))</f>
        <v>'g4'</v>
      </c>
      <c r="AB565" s="4" t="str">
        <f>IF(M565="",IF(ISNUMBER(SEARCH("NOT NULL",UPPER(M$3))),"''","null"),SUBSTITUTE(VLOOKUP(M$2,convert!$A$1:$B$4,2,0),"@@@",M565))</f>
        <v>null</v>
      </c>
      <c r="AC565" s="4" t="str">
        <f>IF(N565="",IF(ISNUMBER(SEARCH("NOT NULL",UPPER(N$3))),"''","null"),SUBSTITUTE(VLOOKUP(N$2,convert!$A$1:$B$4,2,0),"@@@",N565))</f>
        <v>null</v>
      </c>
      <c r="AD565" s="4" t="str">
        <f>IF(O565="",IF(ISNUMBER(SEARCH("NOT NULL",UPPER(O$3))),"''","null"),SUBSTITUTE(VLOOKUP(O$2,convert!$A$1:$B$4,2,0),"@@@",O565))</f>
        <v>TRUE</v>
      </c>
      <c r="AE565" s="4" t="str">
        <f t="shared" si="8"/>
        <v>    ('0456N01', 'ケイコウオ', 49, 49, 56, 49, 61, 66, '', 'water', null, 'g4', null, null, TRUE),</v>
      </c>
    </row>
    <row r="566" spans="1:31">
      <c r="A566" s="4" t="s">
        <v>1145</v>
      </c>
      <c r="B566" s="4" t="s">
        <v>1146</v>
      </c>
      <c r="C566" s="5">
        <v>69</v>
      </c>
      <c r="D566" s="5">
        <v>69</v>
      </c>
      <c r="E566" s="5">
        <v>76</v>
      </c>
      <c r="F566" s="5">
        <v>69</v>
      </c>
      <c r="G566" s="5">
        <v>86</v>
      </c>
      <c r="H566" s="5">
        <v>91</v>
      </c>
      <c r="I566" s="5"/>
      <c r="J566" s="4" t="s">
        <v>55</v>
      </c>
      <c r="K566" s="5"/>
      <c r="L566" s="4" t="s">
        <v>986</v>
      </c>
      <c r="M566" s="5"/>
      <c r="N566" s="5"/>
      <c r="O566" s="5" t="b">
        <v>1</v>
      </c>
      <c r="P566" s="4" t="str">
        <f>IF(A566="",IF(ISNUMBER(SEARCH("NOT NULL",UPPER(A$3))),"''","null"),SUBSTITUTE(VLOOKUP(A$2,convert!$A$1:$B$4,2,0),"@@@",A566))</f>
        <v>'0457N01'</v>
      </c>
      <c r="Q566" s="4" t="str">
        <f>IF(B566="",IF(ISNUMBER(SEARCH("NOT NULL",UPPER(B$3))),"''","null"),SUBSTITUTE(VLOOKUP(B$2,convert!$A$1:$B$4,2,0),"@@@",B566))</f>
        <v>'ネオラント'</v>
      </c>
      <c r="R566" s="4" t="str">
        <f>IF(C566="",IF(ISNUMBER(SEARCH("NOT NULL",UPPER(C$3))),"''","null"),SUBSTITUTE(VLOOKUP(C$2,convert!$A$1:$B$4,2,0),"@@@",C566))</f>
        <v>69</v>
      </c>
      <c r="S566" s="4" t="str">
        <f>IF(D566="",IF(ISNUMBER(SEARCH("NOT NULL",UPPER(D$3))),"''","null"),SUBSTITUTE(VLOOKUP(D$2,convert!$A$1:$B$4,2,0),"@@@",D566))</f>
        <v>69</v>
      </c>
      <c r="T566" s="4" t="str">
        <f>IF(E566="",IF(ISNUMBER(SEARCH("NOT NULL",UPPER(E$3))),"''","null"),SUBSTITUTE(VLOOKUP(E$2,convert!$A$1:$B$4,2,0),"@@@",E566))</f>
        <v>76</v>
      </c>
      <c r="U566" s="4" t="str">
        <f>IF(F566="",IF(ISNUMBER(SEARCH("NOT NULL",UPPER(F$3))),"''","null"),SUBSTITUTE(VLOOKUP(F$2,convert!$A$1:$B$4,2,0),"@@@",F566))</f>
        <v>69</v>
      </c>
      <c r="V566" s="4" t="str">
        <f>IF(G566="",IF(ISNUMBER(SEARCH("NOT NULL",UPPER(G$3))),"''","null"),SUBSTITUTE(VLOOKUP(G$2,convert!$A$1:$B$4,2,0),"@@@",G566))</f>
        <v>86</v>
      </c>
      <c r="W566" s="4" t="str">
        <f>IF(H566="",IF(ISNUMBER(SEARCH("NOT NULL",UPPER(H$3))),"''","null"),SUBSTITUTE(VLOOKUP(H$2,convert!$A$1:$B$4,2,0),"@@@",H566))</f>
        <v>91</v>
      </c>
      <c r="X566" s="4" t="str">
        <f>IF(I566="",IF(ISNUMBER(SEARCH("NOT NULL",UPPER(I$3))),"''","null"),SUBSTITUTE(VLOOKUP(I$2,convert!$A$1:$B$4,2,0),"@@@",I566))</f>
        <v>''</v>
      </c>
      <c r="Y566" s="4" t="str">
        <f>IF(J566="",IF(ISNUMBER(SEARCH("NOT NULL",UPPER(J$3))),"''","null"),SUBSTITUTE(VLOOKUP(J$2,convert!$A$1:$B$4,2,0),"@@@",J566))</f>
        <v>'water'</v>
      </c>
      <c r="Z566" s="4" t="str">
        <f>IF(K566="",IF(ISNUMBER(SEARCH("NOT NULL",UPPER(K$3))),"''","null"),SUBSTITUTE(VLOOKUP(K$2,convert!$A$1:$B$4,2,0),"@@@",K566))</f>
        <v>null</v>
      </c>
      <c r="AA566" s="4" t="str">
        <f>IF(L566="",IF(ISNUMBER(SEARCH("NOT NULL",UPPER(L$3))),"''","null"),SUBSTITUTE(VLOOKUP(L$2,convert!$A$1:$B$4,2,0),"@@@",L566))</f>
        <v>'g4'</v>
      </c>
      <c r="AB566" s="4" t="str">
        <f>IF(M566="",IF(ISNUMBER(SEARCH("NOT NULL",UPPER(M$3))),"''","null"),SUBSTITUTE(VLOOKUP(M$2,convert!$A$1:$B$4,2,0),"@@@",M566))</f>
        <v>null</v>
      </c>
      <c r="AC566" s="4" t="str">
        <f>IF(N566="",IF(ISNUMBER(SEARCH("NOT NULL",UPPER(N$3))),"''","null"),SUBSTITUTE(VLOOKUP(N$2,convert!$A$1:$B$4,2,0),"@@@",N566))</f>
        <v>null</v>
      </c>
      <c r="AD566" s="4" t="str">
        <f>IF(O566="",IF(ISNUMBER(SEARCH("NOT NULL",UPPER(O$3))),"''","null"),SUBSTITUTE(VLOOKUP(O$2,convert!$A$1:$B$4,2,0),"@@@",O566))</f>
        <v>TRUE</v>
      </c>
      <c r="AE566" s="4" t="str">
        <f t="shared" si="8"/>
        <v>    ('0457N01', 'ネオラント', 69, 69, 76, 69, 86, 91, '', 'water', null, 'g4', null, null, TRUE),</v>
      </c>
    </row>
    <row r="567" spans="1:31">
      <c r="A567" s="4" t="s">
        <v>1147</v>
      </c>
      <c r="B567" s="4" t="s">
        <v>1148</v>
      </c>
      <c r="C567" s="5">
        <v>45</v>
      </c>
      <c r="D567" s="5">
        <v>20</v>
      </c>
      <c r="E567" s="5">
        <v>50</v>
      </c>
      <c r="F567" s="5">
        <v>60</v>
      </c>
      <c r="G567" s="5">
        <v>120</v>
      </c>
      <c r="H567" s="5">
        <v>50</v>
      </c>
      <c r="I567" s="5"/>
      <c r="J567" s="4" t="s">
        <v>55</v>
      </c>
      <c r="K567" s="4" t="s">
        <v>47</v>
      </c>
      <c r="L567" s="4" t="s">
        <v>986</v>
      </c>
      <c r="M567" s="5"/>
      <c r="N567" s="5"/>
      <c r="O567" s="5" t="b">
        <v>1</v>
      </c>
      <c r="P567" s="4" t="str">
        <f>IF(A567="",IF(ISNUMBER(SEARCH("NOT NULL",UPPER(A$3))),"''","null"),SUBSTITUTE(VLOOKUP(A$2,convert!$A$1:$B$4,2,0),"@@@",A567))</f>
        <v>'0458N01'</v>
      </c>
      <c r="Q567" s="4" t="str">
        <f>IF(B567="",IF(ISNUMBER(SEARCH("NOT NULL",UPPER(B$3))),"''","null"),SUBSTITUTE(VLOOKUP(B$2,convert!$A$1:$B$4,2,0),"@@@",B567))</f>
        <v>'タマンタ'</v>
      </c>
      <c r="R567" s="4" t="str">
        <f>IF(C567="",IF(ISNUMBER(SEARCH("NOT NULL",UPPER(C$3))),"''","null"),SUBSTITUTE(VLOOKUP(C$2,convert!$A$1:$B$4,2,0),"@@@",C567))</f>
        <v>45</v>
      </c>
      <c r="S567" s="4" t="str">
        <f>IF(D567="",IF(ISNUMBER(SEARCH("NOT NULL",UPPER(D$3))),"''","null"),SUBSTITUTE(VLOOKUP(D$2,convert!$A$1:$B$4,2,0),"@@@",D567))</f>
        <v>20</v>
      </c>
      <c r="T567" s="4" t="str">
        <f>IF(E567="",IF(ISNUMBER(SEARCH("NOT NULL",UPPER(E$3))),"''","null"),SUBSTITUTE(VLOOKUP(E$2,convert!$A$1:$B$4,2,0),"@@@",E567))</f>
        <v>50</v>
      </c>
      <c r="U567" s="4" t="str">
        <f>IF(F567="",IF(ISNUMBER(SEARCH("NOT NULL",UPPER(F$3))),"''","null"),SUBSTITUTE(VLOOKUP(F$2,convert!$A$1:$B$4,2,0),"@@@",F567))</f>
        <v>60</v>
      </c>
      <c r="V567" s="4" t="str">
        <f>IF(G567="",IF(ISNUMBER(SEARCH("NOT NULL",UPPER(G$3))),"''","null"),SUBSTITUTE(VLOOKUP(G$2,convert!$A$1:$B$4,2,0),"@@@",G567))</f>
        <v>120</v>
      </c>
      <c r="W567" s="4" t="str">
        <f>IF(H567="",IF(ISNUMBER(SEARCH("NOT NULL",UPPER(H$3))),"''","null"),SUBSTITUTE(VLOOKUP(H$2,convert!$A$1:$B$4,2,0),"@@@",H567))</f>
        <v>50</v>
      </c>
      <c r="X567" s="4" t="str">
        <f>IF(I567="",IF(ISNUMBER(SEARCH("NOT NULL",UPPER(I$3))),"''","null"),SUBSTITUTE(VLOOKUP(I$2,convert!$A$1:$B$4,2,0),"@@@",I567))</f>
        <v>''</v>
      </c>
      <c r="Y567" s="4" t="str">
        <f>IF(J567="",IF(ISNUMBER(SEARCH("NOT NULL",UPPER(J$3))),"''","null"),SUBSTITUTE(VLOOKUP(J$2,convert!$A$1:$B$4,2,0),"@@@",J567))</f>
        <v>'water'</v>
      </c>
      <c r="Z567" s="4" t="str">
        <f>IF(K567="",IF(ISNUMBER(SEARCH("NOT NULL",UPPER(K$3))),"''","null"),SUBSTITUTE(VLOOKUP(K$2,convert!$A$1:$B$4,2,0),"@@@",K567))</f>
        <v>'flying'</v>
      </c>
      <c r="AA567" s="4" t="str">
        <f>IF(L567="",IF(ISNUMBER(SEARCH("NOT NULL",UPPER(L$3))),"''","null"),SUBSTITUTE(VLOOKUP(L$2,convert!$A$1:$B$4,2,0),"@@@",L567))</f>
        <v>'g4'</v>
      </c>
      <c r="AB567" s="4" t="str">
        <f>IF(M567="",IF(ISNUMBER(SEARCH("NOT NULL",UPPER(M$3))),"''","null"),SUBSTITUTE(VLOOKUP(M$2,convert!$A$1:$B$4,2,0),"@@@",M567))</f>
        <v>null</v>
      </c>
      <c r="AC567" s="4" t="str">
        <f>IF(N567="",IF(ISNUMBER(SEARCH("NOT NULL",UPPER(N$3))),"''","null"),SUBSTITUTE(VLOOKUP(N$2,convert!$A$1:$B$4,2,0),"@@@",N567))</f>
        <v>null</v>
      </c>
      <c r="AD567" s="4" t="str">
        <f>IF(O567="",IF(ISNUMBER(SEARCH("NOT NULL",UPPER(O$3))),"''","null"),SUBSTITUTE(VLOOKUP(O$2,convert!$A$1:$B$4,2,0),"@@@",O567))</f>
        <v>TRUE</v>
      </c>
      <c r="AE567" s="4" t="str">
        <f t="shared" si="8"/>
        <v>    ('0458N01', 'タマンタ', 45, 20, 50, 60, 120, 50, '', 'water', 'flying', 'g4', null, null, TRUE),</v>
      </c>
    </row>
    <row r="568" spans="1:31">
      <c r="A568" s="4" t="s">
        <v>1149</v>
      </c>
      <c r="B568" s="4" t="s">
        <v>1150</v>
      </c>
      <c r="C568" s="5">
        <v>60</v>
      </c>
      <c r="D568" s="5">
        <v>62</v>
      </c>
      <c r="E568" s="5">
        <v>50</v>
      </c>
      <c r="F568" s="5">
        <v>62</v>
      </c>
      <c r="G568" s="5">
        <v>60</v>
      </c>
      <c r="H568" s="5">
        <v>40</v>
      </c>
      <c r="I568" s="5"/>
      <c r="J568" s="4" t="s">
        <v>30</v>
      </c>
      <c r="K568" s="4" t="s">
        <v>118</v>
      </c>
      <c r="L568" s="4" t="s">
        <v>986</v>
      </c>
      <c r="M568" s="5"/>
      <c r="N568" s="5"/>
      <c r="O568" s="5" t="b">
        <v>1</v>
      </c>
      <c r="P568" s="4" t="str">
        <f>IF(A568="",IF(ISNUMBER(SEARCH("NOT NULL",UPPER(A$3))),"''","null"),SUBSTITUTE(VLOOKUP(A$2,convert!$A$1:$B$4,2,0),"@@@",A568))</f>
        <v>'0459N01'</v>
      </c>
      <c r="Q568" s="4" t="str">
        <f>IF(B568="",IF(ISNUMBER(SEARCH("NOT NULL",UPPER(B$3))),"''","null"),SUBSTITUTE(VLOOKUP(B$2,convert!$A$1:$B$4,2,0),"@@@",B568))</f>
        <v>'ユキカブリ'</v>
      </c>
      <c r="R568" s="4" t="str">
        <f>IF(C568="",IF(ISNUMBER(SEARCH("NOT NULL",UPPER(C$3))),"''","null"),SUBSTITUTE(VLOOKUP(C$2,convert!$A$1:$B$4,2,0),"@@@",C568))</f>
        <v>60</v>
      </c>
      <c r="S568" s="4" t="str">
        <f>IF(D568="",IF(ISNUMBER(SEARCH("NOT NULL",UPPER(D$3))),"''","null"),SUBSTITUTE(VLOOKUP(D$2,convert!$A$1:$B$4,2,0),"@@@",D568))</f>
        <v>62</v>
      </c>
      <c r="T568" s="4" t="str">
        <f>IF(E568="",IF(ISNUMBER(SEARCH("NOT NULL",UPPER(E$3))),"''","null"),SUBSTITUTE(VLOOKUP(E$2,convert!$A$1:$B$4,2,0),"@@@",E568))</f>
        <v>50</v>
      </c>
      <c r="U568" s="4" t="str">
        <f>IF(F568="",IF(ISNUMBER(SEARCH("NOT NULL",UPPER(F$3))),"''","null"),SUBSTITUTE(VLOOKUP(F$2,convert!$A$1:$B$4,2,0),"@@@",F568))</f>
        <v>62</v>
      </c>
      <c r="V568" s="4" t="str">
        <f>IF(G568="",IF(ISNUMBER(SEARCH("NOT NULL",UPPER(G$3))),"''","null"),SUBSTITUTE(VLOOKUP(G$2,convert!$A$1:$B$4,2,0),"@@@",G568))</f>
        <v>60</v>
      </c>
      <c r="W568" s="4" t="str">
        <f>IF(H568="",IF(ISNUMBER(SEARCH("NOT NULL",UPPER(H$3))),"''","null"),SUBSTITUTE(VLOOKUP(H$2,convert!$A$1:$B$4,2,0),"@@@",H568))</f>
        <v>40</v>
      </c>
      <c r="X568" s="4" t="str">
        <f>IF(I568="",IF(ISNUMBER(SEARCH("NOT NULL",UPPER(I$3))),"''","null"),SUBSTITUTE(VLOOKUP(I$2,convert!$A$1:$B$4,2,0),"@@@",I568))</f>
        <v>''</v>
      </c>
      <c r="Y568" s="4" t="str">
        <f>IF(J568="",IF(ISNUMBER(SEARCH("NOT NULL",UPPER(J$3))),"''","null"),SUBSTITUTE(VLOOKUP(J$2,convert!$A$1:$B$4,2,0),"@@@",J568))</f>
        <v>'grass'</v>
      </c>
      <c r="Z568" s="4" t="str">
        <f>IF(K568="",IF(ISNUMBER(SEARCH("NOT NULL",UPPER(K$3))),"''","null"),SUBSTITUTE(VLOOKUP(K$2,convert!$A$1:$B$4,2,0),"@@@",K568))</f>
        <v>'ice'</v>
      </c>
      <c r="AA568" s="4" t="str">
        <f>IF(L568="",IF(ISNUMBER(SEARCH("NOT NULL",UPPER(L$3))),"''","null"),SUBSTITUTE(VLOOKUP(L$2,convert!$A$1:$B$4,2,0),"@@@",L568))</f>
        <v>'g4'</v>
      </c>
      <c r="AB568" s="4" t="str">
        <f>IF(M568="",IF(ISNUMBER(SEARCH("NOT NULL",UPPER(M$3))),"''","null"),SUBSTITUTE(VLOOKUP(M$2,convert!$A$1:$B$4,2,0),"@@@",M568))</f>
        <v>null</v>
      </c>
      <c r="AC568" s="4" t="str">
        <f>IF(N568="",IF(ISNUMBER(SEARCH("NOT NULL",UPPER(N$3))),"''","null"),SUBSTITUTE(VLOOKUP(N$2,convert!$A$1:$B$4,2,0),"@@@",N568))</f>
        <v>null</v>
      </c>
      <c r="AD568" s="4" t="str">
        <f>IF(O568="",IF(ISNUMBER(SEARCH("NOT NULL",UPPER(O$3))),"''","null"),SUBSTITUTE(VLOOKUP(O$2,convert!$A$1:$B$4,2,0),"@@@",O568))</f>
        <v>TRUE</v>
      </c>
      <c r="AE568" s="4" t="str">
        <f t="shared" si="8"/>
        <v>    ('0459N01', 'ユキカブリ', 60, 62, 50, 62, 60, 40, '', 'grass', 'ice', 'g4', null, null, TRUE),</v>
      </c>
    </row>
    <row r="569" spans="1:31">
      <c r="A569" s="4" t="s">
        <v>1151</v>
      </c>
      <c r="B569" s="4" t="s">
        <v>1152</v>
      </c>
      <c r="C569" s="5">
        <v>90</v>
      </c>
      <c r="D569" s="5">
        <v>92</v>
      </c>
      <c r="E569" s="5">
        <v>75</v>
      </c>
      <c r="F569" s="5">
        <v>92</v>
      </c>
      <c r="G569" s="5">
        <v>85</v>
      </c>
      <c r="H569" s="5">
        <v>60</v>
      </c>
      <c r="I569" s="5"/>
      <c r="J569" s="4" t="s">
        <v>30</v>
      </c>
      <c r="K569" s="4" t="s">
        <v>118</v>
      </c>
      <c r="L569" s="4" t="s">
        <v>986</v>
      </c>
      <c r="M569" s="5"/>
      <c r="N569" s="5"/>
      <c r="O569" s="5" t="b">
        <v>1</v>
      </c>
      <c r="P569" s="4" t="str">
        <f>IF(A569="",IF(ISNUMBER(SEARCH("NOT NULL",UPPER(A$3))),"''","null"),SUBSTITUTE(VLOOKUP(A$2,convert!$A$1:$B$4,2,0),"@@@",A569))</f>
        <v>'0460N01'</v>
      </c>
      <c r="Q569" s="4" t="str">
        <f>IF(B569="",IF(ISNUMBER(SEARCH("NOT NULL",UPPER(B$3))),"''","null"),SUBSTITUTE(VLOOKUP(B$2,convert!$A$1:$B$4,2,0),"@@@",B569))</f>
        <v>'ユキノオー'</v>
      </c>
      <c r="R569" s="4" t="str">
        <f>IF(C569="",IF(ISNUMBER(SEARCH("NOT NULL",UPPER(C$3))),"''","null"),SUBSTITUTE(VLOOKUP(C$2,convert!$A$1:$B$4,2,0),"@@@",C569))</f>
        <v>90</v>
      </c>
      <c r="S569" s="4" t="str">
        <f>IF(D569="",IF(ISNUMBER(SEARCH("NOT NULL",UPPER(D$3))),"''","null"),SUBSTITUTE(VLOOKUP(D$2,convert!$A$1:$B$4,2,0),"@@@",D569))</f>
        <v>92</v>
      </c>
      <c r="T569" s="4" t="str">
        <f>IF(E569="",IF(ISNUMBER(SEARCH("NOT NULL",UPPER(E$3))),"''","null"),SUBSTITUTE(VLOOKUP(E$2,convert!$A$1:$B$4,2,0),"@@@",E569))</f>
        <v>75</v>
      </c>
      <c r="U569" s="4" t="str">
        <f>IF(F569="",IF(ISNUMBER(SEARCH("NOT NULL",UPPER(F$3))),"''","null"),SUBSTITUTE(VLOOKUP(F$2,convert!$A$1:$B$4,2,0),"@@@",F569))</f>
        <v>92</v>
      </c>
      <c r="V569" s="4" t="str">
        <f>IF(G569="",IF(ISNUMBER(SEARCH("NOT NULL",UPPER(G$3))),"''","null"),SUBSTITUTE(VLOOKUP(G$2,convert!$A$1:$B$4,2,0),"@@@",G569))</f>
        <v>85</v>
      </c>
      <c r="W569" s="4" t="str">
        <f>IF(H569="",IF(ISNUMBER(SEARCH("NOT NULL",UPPER(H$3))),"''","null"),SUBSTITUTE(VLOOKUP(H$2,convert!$A$1:$B$4,2,0),"@@@",H569))</f>
        <v>60</v>
      </c>
      <c r="X569" s="4" t="str">
        <f>IF(I569="",IF(ISNUMBER(SEARCH("NOT NULL",UPPER(I$3))),"''","null"),SUBSTITUTE(VLOOKUP(I$2,convert!$A$1:$B$4,2,0),"@@@",I569))</f>
        <v>''</v>
      </c>
      <c r="Y569" s="4" t="str">
        <f>IF(J569="",IF(ISNUMBER(SEARCH("NOT NULL",UPPER(J$3))),"''","null"),SUBSTITUTE(VLOOKUP(J$2,convert!$A$1:$B$4,2,0),"@@@",J569))</f>
        <v>'grass'</v>
      </c>
      <c r="Z569" s="4" t="str">
        <f>IF(K569="",IF(ISNUMBER(SEARCH("NOT NULL",UPPER(K$3))),"''","null"),SUBSTITUTE(VLOOKUP(K$2,convert!$A$1:$B$4,2,0),"@@@",K569))</f>
        <v>'ice'</v>
      </c>
      <c r="AA569" s="4" t="str">
        <f>IF(L569="",IF(ISNUMBER(SEARCH("NOT NULL",UPPER(L$3))),"''","null"),SUBSTITUTE(VLOOKUP(L$2,convert!$A$1:$B$4,2,0),"@@@",L569))</f>
        <v>'g4'</v>
      </c>
      <c r="AB569" s="4" t="str">
        <f>IF(M569="",IF(ISNUMBER(SEARCH("NOT NULL",UPPER(M$3))),"''","null"),SUBSTITUTE(VLOOKUP(M$2,convert!$A$1:$B$4,2,0),"@@@",M569))</f>
        <v>null</v>
      </c>
      <c r="AC569" s="4" t="str">
        <f>IF(N569="",IF(ISNUMBER(SEARCH("NOT NULL",UPPER(N$3))),"''","null"),SUBSTITUTE(VLOOKUP(N$2,convert!$A$1:$B$4,2,0),"@@@",N569))</f>
        <v>null</v>
      </c>
      <c r="AD569" s="4" t="str">
        <f>IF(O569="",IF(ISNUMBER(SEARCH("NOT NULL",UPPER(O$3))),"''","null"),SUBSTITUTE(VLOOKUP(O$2,convert!$A$1:$B$4,2,0),"@@@",O569))</f>
        <v>TRUE</v>
      </c>
      <c r="AE569" s="4" t="str">
        <f t="shared" si="8"/>
        <v>    ('0460N01', 'ユキノオー', 90, 92, 75, 92, 85, 60, '', 'grass', 'ice', 'g4', null, null, TRUE),</v>
      </c>
    </row>
    <row r="570" spans="1:31">
      <c r="A570" s="4" t="s">
        <v>1153</v>
      </c>
      <c r="B570" s="4" t="s">
        <v>1154</v>
      </c>
      <c r="C570" s="5">
        <v>90</v>
      </c>
      <c r="D570" s="5">
        <v>132</v>
      </c>
      <c r="E570" s="5">
        <v>105</v>
      </c>
      <c r="F570" s="5">
        <v>132</v>
      </c>
      <c r="G570" s="5">
        <v>105</v>
      </c>
      <c r="H570" s="5">
        <v>30</v>
      </c>
      <c r="I570" s="5"/>
      <c r="J570" s="4" t="s">
        <v>30</v>
      </c>
      <c r="K570" s="4" t="s">
        <v>118</v>
      </c>
      <c r="L570" s="4" t="s">
        <v>39</v>
      </c>
      <c r="M570" s="5"/>
      <c r="N570" s="5"/>
      <c r="O570" s="5" t="b">
        <v>1</v>
      </c>
      <c r="P570" s="4" t="str">
        <f>IF(A570="",IF(ISNUMBER(SEARCH("NOT NULL",UPPER(A$3))),"''","null"),SUBSTITUTE(VLOOKUP(A$2,convert!$A$1:$B$4,2,0),"@@@",A570))</f>
        <v>'0460M01'</v>
      </c>
      <c r="Q570" s="4" t="str">
        <f>IF(B570="",IF(ISNUMBER(SEARCH("NOT NULL",UPPER(B$3))),"''","null"),SUBSTITUTE(VLOOKUP(B$2,convert!$A$1:$B$4,2,0),"@@@",B570))</f>
        <v>'メガユキノオー'</v>
      </c>
      <c r="R570" s="4" t="str">
        <f>IF(C570="",IF(ISNUMBER(SEARCH("NOT NULL",UPPER(C$3))),"''","null"),SUBSTITUTE(VLOOKUP(C$2,convert!$A$1:$B$4,2,0),"@@@",C570))</f>
        <v>90</v>
      </c>
      <c r="S570" s="4" t="str">
        <f>IF(D570="",IF(ISNUMBER(SEARCH("NOT NULL",UPPER(D$3))),"''","null"),SUBSTITUTE(VLOOKUP(D$2,convert!$A$1:$B$4,2,0),"@@@",D570))</f>
        <v>132</v>
      </c>
      <c r="T570" s="4" t="str">
        <f>IF(E570="",IF(ISNUMBER(SEARCH("NOT NULL",UPPER(E$3))),"''","null"),SUBSTITUTE(VLOOKUP(E$2,convert!$A$1:$B$4,2,0),"@@@",E570))</f>
        <v>105</v>
      </c>
      <c r="U570" s="4" t="str">
        <f>IF(F570="",IF(ISNUMBER(SEARCH("NOT NULL",UPPER(F$3))),"''","null"),SUBSTITUTE(VLOOKUP(F$2,convert!$A$1:$B$4,2,0),"@@@",F570))</f>
        <v>132</v>
      </c>
      <c r="V570" s="4" t="str">
        <f>IF(G570="",IF(ISNUMBER(SEARCH("NOT NULL",UPPER(G$3))),"''","null"),SUBSTITUTE(VLOOKUP(G$2,convert!$A$1:$B$4,2,0),"@@@",G570))</f>
        <v>105</v>
      </c>
      <c r="W570" s="4" t="str">
        <f>IF(H570="",IF(ISNUMBER(SEARCH("NOT NULL",UPPER(H$3))),"''","null"),SUBSTITUTE(VLOOKUP(H$2,convert!$A$1:$B$4,2,0),"@@@",H570))</f>
        <v>30</v>
      </c>
      <c r="X570" s="4" t="str">
        <f>IF(I570="",IF(ISNUMBER(SEARCH("NOT NULL",UPPER(I$3))),"''","null"),SUBSTITUTE(VLOOKUP(I$2,convert!$A$1:$B$4,2,0),"@@@",I570))</f>
        <v>''</v>
      </c>
      <c r="Y570" s="4" t="str">
        <f>IF(J570="",IF(ISNUMBER(SEARCH("NOT NULL",UPPER(J$3))),"''","null"),SUBSTITUTE(VLOOKUP(J$2,convert!$A$1:$B$4,2,0),"@@@",J570))</f>
        <v>'grass'</v>
      </c>
      <c r="Z570" s="4" t="str">
        <f>IF(K570="",IF(ISNUMBER(SEARCH("NOT NULL",UPPER(K$3))),"''","null"),SUBSTITUTE(VLOOKUP(K$2,convert!$A$1:$B$4,2,0),"@@@",K570))</f>
        <v>'ice'</v>
      </c>
      <c r="AA570" s="4" t="str">
        <f>IF(L570="",IF(ISNUMBER(SEARCH("NOT NULL",UPPER(L$3))),"''","null"),SUBSTITUTE(VLOOKUP(L$2,convert!$A$1:$B$4,2,0),"@@@",L570))</f>
        <v>'g6'</v>
      </c>
      <c r="AB570" s="4" t="str">
        <f>IF(M570="",IF(ISNUMBER(SEARCH("NOT NULL",UPPER(M$3))),"''","null"),SUBSTITUTE(VLOOKUP(M$2,convert!$A$1:$B$4,2,0),"@@@",M570))</f>
        <v>null</v>
      </c>
      <c r="AC570" s="4" t="str">
        <f>IF(N570="",IF(ISNUMBER(SEARCH("NOT NULL",UPPER(N$3))),"''","null"),SUBSTITUTE(VLOOKUP(N$2,convert!$A$1:$B$4,2,0),"@@@",N570))</f>
        <v>null</v>
      </c>
      <c r="AD570" s="4" t="str">
        <f>IF(O570="",IF(ISNUMBER(SEARCH("NOT NULL",UPPER(O$3))),"''","null"),SUBSTITUTE(VLOOKUP(O$2,convert!$A$1:$B$4,2,0),"@@@",O570))</f>
        <v>TRUE</v>
      </c>
      <c r="AE570" s="4" t="str">
        <f t="shared" si="8"/>
        <v>    ('0460M01', 'メガユキノオー', 90, 132, 105, 132, 105, 30, '', 'grass', 'ice', 'g6', null, null, TRUE),</v>
      </c>
    </row>
    <row r="571" spans="1:31">
      <c r="A571" s="4" t="s">
        <v>1155</v>
      </c>
      <c r="B571" s="4" t="s">
        <v>1156</v>
      </c>
      <c r="C571" s="5">
        <v>70</v>
      </c>
      <c r="D571" s="5">
        <v>120</v>
      </c>
      <c r="E571" s="5">
        <v>65</v>
      </c>
      <c r="F571" s="5">
        <v>45</v>
      </c>
      <c r="G571" s="5">
        <v>85</v>
      </c>
      <c r="H571" s="5">
        <v>125</v>
      </c>
      <c r="I571" s="5"/>
      <c r="J571" s="4" t="s">
        <v>91</v>
      </c>
      <c r="K571" s="4" t="s">
        <v>118</v>
      </c>
      <c r="L571" s="4" t="s">
        <v>986</v>
      </c>
      <c r="M571" s="5"/>
      <c r="N571" s="5"/>
      <c r="O571" s="5" t="b">
        <v>1</v>
      </c>
      <c r="P571" s="4" t="str">
        <f>IF(A571="",IF(ISNUMBER(SEARCH("NOT NULL",UPPER(A$3))),"''","null"),SUBSTITUTE(VLOOKUP(A$2,convert!$A$1:$B$4,2,0),"@@@",A571))</f>
        <v>'0461N01'</v>
      </c>
      <c r="Q571" s="4" t="str">
        <f>IF(B571="",IF(ISNUMBER(SEARCH("NOT NULL",UPPER(B$3))),"''","null"),SUBSTITUTE(VLOOKUP(B$2,convert!$A$1:$B$4,2,0),"@@@",B571))</f>
        <v>'マニューラ'</v>
      </c>
      <c r="R571" s="4" t="str">
        <f>IF(C571="",IF(ISNUMBER(SEARCH("NOT NULL",UPPER(C$3))),"''","null"),SUBSTITUTE(VLOOKUP(C$2,convert!$A$1:$B$4,2,0),"@@@",C571))</f>
        <v>70</v>
      </c>
      <c r="S571" s="4" t="str">
        <f>IF(D571="",IF(ISNUMBER(SEARCH("NOT NULL",UPPER(D$3))),"''","null"),SUBSTITUTE(VLOOKUP(D$2,convert!$A$1:$B$4,2,0),"@@@",D571))</f>
        <v>120</v>
      </c>
      <c r="T571" s="4" t="str">
        <f>IF(E571="",IF(ISNUMBER(SEARCH("NOT NULL",UPPER(E$3))),"''","null"),SUBSTITUTE(VLOOKUP(E$2,convert!$A$1:$B$4,2,0),"@@@",E571))</f>
        <v>65</v>
      </c>
      <c r="U571" s="4" t="str">
        <f>IF(F571="",IF(ISNUMBER(SEARCH("NOT NULL",UPPER(F$3))),"''","null"),SUBSTITUTE(VLOOKUP(F$2,convert!$A$1:$B$4,2,0),"@@@",F571))</f>
        <v>45</v>
      </c>
      <c r="V571" s="4" t="str">
        <f>IF(G571="",IF(ISNUMBER(SEARCH("NOT NULL",UPPER(G$3))),"''","null"),SUBSTITUTE(VLOOKUP(G$2,convert!$A$1:$B$4,2,0),"@@@",G571))</f>
        <v>85</v>
      </c>
      <c r="W571" s="4" t="str">
        <f>IF(H571="",IF(ISNUMBER(SEARCH("NOT NULL",UPPER(H$3))),"''","null"),SUBSTITUTE(VLOOKUP(H$2,convert!$A$1:$B$4,2,0),"@@@",H571))</f>
        <v>125</v>
      </c>
      <c r="X571" s="4" t="str">
        <f>IF(I571="",IF(ISNUMBER(SEARCH("NOT NULL",UPPER(I$3))),"''","null"),SUBSTITUTE(VLOOKUP(I$2,convert!$A$1:$B$4,2,0),"@@@",I571))</f>
        <v>''</v>
      </c>
      <c r="Y571" s="4" t="str">
        <f>IF(J571="",IF(ISNUMBER(SEARCH("NOT NULL",UPPER(J$3))),"''","null"),SUBSTITUTE(VLOOKUP(J$2,convert!$A$1:$B$4,2,0),"@@@",J571))</f>
        <v>'dark'</v>
      </c>
      <c r="Z571" s="4" t="str">
        <f>IF(K571="",IF(ISNUMBER(SEARCH("NOT NULL",UPPER(K$3))),"''","null"),SUBSTITUTE(VLOOKUP(K$2,convert!$A$1:$B$4,2,0),"@@@",K571))</f>
        <v>'ice'</v>
      </c>
      <c r="AA571" s="4" t="str">
        <f>IF(L571="",IF(ISNUMBER(SEARCH("NOT NULL",UPPER(L$3))),"''","null"),SUBSTITUTE(VLOOKUP(L$2,convert!$A$1:$B$4,2,0),"@@@",L571))</f>
        <v>'g4'</v>
      </c>
      <c r="AB571" s="4" t="str">
        <f>IF(M571="",IF(ISNUMBER(SEARCH("NOT NULL",UPPER(M$3))),"''","null"),SUBSTITUTE(VLOOKUP(M$2,convert!$A$1:$B$4,2,0),"@@@",M571))</f>
        <v>null</v>
      </c>
      <c r="AC571" s="4" t="str">
        <f>IF(N571="",IF(ISNUMBER(SEARCH("NOT NULL",UPPER(N$3))),"''","null"),SUBSTITUTE(VLOOKUP(N$2,convert!$A$1:$B$4,2,0),"@@@",N571))</f>
        <v>null</v>
      </c>
      <c r="AD571" s="4" t="str">
        <f>IF(O571="",IF(ISNUMBER(SEARCH("NOT NULL",UPPER(O$3))),"''","null"),SUBSTITUTE(VLOOKUP(O$2,convert!$A$1:$B$4,2,0),"@@@",O571))</f>
        <v>TRUE</v>
      </c>
      <c r="AE571" s="4" t="str">
        <f t="shared" si="8"/>
        <v>    ('0461N01', 'マニューラ', 70, 120, 65, 45, 85, 125, '', 'dark', 'ice', 'g4', null, null, TRUE),</v>
      </c>
    </row>
    <row r="572" spans="1:31">
      <c r="A572" s="4" t="s">
        <v>1157</v>
      </c>
      <c r="B572" s="4" t="s">
        <v>1158</v>
      </c>
      <c r="C572" s="5">
        <v>70</v>
      </c>
      <c r="D572" s="5">
        <v>70</v>
      </c>
      <c r="E572" s="5">
        <v>115</v>
      </c>
      <c r="F572" s="5">
        <v>130</v>
      </c>
      <c r="G572" s="5">
        <v>90</v>
      </c>
      <c r="H572" s="5">
        <v>60</v>
      </c>
      <c r="I572" s="5"/>
      <c r="J572" s="4" t="s">
        <v>106</v>
      </c>
      <c r="K572" s="4" t="s">
        <v>119</v>
      </c>
      <c r="L572" s="4" t="s">
        <v>986</v>
      </c>
      <c r="M572" s="5"/>
      <c r="N572" s="5"/>
      <c r="O572" s="5" t="b">
        <v>1</v>
      </c>
      <c r="P572" s="4" t="str">
        <f>IF(A572="",IF(ISNUMBER(SEARCH("NOT NULL",UPPER(A$3))),"''","null"),SUBSTITUTE(VLOOKUP(A$2,convert!$A$1:$B$4,2,0),"@@@",A572))</f>
        <v>'0462N01'</v>
      </c>
      <c r="Q572" s="4" t="str">
        <f>IF(B572="",IF(ISNUMBER(SEARCH("NOT NULL",UPPER(B$3))),"''","null"),SUBSTITUTE(VLOOKUP(B$2,convert!$A$1:$B$4,2,0),"@@@",B572))</f>
        <v>'ジバコイル'</v>
      </c>
      <c r="R572" s="4" t="str">
        <f>IF(C572="",IF(ISNUMBER(SEARCH("NOT NULL",UPPER(C$3))),"''","null"),SUBSTITUTE(VLOOKUP(C$2,convert!$A$1:$B$4,2,0),"@@@",C572))</f>
        <v>70</v>
      </c>
      <c r="S572" s="4" t="str">
        <f>IF(D572="",IF(ISNUMBER(SEARCH("NOT NULL",UPPER(D$3))),"''","null"),SUBSTITUTE(VLOOKUP(D$2,convert!$A$1:$B$4,2,0),"@@@",D572))</f>
        <v>70</v>
      </c>
      <c r="T572" s="4" t="str">
        <f>IF(E572="",IF(ISNUMBER(SEARCH("NOT NULL",UPPER(E$3))),"''","null"),SUBSTITUTE(VLOOKUP(E$2,convert!$A$1:$B$4,2,0),"@@@",E572))</f>
        <v>115</v>
      </c>
      <c r="U572" s="4" t="str">
        <f>IF(F572="",IF(ISNUMBER(SEARCH("NOT NULL",UPPER(F$3))),"''","null"),SUBSTITUTE(VLOOKUP(F$2,convert!$A$1:$B$4,2,0),"@@@",F572))</f>
        <v>130</v>
      </c>
      <c r="V572" s="4" t="str">
        <f>IF(G572="",IF(ISNUMBER(SEARCH("NOT NULL",UPPER(G$3))),"''","null"),SUBSTITUTE(VLOOKUP(G$2,convert!$A$1:$B$4,2,0),"@@@",G572))</f>
        <v>90</v>
      </c>
      <c r="W572" s="4" t="str">
        <f>IF(H572="",IF(ISNUMBER(SEARCH("NOT NULL",UPPER(H$3))),"''","null"),SUBSTITUTE(VLOOKUP(H$2,convert!$A$1:$B$4,2,0),"@@@",H572))</f>
        <v>60</v>
      </c>
      <c r="X572" s="4" t="str">
        <f>IF(I572="",IF(ISNUMBER(SEARCH("NOT NULL",UPPER(I$3))),"''","null"),SUBSTITUTE(VLOOKUP(I$2,convert!$A$1:$B$4,2,0),"@@@",I572))</f>
        <v>''</v>
      </c>
      <c r="Y572" s="4" t="str">
        <f>IF(J572="",IF(ISNUMBER(SEARCH("NOT NULL",UPPER(J$3))),"''","null"),SUBSTITUTE(VLOOKUP(J$2,convert!$A$1:$B$4,2,0),"@@@",J572))</f>
        <v>'electric'</v>
      </c>
      <c r="Z572" s="4" t="str">
        <f>IF(K572="",IF(ISNUMBER(SEARCH("NOT NULL",UPPER(K$3))),"''","null"),SUBSTITUTE(VLOOKUP(K$2,convert!$A$1:$B$4,2,0),"@@@",K572))</f>
        <v>'steel'</v>
      </c>
      <c r="AA572" s="4" t="str">
        <f>IF(L572="",IF(ISNUMBER(SEARCH("NOT NULL",UPPER(L$3))),"''","null"),SUBSTITUTE(VLOOKUP(L$2,convert!$A$1:$B$4,2,0),"@@@",L572))</f>
        <v>'g4'</v>
      </c>
      <c r="AB572" s="4" t="str">
        <f>IF(M572="",IF(ISNUMBER(SEARCH("NOT NULL",UPPER(M$3))),"''","null"),SUBSTITUTE(VLOOKUP(M$2,convert!$A$1:$B$4,2,0),"@@@",M572))</f>
        <v>null</v>
      </c>
      <c r="AC572" s="4" t="str">
        <f>IF(N572="",IF(ISNUMBER(SEARCH("NOT NULL",UPPER(N$3))),"''","null"),SUBSTITUTE(VLOOKUP(N$2,convert!$A$1:$B$4,2,0),"@@@",N572))</f>
        <v>null</v>
      </c>
      <c r="AD572" s="4" t="str">
        <f>IF(O572="",IF(ISNUMBER(SEARCH("NOT NULL",UPPER(O$3))),"''","null"),SUBSTITUTE(VLOOKUP(O$2,convert!$A$1:$B$4,2,0),"@@@",O572))</f>
        <v>TRUE</v>
      </c>
      <c r="AE572" s="4" t="str">
        <f t="shared" si="8"/>
        <v>    ('0462N01', 'ジバコイル', 70, 70, 115, 130, 90, 60, '', 'electric', 'steel', 'g4', null, null, TRUE),</v>
      </c>
    </row>
    <row r="573" spans="1:31">
      <c r="A573" s="4" t="s">
        <v>1159</v>
      </c>
      <c r="B573" s="4" t="s">
        <v>1160</v>
      </c>
      <c r="C573" s="5">
        <v>110</v>
      </c>
      <c r="D573" s="5">
        <v>85</v>
      </c>
      <c r="E573" s="5">
        <v>95</v>
      </c>
      <c r="F573" s="5">
        <v>80</v>
      </c>
      <c r="G573" s="5">
        <v>95</v>
      </c>
      <c r="H573" s="5">
        <v>50</v>
      </c>
      <c r="I573" s="5"/>
      <c r="J573" s="4" t="s">
        <v>80</v>
      </c>
      <c r="K573" s="5"/>
      <c r="L573" s="4" t="s">
        <v>986</v>
      </c>
      <c r="M573" s="5"/>
      <c r="N573" s="5"/>
      <c r="O573" s="5" t="b">
        <v>1</v>
      </c>
      <c r="P573" s="4" t="str">
        <f>IF(A573="",IF(ISNUMBER(SEARCH("NOT NULL",UPPER(A$3))),"''","null"),SUBSTITUTE(VLOOKUP(A$2,convert!$A$1:$B$4,2,0),"@@@",A573))</f>
        <v>'0463N01'</v>
      </c>
      <c r="Q573" s="4" t="str">
        <f>IF(B573="",IF(ISNUMBER(SEARCH("NOT NULL",UPPER(B$3))),"''","null"),SUBSTITUTE(VLOOKUP(B$2,convert!$A$1:$B$4,2,0),"@@@",B573))</f>
        <v>'ベロベルト'</v>
      </c>
      <c r="R573" s="4" t="str">
        <f>IF(C573="",IF(ISNUMBER(SEARCH("NOT NULL",UPPER(C$3))),"''","null"),SUBSTITUTE(VLOOKUP(C$2,convert!$A$1:$B$4,2,0),"@@@",C573))</f>
        <v>110</v>
      </c>
      <c r="S573" s="4" t="str">
        <f>IF(D573="",IF(ISNUMBER(SEARCH("NOT NULL",UPPER(D$3))),"''","null"),SUBSTITUTE(VLOOKUP(D$2,convert!$A$1:$B$4,2,0),"@@@",D573))</f>
        <v>85</v>
      </c>
      <c r="T573" s="4" t="str">
        <f>IF(E573="",IF(ISNUMBER(SEARCH("NOT NULL",UPPER(E$3))),"''","null"),SUBSTITUTE(VLOOKUP(E$2,convert!$A$1:$B$4,2,0),"@@@",E573))</f>
        <v>95</v>
      </c>
      <c r="U573" s="4" t="str">
        <f>IF(F573="",IF(ISNUMBER(SEARCH("NOT NULL",UPPER(F$3))),"''","null"),SUBSTITUTE(VLOOKUP(F$2,convert!$A$1:$B$4,2,0),"@@@",F573))</f>
        <v>80</v>
      </c>
      <c r="V573" s="4" t="str">
        <f>IF(G573="",IF(ISNUMBER(SEARCH("NOT NULL",UPPER(G$3))),"''","null"),SUBSTITUTE(VLOOKUP(G$2,convert!$A$1:$B$4,2,0),"@@@",G573))</f>
        <v>95</v>
      </c>
      <c r="W573" s="4" t="str">
        <f>IF(H573="",IF(ISNUMBER(SEARCH("NOT NULL",UPPER(H$3))),"''","null"),SUBSTITUTE(VLOOKUP(H$2,convert!$A$1:$B$4,2,0),"@@@",H573))</f>
        <v>50</v>
      </c>
      <c r="X573" s="4" t="str">
        <f>IF(I573="",IF(ISNUMBER(SEARCH("NOT NULL",UPPER(I$3))),"''","null"),SUBSTITUTE(VLOOKUP(I$2,convert!$A$1:$B$4,2,0),"@@@",I573))</f>
        <v>''</v>
      </c>
      <c r="Y573" s="4" t="str">
        <f>IF(J573="",IF(ISNUMBER(SEARCH("NOT NULL",UPPER(J$3))),"''","null"),SUBSTITUTE(VLOOKUP(J$2,convert!$A$1:$B$4,2,0),"@@@",J573))</f>
        <v>'normal'</v>
      </c>
      <c r="Z573" s="4" t="str">
        <f>IF(K573="",IF(ISNUMBER(SEARCH("NOT NULL",UPPER(K$3))),"''","null"),SUBSTITUTE(VLOOKUP(K$2,convert!$A$1:$B$4,2,0),"@@@",K573))</f>
        <v>null</v>
      </c>
      <c r="AA573" s="4" t="str">
        <f>IF(L573="",IF(ISNUMBER(SEARCH("NOT NULL",UPPER(L$3))),"''","null"),SUBSTITUTE(VLOOKUP(L$2,convert!$A$1:$B$4,2,0),"@@@",L573))</f>
        <v>'g4'</v>
      </c>
      <c r="AB573" s="4" t="str">
        <f>IF(M573="",IF(ISNUMBER(SEARCH("NOT NULL",UPPER(M$3))),"''","null"),SUBSTITUTE(VLOOKUP(M$2,convert!$A$1:$B$4,2,0),"@@@",M573))</f>
        <v>null</v>
      </c>
      <c r="AC573" s="4" t="str">
        <f>IF(N573="",IF(ISNUMBER(SEARCH("NOT NULL",UPPER(N$3))),"''","null"),SUBSTITUTE(VLOOKUP(N$2,convert!$A$1:$B$4,2,0),"@@@",N573))</f>
        <v>null</v>
      </c>
      <c r="AD573" s="4" t="str">
        <f>IF(O573="",IF(ISNUMBER(SEARCH("NOT NULL",UPPER(O$3))),"''","null"),SUBSTITUTE(VLOOKUP(O$2,convert!$A$1:$B$4,2,0),"@@@",O573))</f>
        <v>TRUE</v>
      </c>
      <c r="AE573" s="4" t="str">
        <f t="shared" si="8"/>
        <v>    ('0463N01', 'ベロベルト', 110, 85, 95, 80, 95, 50, '', 'normal', null, 'g4', null, null, TRUE),</v>
      </c>
    </row>
    <row r="574" spans="1:31">
      <c r="A574" s="4" t="s">
        <v>1161</v>
      </c>
      <c r="B574" s="4" t="s">
        <v>1162</v>
      </c>
      <c r="C574" s="5">
        <v>115</v>
      </c>
      <c r="D574" s="5">
        <v>140</v>
      </c>
      <c r="E574" s="5">
        <v>130</v>
      </c>
      <c r="F574" s="5">
        <v>55</v>
      </c>
      <c r="G574" s="5">
        <v>55</v>
      </c>
      <c r="H574" s="5">
        <v>40</v>
      </c>
      <c r="I574" s="5"/>
      <c r="J574" s="4" t="s">
        <v>116</v>
      </c>
      <c r="K574" s="4" t="s">
        <v>196</v>
      </c>
      <c r="L574" s="4" t="s">
        <v>986</v>
      </c>
      <c r="M574" s="5"/>
      <c r="N574" s="5"/>
      <c r="O574" s="5" t="b">
        <v>1</v>
      </c>
      <c r="P574" s="4" t="str">
        <f>IF(A574="",IF(ISNUMBER(SEARCH("NOT NULL",UPPER(A$3))),"''","null"),SUBSTITUTE(VLOOKUP(A$2,convert!$A$1:$B$4,2,0),"@@@",A574))</f>
        <v>'0464N01'</v>
      </c>
      <c r="Q574" s="4" t="str">
        <f>IF(B574="",IF(ISNUMBER(SEARCH("NOT NULL",UPPER(B$3))),"''","null"),SUBSTITUTE(VLOOKUP(B$2,convert!$A$1:$B$4,2,0),"@@@",B574))</f>
        <v>'ドサイドン'</v>
      </c>
      <c r="R574" s="4" t="str">
        <f>IF(C574="",IF(ISNUMBER(SEARCH("NOT NULL",UPPER(C$3))),"''","null"),SUBSTITUTE(VLOOKUP(C$2,convert!$A$1:$B$4,2,0),"@@@",C574))</f>
        <v>115</v>
      </c>
      <c r="S574" s="4" t="str">
        <f>IF(D574="",IF(ISNUMBER(SEARCH("NOT NULL",UPPER(D$3))),"''","null"),SUBSTITUTE(VLOOKUP(D$2,convert!$A$1:$B$4,2,0),"@@@",D574))</f>
        <v>140</v>
      </c>
      <c r="T574" s="4" t="str">
        <f>IF(E574="",IF(ISNUMBER(SEARCH("NOT NULL",UPPER(E$3))),"''","null"),SUBSTITUTE(VLOOKUP(E$2,convert!$A$1:$B$4,2,0),"@@@",E574))</f>
        <v>130</v>
      </c>
      <c r="U574" s="4" t="str">
        <f>IF(F574="",IF(ISNUMBER(SEARCH("NOT NULL",UPPER(F$3))),"''","null"),SUBSTITUTE(VLOOKUP(F$2,convert!$A$1:$B$4,2,0),"@@@",F574))</f>
        <v>55</v>
      </c>
      <c r="V574" s="4" t="str">
        <f>IF(G574="",IF(ISNUMBER(SEARCH("NOT NULL",UPPER(G$3))),"''","null"),SUBSTITUTE(VLOOKUP(G$2,convert!$A$1:$B$4,2,0),"@@@",G574))</f>
        <v>55</v>
      </c>
      <c r="W574" s="4" t="str">
        <f>IF(H574="",IF(ISNUMBER(SEARCH("NOT NULL",UPPER(H$3))),"''","null"),SUBSTITUTE(VLOOKUP(H$2,convert!$A$1:$B$4,2,0),"@@@",H574))</f>
        <v>40</v>
      </c>
      <c r="X574" s="4" t="str">
        <f>IF(I574="",IF(ISNUMBER(SEARCH("NOT NULL",UPPER(I$3))),"''","null"),SUBSTITUTE(VLOOKUP(I$2,convert!$A$1:$B$4,2,0),"@@@",I574))</f>
        <v>''</v>
      </c>
      <c r="Y574" s="4" t="str">
        <f>IF(J574="",IF(ISNUMBER(SEARCH("NOT NULL",UPPER(J$3))),"''","null"),SUBSTITUTE(VLOOKUP(J$2,convert!$A$1:$B$4,2,0),"@@@",J574))</f>
        <v>'ground'</v>
      </c>
      <c r="Z574" s="4" t="str">
        <f>IF(K574="",IF(ISNUMBER(SEARCH("NOT NULL",UPPER(K$3))),"''","null"),SUBSTITUTE(VLOOKUP(K$2,convert!$A$1:$B$4,2,0),"@@@",K574))</f>
        <v>'rock'</v>
      </c>
      <c r="AA574" s="4" t="str">
        <f>IF(L574="",IF(ISNUMBER(SEARCH("NOT NULL",UPPER(L$3))),"''","null"),SUBSTITUTE(VLOOKUP(L$2,convert!$A$1:$B$4,2,0),"@@@",L574))</f>
        <v>'g4'</v>
      </c>
      <c r="AB574" s="4" t="str">
        <f>IF(M574="",IF(ISNUMBER(SEARCH("NOT NULL",UPPER(M$3))),"''","null"),SUBSTITUTE(VLOOKUP(M$2,convert!$A$1:$B$4,2,0),"@@@",M574))</f>
        <v>null</v>
      </c>
      <c r="AC574" s="4" t="str">
        <f>IF(N574="",IF(ISNUMBER(SEARCH("NOT NULL",UPPER(N$3))),"''","null"),SUBSTITUTE(VLOOKUP(N$2,convert!$A$1:$B$4,2,0),"@@@",N574))</f>
        <v>null</v>
      </c>
      <c r="AD574" s="4" t="str">
        <f>IF(O574="",IF(ISNUMBER(SEARCH("NOT NULL",UPPER(O$3))),"''","null"),SUBSTITUTE(VLOOKUP(O$2,convert!$A$1:$B$4,2,0),"@@@",O574))</f>
        <v>TRUE</v>
      </c>
      <c r="AE574" s="4" t="str">
        <f t="shared" si="8"/>
        <v>    ('0464N01', 'ドサイドン', 115, 140, 130, 55, 55, 40, '', 'ground', 'rock', 'g4', null, null, TRUE),</v>
      </c>
    </row>
    <row r="575" spans="1:31">
      <c r="A575" s="4" t="s">
        <v>1163</v>
      </c>
      <c r="B575" s="4" t="s">
        <v>1164</v>
      </c>
      <c r="C575" s="5">
        <v>100</v>
      </c>
      <c r="D575" s="5">
        <v>100</v>
      </c>
      <c r="E575" s="5">
        <v>125</v>
      </c>
      <c r="F575" s="5">
        <v>110</v>
      </c>
      <c r="G575" s="5">
        <v>50</v>
      </c>
      <c r="H575" s="5">
        <v>50</v>
      </c>
      <c r="I575" s="5"/>
      <c r="J575" s="4" t="s">
        <v>30</v>
      </c>
      <c r="K575" s="5"/>
      <c r="L575" s="4" t="s">
        <v>986</v>
      </c>
      <c r="M575" s="5"/>
      <c r="N575" s="5"/>
      <c r="O575" s="5" t="b">
        <v>1</v>
      </c>
      <c r="P575" s="4" t="str">
        <f>IF(A575="",IF(ISNUMBER(SEARCH("NOT NULL",UPPER(A$3))),"''","null"),SUBSTITUTE(VLOOKUP(A$2,convert!$A$1:$B$4,2,0),"@@@",A575))</f>
        <v>'0465N01'</v>
      </c>
      <c r="Q575" s="4" t="str">
        <f>IF(B575="",IF(ISNUMBER(SEARCH("NOT NULL",UPPER(B$3))),"''","null"),SUBSTITUTE(VLOOKUP(B$2,convert!$A$1:$B$4,2,0),"@@@",B575))</f>
        <v>'モジャンボ'</v>
      </c>
      <c r="R575" s="4" t="str">
        <f>IF(C575="",IF(ISNUMBER(SEARCH("NOT NULL",UPPER(C$3))),"''","null"),SUBSTITUTE(VLOOKUP(C$2,convert!$A$1:$B$4,2,0),"@@@",C575))</f>
        <v>100</v>
      </c>
      <c r="S575" s="4" t="str">
        <f>IF(D575="",IF(ISNUMBER(SEARCH("NOT NULL",UPPER(D$3))),"''","null"),SUBSTITUTE(VLOOKUP(D$2,convert!$A$1:$B$4,2,0),"@@@",D575))</f>
        <v>100</v>
      </c>
      <c r="T575" s="4" t="str">
        <f>IF(E575="",IF(ISNUMBER(SEARCH("NOT NULL",UPPER(E$3))),"''","null"),SUBSTITUTE(VLOOKUP(E$2,convert!$A$1:$B$4,2,0),"@@@",E575))</f>
        <v>125</v>
      </c>
      <c r="U575" s="4" t="str">
        <f>IF(F575="",IF(ISNUMBER(SEARCH("NOT NULL",UPPER(F$3))),"''","null"),SUBSTITUTE(VLOOKUP(F$2,convert!$A$1:$B$4,2,0),"@@@",F575))</f>
        <v>110</v>
      </c>
      <c r="V575" s="4" t="str">
        <f>IF(G575="",IF(ISNUMBER(SEARCH("NOT NULL",UPPER(G$3))),"''","null"),SUBSTITUTE(VLOOKUP(G$2,convert!$A$1:$B$4,2,0),"@@@",G575))</f>
        <v>50</v>
      </c>
      <c r="W575" s="4" t="str">
        <f>IF(H575="",IF(ISNUMBER(SEARCH("NOT NULL",UPPER(H$3))),"''","null"),SUBSTITUTE(VLOOKUP(H$2,convert!$A$1:$B$4,2,0),"@@@",H575))</f>
        <v>50</v>
      </c>
      <c r="X575" s="4" t="str">
        <f>IF(I575="",IF(ISNUMBER(SEARCH("NOT NULL",UPPER(I$3))),"''","null"),SUBSTITUTE(VLOOKUP(I$2,convert!$A$1:$B$4,2,0),"@@@",I575))</f>
        <v>''</v>
      </c>
      <c r="Y575" s="4" t="str">
        <f>IF(J575="",IF(ISNUMBER(SEARCH("NOT NULL",UPPER(J$3))),"''","null"),SUBSTITUTE(VLOOKUP(J$2,convert!$A$1:$B$4,2,0),"@@@",J575))</f>
        <v>'grass'</v>
      </c>
      <c r="Z575" s="4" t="str">
        <f>IF(K575="",IF(ISNUMBER(SEARCH("NOT NULL",UPPER(K$3))),"''","null"),SUBSTITUTE(VLOOKUP(K$2,convert!$A$1:$B$4,2,0),"@@@",K575))</f>
        <v>null</v>
      </c>
      <c r="AA575" s="4" t="str">
        <f>IF(L575="",IF(ISNUMBER(SEARCH("NOT NULL",UPPER(L$3))),"''","null"),SUBSTITUTE(VLOOKUP(L$2,convert!$A$1:$B$4,2,0),"@@@",L575))</f>
        <v>'g4'</v>
      </c>
      <c r="AB575" s="4" t="str">
        <f>IF(M575="",IF(ISNUMBER(SEARCH("NOT NULL",UPPER(M$3))),"''","null"),SUBSTITUTE(VLOOKUP(M$2,convert!$A$1:$B$4,2,0),"@@@",M575))</f>
        <v>null</v>
      </c>
      <c r="AC575" s="4" t="str">
        <f>IF(N575="",IF(ISNUMBER(SEARCH("NOT NULL",UPPER(N$3))),"''","null"),SUBSTITUTE(VLOOKUP(N$2,convert!$A$1:$B$4,2,0),"@@@",N575))</f>
        <v>null</v>
      </c>
      <c r="AD575" s="4" t="str">
        <f>IF(O575="",IF(ISNUMBER(SEARCH("NOT NULL",UPPER(O$3))),"''","null"),SUBSTITUTE(VLOOKUP(O$2,convert!$A$1:$B$4,2,0),"@@@",O575))</f>
        <v>TRUE</v>
      </c>
      <c r="AE575" s="4" t="str">
        <f t="shared" si="8"/>
        <v>    ('0465N01', 'モジャンボ', 100, 100, 125, 110, 50, 50, '', 'grass', null, 'g4', null, null, TRUE),</v>
      </c>
    </row>
    <row r="576" spans="1:31">
      <c r="A576" s="4" t="s">
        <v>1165</v>
      </c>
      <c r="B576" s="4" t="s">
        <v>1166</v>
      </c>
      <c r="C576" s="5">
        <v>75</v>
      </c>
      <c r="D576" s="5">
        <v>123</v>
      </c>
      <c r="E576" s="5">
        <v>67</v>
      </c>
      <c r="F576" s="5">
        <v>95</v>
      </c>
      <c r="G576" s="5">
        <v>85</v>
      </c>
      <c r="H576" s="5">
        <v>95</v>
      </c>
      <c r="I576" s="5"/>
      <c r="J576" s="4" t="s">
        <v>106</v>
      </c>
      <c r="K576" s="5"/>
      <c r="L576" s="4" t="s">
        <v>986</v>
      </c>
      <c r="M576" s="5"/>
      <c r="N576" s="5"/>
      <c r="O576" s="5" t="b">
        <v>1</v>
      </c>
      <c r="P576" s="4" t="str">
        <f>IF(A576="",IF(ISNUMBER(SEARCH("NOT NULL",UPPER(A$3))),"''","null"),SUBSTITUTE(VLOOKUP(A$2,convert!$A$1:$B$4,2,0),"@@@",A576))</f>
        <v>'0466N01'</v>
      </c>
      <c r="Q576" s="4" t="str">
        <f>IF(B576="",IF(ISNUMBER(SEARCH("NOT NULL",UPPER(B$3))),"''","null"),SUBSTITUTE(VLOOKUP(B$2,convert!$A$1:$B$4,2,0),"@@@",B576))</f>
        <v>'エレキブル'</v>
      </c>
      <c r="R576" s="4" t="str">
        <f>IF(C576="",IF(ISNUMBER(SEARCH("NOT NULL",UPPER(C$3))),"''","null"),SUBSTITUTE(VLOOKUP(C$2,convert!$A$1:$B$4,2,0),"@@@",C576))</f>
        <v>75</v>
      </c>
      <c r="S576" s="4" t="str">
        <f>IF(D576="",IF(ISNUMBER(SEARCH("NOT NULL",UPPER(D$3))),"''","null"),SUBSTITUTE(VLOOKUP(D$2,convert!$A$1:$B$4,2,0),"@@@",D576))</f>
        <v>123</v>
      </c>
      <c r="T576" s="4" t="str">
        <f>IF(E576="",IF(ISNUMBER(SEARCH("NOT NULL",UPPER(E$3))),"''","null"),SUBSTITUTE(VLOOKUP(E$2,convert!$A$1:$B$4,2,0),"@@@",E576))</f>
        <v>67</v>
      </c>
      <c r="U576" s="4" t="str">
        <f>IF(F576="",IF(ISNUMBER(SEARCH("NOT NULL",UPPER(F$3))),"''","null"),SUBSTITUTE(VLOOKUP(F$2,convert!$A$1:$B$4,2,0),"@@@",F576))</f>
        <v>95</v>
      </c>
      <c r="V576" s="4" t="str">
        <f>IF(G576="",IF(ISNUMBER(SEARCH("NOT NULL",UPPER(G$3))),"''","null"),SUBSTITUTE(VLOOKUP(G$2,convert!$A$1:$B$4,2,0),"@@@",G576))</f>
        <v>85</v>
      </c>
      <c r="W576" s="4" t="str">
        <f>IF(H576="",IF(ISNUMBER(SEARCH("NOT NULL",UPPER(H$3))),"''","null"),SUBSTITUTE(VLOOKUP(H$2,convert!$A$1:$B$4,2,0),"@@@",H576))</f>
        <v>95</v>
      </c>
      <c r="X576" s="4" t="str">
        <f>IF(I576="",IF(ISNUMBER(SEARCH("NOT NULL",UPPER(I$3))),"''","null"),SUBSTITUTE(VLOOKUP(I$2,convert!$A$1:$B$4,2,0),"@@@",I576))</f>
        <v>''</v>
      </c>
      <c r="Y576" s="4" t="str">
        <f>IF(J576="",IF(ISNUMBER(SEARCH("NOT NULL",UPPER(J$3))),"''","null"),SUBSTITUTE(VLOOKUP(J$2,convert!$A$1:$B$4,2,0),"@@@",J576))</f>
        <v>'electric'</v>
      </c>
      <c r="Z576" s="4" t="str">
        <f>IF(K576="",IF(ISNUMBER(SEARCH("NOT NULL",UPPER(K$3))),"''","null"),SUBSTITUTE(VLOOKUP(K$2,convert!$A$1:$B$4,2,0),"@@@",K576))</f>
        <v>null</v>
      </c>
      <c r="AA576" s="4" t="str">
        <f>IF(L576="",IF(ISNUMBER(SEARCH("NOT NULL",UPPER(L$3))),"''","null"),SUBSTITUTE(VLOOKUP(L$2,convert!$A$1:$B$4,2,0),"@@@",L576))</f>
        <v>'g4'</v>
      </c>
      <c r="AB576" s="4" t="str">
        <f>IF(M576="",IF(ISNUMBER(SEARCH("NOT NULL",UPPER(M$3))),"''","null"),SUBSTITUTE(VLOOKUP(M$2,convert!$A$1:$B$4,2,0),"@@@",M576))</f>
        <v>null</v>
      </c>
      <c r="AC576" s="4" t="str">
        <f>IF(N576="",IF(ISNUMBER(SEARCH("NOT NULL",UPPER(N$3))),"''","null"),SUBSTITUTE(VLOOKUP(N$2,convert!$A$1:$B$4,2,0),"@@@",N576))</f>
        <v>null</v>
      </c>
      <c r="AD576" s="4" t="str">
        <f>IF(O576="",IF(ISNUMBER(SEARCH("NOT NULL",UPPER(O$3))),"''","null"),SUBSTITUTE(VLOOKUP(O$2,convert!$A$1:$B$4,2,0),"@@@",O576))</f>
        <v>TRUE</v>
      </c>
      <c r="AE576" s="4" t="str">
        <f t="shared" si="8"/>
        <v>    ('0466N01', 'エレキブル', 75, 123, 67, 95, 85, 95, '', 'electric', null, 'g4', null, null, TRUE),</v>
      </c>
    </row>
    <row r="577" spans="1:31">
      <c r="A577" s="4" t="s">
        <v>1167</v>
      </c>
      <c r="B577" s="4" t="s">
        <v>1168</v>
      </c>
      <c r="C577" s="5">
        <v>75</v>
      </c>
      <c r="D577" s="5">
        <v>95</v>
      </c>
      <c r="E577" s="5">
        <v>67</v>
      </c>
      <c r="F577" s="5">
        <v>125</v>
      </c>
      <c r="G577" s="5">
        <v>95</v>
      </c>
      <c r="H577" s="5">
        <v>83</v>
      </c>
      <c r="I577" s="5"/>
      <c r="J577" s="4" t="s">
        <v>42</v>
      </c>
      <c r="K577" s="5"/>
      <c r="L577" s="4" t="s">
        <v>986</v>
      </c>
      <c r="M577" s="5"/>
      <c r="N577" s="5"/>
      <c r="O577" s="5" t="b">
        <v>1</v>
      </c>
      <c r="P577" s="4" t="str">
        <f>IF(A577="",IF(ISNUMBER(SEARCH("NOT NULL",UPPER(A$3))),"''","null"),SUBSTITUTE(VLOOKUP(A$2,convert!$A$1:$B$4,2,0),"@@@",A577))</f>
        <v>'0467N01'</v>
      </c>
      <c r="Q577" s="4" t="str">
        <f>IF(B577="",IF(ISNUMBER(SEARCH("NOT NULL",UPPER(B$3))),"''","null"),SUBSTITUTE(VLOOKUP(B$2,convert!$A$1:$B$4,2,0),"@@@",B577))</f>
        <v>'ブーバーン'</v>
      </c>
      <c r="R577" s="4" t="str">
        <f>IF(C577="",IF(ISNUMBER(SEARCH("NOT NULL",UPPER(C$3))),"''","null"),SUBSTITUTE(VLOOKUP(C$2,convert!$A$1:$B$4,2,0),"@@@",C577))</f>
        <v>75</v>
      </c>
      <c r="S577" s="4" t="str">
        <f>IF(D577="",IF(ISNUMBER(SEARCH("NOT NULL",UPPER(D$3))),"''","null"),SUBSTITUTE(VLOOKUP(D$2,convert!$A$1:$B$4,2,0),"@@@",D577))</f>
        <v>95</v>
      </c>
      <c r="T577" s="4" t="str">
        <f>IF(E577="",IF(ISNUMBER(SEARCH("NOT NULL",UPPER(E$3))),"''","null"),SUBSTITUTE(VLOOKUP(E$2,convert!$A$1:$B$4,2,0),"@@@",E577))</f>
        <v>67</v>
      </c>
      <c r="U577" s="4" t="str">
        <f>IF(F577="",IF(ISNUMBER(SEARCH("NOT NULL",UPPER(F$3))),"''","null"),SUBSTITUTE(VLOOKUP(F$2,convert!$A$1:$B$4,2,0),"@@@",F577))</f>
        <v>125</v>
      </c>
      <c r="V577" s="4" t="str">
        <f>IF(G577="",IF(ISNUMBER(SEARCH("NOT NULL",UPPER(G$3))),"''","null"),SUBSTITUTE(VLOOKUP(G$2,convert!$A$1:$B$4,2,0),"@@@",G577))</f>
        <v>95</v>
      </c>
      <c r="W577" s="4" t="str">
        <f>IF(H577="",IF(ISNUMBER(SEARCH("NOT NULL",UPPER(H$3))),"''","null"),SUBSTITUTE(VLOOKUP(H$2,convert!$A$1:$B$4,2,0),"@@@",H577))</f>
        <v>83</v>
      </c>
      <c r="X577" s="4" t="str">
        <f>IF(I577="",IF(ISNUMBER(SEARCH("NOT NULL",UPPER(I$3))),"''","null"),SUBSTITUTE(VLOOKUP(I$2,convert!$A$1:$B$4,2,0),"@@@",I577))</f>
        <v>''</v>
      </c>
      <c r="Y577" s="4" t="str">
        <f>IF(J577="",IF(ISNUMBER(SEARCH("NOT NULL",UPPER(J$3))),"''","null"),SUBSTITUTE(VLOOKUP(J$2,convert!$A$1:$B$4,2,0),"@@@",J577))</f>
        <v>'fire'</v>
      </c>
      <c r="Z577" s="4" t="str">
        <f>IF(K577="",IF(ISNUMBER(SEARCH("NOT NULL",UPPER(K$3))),"''","null"),SUBSTITUTE(VLOOKUP(K$2,convert!$A$1:$B$4,2,0),"@@@",K577))</f>
        <v>null</v>
      </c>
      <c r="AA577" s="4" t="str">
        <f>IF(L577="",IF(ISNUMBER(SEARCH("NOT NULL",UPPER(L$3))),"''","null"),SUBSTITUTE(VLOOKUP(L$2,convert!$A$1:$B$4,2,0),"@@@",L577))</f>
        <v>'g4'</v>
      </c>
      <c r="AB577" s="4" t="str">
        <f>IF(M577="",IF(ISNUMBER(SEARCH("NOT NULL",UPPER(M$3))),"''","null"),SUBSTITUTE(VLOOKUP(M$2,convert!$A$1:$B$4,2,0),"@@@",M577))</f>
        <v>null</v>
      </c>
      <c r="AC577" s="4" t="str">
        <f>IF(N577="",IF(ISNUMBER(SEARCH("NOT NULL",UPPER(N$3))),"''","null"),SUBSTITUTE(VLOOKUP(N$2,convert!$A$1:$B$4,2,0),"@@@",N577))</f>
        <v>null</v>
      </c>
      <c r="AD577" s="4" t="str">
        <f>IF(O577="",IF(ISNUMBER(SEARCH("NOT NULL",UPPER(O$3))),"''","null"),SUBSTITUTE(VLOOKUP(O$2,convert!$A$1:$B$4,2,0),"@@@",O577))</f>
        <v>TRUE</v>
      </c>
      <c r="AE577" s="4" t="str">
        <f t="shared" si="8"/>
        <v>    ('0467N01', 'ブーバーン', 75, 95, 67, 125, 95, 83, '', 'fire', null, 'g4', null, null, TRUE),</v>
      </c>
    </row>
    <row r="578" spans="1:31">
      <c r="A578" s="4" t="s">
        <v>1169</v>
      </c>
      <c r="B578" s="4" t="s">
        <v>1170</v>
      </c>
      <c r="C578" s="5">
        <v>85</v>
      </c>
      <c r="D578" s="5">
        <v>50</v>
      </c>
      <c r="E578" s="5">
        <v>95</v>
      </c>
      <c r="F578" s="5">
        <v>120</v>
      </c>
      <c r="G578" s="5">
        <v>115</v>
      </c>
      <c r="H578" s="5">
        <v>80</v>
      </c>
      <c r="I578" s="5"/>
      <c r="J578" s="4" t="s">
        <v>137</v>
      </c>
      <c r="K578" s="4" t="s">
        <v>47</v>
      </c>
      <c r="L578" s="4" t="s">
        <v>986</v>
      </c>
      <c r="M578" s="5"/>
      <c r="N578" s="5"/>
      <c r="O578" s="5" t="b">
        <v>1</v>
      </c>
      <c r="P578" s="4" t="str">
        <f>IF(A578="",IF(ISNUMBER(SEARCH("NOT NULL",UPPER(A$3))),"''","null"),SUBSTITUTE(VLOOKUP(A$2,convert!$A$1:$B$4,2,0),"@@@",A578))</f>
        <v>'0468N01'</v>
      </c>
      <c r="Q578" s="4" t="str">
        <f>IF(B578="",IF(ISNUMBER(SEARCH("NOT NULL",UPPER(B$3))),"''","null"),SUBSTITUTE(VLOOKUP(B$2,convert!$A$1:$B$4,2,0),"@@@",B578))</f>
        <v>'トゲキッス'</v>
      </c>
      <c r="R578" s="4" t="str">
        <f>IF(C578="",IF(ISNUMBER(SEARCH("NOT NULL",UPPER(C$3))),"''","null"),SUBSTITUTE(VLOOKUP(C$2,convert!$A$1:$B$4,2,0),"@@@",C578))</f>
        <v>85</v>
      </c>
      <c r="S578" s="4" t="str">
        <f>IF(D578="",IF(ISNUMBER(SEARCH("NOT NULL",UPPER(D$3))),"''","null"),SUBSTITUTE(VLOOKUP(D$2,convert!$A$1:$B$4,2,0),"@@@",D578))</f>
        <v>50</v>
      </c>
      <c r="T578" s="4" t="str">
        <f>IF(E578="",IF(ISNUMBER(SEARCH("NOT NULL",UPPER(E$3))),"''","null"),SUBSTITUTE(VLOOKUP(E$2,convert!$A$1:$B$4,2,0),"@@@",E578))</f>
        <v>95</v>
      </c>
      <c r="U578" s="4" t="str">
        <f>IF(F578="",IF(ISNUMBER(SEARCH("NOT NULL",UPPER(F$3))),"''","null"),SUBSTITUTE(VLOOKUP(F$2,convert!$A$1:$B$4,2,0),"@@@",F578))</f>
        <v>120</v>
      </c>
      <c r="V578" s="4" t="str">
        <f>IF(G578="",IF(ISNUMBER(SEARCH("NOT NULL",UPPER(G$3))),"''","null"),SUBSTITUTE(VLOOKUP(G$2,convert!$A$1:$B$4,2,0),"@@@",G578))</f>
        <v>115</v>
      </c>
      <c r="W578" s="4" t="str">
        <f>IF(H578="",IF(ISNUMBER(SEARCH("NOT NULL",UPPER(H$3))),"''","null"),SUBSTITUTE(VLOOKUP(H$2,convert!$A$1:$B$4,2,0),"@@@",H578))</f>
        <v>80</v>
      </c>
      <c r="X578" s="4" t="str">
        <f>IF(I578="",IF(ISNUMBER(SEARCH("NOT NULL",UPPER(I$3))),"''","null"),SUBSTITUTE(VLOOKUP(I$2,convert!$A$1:$B$4,2,0),"@@@",I578))</f>
        <v>''</v>
      </c>
      <c r="Y578" s="4" t="str">
        <f>IF(J578="",IF(ISNUMBER(SEARCH("NOT NULL",UPPER(J$3))),"''","null"),SUBSTITUTE(VLOOKUP(J$2,convert!$A$1:$B$4,2,0),"@@@",J578))</f>
        <v>'fairy'</v>
      </c>
      <c r="Z578" s="4" t="str">
        <f>IF(K578="",IF(ISNUMBER(SEARCH("NOT NULL",UPPER(K$3))),"''","null"),SUBSTITUTE(VLOOKUP(K$2,convert!$A$1:$B$4,2,0),"@@@",K578))</f>
        <v>'flying'</v>
      </c>
      <c r="AA578" s="4" t="str">
        <f>IF(L578="",IF(ISNUMBER(SEARCH("NOT NULL",UPPER(L$3))),"''","null"),SUBSTITUTE(VLOOKUP(L$2,convert!$A$1:$B$4,2,0),"@@@",L578))</f>
        <v>'g4'</v>
      </c>
      <c r="AB578" s="4" t="str">
        <f>IF(M578="",IF(ISNUMBER(SEARCH("NOT NULL",UPPER(M$3))),"''","null"),SUBSTITUTE(VLOOKUP(M$2,convert!$A$1:$B$4,2,0),"@@@",M578))</f>
        <v>null</v>
      </c>
      <c r="AC578" s="4" t="str">
        <f>IF(N578="",IF(ISNUMBER(SEARCH("NOT NULL",UPPER(N$3))),"''","null"),SUBSTITUTE(VLOOKUP(N$2,convert!$A$1:$B$4,2,0),"@@@",N578))</f>
        <v>null</v>
      </c>
      <c r="AD578" s="4" t="str">
        <f>IF(O578="",IF(ISNUMBER(SEARCH("NOT NULL",UPPER(O$3))),"''","null"),SUBSTITUTE(VLOOKUP(O$2,convert!$A$1:$B$4,2,0),"@@@",O578))</f>
        <v>TRUE</v>
      </c>
      <c r="AE578" s="4" t="str">
        <f t="shared" si="8"/>
        <v>    ('0468N01', 'トゲキッス', 85, 50, 95, 120, 115, 80, '', 'fairy', 'flying', 'g4', null, null, TRUE),</v>
      </c>
    </row>
    <row r="579" spans="1:31">
      <c r="A579" s="4" t="s">
        <v>1171</v>
      </c>
      <c r="B579" s="4" t="s">
        <v>1172</v>
      </c>
      <c r="C579" s="5">
        <v>86</v>
      </c>
      <c r="D579" s="5">
        <v>76</v>
      </c>
      <c r="E579" s="5">
        <v>86</v>
      </c>
      <c r="F579" s="5">
        <v>116</v>
      </c>
      <c r="G579" s="5">
        <v>56</v>
      </c>
      <c r="H579" s="5">
        <v>95</v>
      </c>
      <c r="I579" s="5"/>
      <c r="J579" s="4" t="s">
        <v>64</v>
      </c>
      <c r="K579" s="4" t="s">
        <v>47</v>
      </c>
      <c r="L579" s="4" t="s">
        <v>986</v>
      </c>
      <c r="M579" s="5"/>
      <c r="N579" s="5"/>
      <c r="O579" s="5" t="b">
        <v>1</v>
      </c>
      <c r="P579" s="4" t="str">
        <f>IF(A579="",IF(ISNUMBER(SEARCH("NOT NULL",UPPER(A$3))),"''","null"),SUBSTITUTE(VLOOKUP(A$2,convert!$A$1:$B$4,2,0),"@@@",A579))</f>
        <v>'0469N01'</v>
      </c>
      <c r="Q579" s="4" t="str">
        <f>IF(B579="",IF(ISNUMBER(SEARCH("NOT NULL",UPPER(B$3))),"''","null"),SUBSTITUTE(VLOOKUP(B$2,convert!$A$1:$B$4,2,0),"@@@",B579))</f>
        <v>'メガヤンマ'</v>
      </c>
      <c r="R579" s="4" t="str">
        <f>IF(C579="",IF(ISNUMBER(SEARCH("NOT NULL",UPPER(C$3))),"''","null"),SUBSTITUTE(VLOOKUP(C$2,convert!$A$1:$B$4,2,0),"@@@",C579))</f>
        <v>86</v>
      </c>
      <c r="S579" s="4" t="str">
        <f>IF(D579="",IF(ISNUMBER(SEARCH("NOT NULL",UPPER(D$3))),"''","null"),SUBSTITUTE(VLOOKUP(D$2,convert!$A$1:$B$4,2,0),"@@@",D579))</f>
        <v>76</v>
      </c>
      <c r="T579" s="4" t="str">
        <f>IF(E579="",IF(ISNUMBER(SEARCH("NOT NULL",UPPER(E$3))),"''","null"),SUBSTITUTE(VLOOKUP(E$2,convert!$A$1:$B$4,2,0),"@@@",E579))</f>
        <v>86</v>
      </c>
      <c r="U579" s="4" t="str">
        <f>IF(F579="",IF(ISNUMBER(SEARCH("NOT NULL",UPPER(F$3))),"''","null"),SUBSTITUTE(VLOOKUP(F$2,convert!$A$1:$B$4,2,0),"@@@",F579))</f>
        <v>116</v>
      </c>
      <c r="V579" s="4" t="str">
        <f>IF(G579="",IF(ISNUMBER(SEARCH("NOT NULL",UPPER(G$3))),"''","null"),SUBSTITUTE(VLOOKUP(G$2,convert!$A$1:$B$4,2,0),"@@@",G579))</f>
        <v>56</v>
      </c>
      <c r="W579" s="4" t="str">
        <f>IF(H579="",IF(ISNUMBER(SEARCH("NOT NULL",UPPER(H$3))),"''","null"),SUBSTITUTE(VLOOKUP(H$2,convert!$A$1:$B$4,2,0),"@@@",H579))</f>
        <v>95</v>
      </c>
      <c r="X579" s="4" t="str">
        <f>IF(I579="",IF(ISNUMBER(SEARCH("NOT NULL",UPPER(I$3))),"''","null"),SUBSTITUTE(VLOOKUP(I$2,convert!$A$1:$B$4,2,0),"@@@",I579))</f>
        <v>''</v>
      </c>
      <c r="Y579" s="4" t="str">
        <f>IF(J579="",IF(ISNUMBER(SEARCH("NOT NULL",UPPER(J$3))),"''","null"),SUBSTITUTE(VLOOKUP(J$2,convert!$A$1:$B$4,2,0),"@@@",J579))</f>
        <v>'bug'</v>
      </c>
      <c r="Z579" s="4" t="str">
        <f>IF(K579="",IF(ISNUMBER(SEARCH("NOT NULL",UPPER(K$3))),"''","null"),SUBSTITUTE(VLOOKUP(K$2,convert!$A$1:$B$4,2,0),"@@@",K579))</f>
        <v>'flying'</v>
      </c>
      <c r="AA579" s="4" t="str">
        <f>IF(L579="",IF(ISNUMBER(SEARCH("NOT NULL",UPPER(L$3))),"''","null"),SUBSTITUTE(VLOOKUP(L$2,convert!$A$1:$B$4,2,0),"@@@",L579))</f>
        <v>'g4'</v>
      </c>
      <c r="AB579" s="4" t="str">
        <f>IF(M579="",IF(ISNUMBER(SEARCH("NOT NULL",UPPER(M$3))),"''","null"),SUBSTITUTE(VLOOKUP(M$2,convert!$A$1:$B$4,2,0),"@@@",M579))</f>
        <v>null</v>
      </c>
      <c r="AC579" s="4" t="str">
        <f>IF(N579="",IF(ISNUMBER(SEARCH("NOT NULL",UPPER(N$3))),"''","null"),SUBSTITUTE(VLOOKUP(N$2,convert!$A$1:$B$4,2,0),"@@@",N579))</f>
        <v>null</v>
      </c>
      <c r="AD579" s="4" t="str">
        <f>IF(O579="",IF(ISNUMBER(SEARCH("NOT NULL",UPPER(O$3))),"''","null"),SUBSTITUTE(VLOOKUP(O$2,convert!$A$1:$B$4,2,0),"@@@",O579))</f>
        <v>TRUE</v>
      </c>
      <c r="AE579" s="4" t="str">
        <f t="shared" si="8"/>
        <v>    ('0469N01', 'メガヤンマ', 86, 76, 86, 116, 56, 95, '', 'bug', 'flying', 'g4', null, null, TRUE),</v>
      </c>
    </row>
    <row r="580" spans="1:31">
      <c r="A580" s="4" t="s">
        <v>1173</v>
      </c>
      <c r="B580" s="4" t="s">
        <v>1174</v>
      </c>
      <c r="C580" s="5">
        <v>65</v>
      </c>
      <c r="D580" s="5">
        <v>110</v>
      </c>
      <c r="E580" s="5">
        <v>130</v>
      </c>
      <c r="F580" s="5">
        <v>60</v>
      </c>
      <c r="G580" s="5">
        <v>65</v>
      </c>
      <c r="H580" s="5">
        <v>95</v>
      </c>
      <c r="I580" s="5"/>
      <c r="J580" s="4" t="s">
        <v>30</v>
      </c>
      <c r="K580" s="5"/>
      <c r="L580" s="4" t="s">
        <v>986</v>
      </c>
      <c r="M580" s="5"/>
      <c r="N580" s="5"/>
      <c r="O580" s="5" t="b">
        <v>1</v>
      </c>
      <c r="P580" s="4" t="str">
        <f>IF(A580="",IF(ISNUMBER(SEARCH("NOT NULL",UPPER(A$3))),"''","null"),SUBSTITUTE(VLOOKUP(A$2,convert!$A$1:$B$4,2,0),"@@@",A580))</f>
        <v>'0470N01'</v>
      </c>
      <c r="Q580" s="4" t="str">
        <f>IF(B580="",IF(ISNUMBER(SEARCH("NOT NULL",UPPER(B$3))),"''","null"),SUBSTITUTE(VLOOKUP(B$2,convert!$A$1:$B$4,2,0),"@@@",B580))</f>
        <v>'リーフィア'</v>
      </c>
      <c r="R580" s="4" t="str">
        <f>IF(C580="",IF(ISNUMBER(SEARCH("NOT NULL",UPPER(C$3))),"''","null"),SUBSTITUTE(VLOOKUP(C$2,convert!$A$1:$B$4,2,0),"@@@",C580))</f>
        <v>65</v>
      </c>
      <c r="S580" s="4" t="str">
        <f>IF(D580="",IF(ISNUMBER(SEARCH("NOT NULL",UPPER(D$3))),"''","null"),SUBSTITUTE(VLOOKUP(D$2,convert!$A$1:$B$4,2,0),"@@@",D580))</f>
        <v>110</v>
      </c>
      <c r="T580" s="4" t="str">
        <f>IF(E580="",IF(ISNUMBER(SEARCH("NOT NULL",UPPER(E$3))),"''","null"),SUBSTITUTE(VLOOKUP(E$2,convert!$A$1:$B$4,2,0),"@@@",E580))</f>
        <v>130</v>
      </c>
      <c r="U580" s="4" t="str">
        <f>IF(F580="",IF(ISNUMBER(SEARCH("NOT NULL",UPPER(F$3))),"''","null"),SUBSTITUTE(VLOOKUP(F$2,convert!$A$1:$B$4,2,0),"@@@",F580))</f>
        <v>60</v>
      </c>
      <c r="V580" s="4" t="str">
        <f>IF(G580="",IF(ISNUMBER(SEARCH("NOT NULL",UPPER(G$3))),"''","null"),SUBSTITUTE(VLOOKUP(G$2,convert!$A$1:$B$4,2,0),"@@@",G580))</f>
        <v>65</v>
      </c>
      <c r="W580" s="4" t="str">
        <f>IF(H580="",IF(ISNUMBER(SEARCH("NOT NULL",UPPER(H$3))),"''","null"),SUBSTITUTE(VLOOKUP(H$2,convert!$A$1:$B$4,2,0),"@@@",H580))</f>
        <v>95</v>
      </c>
      <c r="X580" s="4" t="str">
        <f>IF(I580="",IF(ISNUMBER(SEARCH("NOT NULL",UPPER(I$3))),"''","null"),SUBSTITUTE(VLOOKUP(I$2,convert!$A$1:$B$4,2,0),"@@@",I580))</f>
        <v>''</v>
      </c>
      <c r="Y580" s="4" t="str">
        <f>IF(J580="",IF(ISNUMBER(SEARCH("NOT NULL",UPPER(J$3))),"''","null"),SUBSTITUTE(VLOOKUP(J$2,convert!$A$1:$B$4,2,0),"@@@",J580))</f>
        <v>'grass'</v>
      </c>
      <c r="Z580" s="4" t="str">
        <f>IF(K580="",IF(ISNUMBER(SEARCH("NOT NULL",UPPER(K$3))),"''","null"),SUBSTITUTE(VLOOKUP(K$2,convert!$A$1:$B$4,2,0),"@@@",K580))</f>
        <v>null</v>
      </c>
      <c r="AA580" s="4" t="str">
        <f>IF(L580="",IF(ISNUMBER(SEARCH("NOT NULL",UPPER(L$3))),"''","null"),SUBSTITUTE(VLOOKUP(L$2,convert!$A$1:$B$4,2,0),"@@@",L580))</f>
        <v>'g4'</v>
      </c>
      <c r="AB580" s="4" t="str">
        <f>IF(M580="",IF(ISNUMBER(SEARCH("NOT NULL",UPPER(M$3))),"''","null"),SUBSTITUTE(VLOOKUP(M$2,convert!$A$1:$B$4,2,0),"@@@",M580))</f>
        <v>null</v>
      </c>
      <c r="AC580" s="4" t="str">
        <f>IF(N580="",IF(ISNUMBER(SEARCH("NOT NULL",UPPER(N$3))),"''","null"),SUBSTITUTE(VLOOKUP(N$2,convert!$A$1:$B$4,2,0),"@@@",N580))</f>
        <v>null</v>
      </c>
      <c r="AD580" s="4" t="str">
        <f>IF(O580="",IF(ISNUMBER(SEARCH("NOT NULL",UPPER(O$3))),"''","null"),SUBSTITUTE(VLOOKUP(O$2,convert!$A$1:$B$4,2,0),"@@@",O580))</f>
        <v>TRUE</v>
      </c>
      <c r="AE580" s="4" t="str">
        <f t="shared" si="8"/>
        <v>    ('0470N01', 'リーフィア', 65, 110, 130, 60, 65, 95, '', 'grass', null, 'g4', null, null, TRUE),</v>
      </c>
    </row>
    <row r="581" spans="1:31">
      <c r="A581" s="4" t="s">
        <v>1175</v>
      </c>
      <c r="B581" s="4" t="s">
        <v>1176</v>
      </c>
      <c r="C581" s="5">
        <v>65</v>
      </c>
      <c r="D581" s="5">
        <v>60</v>
      </c>
      <c r="E581" s="5">
        <v>110</v>
      </c>
      <c r="F581" s="5">
        <v>130</v>
      </c>
      <c r="G581" s="5">
        <v>95</v>
      </c>
      <c r="H581" s="5">
        <v>65</v>
      </c>
      <c r="I581" s="5"/>
      <c r="J581" s="4" t="s">
        <v>118</v>
      </c>
      <c r="K581" s="5"/>
      <c r="L581" s="4" t="s">
        <v>986</v>
      </c>
      <c r="M581" s="5"/>
      <c r="N581" s="5"/>
      <c r="O581" s="5" t="b">
        <v>1</v>
      </c>
      <c r="P581" s="4" t="str">
        <f>IF(A581="",IF(ISNUMBER(SEARCH("NOT NULL",UPPER(A$3))),"''","null"),SUBSTITUTE(VLOOKUP(A$2,convert!$A$1:$B$4,2,0),"@@@",A581))</f>
        <v>'0471N01'</v>
      </c>
      <c r="Q581" s="4" t="str">
        <f>IF(B581="",IF(ISNUMBER(SEARCH("NOT NULL",UPPER(B$3))),"''","null"),SUBSTITUTE(VLOOKUP(B$2,convert!$A$1:$B$4,2,0),"@@@",B581))</f>
        <v>'グレイシア'</v>
      </c>
      <c r="R581" s="4" t="str">
        <f>IF(C581="",IF(ISNUMBER(SEARCH("NOT NULL",UPPER(C$3))),"''","null"),SUBSTITUTE(VLOOKUP(C$2,convert!$A$1:$B$4,2,0),"@@@",C581))</f>
        <v>65</v>
      </c>
      <c r="S581" s="4" t="str">
        <f>IF(D581="",IF(ISNUMBER(SEARCH("NOT NULL",UPPER(D$3))),"''","null"),SUBSTITUTE(VLOOKUP(D$2,convert!$A$1:$B$4,2,0),"@@@",D581))</f>
        <v>60</v>
      </c>
      <c r="T581" s="4" t="str">
        <f>IF(E581="",IF(ISNUMBER(SEARCH("NOT NULL",UPPER(E$3))),"''","null"),SUBSTITUTE(VLOOKUP(E$2,convert!$A$1:$B$4,2,0),"@@@",E581))</f>
        <v>110</v>
      </c>
      <c r="U581" s="4" t="str">
        <f>IF(F581="",IF(ISNUMBER(SEARCH("NOT NULL",UPPER(F$3))),"''","null"),SUBSTITUTE(VLOOKUP(F$2,convert!$A$1:$B$4,2,0),"@@@",F581))</f>
        <v>130</v>
      </c>
      <c r="V581" s="4" t="str">
        <f>IF(G581="",IF(ISNUMBER(SEARCH("NOT NULL",UPPER(G$3))),"''","null"),SUBSTITUTE(VLOOKUP(G$2,convert!$A$1:$B$4,2,0),"@@@",G581))</f>
        <v>95</v>
      </c>
      <c r="W581" s="4" t="str">
        <f>IF(H581="",IF(ISNUMBER(SEARCH("NOT NULL",UPPER(H$3))),"''","null"),SUBSTITUTE(VLOOKUP(H$2,convert!$A$1:$B$4,2,0),"@@@",H581))</f>
        <v>65</v>
      </c>
      <c r="X581" s="4" t="str">
        <f>IF(I581="",IF(ISNUMBER(SEARCH("NOT NULL",UPPER(I$3))),"''","null"),SUBSTITUTE(VLOOKUP(I$2,convert!$A$1:$B$4,2,0),"@@@",I581))</f>
        <v>''</v>
      </c>
      <c r="Y581" s="4" t="str">
        <f>IF(J581="",IF(ISNUMBER(SEARCH("NOT NULL",UPPER(J$3))),"''","null"),SUBSTITUTE(VLOOKUP(J$2,convert!$A$1:$B$4,2,0),"@@@",J581))</f>
        <v>'ice'</v>
      </c>
      <c r="Z581" s="4" t="str">
        <f>IF(K581="",IF(ISNUMBER(SEARCH("NOT NULL",UPPER(K$3))),"''","null"),SUBSTITUTE(VLOOKUP(K$2,convert!$A$1:$B$4,2,0),"@@@",K581))</f>
        <v>null</v>
      </c>
      <c r="AA581" s="4" t="str">
        <f>IF(L581="",IF(ISNUMBER(SEARCH("NOT NULL",UPPER(L$3))),"''","null"),SUBSTITUTE(VLOOKUP(L$2,convert!$A$1:$B$4,2,0),"@@@",L581))</f>
        <v>'g4'</v>
      </c>
      <c r="AB581" s="4" t="str">
        <f>IF(M581="",IF(ISNUMBER(SEARCH("NOT NULL",UPPER(M$3))),"''","null"),SUBSTITUTE(VLOOKUP(M$2,convert!$A$1:$B$4,2,0),"@@@",M581))</f>
        <v>null</v>
      </c>
      <c r="AC581" s="4" t="str">
        <f>IF(N581="",IF(ISNUMBER(SEARCH("NOT NULL",UPPER(N$3))),"''","null"),SUBSTITUTE(VLOOKUP(N$2,convert!$A$1:$B$4,2,0),"@@@",N581))</f>
        <v>null</v>
      </c>
      <c r="AD581" s="4" t="str">
        <f>IF(O581="",IF(ISNUMBER(SEARCH("NOT NULL",UPPER(O$3))),"''","null"),SUBSTITUTE(VLOOKUP(O$2,convert!$A$1:$B$4,2,0),"@@@",O581))</f>
        <v>TRUE</v>
      </c>
      <c r="AE581" s="4" t="str">
        <f t="shared" ref="AE581:AE644" si="9">"    ("&amp;_xlfn.TEXTJOIN(", ",FALSE,P581:AD581)&amp;"),"</f>
        <v>    ('0471N01', 'グレイシア', 65, 60, 110, 130, 95, 65, '', 'ice', null, 'g4', null, null, TRUE),</v>
      </c>
    </row>
    <row r="582" spans="1:31">
      <c r="A582" s="4" t="s">
        <v>1177</v>
      </c>
      <c r="B582" s="4" t="s">
        <v>1178</v>
      </c>
      <c r="C582" s="5">
        <v>75</v>
      </c>
      <c r="D582" s="5">
        <v>95</v>
      </c>
      <c r="E582" s="5">
        <v>125</v>
      </c>
      <c r="F582" s="5">
        <v>45</v>
      </c>
      <c r="G582" s="5">
        <v>75</v>
      </c>
      <c r="H582" s="5">
        <v>95</v>
      </c>
      <c r="I582" s="5"/>
      <c r="J582" s="4" t="s">
        <v>116</v>
      </c>
      <c r="K582" s="4" t="s">
        <v>47</v>
      </c>
      <c r="L582" s="4" t="s">
        <v>986</v>
      </c>
      <c r="M582" s="5"/>
      <c r="N582" s="5"/>
      <c r="O582" s="5" t="b">
        <v>1</v>
      </c>
      <c r="P582" s="4" t="str">
        <f>IF(A582="",IF(ISNUMBER(SEARCH("NOT NULL",UPPER(A$3))),"''","null"),SUBSTITUTE(VLOOKUP(A$2,convert!$A$1:$B$4,2,0),"@@@",A582))</f>
        <v>'0472N01'</v>
      </c>
      <c r="Q582" s="4" t="str">
        <f>IF(B582="",IF(ISNUMBER(SEARCH("NOT NULL",UPPER(B$3))),"''","null"),SUBSTITUTE(VLOOKUP(B$2,convert!$A$1:$B$4,2,0),"@@@",B582))</f>
        <v>'グライオン'</v>
      </c>
      <c r="R582" s="4" t="str">
        <f>IF(C582="",IF(ISNUMBER(SEARCH("NOT NULL",UPPER(C$3))),"''","null"),SUBSTITUTE(VLOOKUP(C$2,convert!$A$1:$B$4,2,0),"@@@",C582))</f>
        <v>75</v>
      </c>
      <c r="S582" s="4" t="str">
        <f>IF(D582="",IF(ISNUMBER(SEARCH("NOT NULL",UPPER(D$3))),"''","null"),SUBSTITUTE(VLOOKUP(D$2,convert!$A$1:$B$4,2,0),"@@@",D582))</f>
        <v>95</v>
      </c>
      <c r="T582" s="4" t="str">
        <f>IF(E582="",IF(ISNUMBER(SEARCH("NOT NULL",UPPER(E$3))),"''","null"),SUBSTITUTE(VLOOKUP(E$2,convert!$A$1:$B$4,2,0),"@@@",E582))</f>
        <v>125</v>
      </c>
      <c r="U582" s="4" t="str">
        <f>IF(F582="",IF(ISNUMBER(SEARCH("NOT NULL",UPPER(F$3))),"''","null"),SUBSTITUTE(VLOOKUP(F$2,convert!$A$1:$B$4,2,0),"@@@",F582))</f>
        <v>45</v>
      </c>
      <c r="V582" s="4" t="str">
        <f>IF(G582="",IF(ISNUMBER(SEARCH("NOT NULL",UPPER(G$3))),"''","null"),SUBSTITUTE(VLOOKUP(G$2,convert!$A$1:$B$4,2,0),"@@@",G582))</f>
        <v>75</v>
      </c>
      <c r="W582" s="4" t="str">
        <f>IF(H582="",IF(ISNUMBER(SEARCH("NOT NULL",UPPER(H$3))),"''","null"),SUBSTITUTE(VLOOKUP(H$2,convert!$A$1:$B$4,2,0),"@@@",H582))</f>
        <v>95</v>
      </c>
      <c r="X582" s="4" t="str">
        <f>IF(I582="",IF(ISNUMBER(SEARCH("NOT NULL",UPPER(I$3))),"''","null"),SUBSTITUTE(VLOOKUP(I$2,convert!$A$1:$B$4,2,0),"@@@",I582))</f>
        <v>''</v>
      </c>
      <c r="Y582" s="4" t="str">
        <f>IF(J582="",IF(ISNUMBER(SEARCH("NOT NULL",UPPER(J$3))),"''","null"),SUBSTITUTE(VLOOKUP(J$2,convert!$A$1:$B$4,2,0),"@@@",J582))</f>
        <v>'ground'</v>
      </c>
      <c r="Z582" s="4" t="str">
        <f>IF(K582="",IF(ISNUMBER(SEARCH("NOT NULL",UPPER(K$3))),"''","null"),SUBSTITUTE(VLOOKUP(K$2,convert!$A$1:$B$4,2,0),"@@@",K582))</f>
        <v>'flying'</v>
      </c>
      <c r="AA582" s="4" t="str">
        <f>IF(L582="",IF(ISNUMBER(SEARCH("NOT NULL",UPPER(L$3))),"''","null"),SUBSTITUTE(VLOOKUP(L$2,convert!$A$1:$B$4,2,0),"@@@",L582))</f>
        <v>'g4'</v>
      </c>
      <c r="AB582" s="4" t="str">
        <f>IF(M582="",IF(ISNUMBER(SEARCH("NOT NULL",UPPER(M$3))),"''","null"),SUBSTITUTE(VLOOKUP(M$2,convert!$A$1:$B$4,2,0),"@@@",M582))</f>
        <v>null</v>
      </c>
      <c r="AC582" s="4" t="str">
        <f>IF(N582="",IF(ISNUMBER(SEARCH("NOT NULL",UPPER(N$3))),"''","null"),SUBSTITUTE(VLOOKUP(N$2,convert!$A$1:$B$4,2,0),"@@@",N582))</f>
        <v>null</v>
      </c>
      <c r="AD582" s="4" t="str">
        <f>IF(O582="",IF(ISNUMBER(SEARCH("NOT NULL",UPPER(O$3))),"''","null"),SUBSTITUTE(VLOOKUP(O$2,convert!$A$1:$B$4,2,0),"@@@",O582))</f>
        <v>TRUE</v>
      </c>
      <c r="AE582" s="4" t="str">
        <f t="shared" si="9"/>
        <v>    ('0472N01', 'グライオン', 75, 95, 125, 45, 75, 95, '', 'ground', 'flying', 'g4', null, null, TRUE),</v>
      </c>
    </row>
    <row r="583" spans="1:31">
      <c r="A583" s="4" t="s">
        <v>1179</v>
      </c>
      <c r="B583" s="4" t="s">
        <v>1180</v>
      </c>
      <c r="C583" s="5">
        <v>110</v>
      </c>
      <c r="D583" s="5">
        <v>130</v>
      </c>
      <c r="E583" s="5">
        <v>80</v>
      </c>
      <c r="F583" s="5">
        <v>70</v>
      </c>
      <c r="G583" s="5">
        <v>60</v>
      </c>
      <c r="H583" s="5">
        <v>80</v>
      </c>
      <c r="I583" s="5"/>
      <c r="J583" s="4" t="s">
        <v>118</v>
      </c>
      <c r="K583" s="4" t="s">
        <v>116</v>
      </c>
      <c r="L583" s="4" t="s">
        <v>986</v>
      </c>
      <c r="M583" s="5"/>
      <c r="N583" s="5"/>
      <c r="O583" s="5" t="b">
        <v>1</v>
      </c>
      <c r="P583" s="4" t="str">
        <f>IF(A583="",IF(ISNUMBER(SEARCH("NOT NULL",UPPER(A$3))),"''","null"),SUBSTITUTE(VLOOKUP(A$2,convert!$A$1:$B$4,2,0),"@@@",A583))</f>
        <v>'0473N01'</v>
      </c>
      <c r="Q583" s="4" t="str">
        <f>IF(B583="",IF(ISNUMBER(SEARCH("NOT NULL",UPPER(B$3))),"''","null"),SUBSTITUTE(VLOOKUP(B$2,convert!$A$1:$B$4,2,0),"@@@",B583))</f>
        <v>'マンムー'</v>
      </c>
      <c r="R583" s="4" t="str">
        <f>IF(C583="",IF(ISNUMBER(SEARCH("NOT NULL",UPPER(C$3))),"''","null"),SUBSTITUTE(VLOOKUP(C$2,convert!$A$1:$B$4,2,0),"@@@",C583))</f>
        <v>110</v>
      </c>
      <c r="S583" s="4" t="str">
        <f>IF(D583="",IF(ISNUMBER(SEARCH("NOT NULL",UPPER(D$3))),"''","null"),SUBSTITUTE(VLOOKUP(D$2,convert!$A$1:$B$4,2,0),"@@@",D583))</f>
        <v>130</v>
      </c>
      <c r="T583" s="4" t="str">
        <f>IF(E583="",IF(ISNUMBER(SEARCH("NOT NULL",UPPER(E$3))),"''","null"),SUBSTITUTE(VLOOKUP(E$2,convert!$A$1:$B$4,2,0),"@@@",E583))</f>
        <v>80</v>
      </c>
      <c r="U583" s="4" t="str">
        <f>IF(F583="",IF(ISNUMBER(SEARCH("NOT NULL",UPPER(F$3))),"''","null"),SUBSTITUTE(VLOOKUP(F$2,convert!$A$1:$B$4,2,0),"@@@",F583))</f>
        <v>70</v>
      </c>
      <c r="V583" s="4" t="str">
        <f>IF(G583="",IF(ISNUMBER(SEARCH("NOT NULL",UPPER(G$3))),"''","null"),SUBSTITUTE(VLOOKUP(G$2,convert!$A$1:$B$4,2,0),"@@@",G583))</f>
        <v>60</v>
      </c>
      <c r="W583" s="4" t="str">
        <f>IF(H583="",IF(ISNUMBER(SEARCH("NOT NULL",UPPER(H$3))),"''","null"),SUBSTITUTE(VLOOKUP(H$2,convert!$A$1:$B$4,2,0),"@@@",H583))</f>
        <v>80</v>
      </c>
      <c r="X583" s="4" t="str">
        <f>IF(I583="",IF(ISNUMBER(SEARCH("NOT NULL",UPPER(I$3))),"''","null"),SUBSTITUTE(VLOOKUP(I$2,convert!$A$1:$B$4,2,0),"@@@",I583))</f>
        <v>''</v>
      </c>
      <c r="Y583" s="4" t="str">
        <f>IF(J583="",IF(ISNUMBER(SEARCH("NOT NULL",UPPER(J$3))),"''","null"),SUBSTITUTE(VLOOKUP(J$2,convert!$A$1:$B$4,2,0),"@@@",J583))</f>
        <v>'ice'</v>
      </c>
      <c r="Z583" s="4" t="str">
        <f>IF(K583="",IF(ISNUMBER(SEARCH("NOT NULL",UPPER(K$3))),"''","null"),SUBSTITUTE(VLOOKUP(K$2,convert!$A$1:$B$4,2,0),"@@@",K583))</f>
        <v>'ground'</v>
      </c>
      <c r="AA583" s="4" t="str">
        <f>IF(L583="",IF(ISNUMBER(SEARCH("NOT NULL",UPPER(L$3))),"''","null"),SUBSTITUTE(VLOOKUP(L$2,convert!$A$1:$B$4,2,0),"@@@",L583))</f>
        <v>'g4'</v>
      </c>
      <c r="AB583" s="4" t="str">
        <f>IF(M583="",IF(ISNUMBER(SEARCH("NOT NULL",UPPER(M$3))),"''","null"),SUBSTITUTE(VLOOKUP(M$2,convert!$A$1:$B$4,2,0),"@@@",M583))</f>
        <v>null</v>
      </c>
      <c r="AC583" s="4" t="str">
        <f>IF(N583="",IF(ISNUMBER(SEARCH("NOT NULL",UPPER(N$3))),"''","null"),SUBSTITUTE(VLOOKUP(N$2,convert!$A$1:$B$4,2,0),"@@@",N583))</f>
        <v>null</v>
      </c>
      <c r="AD583" s="4" t="str">
        <f>IF(O583="",IF(ISNUMBER(SEARCH("NOT NULL",UPPER(O$3))),"''","null"),SUBSTITUTE(VLOOKUP(O$2,convert!$A$1:$B$4,2,0),"@@@",O583))</f>
        <v>TRUE</v>
      </c>
      <c r="AE583" s="4" t="str">
        <f t="shared" si="9"/>
        <v>    ('0473N01', 'マンムー', 110, 130, 80, 70, 60, 80, '', 'ice', 'ground', 'g4', null, null, TRUE),</v>
      </c>
    </row>
    <row r="584" spans="1:31">
      <c r="A584" s="4" t="s">
        <v>1181</v>
      </c>
      <c r="B584" s="4" t="s">
        <v>1182</v>
      </c>
      <c r="C584" s="5">
        <v>85</v>
      </c>
      <c r="D584" s="5">
        <v>80</v>
      </c>
      <c r="E584" s="5">
        <v>70</v>
      </c>
      <c r="F584" s="5">
        <v>135</v>
      </c>
      <c r="G584" s="5">
        <v>75</v>
      </c>
      <c r="H584" s="5">
        <v>90</v>
      </c>
      <c r="I584" s="5"/>
      <c r="J584" s="4" t="s">
        <v>80</v>
      </c>
      <c r="K584" s="5"/>
      <c r="L584" s="4" t="s">
        <v>986</v>
      </c>
      <c r="M584" s="5"/>
      <c r="N584" s="5"/>
      <c r="O584" s="5" t="b">
        <v>1</v>
      </c>
      <c r="P584" s="4" t="str">
        <f>IF(A584="",IF(ISNUMBER(SEARCH("NOT NULL",UPPER(A$3))),"''","null"),SUBSTITUTE(VLOOKUP(A$2,convert!$A$1:$B$4,2,0),"@@@",A584))</f>
        <v>'0474N01'</v>
      </c>
      <c r="Q584" s="4" t="str">
        <f>IF(B584="",IF(ISNUMBER(SEARCH("NOT NULL",UPPER(B$3))),"''","null"),SUBSTITUTE(VLOOKUP(B$2,convert!$A$1:$B$4,2,0),"@@@",B584))</f>
        <v>'ポリゴンZ'</v>
      </c>
      <c r="R584" s="4" t="str">
        <f>IF(C584="",IF(ISNUMBER(SEARCH("NOT NULL",UPPER(C$3))),"''","null"),SUBSTITUTE(VLOOKUP(C$2,convert!$A$1:$B$4,2,0),"@@@",C584))</f>
        <v>85</v>
      </c>
      <c r="S584" s="4" t="str">
        <f>IF(D584="",IF(ISNUMBER(SEARCH("NOT NULL",UPPER(D$3))),"''","null"),SUBSTITUTE(VLOOKUP(D$2,convert!$A$1:$B$4,2,0),"@@@",D584))</f>
        <v>80</v>
      </c>
      <c r="T584" s="4" t="str">
        <f>IF(E584="",IF(ISNUMBER(SEARCH("NOT NULL",UPPER(E$3))),"''","null"),SUBSTITUTE(VLOOKUP(E$2,convert!$A$1:$B$4,2,0),"@@@",E584))</f>
        <v>70</v>
      </c>
      <c r="U584" s="4" t="str">
        <f>IF(F584="",IF(ISNUMBER(SEARCH("NOT NULL",UPPER(F$3))),"''","null"),SUBSTITUTE(VLOOKUP(F$2,convert!$A$1:$B$4,2,0),"@@@",F584))</f>
        <v>135</v>
      </c>
      <c r="V584" s="4" t="str">
        <f>IF(G584="",IF(ISNUMBER(SEARCH("NOT NULL",UPPER(G$3))),"''","null"),SUBSTITUTE(VLOOKUP(G$2,convert!$A$1:$B$4,2,0),"@@@",G584))</f>
        <v>75</v>
      </c>
      <c r="W584" s="4" t="str">
        <f>IF(H584="",IF(ISNUMBER(SEARCH("NOT NULL",UPPER(H$3))),"''","null"),SUBSTITUTE(VLOOKUP(H$2,convert!$A$1:$B$4,2,0),"@@@",H584))</f>
        <v>90</v>
      </c>
      <c r="X584" s="4" t="str">
        <f>IF(I584="",IF(ISNUMBER(SEARCH("NOT NULL",UPPER(I$3))),"''","null"),SUBSTITUTE(VLOOKUP(I$2,convert!$A$1:$B$4,2,0),"@@@",I584))</f>
        <v>''</v>
      </c>
      <c r="Y584" s="4" t="str">
        <f>IF(J584="",IF(ISNUMBER(SEARCH("NOT NULL",UPPER(J$3))),"''","null"),SUBSTITUTE(VLOOKUP(J$2,convert!$A$1:$B$4,2,0),"@@@",J584))</f>
        <v>'normal'</v>
      </c>
      <c r="Z584" s="4" t="str">
        <f>IF(K584="",IF(ISNUMBER(SEARCH("NOT NULL",UPPER(K$3))),"''","null"),SUBSTITUTE(VLOOKUP(K$2,convert!$A$1:$B$4,2,0),"@@@",K584))</f>
        <v>null</v>
      </c>
      <c r="AA584" s="4" t="str">
        <f>IF(L584="",IF(ISNUMBER(SEARCH("NOT NULL",UPPER(L$3))),"''","null"),SUBSTITUTE(VLOOKUP(L$2,convert!$A$1:$B$4,2,0),"@@@",L584))</f>
        <v>'g4'</v>
      </c>
      <c r="AB584" s="4" t="str">
        <f>IF(M584="",IF(ISNUMBER(SEARCH("NOT NULL",UPPER(M$3))),"''","null"),SUBSTITUTE(VLOOKUP(M$2,convert!$A$1:$B$4,2,0),"@@@",M584))</f>
        <v>null</v>
      </c>
      <c r="AC584" s="4" t="str">
        <f>IF(N584="",IF(ISNUMBER(SEARCH("NOT NULL",UPPER(N$3))),"''","null"),SUBSTITUTE(VLOOKUP(N$2,convert!$A$1:$B$4,2,0),"@@@",N584))</f>
        <v>null</v>
      </c>
      <c r="AD584" s="4" t="str">
        <f>IF(O584="",IF(ISNUMBER(SEARCH("NOT NULL",UPPER(O$3))),"''","null"),SUBSTITUTE(VLOOKUP(O$2,convert!$A$1:$B$4,2,0),"@@@",O584))</f>
        <v>TRUE</v>
      </c>
      <c r="AE584" s="4" t="str">
        <f t="shared" si="9"/>
        <v>    ('0474N01', 'ポリゴンZ', 85, 80, 70, 135, 75, 90, '', 'normal', null, 'g4', null, null, TRUE),</v>
      </c>
    </row>
    <row r="585" spans="1:31">
      <c r="A585" s="4" t="s">
        <v>1183</v>
      </c>
      <c r="B585" s="4" t="s">
        <v>1184</v>
      </c>
      <c r="C585" s="5">
        <v>68</v>
      </c>
      <c r="D585" s="5">
        <v>125</v>
      </c>
      <c r="E585" s="5">
        <v>65</v>
      </c>
      <c r="F585" s="5">
        <v>65</v>
      </c>
      <c r="G585" s="5">
        <v>115</v>
      </c>
      <c r="H585" s="5">
        <v>80</v>
      </c>
      <c r="I585" s="5"/>
      <c r="J585" s="4" t="s">
        <v>113</v>
      </c>
      <c r="K585" s="4" t="s">
        <v>189</v>
      </c>
      <c r="L585" s="4" t="s">
        <v>986</v>
      </c>
      <c r="M585" s="5"/>
      <c r="N585" s="5"/>
      <c r="O585" s="5" t="b">
        <v>1</v>
      </c>
      <c r="P585" s="4" t="str">
        <f>IF(A585="",IF(ISNUMBER(SEARCH("NOT NULL",UPPER(A$3))),"''","null"),SUBSTITUTE(VLOOKUP(A$2,convert!$A$1:$B$4,2,0),"@@@",A585))</f>
        <v>'0475N01'</v>
      </c>
      <c r="Q585" s="4" t="str">
        <f>IF(B585="",IF(ISNUMBER(SEARCH("NOT NULL",UPPER(B$3))),"''","null"),SUBSTITUTE(VLOOKUP(B$2,convert!$A$1:$B$4,2,0),"@@@",B585))</f>
        <v>'エルレイド'</v>
      </c>
      <c r="R585" s="4" t="str">
        <f>IF(C585="",IF(ISNUMBER(SEARCH("NOT NULL",UPPER(C$3))),"''","null"),SUBSTITUTE(VLOOKUP(C$2,convert!$A$1:$B$4,2,0),"@@@",C585))</f>
        <v>68</v>
      </c>
      <c r="S585" s="4" t="str">
        <f>IF(D585="",IF(ISNUMBER(SEARCH("NOT NULL",UPPER(D$3))),"''","null"),SUBSTITUTE(VLOOKUP(D$2,convert!$A$1:$B$4,2,0),"@@@",D585))</f>
        <v>125</v>
      </c>
      <c r="T585" s="4" t="str">
        <f>IF(E585="",IF(ISNUMBER(SEARCH("NOT NULL",UPPER(E$3))),"''","null"),SUBSTITUTE(VLOOKUP(E$2,convert!$A$1:$B$4,2,0),"@@@",E585))</f>
        <v>65</v>
      </c>
      <c r="U585" s="4" t="str">
        <f>IF(F585="",IF(ISNUMBER(SEARCH("NOT NULL",UPPER(F$3))),"''","null"),SUBSTITUTE(VLOOKUP(F$2,convert!$A$1:$B$4,2,0),"@@@",F585))</f>
        <v>65</v>
      </c>
      <c r="V585" s="4" t="str">
        <f>IF(G585="",IF(ISNUMBER(SEARCH("NOT NULL",UPPER(G$3))),"''","null"),SUBSTITUTE(VLOOKUP(G$2,convert!$A$1:$B$4,2,0),"@@@",G585))</f>
        <v>115</v>
      </c>
      <c r="W585" s="4" t="str">
        <f>IF(H585="",IF(ISNUMBER(SEARCH("NOT NULL",UPPER(H$3))),"''","null"),SUBSTITUTE(VLOOKUP(H$2,convert!$A$1:$B$4,2,0),"@@@",H585))</f>
        <v>80</v>
      </c>
      <c r="X585" s="4" t="str">
        <f>IF(I585="",IF(ISNUMBER(SEARCH("NOT NULL",UPPER(I$3))),"''","null"),SUBSTITUTE(VLOOKUP(I$2,convert!$A$1:$B$4,2,0),"@@@",I585))</f>
        <v>''</v>
      </c>
      <c r="Y585" s="4" t="str">
        <f>IF(J585="",IF(ISNUMBER(SEARCH("NOT NULL",UPPER(J$3))),"''","null"),SUBSTITUTE(VLOOKUP(J$2,convert!$A$1:$B$4,2,0),"@@@",J585))</f>
        <v>'psychic'</v>
      </c>
      <c r="Z585" s="4" t="str">
        <f>IF(K585="",IF(ISNUMBER(SEARCH("NOT NULL",UPPER(K$3))),"''","null"),SUBSTITUTE(VLOOKUP(K$2,convert!$A$1:$B$4,2,0),"@@@",K585))</f>
        <v>'fighting'</v>
      </c>
      <c r="AA585" s="4" t="str">
        <f>IF(L585="",IF(ISNUMBER(SEARCH("NOT NULL",UPPER(L$3))),"''","null"),SUBSTITUTE(VLOOKUP(L$2,convert!$A$1:$B$4,2,0),"@@@",L585))</f>
        <v>'g4'</v>
      </c>
      <c r="AB585" s="4" t="str">
        <f>IF(M585="",IF(ISNUMBER(SEARCH("NOT NULL",UPPER(M$3))),"''","null"),SUBSTITUTE(VLOOKUP(M$2,convert!$A$1:$B$4,2,0),"@@@",M585))</f>
        <v>null</v>
      </c>
      <c r="AC585" s="4" t="str">
        <f>IF(N585="",IF(ISNUMBER(SEARCH("NOT NULL",UPPER(N$3))),"''","null"),SUBSTITUTE(VLOOKUP(N$2,convert!$A$1:$B$4,2,0),"@@@",N585))</f>
        <v>null</v>
      </c>
      <c r="AD585" s="4" t="str">
        <f>IF(O585="",IF(ISNUMBER(SEARCH("NOT NULL",UPPER(O$3))),"''","null"),SUBSTITUTE(VLOOKUP(O$2,convert!$A$1:$B$4,2,0),"@@@",O585))</f>
        <v>TRUE</v>
      </c>
      <c r="AE585" s="4" t="str">
        <f t="shared" si="9"/>
        <v>    ('0475N01', 'エルレイド', 68, 125, 65, 65, 115, 80, '', 'psychic', 'fighting', 'g4', null, null, TRUE),</v>
      </c>
    </row>
    <row r="586" spans="1:31">
      <c r="A586" s="4" t="s">
        <v>1185</v>
      </c>
      <c r="B586" s="4" t="s">
        <v>1186</v>
      </c>
      <c r="C586" s="5">
        <v>68</v>
      </c>
      <c r="D586" s="5">
        <v>165</v>
      </c>
      <c r="E586" s="5">
        <v>95</v>
      </c>
      <c r="F586" s="5">
        <v>65</v>
      </c>
      <c r="G586" s="5">
        <v>115</v>
      </c>
      <c r="H586" s="5">
        <v>110</v>
      </c>
      <c r="I586" s="5"/>
      <c r="J586" s="4" t="s">
        <v>113</v>
      </c>
      <c r="K586" s="4" t="s">
        <v>189</v>
      </c>
      <c r="L586" s="4" t="s">
        <v>77</v>
      </c>
      <c r="M586" s="5"/>
      <c r="N586" s="5"/>
      <c r="O586" s="5" t="b">
        <v>0</v>
      </c>
      <c r="P586" s="4" t="str">
        <f>IF(A586="",IF(ISNUMBER(SEARCH("NOT NULL",UPPER(A$3))),"''","null"),SUBSTITUTE(VLOOKUP(A$2,convert!$A$1:$B$4,2,0),"@@@",A586))</f>
        <v>'0475M01'</v>
      </c>
      <c r="Q586" s="4" t="str">
        <f>IF(B586="",IF(ISNUMBER(SEARCH("NOT NULL",UPPER(B$3))),"''","null"),SUBSTITUTE(VLOOKUP(B$2,convert!$A$1:$B$4,2,0),"@@@",B586))</f>
        <v>'メガエルレイド'</v>
      </c>
      <c r="R586" s="4" t="str">
        <f>IF(C586="",IF(ISNUMBER(SEARCH("NOT NULL",UPPER(C$3))),"''","null"),SUBSTITUTE(VLOOKUP(C$2,convert!$A$1:$B$4,2,0),"@@@",C586))</f>
        <v>68</v>
      </c>
      <c r="S586" s="4" t="str">
        <f>IF(D586="",IF(ISNUMBER(SEARCH("NOT NULL",UPPER(D$3))),"''","null"),SUBSTITUTE(VLOOKUP(D$2,convert!$A$1:$B$4,2,0),"@@@",D586))</f>
        <v>165</v>
      </c>
      <c r="T586" s="4" t="str">
        <f>IF(E586="",IF(ISNUMBER(SEARCH("NOT NULL",UPPER(E$3))),"''","null"),SUBSTITUTE(VLOOKUP(E$2,convert!$A$1:$B$4,2,0),"@@@",E586))</f>
        <v>95</v>
      </c>
      <c r="U586" s="4" t="str">
        <f>IF(F586="",IF(ISNUMBER(SEARCH("NOT NULL",UPPER(F$3))),"''","null"),SUBSTITUTE(VLOOKUP(F$2,convert!$A$1:$B$4,2,0),"@@@",F586))</f>
        <v>65</v>
      </c>
      <c r="V586" s="4" t="str">
        <f>IF(G586="",IF(ISNUMBER(SEARCH("NOT NULL",UPPER(G$3))),"''","null"),SUBSTITUTE(VLOOKUP(G$2,convert!$A$1:$B$4,2,0),"@@@",G586))</f>
        <v>115</v>
      </c>
      <c r="W586" s="4" t="str">
        <f>IF(H586="",IF(ISNUMBER(SEARCH("NOT NULL",UPPER(H$3))),"''","null"),SUBSTITUTE(VLOOKUP(H$2,convert!$A$1:$B$4,2,0),"@@@",H586))</f>
        <v>110</v>
      </c>
      <c r="X586" s="4" t="str">
        <f>IF(I586="",IF(ISNUMBER(SEARCH("NOT NULL",UPPER(I$3))),"''","null"),SUBSTITUTE(VLOOKUP(I$2,convert!$A$1:$B$4,2,0),"@@@",I586))</f>
        <v>''</v>
      </c>
      <c r="Y586" s="4" t="str">
        <f>IF(J586="",IF(ISNUMBER(SEARCH("NOT NULL",UPPER(J$3))),"''","null"),SUBSTITUTE(VLOOKUP(J$2,convert!$A$1:$B$4,2,0),"@@@",J586))</f>
        <v>'psychic'</v>
      </c>
      <c r="Z586" s="4" t="str">
        <f>IF(K586="",IF(ISNUMBER(SEARCH("NOT NULL",UPPER(K$3))),"''","null"),SUBSTITUTE(VLOOKUP(K$2,convert!$A$1:$B$4,2,0),"@@@",K586))</f>
        <v>'fighting'</v>
      </c>
      <c r="AA586" s="4" t="str">
        <f>IF(L586="",IF(ISNUMBER(SEARCH("NOT NULL",UPPER(L$3))),"''","null"),SUBSTITUTE(VLOOKUP(L$2,convert!$A$1:$B$4,2,0),"@@@",L586))</f>
        <v>'g6oras'</v>
      </c>
      <c r="AB586" s="4" t="str">
        <f>IF(M586="",IF(ISNUMBER(SEARCH("NOT NULL",UPPER(M$3))),"''","null"),SUBSTITUTE(VLOOKUP(M$2,convert!$A$1:$B$4,2,0),"@@@",M586))</f>
        <v>null</v>
      </c>
      <c r="AC586" s="4" t="str">
        <f>IF(N586="",IF(ISNUMBER(SEARCH("NOT NULL",UPPER(N$3))),"''","null"),SUBSTITUTE(VLOOKUP(N$2,convert!$A$1:$B$4,2,0),"@@@",N586))</f>
        <v>null</v>
      </c>
      <c r="AD586" s="4" t="str">
        <f>IF(O586="",IF(ISNUMBER(SEARCH("NOT NULL",UPPER(O$3))),"''","null"),SUBSTITUTE(VLOOKUP(O$2,convert!$A$1:$B$4,2,0),"@@@",O586))</f>
        <v>FALSE</v>
      </c>
      <c r="AE586" s="4" t="str">
        <f t="shared" si="9"/>
        <v>    ('0475M01', 'メガエルレイド', 68, 165, 95, 65, 115, 110, '', 'psychic', 'fighting', 'g6oras', null, null, FALSE),</v>
      </c>
    </row>
    <row r="587" spans="1:31">
      <c r="A587" s="4" t="s">
        <v>1187</v>
      </c>
      <c r="B587" s="4" t="s">
        <v>1188</v>
      </c>
      <c r="C587" s="5">
        <v>60</v>
      </c>
      <c r="D587" s="5">
        <v>55</v>
      </c>
      <c r="E587" s="5">
        <v>145</v>
      </c>
      <c r="F587" s="5">
        <v>75</v>
      </c>
      <c r="G587" s="5">
        <v>150</v>
      </c>
      <c r="H587" s="5">
        <v>40</v>
      </c>
      <c r="I587" s="5"/>
      <c r="J587" s="4" t="s">
        <v>196</v>
      </c>
      <c r="K587" s="4" t="s">
        <v>119</v>
      </c>
      <c r="L587" s="4" t="s">
        <v>986</v>
      </c>
      <c r="M587" s="5"/>
      <c r="N587" s="5"/>
      <c r="O587" s="5" t="b">
        <v>1</v>
      </c>
      <c r="P587" s="4" t="str">
        <f>IF(A587="",IF(ISNUMBER(SEARCH("NOT NULL",UPPER(A$3))),"''","null"),SUBSTITUTE(VLOOKUP(A$2,convert!$A$1:$B$4,2,0),"@@@",A587))</f>
        <v>'0476N01'</v>
      </c>
      <c r="Q587" s="4" t="str">
        <f>IF(B587="",IF(ISNUMBER(SEARCH("NOT NULL",UPPER(B$3))),"''","null"),SUBSTITUTE(VLOOKUP(B$2,convert!$A$1:$B$4,2,0),"@@@",B587))</f>
        <v>'ダイノーズ'</v>
      </c>
      <c r="R587" s="4" t="str">
        <f>IF(C587="",IF(ISNUMBER(SEARCH("NOT NULL",UPPER(C$3))),"''","null"),SUBSTITUTE(VLOOKUP(C$2,convert!$A$1:$B$4,2,0),"@@@",C587))</f>
        <v>60</v>
      </c>
      <c r="S587" s="4" t="str">
        <f>IF(D587="",IF(ISNUMBER(SEARCH("NOT NULL",UPPER(D$3))),"''","null"),SUBSTITUTE(VLOOKUP(D$2,convert!$A$1:$B$4,2,0),"@@@",D587))</f>
        <v>55</v>
      </c>
      <c r="T587" s="4" t="str">
        <f>IF(E587="",IF(ISNUMBER(SEARCH("NOT NULL",UPPER(E$3))),"''","null"),SUBSTITUTE(VLOOKUP(E$2,convert!$A$1:$B$4,2,0),"@@@",E587))</f>
        <v>145</v>
      </c>
      <c r="U587" s="4" t="str">
        <f>IF(F587="",IF(ISNUMBER(SEARCH("NOT NULL",UPPER(F$3))),"''","null"),SUBSTITUTE(VLOOKUP(F$2,convert!$A$1:$B$4,2,0),"@@@",F587))</f>
        <v>75</v>
      </c>
      <c r="V587" s="4" t="str">
        <f>IF(G587="",IF(ISNUMBER(SEARCH("NOT NULL",UPPER(G$3))),"''","null"),SUBSTITUTE(VLOOKUP(G$2,convert!$A$1:$B$4,2,0),"@@@",G587))</f>
        <v>150</v>
      </c>
      <c r="W587" s="4" t="str">
        <f>IF(H587="",IF(ISNUMBER(SEARCH("NOT NULL",UPPER(H$3))),"''","null"),SUBSTITUTE(VLOOKUP(H$2,convert!$A$1:$B$4,2,0),"@@@",H587))</f>
        <v>40</v>
      </c>
      <c r="X587" s="4" t="str">
        <f>IF(I587="",IF(ISNUMBER(SEARCH("NOT NULL",UPPER(I$3))),"''","null"),SUBSTITUTE(VLOOKUP(I$2,convert!$A$1:$B$4,2,0),"@@@",I587))</f>
        <v>''</v>
      </c>
      <c r="Y587" s="4" t="str">
        <f>IF(J587="",IF(ISNUMBER(SEARCH("NOT NULL",UPPER(J$3))),"''","null"),SUBSTITUTE(VLOOKUP(J$2,convert!$A$1:$B$4,2,0),"@@@",J587))</f>
        <v>'rock'</v>
      </c>
      <c r="Z587" s="4" t="str">
        <f>IF(K587="",IF(ISNUMBER(SEARCH("NOT NULL",UPPER(K$3))),"''","null"),SUBSTITUTE(VLOOKUP(K$2,convert!$A$1:$B$4,2,0),"@@@",K587))</f>
        <v>'steel'</v>
      </c>
      <c r="AA587" s="4" t="str">
        <f>IF(L587="",IF(ISNUMBER(SEARCH("NOT NULL",UPPER(L$3))),"''","null"),SUBSTITUTE(VLOOKUP(L$2,convert!$A$1:$B$4,2,0),"@@@",L587))</f>
        <v>'g4'</v>
      </c>
      <c r="AB587" s="4" t="str">
        <f>IF(M587="",IF(ISNUMBER(SEARCH("NOT NULL",UPPER(M$3))),"''","null"),SUBSTITUTE(VLOOKUP(M$2,convert!$A$1:$B$4,2,0),"@@@",M587))</f>
        <v>null</v>
      </c>
      <c r="AC587" s="4" t="str">
        <f>IF(N587="",IF(ISNUMBER(SEARCH("NOT NULL",UPPER(N$3))),"''","null"),SUBSTITUTE(VLOOKUP(N$2,convert!$A$1:$B$4,2,0),"@@@",N587))</f>
        <v>null</v>
      </c>
      <c r="AD587" s="4" t="str">
        <f>IF(O587="",IF(ISNUMBER(SEARCH("NOT NULL",UPPER(O$3))),"''","null"),SUBSTITUTE(VLOOKUP(O$2,convert!$A$1:$B$4,2,0),"@@@",O587))</f>
        <v>TRUE</v>
      </c>
      <c r="AE587" s="4" t="str">
        <f t="shared" si="9"/>
        <v>    ('0476N01', 'ダイノーズ', 60, 55, 145, 75, 150, 40, '', 'rock', 'steel', 'g4', null, null, TRUE),</v>
      </c>
    </row>
    <row r="588" spans="1:31">
      <c r="A588" s="4" t="s">
        <v>1189</v>
      </c>
      <c r="B588" s="4" t="s">
        <v>1190</v>
      </c>
      <c r="C588" s="5">
        <v>45</v>
      </c>
      <c r="D588" s="5">
        <v>100</v>
      </c>
      <c r="E588" s="5">
        <v>135</v>
      </c>
      <c r="F588" s="5">
        <v>65</v>
      </c>
      <c r="G588" s="5">
        <v>135</v>
      </c>
      <c r="H588" s="5">
        <v>45</v>
      </c>
      <c r="I588" s="5"/>
      <c r="J588" s="4" t="s">
        <v>281</v>
      </c>
      <c r="K588" s="5"/>
      <c r="L588" s="4" t="s">
        <v>986</v>
      </c>
      <c r="M588" s="5"/>
      <c r="N588" s="5"/>
      <c r="O588" s="5" t="b">
        <v>1</v>
      </c>
      <c r="P588" s="4" t="str">
        <f>IF(A588="",IF(ISNUMBER(SEARCH("NOT NULL",UPPER(A$3))),"''","null"),SUBSTITUTE(VLOOKUP(A$2,convert!$A$1:$B$4,2,0),"@@@",A588))</f>
        <v>'0477N01'</v>
      </c>
      <c r="Q588" s="4" t="str">
        <f>IF(B588="",IF(ISNUMBER(SEARCH("NOT NULL",UPPER(B$3))),"''","null"),SUBSTITUTE(VLOOKUP(B$2,convert!$A$1:$B$4,2,0),"@@@",B588))</f>
        <v>'ヨノワール'</v>
      </c>
      <c r="R588" s="4" t="str">
        <f>IF(C588="",IF(ISNUMBER(SEARCH("NOT NULL",UPPER(C$3))),"''","null"),SUBSTITUTE(VLOOKUP(C$2,convert!$A$1:$B$4,2,0),"@@@",C588))</f>
        <v>45</v>
      </c>
      <c r="S588" s="4" t="str">
        <f>IF(D588="",IF(ISNUMBER(SEARCH("NOT NULL",UPPER(D$3))),"''","null"),SUBSTITUTE(VLOOKUP(D$2,convert!$A$1:$B$4,2,0),"@@@",D588))</f>
        <v>100</v>
      </c>
      <c r="T588" s="4" t="str">
        <f>IF(E588="",IF(ISNUMBER(SEARCH("NOT NULL",UPPER(E$3))),"''","null"),SUBSTITUTE(VLOOKUP(E$2,convert!$A$1:$B$4,2,0),"@@@",E588))</f>
        <v>135</v>
      </c>
      <c r="U588" s="4" t="str">
        <f>IF(F588="",IF(ISNUMBER(SEARCH("NOT NULL",UPPER(F$3))),"''","null"),SUBSTITUTE(VLOOKUP(F$2,convert!$A$1:$B$4,2,0),"@@@",F588))</f>
        <v>65</v>
      </c>
      <c r="V588" s="4" t="str">
        <f>IF(G588="",IF(ISNUMBER(SEARCH("NOT NULL",UPPER(G$3))),"''","null"),SUBSTITUTE(VLOOKUP(G$2,convert!$A$1:$B$4,2,0),"@@@",G588))</f>
        <v>135</v>
      </c>
      <c r="W588" s="4" t="str">
        <f>IF(H588="",IF(ISNUMBER(SEARCH("NOT NULL",UPPER(H$3))),"''","null"),SUBSTITUTE(VLOOKUP(H$2,convert!$A$1:$B$4,2,0),"@@@",H588))</f>
        <v>45</v>
      </c>
      <c r="X588" s="4" t="str">
        <f>IF(I588="",IF(ISNUMBER(SEARCH("NOT NULL",UPPER(I$3))),"''","null"),SUBSTITUTE(VLOOKUP(I$2,convert!$A$1:$B$4,2,0),"@@@",I588))</f>
        <v>''</v>
      </c>
      <c r="Y588" s="4" t="str">
        <f>IF(J588="",IF(ISNUMBER(SEARCH("NOT NULL",UPPER(J$3))),"''","null"),SUBSTITUTE(VLOOKUP(J$2,convert!$A$1:$B$4,2,0),"@@@",J588))</f>
        <v>'ghost'</v>
      </c>
      <c r="Z588" s="4" t="str">
        <f>IF(K588="",IF(ISNUMBER(SEARCH("NOT NULL",UPPER(K$3))),"''","null"),SUBSTITUTE(VLOOKUP(K$2,convert!$A$1:$B$4,2,0),"@@@",K588))</f>
        <v>null</v>
      </c>
      <c r="AA588" s="4" t="str">
        <f>IF(L588="",IF(ISNUMBER(SEARCH("NOT NULL",UPPER(L$3))),"''","null"),SUBSTITUTE(VLOOKUP(L$2,convert!$A$1:$B$4,2,0),"@@@",L588))</f>
        <v>'g4'</v>
      </c>
      <c r="AB588" s="4" t="str">
        <f>IF(M588="",IF(ISNUMBER(SEARCH("NOT NULL",UPPER(M$3))),"''","null"),SUBSTITUTE(VLOOKUP(M$2,convert!$A$1:$B$4,2,0),"@@@",M588))</f>
        <v>null</v>
      </c>
      <c r="AC588" s="4" t="str">
        <f>IF(N588="",IF(ISNUMBER(SEARCH("NOT NULL",UPPER(N$3))),"''","null"),SUBSTITUTE(VLOOKUP(N$2,convert!$A$1:$B$4,2,0),"@@@",N588))</f>
        <v>null</v>
      </c>
      <c r="AD588" s="4" t="str">
        <f>IF(O588="",IF(ISNUMBER(SEARCH("NOT NULL",UPPER(O$3))),"''","null"),SUBSTITUTE(VLOOKUP(O$2,convert!$A$1:$B$4,2,0),"@@@",O588))</f>
        <v>TRUE</v>
      </c>
      <c r="AE588" s="4" t="str">
        <f t="shared" si="9"/>
        <v>    ('0477N01', 'ヨノワール', 45, 100, 135, 65, 135, 45, '', 'ghost', null, 'g4', null, null, TRUE),</v>
      </c>
    </row>
    <row r="589" spans="1:31">
      <c r="A589" s="4" t="s">
        <v>1191</v>
      </c>
      <c r="B589" s="4" t="s">
        <v>1192</v>
      </c>
      <c r="C589" s="5">
        <v>70</v>
      </c>
      <c r="D589" s="5">
        <v>80</v>
      </c>
      <c r="E589" s="5">
        <v>70</v>
      </c>
      <c r="F589" s="5">
        <v>80</v>
      </c>
      <c r="G589" s="5">
        <v>70</v>
      </c>
      <c r="H589" s="5">
        <v>110</v>
      </c>
      <c r="I589" s="5"/>
      <c r="J589" s="4" t="s">
        <v>118</v>
      </c>
      <c r="K589" s="4" t="s">
        <v>281</v>
      </c>
      <c r="L589" s="4" t="s">
        <v>986</v>
      </c>
      <c r="M589" s="5"/>
      <c r="N589" s="5"/>
      <c r="O589" s="5" t="b">
        <v>1</v>
      </c>
      <c r="P589" s="4" t="str">
        <f>IF(A589="",IF(ISNUMBER(SEARCH("NOT NULL",UPPER(A$3))),"''","null"),SUBSTITUTE(VLOOKUP(A$2,convert!$A$1:$B$4,2,0),"@@@",A589))</f>
        <v>'0478N01'</v>
      </c>
      <c r="Q589" s="4" t="str">
        <f>IF(B589="",IF(ISNUMBER(SEARCH("NOT NULL",UPPER(B$3))),"''","null"),SUBSTITUTE(VLOOKUP(B$2,convert!$A$1:$B$4,2,0),"@@@",B589))</f>
        <v>'ユキメノコ'</v>
      </c>
      <c r="R589" s="4" t="str">
        <f>IF(C589="",IF(ISNUMBER(SEARCH("NOT NULL",UPPER(C$3))),"''","null"),SUBSTITUTE(VLOOKUP(C$2,convert!$A$1:$B$4,2,0),"@@@",C589))</f>
        <v>70</v>
      </c>
      <c r="S589" s="4" t="str">
        <f>IF(D589="",IF(ISNUMBER(SEARCH("NOT NULL",UPPER(D$3))),"''","null"),SUBSTITUTE(VLOOKUP(D$2,convert!$A$1:$B$4,2,0),"@@@",D589))</f>
        <v>80</v>
      </c>
      <c r="T589" s="4" t="str">
        <f>IF(E589="",IF(ISNUMBER(SEARCH("NOT NULL",UPPER(E$3))),"''","null"),SUBSTITUTE(VLOOKUP(E$2,convert!$A$1:$B$4,2,0),"@@@",E589))</f>
        <v>70</v>
      </c>
      <c r="U589" s="4" t="str">
        <f>IF(F589="",IF(ISNUMBER(SEARCH("NOT NULL",UPPER(F$3))),"''","null"),SUBSTITUTE(VLOOKUP(F$2,convert!$A$1:$B$4,2,0),"@@@",F589))</f>
        <v>80</v>
      </c>
      <c r="V589" s="4" t="str">
        <f>IF(G589="",IF(ISNUMBER(SEARCH("NOT NULL",UPPER(G$3))),"''","null"),SUBSTITUTE(VLOOKUP(G$2,convert!$A$1:$B$4,2,0),"@@@",G589))</f>
        <v>70</v>
      </c>
      <c r="W589" s="4" t="str">
        <f>IF(H589="",IF(ISNUMBER(SEARCH("NOT NULL",UPPER(H$3))),"''","null"),SUBSTITUTE(VLOOKUP(H$2,convert!$A$1:$B$4,2,0),"@@@",H589))</f>
        <v>110</v>
      </c>
      <c r="X589" s="4" t="str">
        <f>IF(I589="",IF(ISNUMBER(SEARCH("NOT NULL",UPPER(I$3))),"''","null"),SUBSTITUTE(VLOOKUP(I$2,convert!$A$1:$B$4,2,0),"@@@",I589))</f>
        <v>''</v>
      </c>
      <c r="Y589" s="4" t="str">
        <f>IF(J589="",IF(ISNUMBER(SEARCH("NOT NULL",UPPER(J$3))),"''","null"),SUBSTITUTE(VLOOKUP(J$2,convert!$A$1:$B$4,2,0),"@@@",J589))</f>
        <v>'ice'</v>
      </c>
      <c r="Z589" s="4" t="str">
        <f>IF(K589="",IF(ISNUMBER(SEARCH("NOT NULL",UPPER(K$3))),"''","null"),SUBSTITUTE(VLOOKUP(K$2,convert!$A$1:$B$4,2,0),"@@@",K589))</f>
        <v>'ghost'</v>
      </c>
      <c r="AA589" s="4" t="str">
        <f>IF(L589="",IF(ISNUMBER(SEARCH("NOT NULL",UPPER(L$3))),"''","null"),SUBSTITUTE(VLOOKUP(L$2,convert!$A$1:$B$4,2,0),"@@@",L589))</f>
        <v>'g4'</v>
      </c>
      <c r="AB589" s="4" t="str">
        <f>IF(M589="",IF(ISNUMBER(SEARCH("NOT NULL",UPPER(M$3))),"''","null"),SUBSTITUTE(VLOOKUP(M$2,convert!$A$1:$B$4,2,0),"@@@",M589))</f>
        <v>null</v>
      </c>
      <c r="AC589" s="4" t="str">
        <f>IF(N589="",IF(ISNUMBER(SEARCH("NOT NULL",UPPER(N$3))),"''","null"),SUBSTITUTE(VLOOKUP(N$2,convert!$A$1:$B$4,2,0),"@@@",N589))</f>
        <v>null</v>
      </c>
      <c r="AD589" s="4" t="str">
        <f>IF(O589="",IF(ISNUMBER(SEARCH("NOT NULL",UPPER(O$3))),"''","null"),SUBSTITUTE(VLOOKUP(O$2,convert!$A$1:$B$4,2,0),"@@@",O589))</f>
        <v>TRUE</v>
      </c>
      <c r="AE589" s="4" t="str">
        <f t="shared" si="9"/>
        <v>    ('0478N01', 'ユキメノコ', 70, 80, 70, 80, 70, 110, '', 'ice', 'ghost', 'g4', null, null, TRUE),</v>
      </c>
    </row>
    <row r="590" spans="1:31">
      <c r="A590" s="4" t="s">
        <v>1193</v>
      </c>
      <c r="B590" s="4" t="s">
        <v>1194</v>
      </c>
      <c r="C590" s="5">
        <v>50</v>
      </c>
      <c r="D590" s="5">
        <v>50</v>
      </c>
      <c r="E590" s="5">
        <v>77</v>
      </c>
      <c r="F590" s="5">
        <v>95</v>
      </c>
      <c r="G590" s="5">
        <v>77</v>
      </c>
      <c r="H590" s="5">
        <v>91</v>
      </c>
      <c r="I590" s="5"/>
      <c r="J590" s="4" t="s">
        <v>106</v>
      </c>
      <c r="K590" s="4" t="s">
        <v>281</v>
      </c>
      <c r="L590" s="4" t="s">
        <v>986</v>
      </c>
      <c r="M590" s="5"/>
      <c r="N590" s="5"/>
      <c r="O590" s="5" t="b">
        <v>1</v>
      </c>
      <c r="P590" s="4" t="str">
        <f>IF(A590="",IF(ISNUMBER(SEARCH("NOT NULL",UPPER(A$3))),"''","null"),SUBSTITUTE(VLOOKUP(A$2,convert!$A$1:$B$4,2,0),"@@@",A590))</f>
        <v>'0479N01'</v>
      </c>
      <c r="Q590" s="4" t="str">
        <f>IF(B590="",IF(ISNUMBER(SEARCH("NOT NULL",UPPER(B$3))),"''","null"),SUBSTITUTE(VLOOKUP(B$2,convert!$A$1:$B$4,2,0),"@@@",B590))</f>
        <v>'ロトム'</v>
      </c>
      <c r="R590" s="4" t="str">
        <f>IF(C590="",IF(ISNUMBER(SEARCH("NOT NULL",UPPER(C$3))),"''","null"),SUBSTITUTE(VLOOKUP(C$2,convert!$A$1:$B$4,2,0),"@@@",C590))</f>
        <v>50</v>
      </c>
      <c r="S590" s="4" t="str">
        <f>IF(D590="",IF(ISNUMBER(SEARCH("NOT NULL",UPPER(D$3))),"''","null"),SUBSTITUTE(VLOOKUP(D$2,convert!$A$1:$B$4,2,0),"@@@",D590))</f>
        <v>50</v>
      </c>
      <c r="T590" s="4" t="str">
        <f>IF(E590="",IF(ISNUMBER(SEARCH("NOT NULL",UPPER(E$3))),"''","null"),SUBSTITUTE(VLOOKUP(E$2,convert!$A$1:$B$4,2,0),"@@@",E590))</f>
        <v>77</v>
      </c>
      <c r="U590" s="4" t="str">
        <f>IF(F590="",IF(ISNUMBER(SEARCH("NOT NULL",UPPER(F$3))),"''","null"),SUBSTITUTE(VLOOKUP(F$2,convert!$A$1:$B$4,2,0),"@@@",F590))</f>
        <v>95</v>
      </c>
      <c r="V590" s="4" t="str">
        <f>IF(G590="",IF(ISNUMBER(SEARCH("NOT NULL",UPPER(G$3))),"''","null"),SUBSTITUTE(VLOOKUP(G$2,convert!$A$1:$B$4,2,0),"@@@",G590))</f>
        <v>77</v>
      </c>
      <c r="W590" s="4" t="str">
        <f>IF(H590="",IF(ISNUMBER(SEARCH("NOT NULL",UPPER(H$3))),"''","null"),SUBSTITUTE(VLOOKUP(H$2,convert!$A$1:$B$4,2,0),"@@@",H590))</f>
        <v>91</v>
      </c>
      <c r="X590" s="4" t="str">
        <f>IF(I590="",IF(ISNUMBER(SEARCH("NOT NULL",UPPER(I$3))),"''","null"),SUBSTITUTE(VLOOKUP(I$2,convert!$A$1:$B$4,2,0),"@@@",I590))</f>
        <v>''</v>
      </c>
      <c r="Y590" s="4" t="str">
        <f>IF(J590="",IF(ISNUMBER(SEARCH("NOT NULL",UPPER(J$3))),"''","null"),SUBSTITUTE(VLOOKUP(J$2,convert!$A$1:$B$4,2,0),"@@@",J590))</f>
        <v>'electric'</v>
      </c>
      <c r="Z590" s="4" t="str">
        <f>IF(K590="",IF(ISNUMBER(SEARCH("NOT NULL",UPPER(K$3))),"''","null"),SUBSTITUTE(VLOOKUP(K$2,convert!$A$1:$B$4,2,0),"@@@",K590))</f>
        <v>'ghost'</v>
      </c>
      <c r="AA590" s="4" t="str">
        <f>IF(L590="",IF(ISNUMBER(SEARCH("NOT NULL",UPPER(L$3))),"''","null"),SUBSTITUTE(VLOOKUP(L$2,convert!$A$1:$B$4,2,0),"@@@",L590))</f>
        <v>'g4'</v>
      </c>
      <c r="AB590" s="4" t="str">
        <f>IF(M590="",IF(ISNUMBER(SEARCH("NOT NULL",UPPER(M$3))),"''","null"),SUBSTITUTE(VLOOKUP(M$2,convert!$A$1:$B$4,2,0),"@@@",M590))</f>
        <v>null</v>
      </c>
      <c r="AC590" s="4" t="str">
        <f>IF(N590="",IF(ISNUMBER(SEARCH("NOT NULL",UPPER(N$3))),"''","null"),SUBSTITUTE(VLOOKUP(N$2,convert!$A$1:$B$4,2,0),"@@@",N590))</f>
        <v>null</v>
      </c>
      <c r="AD590" s="4" t="str">
        <f>IF(O590="",IF(ISNUMBER(SEARCH("NOT NULL",UPPER(O$3))),"''","null"),SUBSTITUTE(VLOOKUP(O$2,convert!$A$1:$B$4,2,0),"@@@",O590))</f>
        <v>TRUE</v>
      </c>
      <c r="AE590" s="4" t="str">
        <f t="shared" si="9"/>
        <v>    ('0479N01', 'ロトム', 50, 50, 77, 95, 77, 91, '', 'electric', 'ghost', 'g4', null, null, TRUE),</v>
      </c>
    </row>
    <row r="591" spans="1:31">
      <c r="A591" s="4" t="s">
        <v>1195</v>
      </c>
      <c r="B591" s="4" t="s">
        <v>1194</v>
      </c>
      <c r="C591" s="5">
        <v>50</v>
      </c>
      <c r="D591" s="5">
        <v>65</v>
      </c>
      <c r="E591" s="5">
        <v>107</v>
      </c>
      <c r="F591" s="5">
        <v>105</v>
      </c>
      <c r="G591" s="5">
        <v>107</v>
      </c>
      <c r="H591" s="5">
        <v>86</v>
      </c>
      <c r="I591" s="4" t="s">
        <v>1196</v>
      </c>
      <c r="J591" s="4" t="s">
        <v>106</v>
      </c>
      <c r="K591" s="4" t="s">
        <v>42</v>
      </c>
      <c r="L591" s="4" t="s">
        <v>986</v>
      </c>
      <c r="M591" s="5"/>
      <c r="N591" s="5"/>
      <c r="O591" s="5" t="b">
        <v>0</v>
      </c>
      <c r="P591" s="4" t="str">
        <f>IF(A591="",IF(ISNUMBER(SEARCH("NOT NULL",UPPER(A$3))),"''","null"),SUBSTITUTE(VLOOKUP(A$2,convert!$A$1:$B$4,2,0),"@@@",A591))</f>
        <v>'0479N02'</v>
      </c>
      <c r="Q591" s="4" t="str">
        <f>IF(B591="",IF(ISNUMBER(SEARCH("NOT NULL",UPPER(B$3))),"''","null"),SUBSTITUTE(VLOOKUP(B$2,convert!$A$1:$B$4,2,0),"@@@",B591))</f>
        <v>'ロトム'</v>
      </c>
      <c r="R591" s="4" t="str">
        <f>IF(C591="",IF(ISNUMBER(SEARCH("NOT NULL",UPPER(C$3))),"''","null"),SUBSTITUTE(VLOOKUP(C$2,convert!$A$1:$B$4,2,0),"@@@",C591))</f>
        <v>50</v>
      </c>
      <c r="S591" s="4" t="str">
        <f>IF(D591="",IF(ISNUMBER(SEARCH("NOT NULL",UPPER(D$3))),"''","null"),SUBSTITUTE(VLOOKUP(D$2,convert!$A$1:$B$4,2,0),"@@@",D591))</f>
        <v>65</v>
      </c>
      <c r="T591" s="4" t="str">
        <f>IF(E591="",IF(ISNUMBER(SEARCH("NOT NULL",UPPER(E$3))),"''","null"),SUBSTITUTE(VLOOKUP(E$2,convert!$A$1:$B$4,2,0),"@@@",E591))</f>
        <v>107</v>
      </c>
      <c r="U591" s="4" t="str">
        <f>IF(F591="",IF(ISNUMBER(SEARCH("NOT NULL",UPPER(F$3))),"''","null"),SUBSTITUTE(VLOOKUP(F$2,convert!$A$1:$B$4,2,0),"@@@",F591))</f>
        <v>105</v>
      </c>
      <c r="V591" s="4" t="str">
        <f>IF(G591="",IF(ISNUMBER(SEARCH("NOT NULL",UPPER(G$3))),"''","null"),SUBSTITUTE(VLOOKUP(G$2,convert!$A$1:$B$4,2,0),"@@@",G591))</f>
        <v>107</v>
      </c>
      <c r="W591" s="4" t="str">
        <f>IF(H591="",IF(ISNUMBER(SEARCH("NOT NULL",UPPER(H$3))),"''","null"),SUBSTITUTE(VLOOKUP(H$2,convert!$A$1:$B$4,2,0),"@@@",H591))</f>
        <v>86</v>
      </c>
      <c r="X591" s="4" t="str">
        <f>IF(I591="",IF(ISNUMBER(SEARCH("NOT NULL",UPPER(I$3))),"''","null"),SUBSTITUTE(VLOOKUP(I$2,convert!$A$1:$B$4,2,0),"@@@",I591))</f>
        <v>'ヒートロトム'</v>
      </c>
      <c r="Y591" s="4" t="str">
        <f>IF(J591="",IF(ISNUMBER(SEARCH("NOT NULL",UPPER(J$3))),"''","null"),SUBSTITUTE(VLOOKUP(J$2,convert!$A$1:$B$4,2,0),"@@@",J591))</f>
        <v>'electric'</v>
      </c>
      <c r="Z591" s="4" t="str">
        <f>IF(K591="",IF(ISNUMBER(SEARCH("NOT NULL",UPPER(K$3))),"''","null"),SUBSTITUTE(VLOOKUP(K$2,convert!$A$1:$B$4,2,0),"@@@",K591))</f>
        <v>'fire'</v>
      </c>
      <c r="AA591" s="4" t="str">
        <f>IF(L591="",IF(ISNUMBER(SEARCH("NOT NULL",UPPER(L$3))),"''","null"),SUBSTITUTE(VLOOKUP(L$2,convert!$A$1:$B$4,2,0),"@@@",L591))</f>
        <v>'g4'</v>
      </c>
      <c r="AB591" s="4" t="str">
        <f>IF(M591="",IF(ISNUMBER(SEARCH("NOT NULL",UPPER(M$3))),"''","null"),SUBSTITUTE(VLOOKUP(M$2,convert!$A$1:$B$4,2,0),"@@@",M591))</f>
        <v>null</v>
      </c>
      <c r="AC591" s="4" t="str">
        <f>IF(N591="",IF(ISNUMBER(SEARCH("NOT NULL",UPPER(N$3))),"''","null"),SUBSTITUTE(VLOOKUP(N$2,convert!$A$1:$B$4,2,0),"@@@",N591))</f>
        <v>null</v>
      </c>
      <c r="AD591" s="4" t="str">
        <f>IF(O591="",IF(ISNUMBER(SEARCH("NOT NULL",UPPER(O$3))),"''","null"),SUBSTITUTE(VLOOKUP(O$2,convert!$A$1:$B$4,2,0),"@@@",O591))</f>
        <v>FALSE</v>
      </c>
      <c r="AE591" s="4" t="str">
        <f t="shared" si="9"/>
        <v>    ('0479N02', 'ロトム', 50, 65, 107, 105, 107, 86, 'ヒートロトム', 'electric', 'fire', 'g4', null, null, FALSE),</v>
      </c>
    </row>
    <row r="592" spans="1:31">
      <c r="A592" s="4" t="s">
        <v>1197</v>
      </c>
      <c r="B592" s="4" t="s">
        <v>1194</v>
      </c>
      <c r="C592" s="5">
        <v>50</v>
      </c>
      <c r="D592" s="5">
        <v>65</v>
      </c>
      <c r="E592" s="5">
        <v>107</v>
      </c>
      <c r="F592" s="5">
        <v>105</v>
      </c>
      <c r="G592" s="5">
        <v>107</v>
      </c>
      <c r="H592" s="5">
        <v>86</v>
      </c>
      <c r="I592" s="4" t="s">
        <v>1198</v>
      </c>
      <c r="J592" s="4" t="s">
        <v>106</v>
      </c>
      <c r="K592" s="4" t="s">
        <v>55</v>
      </c>
      <c r="L592" s="4" t="s">
        <v>986</v>
      </c>
      <c r="M592" s="5"/>
      <c r="N592" s="5"/>
      <c r="O592" s="5" t="b">
        <v>1</v>
      </c>
      <c r="P592" s="4" t="str">
        <f>IF(A592="",IF(ISNUMBER(SEARCH("NOT NULL",UPPER(A$3))),"''","null"),SUBSTITUTE(VLOOKUP(A$2,convert!$A$1:$B$4,2,0),"@@@",A592))</f>
        <v>'0479N03'</v>
      </c>
      <c r="Q592" s="4" t="str">
        <f>IF(B592="",IF(ISNUMBER(SEARCH("NOT NULL",UPPER(B$3))),"''","null"),SUBSTITUTE(VLOOKUP(B$2,convert!$A$1:$B$4,2,0),"@@@",B592))</f>
        <v>'ロトム'</v>
      </c>
      <c r="R592" s="4" t="str">
        <f>IF(C592="",IF(ISNUMBER(SEARCH("NOT NULL",UPPER(C$3))),"''","null"),SUBSTITUTE(VLOOKUP(C$2,convert!$A$1:$B$4,2,0),"@@@",C592))</f>
        <v>50</v>
      </c>
      <c r="S592" s="4" t="str">
        <f>IF(D592="",IF(ISNUMBER(SEARCH("NOT NULL",UPPER(D$3))),"''","null"),SUBSTITUTE(VLOOKUP(D$2,convert!$A$1:$B$4,2,0),"@@@",D592))</f>
        <v>65</v>
      </c>
      <c r="T592" s="4" t="str">
        <f>IF(E592="",IF(ISNUMBER(SEARCH("NOT NULL",UPPER(E$3))),"''","null"),SUBSTITUTE(VLOOKUP(E$2,convert!$A$1:$B$4,2,0),"@@@",E592))</f>
        <v>107</v>
      </c>
      <c r="U592" s="4" t="str">
        <f>IF(F592="",IF(ISNUMBER(SEARCH("NOT NULL",UPPER(F$3))),"''","null"),SUBSTITUTE(VLOOKUP(F$2,convert!$A$1:$B$4,2,0),"@@@",F592))</f>
        <v>105</v>
      </c>
      <c r="V592" s="4" t="str">
        <f>IF(G592="",IF(ISNUMBER(SEARCH("NOT NULL",UPPER(G$3))),"''","null"),SUBSTITUTE(VLOOKUP(G$2,convert!$A$1:$B$4,2,0),"@@@",G592))</f>
        <v>107</v>
      </c>
      <c r="W592" s="4" t="str">
        <f>IF(H592="",IF(ISNUMBER(SEARCH("NOT NULL",UPPER(H$3))),"''","null"),SUBSTITUTE(VLOOKUP(H$2,convert!$A$1:$B$4,2,0),"@@@",H592))</f>
        <v>86</v>
      </c>
      <c r="X592" s="4" t="str">
        <f>IF(I592="",IF(ISNUMBER(SEARCH("NOT NULL",UPPER(I$3))),"''","null"),SUBSTITUTE(VLOOKUP(I$2,convert!$A$1:$B$4,2,0),"@@@",I592))</f>
        <v>'ウォッシュロトム'</v>
      </c>
      <c r="Y592" s="4" t="str">
        <f>IF(J592="",IF(ISNUMBER(SEARCH("NOT NULL",UPPER(J$3))),"''","null"),SUBSTITUTE(VLOOKUP(J$2,convert!$A$1:$B$4,2,0),"@@@",J592))</f>
        <v>'electric'</v>
      </c>
      <c r="Z592" s="4" t="str">
        <f>IF(K592="",IF(ISNUMBER(SEARCH("NOT NULL",UPPER(K$3))),"''","null"),SUBSTITUTE(VLOOKUP(K$2,convert!$A$1:$B$4,2,0),"@@@",K592))</f>
        <v>'water'</v>
      </c>
      <c r="AA592" s="4" t="str">
        <f>IF(L592="",IF(ISNUMBER(SEARCH("NOT NULL",UPPER(L$3))),"''","null"),SUBSTITUTE(VLOOKUP(L$2,convert!$A$1:$B$4,2,0),"@@@",L592))</f>
        <v>'g4'</v>
      </c>
      <c r="AB592" s="4" t="str">
        <f>IF(M592="",IF(ISNUMBER(SEARCH("NOT NULL",UPPER(M$3))),"''","null"),SUBSTITUTE(VLOOKUP(M$2,convert!$A$1:$B$4,2,0),"@@@",M592))</f>
        <v>null</v>
      </c>
      <c r="AC592" s="4" t="str">
        <f>IF(N592="",IF(ISNUMBER(SEARCH("NOT NULL",UPPER(N$3))),"''","null"),SUBSTITUTE(VLOOKUP(N$2,convert!$A$1:$B$4,2,0),"@@@",N592))</f>
        <v>null</v>
      </c>
      <c r="AD592" s="4" t="str">
        <f>IF(O592="",IF(ISNUMBER(SEARCH("NOT NULL",UPPER(O$3))),"''","null"),SUBSTITUTE(VLOOKUP(O$2,convert!$A$1:$B$4,2,0),"@@@",O592))</f>
        <v>TRUE</v>
      </c>
      <c r="AE592" s="4" t="str">
        <f t="shared" si="9"/>
        <v>    ('0479N03', 'ロトム', 50, 65, 107, 105, 107, 86, 'ウォッシュロトム', 'electric', 'water', 'g4', null, null, TRUE),</v>
      </c>
    </row>
    <row r="593" spans="1:31">
      <c r="A593" s="4" t="s">
        <v>1199</v>
      </c>
      <c r="B593" s="4" t="s">
        <v>1194</v>
      </c>
      <c r="C593" s="5">
        <v>50</v>
      </c>
      <c r="D593" s="5">
        <v>65</v>
      </c>
      <c r="E593" s="5">
        <v>107</v>
      </c>
      <c r="F593" s="5">
        <v>105</v>
      </c>
      <c r="G593" s="5">
        <v>107</v>
      </c>
      <c r="H593" s="5">
        <v>86</v>
      </c>
      <c r="I593" s="4" t="s">
        <v>1200</v>
      </c>
      <c r="J593" s="4" t="s">
        <v>106</v>
      </c>
      <c r="K593" s="4" t="s">
        <v>118</v>
      </c>
      <c r="L593" s="4" t="s">
        <v>986</v>
      </c>
      <c r="M593" s="5"/>
      <c r="N593" s="5"/>
      <c r="O593" s="5" t="b">
        <v>0</v>
      </c>
      <c r="P593" s="4" t="str">
        <f>IF(A593="",IF(ISNUMBER(SEARCH("NOT NULL",UPPER(A$3))),"''","null"),SUBSTITUTE(VLOOKUP(A$2,convert!$A$1:$B$4,2,0),"@@@",A593))</f>
        <v>'0479N04'</v>
      </c>
      <c r="Q593" s="4" t="str">
        <f>IF(B593="",IF(ISNUMBER(SEARCH("NOT NULL",UPPER(B$3))),"''","null"),SUBSTITUTE(VLOOKUP(B$2,convert!$A$1:$B$4,2,0),"@@@",B593))</f>
        <v>'ロトム'</v>
      </c>
      <c r="R593" s="4" t="str">
        <f>IF(C593="",IF(ISNUMBER(SEARCH("NOT NULL",UPPER(C$3))),"''","null"),SUBSTITUTE(VLOOKUP(C$2,convert!$A$1:$B$4,2,0),"@@@",C593))</f>
        <v>50</v>
      </c>
      <c r="S593" s="4" t="str">
        <f>IF(D593="",IF(ISNUMBER(SEARCH("NOT NULL",UPPER(D$3))),"''","null"),SUBSTITUTE(VLOOKUP(D$2,convert!$A$1:$B$4,2,0),"@@@",D593))</f>
        <v>65</v>
      </c>
      <c r="T593" s="4" t="str">
        <f>IF(E593="",IF(ISNUMBER(SEARCH("NOT NULL",UPPER(E$3))),"''","null"),SUBSTITUTE(VLOOKUP(E$2,convert!$A$1:$B$4,2,0),"@@@",E593))</f>
        <v>107</v>
      </c>
      <c r="U593" s="4" t="str">
        <f>IF(F593="",IF(ISNUMBER(SEARCH("NOT NULL",UPPER(F$3))),"''","null"),SUBSTITUTE(VLOOKUP(F$2,convert!$A$1:$B$4,2,0),"@@@",F593))</f>
        <v>105</v>
      </c>
      <c r="V593" s="4" t="str">
        <f>IF(G593="",IF(ISNUMBER(SEARCH("NOT NULL",UPPER(G$3))),"''","null"),SUBSTITUTE(VLOOKUP(G$2,convert!$A$1:$B$4,2,0),"@@@",G593))</f>
        <v>107</v>
      </c>
      <c r="W593" s="4" t="str">
        <f>IF(H593="",IF(ISNUMBER(SEARCH("NOT NULL",UPPER(H$3))),"''","null"),SUBSTITUTE(VLOOKUP(H$2,convert!$A$1:$B$4,2,0),"@@@",H593))</f>
        <v>86</v>
      </c>
      <c r="X593" s="4" t="str">
        <f>IF(I593="",IF(ISNUMBER(SEARCH("NOT NULL",UPPER(I$3))),"''","null"),SUBSTITUTE(VLOOKUP(I$2,convert!$A$1:$B$4,2,0),"@@@",I593))</f>
        <v>'フロストロトム'</v>
      </c>
      <c r="Y593" s="4" t="str">
        <f>IF(J593="",IF(ISNUMBER(SEARCH("NOT NULL",UPPER(J$3))),"''","null"),SUBSTITUTE(VLOOKUP(J$2,convert!$A$1:$B$4,2,0),"@@@",J593))</f>
        <v>'electric'</v>
      </c>
      <c r="Z593" s="4" t="str">
        <f>IF(K593="",IF(ISNUMBER(SEARCH("NOT NULL",UPPER(K$3))),"''","null"),SUBSTITUTE(VLOOKUP(K$2,convert!$A$1:$B$4,2,0),"@@@",K593))</f>
        <v>'ice'</v>
      </c>
      <c r="AA593" s="4" t="str">
        <f>IF(L593="",IF(ISNUMBER(SEARCH("NOT NULL",UPPER(L$3))),"''","null"),SUBSTITUTE(VLOOKUP(L$2,convert!$A$1:$B$4,2,0),"@@@",L593))</f>
        <v>'g4'</v>
      </c>
      <c r="AB593" s="4" t="str">
        <f>IF(M593="",IF(ISNUMBER(SEARCH("NOT NULL",UPPER(M$3))),"''","null"),SUBSTITUTE(VLOOKUP(M$2,convert!$A$1:$B$4,2,0),"@@@",M593))</f>
        <v>null</v>
      </c>
      <c r="AC593" s="4" t="str">
        <f>IF(N593="",IF(ISNUMBER(SEARCH("NOT NULL",UPPER(N$3))),"''","null"),SUBSTITUTE(VLOOKUP(N$2,convert!$A$1:$B$4,2,0),"@@@",N593))</f>
        <v>null</v>
      </c>
      <c r="AD593" s="4" t="str">
        <f>IF(O593="",IF(ISNUMBER(SEARCH("NOT NULL",UPPER(O$3))),"''","null"),SUBSTITUTE(VLOOKUP(O$2,convert!$A$1:$B$4,2,0),"@@@",O593))</f>
        <v>FALSE</v>
      </c>
      <c r="AE593" s="4" t="str">
        <f t="shared" si="9"/>
        <v>    ('0479N04', 'ロトム', 50, 65, 107, 105, 107, 86, 'フロストロトム', 'electric', 'ice', 'g4', null, null, FALSE),</v>
      </c>
    </row>
    <row r="594" spans="1:31">
      <c r="A594" s="4" t="s">
        <v>1201</v>
      </c>
      <c r="B594" s="4" t="s">
        <v>1194</v>
      </c>
      <c r="C594" s="5">
        <v>50</v>
      </c>
      <c r="D594" s="5">
        <v>65</v>
      </c>
      <c r="E594" s="5">
        <v>107</v>
      </c>
      <c r="F594" s="5">
        <v>105</v>
      </c>
      <c r="G594" s="5">
        <v>107</v>
      </c>
      <c r="H594" s="5">
        <v>86</v>
      </c>
      <c r="I594" s="4" t="s">
        <v>1202</v>
      </c>
      <c r="J594" s="4" t="s">
        <v>106</v>
      </c>
      <c r="K594" s="4" t="s">
        <v>47</v>
      </c>
      <c r="L594" s="4" t="s">
        <v>986</v>
      </c>
      <c r="M594" s="5"/>
      <c r="N594" s="5"/>
      <c r="O594" s="5" t="b">
        <v>0</v>
      </c>
      <c r="P594" s="4" t="str">
        <f>IF(A594="",IF(ISNUMBER(SEARCH("NOT NULL",UPPER(A$3))),"''","null"),SUBSTITUTE(VLOOKUP(A$2,convert!$A$1:$B$4,2,0),"@@@",A594))</f>
        <v>'0479N05'</v>
      </c>
      <c r="Q594" s="4" t="str">
        <f>IF(B594="",IF(ISNUMBER(SEARCH("NOT NULL",UPPER(B$3))),"''","null"),SUBSTITUTE(VLOOKUP(B$2,convert!$A$1:$B$4,2,0),"@@@",B594))</f>
        <v>'ロトム'</v>
      </c>
      <c r="R594" s="4" t="str">
        <f>IF(C594="",IF(ISNUMBER(SEARCH("NOT NULL",UPPER(C$3))),"''","null"),SUBSTITUTE(VLOOKUP(C$2,convert!$A$1:$B$4,2,0),"@@@",C594))</f>
        <v>50</v>
      </c>
      <c r="S594" s="4" t="str">
        <f>IF(D594="",IF(ISNUMBER(SEARCH("NOT NULL",UPPER(D$3))),"''","null"),SUBSTITUTE(VLOOKUP(D$2,convert!$A$1:$B$4,2,0),"@@@",D594))</f>
        <v>65</v>
      </c>
      <c r="T594" s="4" t="str">
        <f>IF(E594="",IF(ISNUMBER(SEARCH("NOT NULL",UPPER(E$3))),"''","null"),SUBSTITUTE(VLOOKUP(E$2,convert!$A$1:$B$4,2,0),"@@@",E594))</f>
        <v>107</v>
      </c>
      <c r="U594" s="4" t="str">
        <f>IF(F594="",IF(ISNUMBER(SEARCH("NOT NULL",UPPER(F$3))),"''","null"),SUBSTITUTE(VLOOKUP(F$2,convert!$A$1:$B$4,2,0),"@@@",F594))</f>
        <v>105</v>
      </c>
      <c r="V594" s="4" t="str">
        <f>IF(G594="",IF(ISNUMBER(SEARCH("NOT NULL",UPPER(G$3))),"''","null"),SUBSTITUTE(VLOOKUP(G$2,convert!$A$1:$B$4,2,0),"@@@",G594))</f>
        <v>107</v>
      </c>
      <c r="W594" s="4" t="str">
        <f>IF(H594="",IF(ISNUMBER(SEARCH("NOT NULL",UPPER(H$3))),"''","null"),SUBSTITUTE(VLOOKUP(H$2,convert!$A$1:$B$4,2,0),"@@@",H594))</f>
        <v>86</v>
      </c>
      <c r="X594" s="4" t="str">
        <f>IF(I594="",IF(ISNUMBER(SEARCH("NOT NULL",UPPER(I$3))),"''","null"),SUBSTITUTE(VLOOKUP(I$2,convert!$A$1:$B$4,2,0),"@@@",I594))</f>
        <v>'スピンロトム'</v>
      </c>
      <c r="Y594" s="4" t="str">
        <f>IF(J594="",IF(ISNUMBER(SEARCH("NOT NULL",UPPER(J$3))),"''","null"),SUBSTITUTE(VLOOKUP(J$2,convert!$A$1:$B$4,2,0),"@@@",J594))</f>
        <v>'electric'</v>
      </c>
      <c r="Z594" s="4" t="str">
        <f>IF(K594="",IF(ISNUMBER(SEARCH("NOT NULL",UPPER(K$3))),"''","null"),SUBSTITUTE(VLOOKUP(K$2,convert!$A$1:$B$4,2,0),"@@@",K594))</f>
        <v>'flying'</v>
      </c>
      <c r="AA594" s="4" t="str">
        <f>IF(L594="",IF(ISNUMBER(SEARCH("NOT NULL",UPPER(L$3))),"''","null"),SUBSTITUTE(VLOOKUP(L$2,convert!$A$1:$B$4,2,0),"@@@",L594))</f>
        <v>'g4'</v>
      </c>
      <c r="AB594" s="4" t="str">
        <f>IF(M594="",IF(ISNUMBER(SEARCH("NOT NULL",UPPER(M$3))),"''","null"),SUBSTITUTE(VLOOKUP(M$2,convert!$A$1:$B$4,2,0),"@@@",M594))</f>
        <v>null</v>
      </c>
      <c r="AC594" s="4" t="str">
        <f>IF(N594="",IF(ISNUMBER(SEARCH("NOT NULL",UPPER(N$3))),"''","null"),SUBSTITUTE(VLOOKUP(N$2,convert!$A$1:$B$4,2,0),"@@@",N594))</f>
        <v>null</v>
      </c>
      <c r="AD594" s="4" t="str">
        <f>IF(O594="",IF(ISNUMBER(SEARCH("NOT NULL",UPPER(O$3))),"''","null"),SUBSTITUTE(VLOOKUP(O$2,convert!$A$1:$B$4,2,0),"@@@",O594))</f>
        <v>FALSE</v>
      </c>
      <c r="AE594" s="4" t="str">
        <f t="shared" si="9"/>
        <v>    ('0479N05', 'ロトム', 50, 65, 107, 105, 107, 86, 'スピンロトム', 'electric', 'flying', 'g4', null, null, FALSE),</v>
      </c>
    </row>
    <row r="595" spans="1:31">
      <c r="A595" s="4" t="s">
        <v>1203</v>
      </c>
      <c r="B595" s="4" t="s">
        <v>1194</v>
      </c>
      <c r="C595" s="5">
        <v>50</v>
      </c>
      <c r="D595" s="5">
        <v>65</v>
      </c>
      <c r="E595" s="5">
        <v>107</v>
      </c>
      <c r="F595" s="5">
        <v>105</v>
      </c>
      <c r="G595" s="5">
        <v>107</v>
      </c>
      <c r="H595" s="5">
        <v>86</v>
      </c>
      <c r="I595" s="4" t="s">
        <v>1204</v>
      </c>
      <c r="J595" s="4" t="s">
        <v>106</v>
      </c>
      <c r="K595" s="4" t="s">
        <v>30</v>
      </c>
      <c r="L595" s="4" t="s">
        <v>986</v>
      </c>
      <c r="M595" s="5"/>
      <c r="N595" s="5"/>
      <c r="O595" s="5" t="b">
        <v>1</v>
      </c>
      <c r="P595" s="4" t="str">
        <f>IF(A595="",IF(ISNUMBER(SEARCH("NOT NULL",UPPER(A$3))),"''","null"),SUBSTITUTE(VLOOKUP(A$2,convert!$A$1:$B$4,2,0),"@@@",A595))</f>
        <v>'0479N06'</v>
      </c>
      <c r="Q595" s="4" t="str">
        <f>IF(B595="",IF(ISNUMBER(SEARCH("NOT NULL",UPPER(B$3))),"''","null"),SUBSTITUTE(VLOOKUP(B$2,convert!$A$1:$B$4,2,0),"@@@",B595))</f>
        <v>'ロトム'</v>
      </c>
      <c r="R595" s="4" t="str">
        <f>IF(C595="",IF(ISNUMBER(SEARCH("NOT NULL",UPPER(C$3))),"''","null"),SUBSTITUTE(VLOOKUP(C$2,convert!$A$1:$B$4,2,0),"@@@",C595))</f>
        <v>50</v>
      </c>
      <c r="S595" s="4" t="str">
        <f>IF(D595="",IF(ISNUMBER(SEARCH("NOT NULL",UPPER(D$3))),"''","null"),SUBSTITUTE(VLOOKUP(D$2,convert!$A$1:$B$4,2,0),"@@@",D595))</f>
        <v>65</v>
      </c>
      <c r="T595" s="4" t="str">
        <f>IF(E595="",IF(ISNUMBER(SEARCH("NOT NULL",UPPER(E$3))),"''","null"),SUBSTITUTE(VLOOKUP(E$2,convert!$A$1:$B$4,2,0),"@@@",E595))</f>
        <v>107</v>
      </c>
      <c r="U595" s="4" t="str">
        <f>IF(F595="",IF(ISNUMBER(SEARCH("NOT NULL",UPPER(F$3))),"''","null"),SUBSTITUTE(VLOOKUP(F$2,convert!$A$1:$B$4,2,0),"@@@",F595))</f>
        <v>105</v>
      </c>
      <c r="V595" s="4" t="str">
        <f>IF(G595="",IF(ISNUMBER(SEARCH("NOT NULL",UPPER(G$3))),"''","null"),SUBSTITUTE(VLOOKUP(G$2,convert!$A$1:$B$4,2,0),"@@@",G595))</f>
        <v>107</v>
      </c>
      <c r="W595" s="4" t="str">
        <f>IF(H595="",IF(ISNUMBER(SEARCH("NOT NULL",UPPER(H$3))),"''","null"),SUBSTITUTE(VLOOKUP(H$2,convert!$A$1:$B$4,2,0),"@@@",H595))</f>
        <v>86</v>
      </c>
      <c r="X595" s="4" t="str">
        <f>IF(I595="",IF(ISNUMBER(SEARCH("NOT NULL",UPPER(I$3))),"''","null"),SUBSTITUTE(VLOOKUP(I$2,convert!$A$1:$B$4,2,0),"@@@",I595))</f>
        <v>'カットロトム'</v>
      </c>
      <c r="Y595" s="4" t="str">
        <f>IF(J595="",IF(ISNUMBER(SEARCH("NOT NULL",UPPER(J$3))),"''","null"),SUBSTITUTE(VLOOKUP(J$2,convert!$A$1:$B$4,2,0),"@@@",J595))</f>
        <v>'electric'</v>
      </c>
      <c r="Z595" s="4" t="str">
        <f>IF(K595="",IF(ISNUMBER(SEARCH("NOT NULL",UPPER(K$3))),"''","null"),SUBSTITUTE(VLOOKUP(K$2,convert!$A$1:$B$4,2,0),"@@@",K595))</f>
        <v>'grass'</v>
      </c>
      <c r="AA595" s="4" t="str">
        <f>IF(L595="",IF(ISNUMBER(SEARCH("NOT NULL",UPPER(L$3))),"''","null"),SUBSTITUTE(VLOOKUP(L$2,convert!$A$1:$B$4,2,0),"@@@",L595))</f>
        <v>'g4'</v>
      </c>
      <c r="AB595" s="4" t="str">
        <f>IF(M595="",IF(ISNUMBER(SEARCH("NOT NULL",UPPER(M$3))),"''","null"),SUBSTITUTE(VLOOKUP(M$2,convert!$A$1:$B$4,2,0),"@@@",M595))</f>
        <v>null</v>
      </c>
      <c r="AC595" s="4" t="str">
        <f>IF(N595="",IF(ISNUMBER(SEARCH("NOT NULL",UPPER(N$3))),"''","null"),SUBSTITUTE(VLOOKUP(N$2,convert!$A$1:$B$4,2,0),"@@@",N595))</f>
        <v>null</v>
      </c>
      <c r="AD595" s="4" t="str">
        <f>IF(O595="",IF(ISNUMBER(SEARCH("NOT NULL",UPPER(O$3))),"''","null"),SUBSTITUTE(VLOOKUP(O$2,convert!$A$1:$B$4,2,0),"@@@",O595))</f>
        <v>TRUE</v>
      </c>
      <c r="AE595" s="4" t="str">
        <f t="shared" si="9"/>
        <v>    ('0479N06', 'ロトム', 50, 65, 107, 105, 107, 86, 'カットロトム', 'electric', 'grass', 'g4', null, null, TRUE),</v>
      </c>
    </row>
    <row r="596" spans="1:31">
      <c r="A596" s="4" t="s">
        <v>1205</v>
      </c>
      <c r="B596" s="4" t="s">
        <v>1206</v>
      </c>
      <c r="C596" s="5">
        <v>75</v>
      </c>
      <c r="D596" s="5">
        <v>75</v>
      </c>
      <c r="E596" s="5">
        <v>130</v>
      </c>
      <c r="F596" s="5">
        <v>75</v>
      </c>
      <c r="G596" s="5">
        <v>130</v>
      </c>
      <c r="H596" s="5">
        <v>95</v>
      </c>
      <c r="I596" s="5"/>
      <c r="J596" s="4" t="s">
        <v>113</v>
      </c>
      <c r="K596" s="5"/>
      <c r="L596" s="4" t="s">
        <v>986</v>
      </c>
      <c r="M596" s="5"/>
      <c r="N596" s="5"/>
      <c r="O596" s="5" t="b">
        <v>1</v>
      </c>
      <c r="P596" s="4" t="str">
        <f>IF(A596="",IF(ISNUMBER(SEARCH("NOT NULL",UPPER(A$3))),"''","null"),SUBSTITUTE(VLOOKUP(A$2,convert!$A$1:$B$4,2,0),"@@@",A596))</f>
        <v>'0480N01'</v>
      </c>
      <c r="Q596" s="4" t="str">
        <f>IF(B596="",IF(ISNUMBER(SEARCH("NOT NULL",UPPER(B$3))),"''","null"),SUBSTITUTE(VLOOKUP(B$2,convert!$A$1:$B$4,2,0),"@@@",B596))</f>
        <v>'ユクシー'</v>
      </c>
      <c r="R596" s="4" t="str">
        <f>IF(C596="",IF(ISNUMBER(SEARCH("NOT NULL",UPPER(C$3))),"''","null"),SUBSTITUTE(VLOOKUP(C$2,convert!$A$1:$B$4,2,0),"@@@",C596))</f>
        <v>75</v>
      </c>
      <c r="S596" s="4" t="str">
        <f>IF(D596="",IF(ISNUMBER(SEARCH("NOT NULL",UPPER(D$3))),"''","null"),SUBSTITUTE(VLOOKUP(D$2,convert!$A$1:$B$4,2,0),"@@@",D596))</f>
        <v>75</v>
      </c>
      <c r="T596" s="4" t="str">
        <f>IF(E596="",IF(ISNUMBER(SEARCH("NOT NULL",UPPER(E$3))),"''","null"),SUBSTITUTE(VLOOKUP(E$2,convert!$A$1:$B$4,2,0),"@@@",E596))</f>
        <v>130</v>
      </c>
      <c r="U596" s="4" t="str">
        <f>IF(F596="",IF(ISNUMBER(SEARCH("NOT NULL",UPPER(F$3))),"''","null"),SUBSTITUTE(VLOOKUP(F$2,convert!$A$1:$B$4,2,0),"@@@",F596))</f>
        <v>75</v>
      </c>
      <c r="V596" s="4" t="str">
        <f>IF(G596="",IF(ISNUMBER(SEARCH("NOT NULL",UPPER(G$3))),"''","null"),SUBSTITUTE(VLOOKUP(G$2,convert!$A$1:$B$4,2,0),"@@@",G596))</f>
        <v>130</v>
      </c>
      <c r="W596" s="4" t="str">
        <f>IF(H596="",IF(ISNUMBER(SEARCH("NOT NULL",UPPER(H$3))),"''","null"),SUBSTITUTE(VLOOKUP(H$2,convert!$A$1:$B$4,2,0),"@@@",H596))</f>
        <v>95</v>
      </c>
      <c r="X596" s="4" t="str">
        <f>IF(I596="",IF(ISNUMBER(SEARCH("NOT NULL",UPPER(I$3))),"''","null"),SUBSTITUTE(VLOOKUP(I$2,convert!$A$1:$B$4,2,0),"@@@",I596))</f>
        <v>''</v>
      </c>
      <c r="Y596" s="4" t="str">
        <f>IF(J596="",IF(ISNUMBER(SEARCH("NOT NULL",UPPER(J$3))),"''","null"),SUBSTITUTE(VLOOKUP(J$2,convert!$A$1:$B$4,2,0),"@@@",J596))</f>
        <v>'psychic'</v>
      </c>
      <c r="Z596" s="4" t="str">
        <f>IF(K596="",IF(ISNUMBER(SEARCH("NOT NULL",UPPER(K$3))),"''","null"),SUBSTITUTE(VLOOKUP(K$2,convert!$A$1:$B$4,2,0),"@@@",K596))</f>
        <v>null</v>
      </c>
      <c r="AA596" s="4" t="str">
        <f>IF(L596="",IF(ISNUMBER(SEARCH("NOT NULL",UPPER(L$3))),"''","null"),SUBSTITUTE(VLOOKUP(L$2,convert!$A$1:$B$4,2,0),"@@@",L596))</f>
        <v>'g4'</v>
      </c>
      <c r="AB596" s="4" t="str">
        <f>IF(M596="",IF(ISNUMBER(SEARCH("NOT NULL",UPPER(M$3))),"''","null"),SUBSTITUTE(VLOOKUP(M$2,convert!$A$1:$B$4,2,0),"@@@",M596))</f>
        <v>null</v>
      </c>
      <c r="AC596" s="4" t="str">
        <f>IF(N596="",IF(ISNUMBER(SEARCH("NOT NULL",UPPER(N$3))),"''","null"),SUBSTITUTE(VLOOKUP(N$2,convert!$A$1:$B$4,2,0),"@@@",N596))</f>
        <v>null</v>
      </c>
      <c r="AD596" s="4" t="str">
        <f>IF(O596="",IF(ISNUMBER(SEARCH("NOT NULL",UPPER(O$3))),"''","null"),SUBSTITUTE(VLOOKUP(O$2,convert!$A$1:$B$4,2,0),"@@@",O596))</f>
        <v>TRUE</v>
      </c>
      <c r="AE596" s="4" t="str">
        <f t="shared" si="9"/>
        <v>    ('0480N01', 'ユクシー', 75, 75, 130, 75, 130, 95, '', 'psychic', null, 'g4', null, null, TRUE),</v>
      </c>
    </row>
    <row r="597" spans="1:31">
      <c r="A597" s="4" t="s">
        <v>1207</v>
      </c>
      <c r="B597" s="4" t="s">
        <v>1208</v>
      </c>
      <c r="C597" s="5">
        <v>80</v>
      </c>
      <c r="D597" s="5">
        <v>105</v>
      </c>
      <c r="E597" s="5">
        <v>105</v>
      </c>
      <c r="F597" s="5">
        <v>105</v>
      </c>
      <c r="G597" s="5">
        <v>105</v>
      </c>
      <c r="H597" s="5">
        <v>80</v>
      </c>
      <c r="I597" s="5"/>
      <c r="J597" s="4" t="s">
        <v>113</v>
      </c>
      <c r="K597" s="5"/>
      <c r="L597" s="4" t="s">
        <v>986</v>
      </c>
      <c r="M597" s="5"/>
      <c r="N597" s="5"/>
      <c r="O597" s="5" t="b">
        <v>1</v>
      </c>
      <c r="P597" s="4" t="str">
        <f>IF(A597="",IF(ISNUMBER(SEARCH("NOT NULL",UPPER(A$3))),"''","null"),SUBSTITUTE(VLOOKUP(A$2,convert!$A$1:$B$4,2,0),"@@@",A597))</f>
        <v>'0481N01'</v>
      </c>
      <c r="Q597" s="4" t="str">
        <f>IF(B597="",IF(ISNUMBER(SEARCH("NOT NULL",UPPER(B$3))),"''","null"),SUBSTITUTE(VLOOKUP(B$2,convert!$A$1:$B$4,2,0),"@@@",B597))</f>
        <v>'エムリット'</v>
      </c>
      <c r="R597" s="4" t="str">
        <f>IF(C597="",IF(ISNUMBER(SEARCH("NOT NULL",UPPER(C$3))),"''","null"),SUBSTITUTE(VLOOKUP(C$2,convert!$A$1:$B$4,2,0),"@@@",C597))</f>
        <v>80</v>
      </c>
      <c r="S597" s="4" t="str">
        <f>IF(D597="",IF(ISNUMBER(SEARCH("NOT NULL",UPPER(D$3))),"''","null"),SUBSTITUTE(VLOOKUP(D$2,convert!$A$1:$B$4,2,0),"@@@",D597))</f>
        <v>105</v>
      </c>
      <c r="T597" s="4" t="str">
        <f>IF(E597="",IF(ISNUMBER(SEARCH("NOT NULL",UPPER(E$3))),"''","null"),SUBSTITUTE(VLOOKUP(E$2,convert!$A$1:$B$4,2,0),"@@@",E597))</f>
        <v>105</v>
      </c>
      <c r="U597" s="4" t="str">
        <f>IF(F597="",IF(ISNUMBER(SEARCH("NOT NULL",UPPER(F$3))),"''","null"),SUBSTITUTE(VLOOKUP(F$2,convert!$A$1:$B$4,2,0),"@@@",F597))</f>
        <v>105</v>
      </c>
      <c r="V597" s="4" t="str">
        <f>IF(G597="",IF(ISNUMBER(SEARCH("NOT NULL",UPPER(G$3))),"''","null"),SUBSTITUTE(VLOOKUP(G$2,convert!$A$1:$B$4,2,0),"@@@",G597))</f>
        <v>105</v>
      </c>
      <c r="W597" s="4" t="str">
        <f>IF(H597="",IF(ISNUMBER(SEARCH("NOT NULL",UPPER(H$3))),"''","null"),SUBSTITUTE(VLOOKUP(H$2,convert!$A$1:$B$4,2,0),"@@@",H597))</f>
        <v>80</v>
      </c>
      <c r="X597" s="4" t="str">
        <f>IF(I597="",IF(ISNUMBER(SEARCH("NOT NULL",UPPER(I$3))),"''","null"),SUBSTITUTE(VLOOKUP(I$2,convert!$A$1:$B$4,2,0),"@@@",I597))</f>
        <v>''</v>
      </c>
      <c r="Y597" s="4" t="str">
        <f>IF(J597="",IF(ISNUMBER(SEARCH("NOT NULL",UPPER(J$3))),"''","null"),SUBSTITUTE(VLOOKUP(J$2,convert!$A$1:$B$4,2,0),"@@@",J597))</f>
        <v>'psychic'</v>
      </c>
      <c r="Z597" s="4" t="str">
        <f>IF(K597="",IF(ISNUMBER(SEARCH("NOT NULL",UPPER(K$3))),"''","null"),SUBSTITUTE(VLOOKUP(K$2,convert!$A$1:$B$4,2,0),"@@@",K597))</f>
        <v>null</v>
      </c>
      <c r="AA597" s="4" t="str">
        <f>IF(L597="",IF(ISNUMBER(SEARCH("NOT NULL",UPPER(L$3))),"''","null"),SUBSTITUTE(VLOOKUP(L$2,convert!$A$1:$B$4,2,0),"@@@",L597))</f>
        <v>'g4'</v>
      </c>
      <c r="AB597" s="4" t="str">
        <f>IF(M597="",IF(ISNUMBER(SEARCH("NOT NULL",UPPER(M$3))),"''","null"),SUBSTITUTE(VLOOKUP(M$2,convert!$A$1:$B$4,2,0),"@@@",M597))</f>
        <v>null</v>
      </c>
      <c r="AC597" s="4" t="str">
        <f>IF(N597="",IF(ISNUMBER(SEARCH("NOT NULL",UPPER(N$3))),"''","null"),SUBSTITUTE(VLOOKUP(N$2,convert!$A$1:$B$4,2,0),"@@@",N597))</f>
        <v>null</v>
      </c>
      <c r="AD597" s="4" t="str">
        <f>IF(O597="",IF(ISNUMBER(SEARCH("NOT NULL",UPPER(O$3))),"''","null"),SUBSTITUTE(VLOOKUP(O$2,convert!$A$1:$B$4,2,0),"@@@",O597))</f>
        <v>TRUE</v>
      </c>
      <c r="AE597" s="4" t="str">
        <f t="shared" si="9"/>
        <v>    ('0481N01', 'エムリット', 80, 105, 105, 105, 105, 80, '', 'psychic', null, 'g4', null, null, TRUE),</v>
      </c>
    </row>
    <row r="598" spans="1:31">
      <c r="A598" s="4" t="s">
        <v>1209</v>
      </c>
      <c r="B598" s="4" t="s">
        <v>1210</v>
      </c>
      <c r="C598" s="5">
        <v>75</v>
      </c>
      <c r="D598" s="5">
        <v>125</v>
      </c>
      <c r="E598" s="5">
        <v>70</v>
      </c>
      <c r="F598" s="5">
        <v>125</v>
      </c>
      <c r="G598" s="5">
        <v>70</v>
      </c>
      <c r="H598" s="5">
        <v>115</v>
      </c>
      <c r="I598" s="5"/>
      <c r="J598" s="4" t="s">
        <v>113</v>
      </c>
      <c r="K598" s="5"/>
      <c r="L598" s="4" t="s">
        <v>986</v>
      </c>
      <c r="M598" s="5"/>
      <c r="N598" s="5"/>
      <c r="O598" s="5" t="b">
        <v>1</v>
      </c>
      <c r="P598" s="4" t="str">
        <f>IF(A598="",IF(ISNUMBER(SEARCH("NOT NULL",UPPER(A$3))),"''","null"),SUBSTITUTE(VLOOKUP(A$2,convert!$A$1:$B$4,2,0),"@@@",A598))</f>
        <v>'0482N01'</v>
      </c>
      <c r="Q598" s="4" t="str">
        <f>IF(B598="",IF(ISNUMBER(SEARCH("NOT NULL",UPPER(B$3))),"''","null"),SUBSTITUTE(VLOOKUP(B$2,convert!$A$1:$B$4,2,0),"@@@",B598))</f>
        <v>'アグノム'</v>
      </c>
      <c r="R598" s="4" t="str">
        <f>IF(C598="",IF(ISNUMBER(SEARCH("NOT NULL",UPPER(C$3))),"''","null"),SUBSTITUTE(VLOOKUP(C$2,convert!$A$1:$B$4,2,0),"@@@",C598))</f>
        <v>75</v>
      </c>
      <c r="S598" s="4" t="str">
        <f>IF(D598="",IF(ISNUMBER(SEARCH("NOT NULL",UPPER(D$3))),"''","null"),SUBSTITUTE(VLOOKUP(D$2,convert!$A$1:$B$4,2,0),"@@@",D598))</f>
        <v>125</v>
      </c>
      <c r="T598" s="4" t="str">
        <f>IF(E598="",IF(ISNUMBER(SEARCH("NOT NULL",UPPER(E$3))),"''","null"),SUBSTITUTE(VLOOKUP(E$2,convert!$A$1:$B$4,2,0),"@@@",E598))</f>
        <v>70</v>
      </c>
      <c r="U598" s="4" t="str">
        <f>IF(F598="",IF(ISNUMBER(SEARCH("NOT NULL",UPPER(F$3))),"''","null"),SUBSTITUTE(VLOOKUP(F$2,convert!$A$1:$B$4,2,0),"@@@",F598))</f>
        <v>125</v>
      </c>
      <c r="V598" s="4" t="str">
        <f>IF(G598="",IF(ISNUMBER(SEARCH("NOT NULL",UPPER(G$3))),"''","null"),SUBSTITUTE(VLOOKUP(G$2,convert!$A$1:$B$4,2,0),"@@@",G598))</f>
        <v>70</v>
      </c>
      <c r="W598" s="4" t="str">
        <f>IF(H598="",IF(ISNUMBER(SEARCH("NOT NULL",UPPER(H$3))),"''","null"),SUBSTITUTE(VLOOKUP(H$2,convert!$A$1:$B$4,2,0),"@@@",H598))</f>
        <v>115</v>
      </c>
      <c r="X598" s="4" t="str">
        <f>IF(I598="",IF(ISNUMBER(SEARCH("NOT NULL",UPPER(I$3))),"''","null"),SUBSTITUTE(VLOOKUP(I$2,convert!$A$1:$B$4,2,0),"@@@",I598))</f>
        <v>''</v>
      </c>
      <c r="Y598" s="4" t="str">
        <f>IF(J598="",IF(ISNUMBER(SEARCH("NOT NULL",UPPER(J$3))),"''","null"),SUBSTITUTE(VLOOKUP(J$2,convert!$A$1:$B$4,2,0),"@@@",J598))</f>
        <v>'psychic'</v>
      </c>
      <c r="Z598" s="4" t="str">
        <f>IF(K598="",IF(ISNUMBER(SEARCH("NOT NULL",UPPER(K$3))),"''","null"),SUBSTITUTE(VLOOKUP(K$2,convert!$A$1:$B$4,2,0),"@@@",K598))</f>
        <v>null</v>
      </c>
      <c r="AA598" s="4" t="str">
        <f>IF(L598="",IF(ISNUMBER(SEARCH("NOT NULL",UPPER(L$3))),"''","null"),SUBSTITUTE(VLOOKUP(L$2,convert!$A$1:$B$4,2,0),"@@@",L598))</f>
        <v>'g4'</v>
      </c>
      <c r="AB598" s="4" t="str">
        <f>IF(M598="",IF(ISNUMBER(SEARCH("NOT NULL",UPPER(M$3))),"''","null"),SUBSTITUTE(VLOOKUP(M$2,convert!$A$1:$B$4,2,0),"@@@",M598))</f>
        <v>null</v>
      </c>
      <c r="AC598" s="4" t="str">
        <f>IF(N598="",IF(ISNUMBER(SEARCH("NOT NULL",UPPER(N$3))),"''","null"),SUBSTITUTE(VLOOKUP(N$2,convert!$A$1:$B$4,2,0),"@@@",N598))</f>
        <v>null</v>
      </c>
      <c r="AD598" s="4" t="str">
        <f>IF(O598="",IF(ISNUMBER(SEARCH("NOT NULL",UPPER(O$3))),"''","null"),SUBSTITUTE(VLOOKUP(O$2,convert!$A$1:$B$4,2,0),"@@@",O598))</f>
        <v>TRUE</v>
      </c>
      <c r="AE598" s="4" t="str">
        <f t="shared" si="9"/>
        <v>    ('0482N01', 'アグノム', 75, 125, 70, 125, 70, 115, '', 'psychic', null, 'g4', null, null, TRUE),</v>
      </c>
    </row>
    <row r="599" spans="1:31">
      <c r="A599" s="4" t="s">
        <v>1211</v>
      </c>
      <c r="B599" s="4" t="s">
        <v>1212</v>
      </c>
      <c r="C599" s="5">
        <v>100</v>
      </c>
      <c r="D599" s="5">
        <v>120</v>
      </c>
      <c r="E599" s="5">
        <v>120</v>
      </c>
      <c r="F599" s="5">
        <v>150</v>
      </c>
      <c r="G599" s="5">
        <v>100</v>
      </c>
      <c r="H599" s="5">
        <v>90</v>
      </c>
      <c r="I599" s="5"/>
      <c r="J599" s="4" t="s">
        <v>119</v>
      </c>
      <c r="K599" s="4" t="s">
        <v>50</v>
      </c>
      <c r="L599" s="4" t="s">
        <v>986</v>
      </c>
      <c r="M599" s="5"/>
      <c r="N599" s="5"/>
      <c r="O599" s="5" t="b">
        <v>1</v>
      </c>
      <c r="P599" s="4" t="str">
        <f>IF(A599="",IF(ISNUMBER(SEARCH("NOT NULL",UPPER(A$3))),"''","null"),SUBSTITUTE(VLOOKUP(A$2,convert!$A$1:$B$4,2,0),"@@@",A599))</f>
        <v>'0483N01'</v>
      </c>
      <c r="Q599" s="4" t="str">
        <f>IF(B599="",IF(ISNUMBER(SEARCH("NOT NULL",UPPER(B$3))),"''","null"),SUBSTITUTE(VLOOKUP(B$2,convert!$A$1:$B$4,2,0),"@@@",B599))</f>
        <v>'ディアルガ'</v>
      </c>
      <c r="R599" s="4" t="str">
        <f>IF(C599="",IF(ISNUMBER(SEARCH("NOT NULL",UPPER(C$3))),"''","null"),SUBSTITUTE(VLOOKUP(C$2,convert!$A$1:$B$4,2,0),"@@@",C599))</f>
        <v>100</v>
      </c>
      <c r="S599" s="4" t="str">
        <f>IF(D599="",IF(ISNUMBER(SEARCH("NOT NULL",UPPER(D$3))),"''","null"),SUBSTITUTE(VLOOKUP(D$2,convert!$A$1:$B$4,2,0),"@@@",D599))</f>
        <v>120</v>
      </c>
      <c r="T599" s="4" t="str">
        <f>IF(E599="",IF(ISNUMBER(SEARCH("NOT NULL",UPPER(E$3))),"''","null"),SUBSTITUTE(VLOOKUP(E$2,convert!$A$1:$B$4,2,0),"@@@",E599))</f>
        <v>120</v>
      </c>
      <c r="U599" s="4" t="str">
        <f>IF(F599="",IF(ISNUMBER(SEARCH("NOT NULL",UPPER(F$3))),"''","null"),SUBSTITUTE(VLOOKUP(F$2,convert!$A$1:$B$4,2,0),"@@@",F599))</f>
        <v>150</v>
      </c>
      <c r="V599" s="4" t="str">
        <f>IF(G599="",IF(ISNUMBER(SEARCH("NOT NULL",UPPER(G$3))),"''","null"),SUBSTITUTE(VLOOKUP(G$2,convert!$A$1:$B$4,2,0),"@@@",G599))</f>
        <v>100</v>
      </c>
      <c r="W599" s="4" t="str">
        <f>IF(H599="",IF(ISNUMBER(SEARCH("NOT NULL",UPPER(H$3))),"''","null"),SUBSTITUTE(VLOOKUP(H$2,convert!$A$1:$B$4,2,0),"@@@",H599))</f>
        <v>90</v>
      </c>
      <c r="X599" s="4" t="str">
        <f>IF(I599="",IF(ISNUMBER(SEARCH("NOT NULL",UPPER(I$3))),"''","null"),SUBSTITUTE(VLOOKUP(I$2,convert!$A$1:$B$4,2,0),"@@@",I599))</f>
        <v>''</v>
      </c>
      <c r="Y599" s="4" t="str">
        <f>IF(J599="",IF(ISNUMBER(SEARCH("NOT NULL",UPPER(J$3))),"''","null"),SUBSTITUTE(VLOOKUP(J$2,convert!$A$1:$B$4,2,0),"@@@",J599))</f>
        <v>'steel'</v>
      </c>
      <c r="Z599" s="4" t="str">
        <f>IF(K599="",IF(ISNUMBER(SEARCH("NOT NULL",UPPER(K$3))),"''","null"),SUBSTITUTE(VLOOKUP(K$2,convert!$A$1:$B$4,2,0),"@@@",K599))</f>
        <v>'dragon'</v>
      </c>
      <c r="AA599" s="4" t="str">
        <f>IF(L599="",IF(ISNUMBER(SEARCH("NOT NULL",UPPER(L$3))),"''","null"),SUBSTITUTE(VLOOKUP(L$2,convert!$A$1:$B$4,2,0),"@@@",L599))</f>
        <v>'g4'</v>
      </c>
      <c r="AB599" s="4" t="str">
        <f>IF(M599="",IF(ISNUMBER(SEARCH("NOT NULL",UPPER(M$3))),"''","null"),SUBSTITUTE(VLOOKUP(M$2,convert!$A$1:$B$4,2,0),"@@@",M599))</f>
        <v>null</v>
      </c>
      <c r="AC599" s="4" t="str">
        <f>IF(N599="",IF(ISNUMBER(SEARCH("NOT NULL",UPPER(N$3))),"''","null"),SUBSTITUTE(VLOOKUP(N$2,convert!$A$1:$B$4,2,0),"@@@",N599))</f>
        <v>null</v>
      </c>
      <c r="AD599" s="4" t="str">
        <f>IF(O599="",IF(ISNUMBER(SEARCH("NOT NULL",UPPER(O$3))),"''","null"),SUBSTITUTE(VLOOKUP(O$2,convert!$A$1:$B$4,2,0),"@@@",O599))</f>
        <v>TRUE</v>
      </c>
      <c r="AE599" s="4" t="str">
        <f t="shared" si="9"/>
        <v>    ('0483N01', 'ディアルガ', 100, 120, 120, 150, 100, 90, '', 'steel', 'dragon', 'g4', null, null, TRUE),</v>
      </c>
    </row>
    <row r="600" spans="1:31">
      <c r="A600" s="4" t="s">
        <v>1213</v>
      </c>
      <c r="B600" s="4" t="s">
        <v>1212</v>
      </c>
      <c r="C600" s="5">
        <v>100</v>
      </c>
      <c r="D600" s="5">
        <v>100</v>
      </c>
      <c r="E600" s="5">
        <v>120</v>
      </c>
      <c r="F600" s="5">
        <v>150</v>
      </c>
      <c r="G600" s="5">
        <v>120</v>
      </c>
      <c r="H600" s="5">
        <v>90</v>
      </c>
      <c r="I600" s="4" t="s">
        <v>1214</v>
      </c>
      <c r="J600" s="4" t="s">
        <v>119</v>
      </c>
      <c r="K600" s="4" t="s">
        <v>50</v>
      </c>
      <c r="L600" s="4" t="s">
        <v>197</v>
      </c>
      <c r="M600" s="5"/>
      <c r="N600" s="5"/>
      <c r="O600" s="5" t="b">
        <v>1</v>
      </c>
      <c r="P600" s="4" t="str">
        <f>IF(A600="",IF(ISNUMBER(SEARCH("NOT NULL",UPPER(A$3))),"''","null"),SUBSTITUTE(VLOOKUP(A$2,convert!$A$1:$B$4,2,0),"@@@",A600))</f>
        <v>'0483N02'</v>
      </c>
      <c r="Q600" s="4" t="str">
        <f>IF(B600="",IF(ISNUMBER(SEARCH("NOT NULL",UPPER(B$3))),"''","null"),SUBSTITUTE(VLOOKUP(B$2,convert!$A$1:$B$4,2,0),"@@@",B600))</f>
        <v>'ディアルガ'</v>
      </c>
      <c r="R600" s="4" t="str">
        <f>IF(C600="",IF(ISNUMBER(SEARCH("NOT NULL",UPPER(C$3))),"''","null"),SUBSTITUTE(VLOOKUP(C$2,convert!$A$1:$B$4,2,0),"@@@",C600))</f>
        <v>100</v>
      </c>
      <c r="S600" s="4" t="str">
        <f>IF(D600="",IF(ISNUMBER(SEARCH("NOT NULL",UPPER(D$3))),"''","null"),SUBSTITUTE(VLOOKUP(D$2,convert!$A$1:$B$4,2,0),"@@@",D600))</f>
        <v>100</v>
      </c>
      <c r="T600" s="4" t="str">
        <f>IF(E600="",IF(ISNUMBER(SEARCH("NOT NULL",UPPER(E$3))),"''","null"),SUBSTITUTE(VLOOKUP(E$2,convert!$A$1:$B$4,2,0),"@@@",E600))</f>
        <v>120</v>
      </c>
      <c r="U600" s="4" t="str">
        <f>IF(F600="",IF(ISNUMBER(SEARCH("NOT NULL",UPPER(F$3))),"''","null"),SUBSTITUTE(VLOOKUP(F$2,convert!$A$1:$B$4,2,0),"@@@",F600))</f>
        <v>150</v>
      </c>
      <c r="V600" s="4" t="str">
        <f>IF(G600="",IF(ISNUMBER(SEARCH("NOT NULL",UPPER(G$3))),"''","null"),SUBSTITUTE(VLOOKUP(G$2,convert!$A$1:$B$4,2,0),"@@@",G600))</f>
        <v>120</v>
      </c>
      <c r="W600" s="4" t="str">
        <f>IF(H600="",IF(ISNUMBER(SEARCH("NOT NULL",UPPER(H$3))),"''","null"),SUBSTITUTE(VLOOKUP(H$2,convert!$A$1:$B$4,2,0),"@@@",H600))</f>
        <v>90</v>
      </c>
      <c r="X600" s="4" t="str">
        <f>IF(I600="",IF(ISNUMBER(SEARCH("NOT NULL",UPPER(I$3))),"''","null"),SUBSTITUTE(VLOOKUP(I$2,convert!$A$1:$B$4,2,0),"@@@",I600))</f>
        <v>'オリジンフォルム'</v>
      </c>
      <c r="Y600" s="4" t="str">
        <f>IF(J600="",IF(ISNUMBER(SEARCH("NOT NULL",UPPER(J$3))),"''","null"),SUBSTITUTE(VLOOKUP(J$2,convert!$A$1:$B$4,2,0),"@@@",J600))</f>
        <v>'steel'</v>
      </c>
      <c r="Z600" s="4" t="str">
        <f>IF(K600="",IF(ISNUMBER(SEARCH("NOT NULL",UPPER(K$3))),"''","null"),SUBSTITUTE(VLOOKUP(K$2,convert!$A$1:$B$4,2,0),"@@@",K600))</f>
        <v>'dragon'</v>
      </c>
      <c r="AA600" s="4" t="str">
        <f>IF(L600="",IF(ISNUMBER(SEARCH("NOT NULL",UPPER(L$3))),"''","null"),SUBSTITUTE(VLOOKUP(L$2,convert!$A$1:$B$4,2,0),"@@@",L600))</f>
        <v>'g8arceus'</v>
      </c>
      <c r="AB600" s="4" t="str">
        <f>IF(M600="",IF(ISNUMBER(SEARCH("NOT NULL",UPPER(M$3))),"''","null"),SUBSTITUTE(VLOOKUP(M$2,convert!$A$1:$B$4,2,0),"@@@",M600))</f>
        <v>null</v>
      </c>
      <c r="AC600" s="4" t="str">
        <f>IF(N600="",IF(ISNUMBER(SEARCH("NOT NULL",UPPER(N$3))),"''","null"),SUBSTITUTE(VLOOKUP(N$2,convert!$A$1:$B$4,2,0),"@@@",N600))</f>
        <v>null</v>
      </c>
      <c r="AD600" s="4" t="str">
        <f>IF(O600="",IF(ISNUMBER(SEARCH("NOT NULL",UPPER(O$3))),"''","null"),SUBSTITUTE(VLOOKUP(O$2,convert!$A$1:$B$4,2,0),"@@@",O600))</f>
        <v>TRUE</v>
      </c>
      <c r="AE600" s="4" t="str">
        <f t="shared" si="9"/>
        <v>    ('0483N02', 'ディアルガ', 100, 100, 120, 150, 120, 90, 'オリジンフォルム', 'steel', 'dragon', 'g8arceus', null, null, TRUE),</v>
      </c>
    </row>
    <row r="601" spans="1:31">
      <c r="A601" s="4" t="s">
        <v>1215</v>
      </c>
      <c r="B601" s="4" t="s">
        <v>1216</v>
      </c>
      <c r="C601" s="5">
        <v>90</v>
      </c>
      <c r="D601" s="5">
        <v>120</v>
      </c>
      <c r="E601" s="5">
        <v>100</v>
      </c>
      <c r="F601" s="5">
        <v>150</v>
      </c>
      <c r="G601" s="5">
        <v>120</v>
      </c>
      <c r="H601" s="5">
        <v>100</v>
      </c>
      <c r="I601" s="5"/>
      <c r="J601" s="4" t="s">
        <v>55</v>
      </c>
      <c r="K601" s="4" t="s">
        <v>50</v>
      </c>
      <c r="L601" s="4" t="s">
        <v>986</v>
      </c>
      <c r="M601" s="5"/>
      <c r="N601" s="5"/>
      <c r="O601" s="5" t="b">
        <v>1</v>
      </c>
      <c r="P601" s="4" t="str">
        <f>IF(A601="",IF(ISNUMBER(SEARCH("NOT NULL",UPPER(A$3))),"''","null"),SUBSTITUTE(VLOOKUP(A$2,convert!$A$1:$B$4,2,0),"@@@",A601))</f>
        <v>'0484N01'</v>
      </c>
      <c r="Q601" s="4" t="str">
        <f>IF(B601="",IF(ISNUMBER(SEARCH("NOT NULL",UPPER(B$3))),"''","null"),SUBSTITUTE(VLOOKUP(B$2,convert!$A$1:$B$4,2,0),"@@@",B601))</f>
        <v>'パルキア'</v>
      </c>
      <c r="R601" s="4" t="str">
        <f>IF(C601="",IF(ISNUMBER(SEARCH("NOT NULL",UPPER(C$3))),"''","null"),SUBSTITUTE(VLOOKUP(C$2,convert!$A$1:$B$4,2,0),"@@@",C601))</f>
        <v>90</v>
      </c>
      <c r="S601" s="4" t="str">
        <f>IF(D601="",IF(ISNUMBER(SEARCH("NOT NULL",UPPER(D$3))),"''","null"),SUBSTITUTE(VLOOKUP(D$2,convert!$A$1:$B$4,2,0),"@@@",D601))</f>
        <v>120</v>
      </c>
      <c r="T601" s="4" t="str">
        <f>IF(E601="",IF(ISNUMBER(SEARCH("NOT NULL",UPPER(E$3))),"''","null"),SUBSTITUTE(VLOOKUP(E$2,convert!$A$1:$B$4,2,0),"@@@",E601))</f>
        <v>100</v>
      </c>
      <c r="U601" s="4" t="str">
        <f>IF(F601="",IF(ISNUMBER(SEARCH("NOT NULL",UPPER(F$3))),"''","null"),SUBSTITUTE(VLOOKUP(F$2,convert!$A$1:$B$4,2,0),"@@@",F601))</f>
        <v>150</v>
      </c>
      <c r="V601" s="4" t="str">
        <f>IF(G601="",IF(ISNUMBER(SEARCH("NOT NULL",UPPER(G$3))),"''","null"),SUBSTITUTE(VLOOKUP(G$2,convert!$A$1:$B$4,2,0),"@@@",G601))</f>
        <v>120</v>
      </c>
      <c r="W601" s="4" t="str">
        <f>IF(H601="",IF(ISNUMBER(SEARCH("NOT NULL",UPPER(H$3))),"''","null"),SUBSTITUTE(VLOOKUP(H$2,convert!$A$1:$B$4,2,0),"@@@",H601))</f>
        <v>100</v>
      </c>
      <c r="X601" s="4" t="str">
        <f>IF(I601="",IF(ISNUMBER(SEARCH("NOT NULL",UPPER(I$3))),"''","null"),SUBSTITUTE(VLOOKUP(I$2,convert!$A$1:$B$4,2,0),"@@@",I601))</f>
        <v>''</v>
      </c>
      <c r="Y601" s="4" t="str">
        <f>IF(J601="",IF(ISNUMBER(SEARCH("NOT NULL",UPPER(J$3))),"''","null"),SUBSTITUTE(VLOOKUP(J$2,convert!$A$1:$B$4,2,0),"@@@",J601))</f>
        <v>'water'</v>
      </c>
      <c r="Z601" s="4" t="str">
        <f>IF(K601="",IF(ISNUMBER(SEARCH("NOT NULL",UPPER(K$3))),"''","null"),SUBSTITUTE(VLOOKUP(K$2,convert!$A$1:$B$4,2,0),"@@@",K601))</f>
        <v>'dragon'</v>
      </c>
      <c r="AA601" s="4" t="str">
        <f>IF(L601="",IF(ISNUMBER(SEARCH("NOT NULL",UPPER(L$3))),"''","null"),SUBSTITUTE(VLOOKUP(L$2,convert!$A$1:$B$4,2,0),"@@@",L601))</f>
        <v>'g4'</v>
      </c>
      <c r="AB601" s="4" t="str">
        <f>IF(M601="",IF(ISNUMBER(SEARCH("NOT NULL",UPPER(M$3))),"''","null"),SUBSTITUTE(VLOOKUP(M$2,convert!$A$1:$B$4,2,0),"@@@",M601))</f>
        <v>null</v>
      </c>
      <c r="AC601" s="4" t="str">
        <f>IF(N601="",IF(ISNUMBER(SEARCH("NOT NULL",UPPER(N$3))),"''","null"),SUBSTITUTE(VLOOKUP(N$2,convert!$A$1:$B$4,2,0),"@@@",N601))</f>
        <v>null</v>
      </c>
      <c r="AD601" s="4" t="str">
        <f>IF(O601="",IF(ISNUMBER(SEARCH("NOT NULL",UPPER(O$3))),"''","null"),SUBSTITUTE(VLOOKUP(O$2,convert!$A$1:$B$4,2,0),"@@@",O601))</f>
        <v>TRUE</v>
      </c>
      <c r="AE601" s="4" t="str">
        <f t="shared" si="9"/>
        <v>    ('0484N01', 'パルキア', 90, 120, 100, 150, 120, 100, '', 'water', 'dragon', 'g4', null, null, TRUE),</v>
      </c>
    </row>
    <row r="602" spans="1:31">
      <c r="A602" s="4" t="s">
        <v>1217</v>
      </c>
      <c r="B602" s="4" t="s">
        <v>1216</v>
      </c>
      <c r="C602" s="5">
        <v>90</v>
      </c>
      <c r="D602" s="5">
        <v>100</v>
      </c>
      <c r="E602" s="5">
        <v>100</v>
      </c>
      <c r="F602" s="5">
        <v>150</v>
      </c>
      <c r="G602" s="5">
        <v>120</v>
      </c>
      <c r="H602" s="5">
        <v>120</v>
      </c>
      <c r="I602" s="4" t="s">
        <v>1214</v>
      </c>
      <c r="J602" s="4" t="s">
        <v>55</v>
      </c>
      <c r="K602" s="4" t="s">
        <v>50</v>
      </c>
      <c r="L602" s="4" t="s">
        <v>197</v>
      </c>
      <c r="M602" s="5"/>
      <c r="N602" s="5"/>
      <c r="O602" s="5" t="b">
        <v>1</v>
      </c>
      <c r="P602" s="4" t="str">
        <f>IF(A602="",IF(ISNUMBER(SEARCH("NOT NULL",UPPER(A$3))),"''","null"),SUBSTITUTE(VLOOKUP(A$2,convert!$A$1:$B$4,2,0),"@@@",A602))</f>
        <v>'0484N02'</v>
      </c>
      <c r="Q602" s="4" t="str">
        <f>IF(B602="",IF(ISNUMBER(SEARCH("NOT NULL",UPPER(B$3))),"''","null"),SUBSTITUTE(VLOOKUP(B$2,convert!$A$1:$B$4,2,0),"@@@",B602))</f>
        <v>'パルキア'</v>
      </c>
      <c r="R602" s="4" t="str">
        <f>IF(C602="",IF(ISNUMBER(SEARCH("NOT NULL",UPPER(C$3))),"''","null"),SUBSTITUTE(VLOOKUP(C$2,convert!$A$1:$B$4,2,0),"@@@",C602))</f>
        <v>90</v>
      </c>
      <c r="S602" s="4" t="str">
        <f>IF(D602="",IF(ISNUMBER(SEARCH("NOT NULL",UPPER(D$3))),"''","null"),SUBSTITUTE(VLOOKUP(D$2,convert!$A$1:$B$4,2,0),"@@@",D602))</f>
        <v>100</v>
      </c>
      <c r="T602" s="4" t="str">
        <f>IF(E602="",IF(ISNUMBER(SEARCH("NOT NULL",UPPER(E$3))),"''","null"),SUBSTITUTE(VLOOKUP(E$2,convert!$A$1:$B$4,2,0),"@@@",E602))</f>
        <v>100</v>
      </c>
      <c r="U602" s="4" t="str">
        <f>IF(F602="",IF(ISNUMBER(SEARCH("NOT NULL",UPPER(F$3))),"''","null"),SUBSTITUTE(VLOOKUP(F$2,convert!$A$1:$B$4,2,0),"@@@",F602))</f>
        <v>150</v>
      </c>
      <c r="V602" s="4" t="str">
        <f>IF(G602="",IF(ISNUMBER(SEARCH("NOT NULL",UPPER(G$3))),"''","null"),SUBSTITUTE(VLOOKUP(G$2,convert!$A$1:$B$4,2,0),"@@@",G602))</f>
        <v>120</v>
      </c>
      <c r="W602" s="4" t="str">
        <f>IF(H602="",IF(ISNUMBER(SEARCH("NOT NULL",UPPER(H$3))),"''","null"),SUBSTITUTE(VLOOKUP(H$2,convert!$A$1:$B$4,2,0),"@@@",H602))</f>
        <v>120</v>
      </c>
      <c r="X602" s="4" t="str">
        <f>IF(I602="",IF(ISNUMBER(SEARCH("NOT NULL",UPPER(I$3))),"''","null"),SUBSTITUTE(VLOOKUP(I$2,convert!$A$1:$B$4,2,0),"@@@",I602))</f>
        <v>'オリジンフォルム'</v>
      </c>
      <c r="Y602" s="4" t="str">
        <f>IF(J602="",IF(ISNUMBER(SEARCH("NOT NULL",UPPER(J$3))),"''","null"),SUBSTITUTE(VLOOKUP(J$2,convert!$A$1:$B$4,2,0),"@@@",J602))</f>
        <v>'water'</v>
      </c>
      <c r="Z602" s="4" t="str">
        <f>IF(K602="",IF(ISNUMBER(SEARCH("NOT NULL",UPPER(K$3))),"''","null"),SUBSTITUTE(VLOOKUP(K$2,convert!$A$1:$B$4,2,0),"@@@",K602))</f>
        <v>'dragon'</v>
      </c>
      <c r="AA602" s="4" t="str">
        <f>IF(L602="",IF(ISNUMBER(SEARCH("NOT NULL",UPPER(L$3))),"''","null"),SUBSTITUTE(VLOOKUP(L$2,convert!$A$1:$B$4,2,0),"@@@",L602))</f>
        <v>'g8arceus'</v>
      </c>
      <c r="AB602" s="4" t="str">
        <f>IF(M602="",IF(ISNUMBER(SEARCH("NOT NULL",UPPER(M$3))),"''","null"),SUBSTITUTE(VLOOKUP(M$2,convert!$A$1:$B$4,2,0),"@@@",M602))</f>
        <v>null</v>
      </c>
      <c r="AC602" s="4" t="str">
        <f>IF(N602="",IF(ISNUMBER(SEARCH("NOT NULL",UPPER(N$3))),"''","null"),SUBSTITUTE(VLOOKUP(N$2,convert!$A$1:$B$4,2,0),"@@@",N602))</f>
        <v>null</v>
      </c>
      <c r="AD602" s="4" t="str">
        <f>IF(O602="",IF(ISNUMBER(SEARCH("NOT NULL",UPPER(O$3))),"''","null"),SUBSTITUTE(VLOOKUP(O$2,convert!$A$1:$B$4,2,0),"@@@",O602))</f>
        <v>TRUE</v>
      </c>
      <c r="AE602" s="4" t="str">
        <f t="shared" si="9"/>
        <v>    ('0484N02', 'パルキア', 90, 100, 100, 150, 120, 120, 'オリジンフォルム', 'water', 'dragon', 'g8arceus', null, null, TRUE),</v>
      </c>
    </row>
    <row r="603" spans="1:31">
      <c r="A603" s="4" t="s">
        <v>1218</v>
      </c>
      <c r="B603" s="4" t="s">
        <v>1219</v>
      </c>
      <c r="C603" s="5">
        <v>91</v>
      </c>
      <c r="D603" s="5">
        <v>90</v>
      </c>
      <c r="E603" s="5">
        <v>106</v>
      </c>
      <c r="F603" s="5">
        <v>130</v>
      </c>
      <c r="G603" s="5">
        <v>106</v>
      </c>
      <c r="H603" s="5">
        <v>77</v>
      </c>
      <c r="I603" s="5"/>
      <c r="J603" s="4" t="s">
        <v>42</v>
      </c>
      <c r="K603" s="4" t="s">
        <v>119</v>
      </c>
      <c r="L603" s="4" t="s">
        <v>986</v>
      </c>
      <c r="M603" s="5"/>
      <c r="N603" s="5"/>
      <c r="O603" s="5" t="b">
        <v>1</v>
      </c>
      <c r="P603" s="4" t="str">
        <f>IF(A603="",IF(ISNUMBER(SEARCH("NOT NULL",UPPER(A$3))),"''","null"),SUBSTITUTE(VLOOKUP(A$2,convert!$A$1:$B$4,2,0),"@@@",A603))</f>
        <v>'0485N01'</v>
      </c>
      <c r="Q603" s="4" t="str">
        <f>IF(B603="",IF(ISNUMBER(SEARCH("NOT NULL",UPPER(B$3))),"''","null"),SUBSTITUTE(VLOOKUP(B$2,convert!$A$1:$B$4,2,0),"@@@",B603))</f>
        <v>'ヒードラン'</v>
      </c>
      <c r="R603" s="4" t="str">
        <f>IF(C603="",IF(ISNUMBER(SEARCH("NOT NULL",UPPER(C$3))),"''","null"),SUBSTITUTE(VLOOKUP(C$2,convert!$A$1:$B$4,2,0),"@@@",C603))</f>
        <v>91</v>
      </c>
      <c r="S603" s="4" t="str">
        <f>IF(D603="",IF(ISNUMBER(SEARCH("NOT NULL",UPPER(D$3))),"''","null"),SUBSTITUTE(VLOOKUP(D$2,convert!$A$1:$B$4,2,0),"@@@",D603))</f>
        <v>90</v>
      </c>
      <c r="T603" s="4" t="str">
        <f>IF(E603="",IF(ISNUMBER(SEARCH("NOT NULL",UPPER(E$3))),"''","null"),SUBSTITUTE(VLOOKUP(E$2,convert!$A$1:$B$4,2,0),"@@@",E603))</f>
        <v>106</v>
      </c>
      <c r="U603" s="4" t="str">
        <f>IF(F603="",IF(ISNUMBER(SEARCH("NOT NULL",UPPER(F$3))),"''","null"),SUBSTITUTE(VLOOKUP(F$2,convert!$A$1:$B$4,2,0),"@@@",F603))</f>
        <v>130</v>
      </c>
      <c r="V603" s="4" t="str">
        <f>IF(G603="",IF(ISNUMBER(SEARCH("NOT NULL",UPPER(G$3))),"''","null"),SUBSTITUTE(VLOOKUP(G$2,convert!$A$1:$B$4,2,0),"@@@",G603))</f>
        <v>106</v>
      </c>
      <c r="W603" s="4" t="str">
        <f>IF(H603="",IF(ISNUMBER(SEARCH("NOT NULL",UPPER(H$3))),"''","null"),SUBSTITUTE(VLOOKUP(H$2,convert!$A$1:$B$4,2,0),"@@@",H603))</f>
        <v>77</v>
      </c>
      <c r="X603" s="4" t="str">
        <f>IF(I603="",IF(ISNUMBER(SEARCH("NOT NULL",UPPER(I$3))),"''","null"),SUBSTITUTE(VLOOKUP(I$2,convert!$A$1:$B$4,2,0),"@@@",I603))</f>
        <v>''</v>
      </c>
      <c r="Y603" s="4" t="str">
        <f>IF(J603="",IF(ISNUMBER(SEARCH("NOT NULL",UPPER(J$3))),"''","null"),SUBSTITUTE(VLOOKUP(J$2,convert!$A$1:$B$4,2,0),"@@@",J603))</f>
        <v>'fire'</v>
      </c>
      <c r="Z603" s="4" t="str">
        <f>IF(K603="",IF(ISNUMBER(SEARCH("NOT NULL",UPPER(K$3))),"''","null"),SUBSTITUTE(VLOOKUP(K$2,convert!$A$1:$B$4,2,0),"@@@",K603))</f>
        <v>'steel'</v>
      </c>
      <c r="AA603" s="4" t="str">
        <f>IF(L603="",IF(ISNUMBER(SEARCH("NOT NULL",UPPER(L$3))),"''","null"),SUBSTITUTE(VLOOKUP(L$2,convert!$A$1:$B$4,2,0),"@@@",L603))</f>
        <v>'g4'</v>
      </c>
      <c r="AB603" s="4" t="str">
        <f>IF(M603="",IF(ISNUMBER(SEARCH("NOT NULL",UPPER(M$3))),"''","null"),SUBSTITUTE(VLOOKUP(M$2,convert!$A$1:$B$4,2,0),"@@@",M603))</f>
        <v>null</v>
      </c>
      <c r="AC603" s="4" t="str">
        <f>IF(N603="",IF(ISNUMBER(SEARCH("NOT NULL",UPPER(N$3))),"''","null"),SUBSTITUTE(VLOOKUP(N$2,convert!$A$1:$B$4,2,0),"@@@",N603))</f>
        <v>null</v>
      </c>
      <c r="AD603" s="4" t="str">
        <f>IF(O603="",IF(ISNUMBER(SEARCH("NOT NULL",UPPER(O$3))),"''","null"),SUBSTITUTE(VLOOKUP(O$2,convert!$A$1:$B$4,2,0),"@@@",O603))</f>
        <v>TRUE</v>
      </c>
      <c r="AE603" s="4" t="str">
        <f t="shared" si="9"/>
        <v>    ('0485N01', 'ヒードラン', 91, 90, 106, 130, 106, 77, '', 'fire', 'steel', 'g4', null, null, TRUE),</v>
      </c>
    </row>
    <row r="604" spans="1:31">
      <c r="A604" s="4" t="s">
        <v>1220</v>
      </c>
      <c r="B604" s="4" t="s">
        <v>1221</v>
      </c>
      <c r="C604" s="5">
        <v>110</v>
      </c>
      <c r="D604" s="5">
        <v>160</v>
      </c>
      <c r="E604" s="5">
        <v>110</v>
      </c>
      <c r="F604" s="5">
        <v>80</v>
      </c>
      <c r="G604" s="5">
        <v>110</v>
      </c>
      <c r="H604" s="5">
        <v>100</v>
      </c>
      <c r="I604" s="5"/>
      <c r="J604" s="4" t="s">
        <v>80</v>
      </c>
      <c r="K604" s="5"/>
      <c r="L604" s="4" t="s">
        <v>986</v>
      </c>
      <c r="M604" s="5"/>
      <c r="N604" s="5"/>
      <c r="O604" s="5" t="b">
        <v>1</v>
      </c>
      <c r="P604" s="4" t="str">
        <f>IF(A604="",IF(ISNUMBER(SEARCH("NOT NULL",UPPER(A$3))),"''","null"),SUBSTITUTE(VLOOKUP(A$2,convert!$A$1:$B$4,2,0),"@@@",A604))</f>
        <v>'0486N01'</v>
      </c>
      <c r="Q604" s="4" t="str">
        <f>IF(B604="",IF(ISNUMBER(SEARCH("NOT NULL",UPPER(B$3))),"''","null"),SUBSTITUTE(VLOOKUP(B$2,convert!$A$1:$B$4,2,0),"@@@",B604))</f>
        <v>'レジギガス'</v>
      </c>
      <c r="R604" s="4" t="str">
        <f>IF(C604="",IF(ISNUMBER(SEARCH("NOT NULL",UPPER(C$3))),"''","null"),SUBSTITUTE(VLOOKUP(C$2,convert!$A$1:$B$4,2,0),"@@@",C604))</f>
        <v>110</v>
      </c>
      <c r="S604" s="4" t="str">
        <f>IF(D604="",IF(ISNUMBER(SEARCH("NOT NULL",UPPER(D$3))),"''","null"),SUBSTITUTE(VLOOKUP(D$2,convert!$A$1:$B$4,2,0),"@@@",D604))</f>
        <v>160</v>
      </c>
      <c r="T604" s="4" t="str">
        <f>IF(E604="",IF(ISNUMBER(SEARCH("NOT NULL",UPPER(E$3))),"''","null"),SUBSTITUTE(VLOOKUP(E$2,convert!$A$1:$B$4,2,0),"@@@",E604))</f>
        <v>110</v>
      </c>
      <c r="U604" s="4" t="str">
        <f>IF(F604="",IF(ISNUMBER(SEARCH("NOT NULL",UPPER(F$3))),"''","null"),SUBSTITUTE(VLOOKUP(F$2,convert!$A$1:$B$4,2,0),"@@@",F604))</f>
        <v>80</v>
      </c>
      <c r="V604" s="4" t="str">
        <f>IF(G604="",IF(ISNUMBER(SEARCH("NOT NULL",UPPER(G$3))),"''","null"),SUBSTITUTE(VLOOKUP(G$2,convert!$A$1:$B$4,2,0),"@@@",G604))</f>
        <v>110</v>
      </c>
      <c r="W604" s="4" t="str">
        <f>IF(H604="",IF(ISNUMBER(SEARCH("NOT NULL",UPPER(H$3))),"''","null"),SUBSTITUTE(VLOOKUP(H$2,convert!$A$1:$B$4,2,0),"@@@",H604))</f>
        <v>100</v>
      </c>
      <c r="X604" s="4" t="str">
        <f>IF(I604="",IF(ISNUMBER(SEARCH("NOT NULL",UPPER(I$3))),"''","null"),SUBSTITUTE(VLOOKUP(I$2,convert!$A$1:$B$4,2,0),"@@@",I604))</f>
        <v>''</v>
      </c>
      <c r="Y604" s="4" t="str">
        <f>IF(J604="",IF(ISNUMBER(SEARCH("NOT NULL",UPPER(J$3))),"''","null"),SUBSTITUTE(VLOOKUP(J$2,convert!$A$1:$B$4,2,0),"@@@",J604))</f>
        <v>'normal'</v>
      </c>
      <c r="Z604" s="4" t="str">
        <f>IF(K604="",IF(ISNUMBER(SEARCH("NOT NULL",UPPER(K$3))),"''","null"),SUBSTITUTE(VLOOKUP(K$2,convert!$A$1:$B$4,2,0),"@@@",K604))</f>
        <v>null</v>
      </c>
      <c r="AA604" s="4" t="str">
        <f>IF(L604="",IF(ISNUMBER(SEARCH("NOT NULL",UPPER(L$3))),"''","null"),SUBSTITUTE(VLOOKUP(L$2,convert!$A$1:$B$4,2,0),"@@@",L604))</f>
        <v>'g4'</v>
      </c>
      <c r="AB604" s="4" t="str">
        <f>IF(M604="",IF(ISNUMBER(SEARCH("NOT NULL",UPPER(M$3))),"''","null"),SUBSTITUTE(VLOOKUP(M$2,convert!$A$1:$B$4,2,0),"@@@",M604))</f>
        <v>null</v>
      </c>
      <c r="AC604" s="4" t="str">
        <f>IF(N604="",IF(ISNUMBER(SEARCH("NOT NULL",UPPER(N$3))),"''","null"),SUBSTITUTE(VLOOKUP(N$2,convert!$A$1:$B$4,2,0),"@@@",N604))</f>
        <v>null</v>
      </c>
      <c r="AD604" s="4" t="str">
        <f>IF(O604="",IF(ISNUMBER(SEARCH("NOT NULL",UPPER(O$3))),"''","null"),SUBSTITUTE(VLOOKUP(O$2,convert!$A$1:$B$4,2,0),"@@@",O604))</f>
        <v>TRUE</v>
      </c>
      <c r="AE604" s="4" t="str">
        <f t="shared" si="9"/>
        <v>    ('0486N01', 'レジギガス', 110, 160, 110, 80, 110, 100, '', 'normal', null, 'g4', null, null, TRUE),</v>
      </c>
    </row>
    <row r="605" spans="1:31">
      <c r="A605" s="4" t="s">
        <v>1222</v>
      </c>
      <c r="B605" s="4" t="s">
        <v>1223</v>
      </c>
      <c r="C605" s="5">
        <v>150</v>
      </c>
      <c r="D605" s="5">
        <v>100</v>
      </c>
      <c r="E605" s="5">
        <v>120</v>
      </c>
      <c r="F605" s="5">
        <v>100</v>
      </c>
      <c r="G605" s="5">
        <v>120</v>
      </c>
      <c r="H605" s="5">
        <v>90</v>
      </c>
      <c r="I605" s="4" t="s">
        <v>1224</v>
      </c>
      <c r="J605" s="4" t="s">
        <v>281</v>
      </c>
      <c r="K605" s="4" t="s">
        <v>50</v>
      </c>
      <c r="L605" s="4" t="s">
        <v>986</v>
      </c>
      <c r="M605" s="5"/>
      <c r="N605" s="5"/>
      <c r="O605" s="5" t="b">
        <v>1</v>
      </c>
      <c r="P605" s="4" t="str">
        <f>IF(A605="",IF(ISNUMBER(SEARCH("NOT NULL",UPPER(A$3))),"''","null"),SUBSTITUTE(VLOOKUP(A$2,convert!$A$1:$B$4,2,0),"@@@",A605))</f>
        <v>'0487N01'</v>
      </c>
      <c r="Q605" s="4" t="str">
        <f>IF(B605="",IF(ISNUMBER(SEARCH("NOT NULL",UPPER(B$3))),"''","null"),SUBSTITUTE(VLOOKUP(B$2,convert!$A$1:$B$4,2,0),"@@@",B605))</f>
        <v>'ギラティナ'</v>
      </c>
      <c r="R605" s="4" t="str">
        <f>IF(C605="",IF(ISNUMBER(SEARCH("NOT NULL",UPPER(C$3))),"''","null"),SUBSTITUTE(VLOOKUP(C$2,convert!$A$1:$B$4,2,0),"@@@",C605))</f>
        <v>150</v>
      </c>
      <c r="S605" s="4" t="str">
        <f>IF(D605="",IF(ISNUMBER(SEARCH("NOT NULL",UPPER(D$3))),"''","null"),SUBSTITUTE(VLOOKUP(D$2,convert!$A$1:$B$4,2,0),"@@@",D605))</f>
        <v>100</v>
      </c>
      <c r="T605" s="4" t="str">
        <f>IF(E605="",IF(ISNUMBER(SEARCH("NOT NULL",UPPER(E$3))),"''","null"),SUBSTITUTE(VLOOKUP(E$2,convert!$A$1:$B$4,2,0),"@@@",E605))</f>
        <v>120</v>
      </c>
      <c r="U605" s="4" t="str">
        <f>IF(F605="",IF(ISNUMBER(SEARCH("NOT NULL",UPPER(F$3))),"''","null"),SUBSTITUTE(VLOOKUP(F$2,convert!$A$1:$B$4,2,0),"@@@",F605))</f>
        <v>100</v>
      </c>
      <c r="V605" s="4" t="str">
        <f>IF(G605="",IF(ISNUMBER(SEARCH("NOT NULL",UPPER(G$3))),"''","null"),SUBSTITUTE(VLOOKUP(G$2,convert!$A$1:$B$4,2,0),"@@@",G605))</f>
        <v>120</v>
      </c>
      <c r="W605" s="4" t="str">
        <f>IF(H605="",IF(ISNUMBER(SEARCH("NOT NULL",UPPER(H$3))),"''","null"),SUBSTITUTE(VLOOKUP(H$2,convert!$A$1:$B$4,2,0),"@@@",H605))</f>
        <v>90</v>
      </c>
      <c r="X605" s="4" t="str">
        <f>IF(I605="",IF(ISNUMBER(SEARCH("NOT NULL",UPPER(I$3))),"''","null"),SUBSTITUTE(VLOOKUP(I$2,convert!$A$1:$B$4,2,0),"@@@",I605))</f>
        <v>'アナザーフォルム'</v>
      </c>
      <c r="Y605" s="4" t="str">
        <f>IF(J605="",IF(ISNUMBER(SEARCH("NOT NULL",UPPER(J$3))),"''","null"),SUBSTITUTE(VLOOKUP(J$2,convert!$A$1:$B$4,2,0),"@@@",J605))</f>
        <v>'ghost'</v>
      </c>
      <c r="Z605" s="4" t="str">
        <f>IF(K605="",IF(ISNUMBER(SEARCH("NOT NULL",UPPER(K$3))),"''","null"),SUBSTITUTE(VLOOKUP(K$2,convert!$A$1:$B$4,2,0),"@@@",K605))</f>
        <v>'dragon'</v>
      </c>
      <c r="AA605" s="4" t="str">
        <f>IF(L605="",IF(ISNUMBER(SEARCH("NOT NULL",UPPER(L$3))),"''","null"),SUBSTITUTE(VLOOKUP(L$2,convert!$A$1:$B$4,2,0),"@@@",L605))</f>
        <v>'g4'</v>
      </c>
      <c r="AB605" s="4" t="str">
        <f>IF(M605="",IF(ISNUMBER(SEARCH("NOT NULL",UPPER(M$3))),"''","null"),SUBSTITUTE(VLOOKUP(M$2,convert!$A$1:$B$4,2,0),"@@@",M605))</f>
        <v>null</v>
      </c>
      <c r="AC605" s="4" t="str">
        <f>IF(N605="",IF(ISNUMBER(SEARCH("NOT NULL",UPPER(N$3))),"''","null"),SUBSTITUTE(VLOOKUP(N$2,convert!$A$1:$B$4,2,0),"@@@",N605))</f>
        <v>null</v>
      </c>
      <c r="AD605" s="4" t="str">
        <f>IF(O605="",IF(ISNUMBER(SEARCH("NOT NULL",UPPER(O$3))),"''","null"),SUBSTITUTE(VLOOKUP(O$2,convert!$A$1:$B$4,2,0),"@@@",O605))</f>
        <v>TRUE</v>
      </c>
      <c r="AE605" s="4" t="str">
        <f t="shared" si="9"/>
        <v>    ('0487N01', 'ギラティナ', 150, 100, 120, 100, 120, 90, 'アナザーフォルム', 'ghost', 'dragon', 'g4', null, null, TRUE),</v>
      </c>
    </row>
    <row r="606" spans="1:31">
      <c r="A606" s="4" t="s">
        <v>1225</v>
      </c>
      <c r="B606" s="4" t="s">
        <v>1223</v>
      </c>
      <c r="C606" s="5">
        <v>150</v>
      </c>
      <c r="D606" s="5">
        <v>120</v>
      </c>
      <c r="E606" s="5">
        <v>100</v>
      </c>
      <c r="F606" s="5">
        <v>120</v>
      </c>
      <c r="G606" s="5">
        <v>100</v>
      </c>
      <c r="H606" s="5">
        <v>90</v>
      </c>
      <c r="I606" s="4" t="s">
        <v>1214</v>
      </c>
      <c r="J606" s="4" t="s">
        <v>281</v>
      </c>
      <c r="K606" s="4" t="s">
        <v>50</v>
      </c>
      <c r="L606" s="4" t="s">
        <v>986</v>
      </c>
      <c r="M606" s="5"/>
      <c r="N606" s="5"/>
      <c r="O606" s="5" t="b">
        <v>1</v>
      </c>
      <c r="P606" s="4" t="str">
        <f>IF(A606="",IF(ISNUMBER(SEARCH("NOT NULL",UPPER(A$3))),"''","null"),SUBSTITUTE(VLOOKUP(A$2,convert!$A$1:$B$4,2,0),"@@@",A606))</f>
        <v>'0487N02'</v>
      </c>
      <c r="Q606" s="4" t="str">
        <f>IF(B606="",IF(ISNUMBER(SEARCH("NOT NULL",UPPER(B$3))),"''","null"),SUBSTITUTE(VLOOKUP(B$2,convert!$A$1:$B$4,2,0),"@@@",B606))</f>
        <v>'ギラティナ'</v>
      </c>
      <c r="R606" s="4" t="str">
        <f>IF(C606="",IF(ISNUMBER(SEARCH("NOT NULL",UPPER(C$3))),"''","null"),SUBSTITUTE(VLOOKUP(C$2,convert!$A$1:$B$4,2,0),"@@@",C606))</f>
        <v>150</v>
      </c>
      <c r="S606" s="4" t="str">
        <f>IF(D606="",IF(ISNUMBER(SEARCH("NOT NULL",UPPER(D$3))),"''","null"),SUBSTITUTE(VLOOKUP(D$2,convert!$A$1:$B$4,2,0),"@@@",D606))</f>
        <v>120</v>
      </c>
      <c r="T606" s="4" t="str">
        <f>IF(E606="",IF(ISNUMBER(SEARCH("NOT NULL",UPPER(E$3))),"''","null"),SUBSTITUTE(VLOOKUP(E$2,convert!$A$1:$B$4,2,0),"@@@",E606))</f>
        <v>100</v>
      </c>
      <c r="U606" s="4" t="str">
        <f>IF(F606="",IF(ISNUMBER(SEARCH("NOT NULL",UPPER(F$3))),"''","null"),SUBSTITUTE(VLOOKUP(F$2,convert!$A$1:$B$4,2,0),"@@@",F606))</f>
        <v>120</v>
      </c>
      <c r="V606" s="4" t="str">
        <f>IF(G606="",IF(ISNUMBER(SEARCH("NOT NULL",UPPER(G$3))),"''","null"),SUBSTITUTE(VLOOKUP(G$2,convert!$A$1:$B$4,2,0),"@@@",G606))</f>
        <v>100</v>
      </c>
      <c r="W606" s="4" t="str">
        <f>IF(H606="",IF(ISNUMBER(SEARCH("NOT NULL",UPPER(H$3))),"''","null"),SUBSTITUTE(VLOOKUP(H$2,convert!$A$1:$B$4,2,0),"@@@",H606))</f>
        <v>90</v>
      </c>
      <c r="X606" s="4" t="str">
        <f>IF(I606="",IF(ISNUMBER(SEARCH("NOT NULL",UPPER(I$3))),"''","null"),SUBSTITUTE(VLOOKUP(I$2,convert!$A$1:$B$4,2,0),"@@@",I606))</f>
        <v>'オリジンフォルム'</v>
      </c>
      <c r="Y606" s="4" t="str">
        <f>IF(J606="",IF(ISNUMBER(SEARCH("NOT NULL",UPPER(J$3))),"''","null"),SUBSTITUTE(VLOOKUP(J$2,convert!$A$1:$B$4,2,0),"@@@",J606))</f>
        <v>'ghost'</v>
      </c>
      <c r="Z606" s="4" t="str">
        <f>IF(K606="",IF(ISNUMBER(SEARCH("NOT NULL",UPPER(K$3))),"''","null"),SUBSTITUTE(VLOOKUP(K$2,convert!$A$1:$B$4,2,0),"@@@",K606))</f>
        <v>'dragon'</v>
      </c>
      <c r="AA606" s="4" t="str">
        <f>IF(L606="",IF(ISNUMBER(SEARCH("NOT NULL",UPPER(L$3))),"''","null"),SUBSTITUTE(VLOOKUP(L$2,convert!$A$1:$B$4,2,0),"@@@",L606))</f>
        <v>'g4'</v>
      </c>
      <c r="AB606" s="4" t="str">
        <f>IF(M606="",IF(ISNUMBER(SEARCH("NOT NULL",UPPER(M$3))),"''","null"),SUBSTITUTE(VLOOKUP(M$2,convert!$A$1:$B$4,2,0),"@@@",M606))</f>
        <v>null</v>
      </c>
      <c r="AC606" s="4" t="str">
        <f>IF(N606="",IF(ISNUMBER(SEARCH("NOT NULL",UPPER(N$3))),"''","null"),SUBSTITUTE(VLOOKUP(N$2,convert!$A$1:$B$4,2,0),"@@@",N606))</f>
        <v>null</v>
      </c>
      <c r="AD606" s="4" t="str">
        <f>IF(O606="",IF(ISNUMBER(SEARCH("NOT NULL",UPPER(O$3))),"''","null"),SUBSTITUTE(VLOOKUP(O$2,convert!$A$1:$B$4,2,0),"@@@",O606))</f>
        <v>TRUE</v>
      </c>
      <c r="AE606" s="4" t="str">
        <f t="shared" si="9"/>
        <v>    ('0487N02', 'ギラティナ', 150, 120, 100, 120, 100, 90, 'オリジンフォルム', 'ghost', 'dragon', 'g4', null, null, TRUE),</v>
      </c>
    </row>
    <row r="607" spans="1:31">
      <c r="A607" s="4" t="s">
        <v>1226</v>
      </c>
      <c r="B607" s="4" t="s">
        <v>1227</v>
      </c>
      <c r="C607" s="5">
        <v>120</v>
      </c>
      <c r="D607" s="5">
        <v>70</v>
      </c>
      <c r="E607" s="5">
        <v>120</v>
      </c>
      <c r="F607" s="5">
        <v>75</v>
      </c>
      <c r="G607" s="5">
        <v>130</v>
      </c>
      <c r="H607" s="5">
        <v>85</v>
      </c>
      <c r="I607" s="5"/>
      <c r="J607" s="4" t="s">
        <v>113</v>
      </c>
      <c r="K607" s="5"/>
      <c r="L607" s="4" t="s">
        <v>986</v>
      </c>
      <c r="M607" s="5"/>
      <c r="N607" s="5"/>
      <c r="O607" s="5" t="b">
        <v>1</v>
      </c>
      <c r="P607" s="4" t="str">
        <f>IF(A607="",IF(ISNUMBER(SEARCH("NOT NULL",UPPER(A$3))),"''","null"),SUBSTITUTE(VLOOKUP(A$2,convert!$A$1:$B$4,2,0),"@@@",A607))</f>
        <v>'0488N01'</v>
      </c>
      <c r="Q607" s="4" t="str">
        <f>IF(B607="",IF(ISNUMBER(SEARCH("NOT NULL",UPPER(B$3))),"''","null"),SUBSTITUTE(VLOOKUP(B$2,convert!$A$1:$B$4,2,0),"@@@",B607))</f>
        <v>'クレセリア'</v>
      </c>
      <c r="R607" s="4" t="str">
        <f>IF(C607="",IF(ISNUMBER(SEARCH("NOT NULL",UPPER(C$3))),"''","null"),SUBSTITUTE(VLOOKUP(C$2,convert!$A$1:$B$4,2,0),"@@@",C607))</f>
        <v>120</v>
      </c>
      <c r="S607" s="4" t="str">
        <f>IF(D607="",IF(ISNUMBER(SEARCH("NOT NULL",UPPER(D$3))),"''","null"),SUBSTITUTE(VLOOKUP(D$2,convert!$A$1:$B$4,2,0),"@@@",D607))</f>
        <v>70</v>
      </c>
      <c r="T607" s="4" t="str">
        <f>IF(E607="",IF(ISNUMBER(SEARCH("NOT NULL",UPPER(E$3))),"''","null"),SUBSTITUTE(VLOOKUP(E$2,convert!$A$1:$B$4,2,0),"@@@",E607))</f>
        <v>120</v>
      </c>
      <c r="U607" s="4" t="str">
        <f>IF(F607="",IF(ISNUMBER(SEARCH("NOT NULL",UPPER(F$3))),"''","null"),SUBSTITUTE(VLOOKUP(F$2,convert!$A$1:$B$4,2,0),"@@@",F607))</f>
        <v>75</v>
      </c>
      <c r="V607" s="4" t="str">
        <f>IF(G607="",IF(ISNUMBER(SEARCH("NOT NULL",UPPER(G$3))),"''","null"),SUBSTITUTE(VLOOKUP(G$2,convert!$A$1:$B$4,2,0),"@@@",G607))</f>
        <v>130</v>
      </c>
      <c r="W607" s="4" t="str">
        <f>IF(H607="",IF(ISNUMBER(SEARCH("NOT NULL",UPPER(H$3))),"''","null"),SUBSTITUTE(VLOOKUP(H$2,convert!$A$1:$B$4,2,0),"@@@",H607))</f>
        <v>85</v>
      </c>
      <c r="X607" s="4" t="str">
        <f>IF(I607="",IF(ISNUMBER(SEARCH("NOT NULL",UPPER(I$3))),"''","null"),SUBSTITUTE(VLOOKUP(I$2,convert!$A$1:$B$4,2,0),"@@@",I607))</f>
        <v>''</v>
      </c>
      <c r="Y607" s="4" t="str">
        <f>IF(J607="",IF(ISNUMBER(SEARCH("NOT NULL",UPPER(J$3))),"''","null"),SUBSTITUTE(VLOOKUP(J$2,convert!$A$1:$B$4,2,0),"@@@",J607))</f>
        <v>'psychic'</v>
      </c>
      <c r="Z607" s="4" t="str">
        <f>IF(K607="",IF(ISNUMBER(SEARCH("NOT NULL",UPPER(K$3))),"''","null"),SUBSTITUTE(VLOOKUP(K$2,convert!$A$1:$B$4,2,0),"@@@",K607))</f>
        <v>null</v>
      </c>
      <c r="AA607" s="4" t="str">
        <f>IF(L607="",IF(ISNUMBER(SEARCH("NOT NULL",UPPER(L$3))),"''","null"),SUBSTITUTE(VLOOKUP(L$2,convert!$A$1:$B$4,2,0),"@@@",L607))</f>
        <v>'g4'</v>
      </c>
      <c r="AB607" s="4" t="str">
        <f>IF(M607="",IF(ISNUMBER(SEARCH("NOT NULL",UPPER(M$3))),"''","null"),SUBSTITUTE(VLOOKUP(M$2,convert!$A$1:$B$4,2,0),"@@@",M607))</f>
        <v>null</v>
      </c>
      <c r="AC607" s="4" t="str">
        <f>IF(N607="",IF(ISNUMBER(SEARCH("NOT NULL",UPPER(N$3))),"''","null"),SUBSTITUTE(VLOOKUP(N$2,convert!$A$1:$B$4,2,0),"@@@",N607))</f>
        <v>null</v>
      </c>
      <c r="AD607" s="4" t="str">
        <f>IF(O607="",IF(ISNUMBER(SEARCH("NOT NULL",UPPER(O$3))),"''","null"),SUBSTITUTE(VLOOKUP(O$2,convert!$A$1:$B$4,2,0),"@@@",O607))</f>
        <v>TRUE</v>
      </c>
      <c r="AE607" s="4" t="str">
        <f t="shared" si="9"/>
        <v>    ('0488N01', 'クレセリア', 120, 70, 120, 75, 130, 85, '', 'psychic', null, 'g4', null, null, TRUE),</v>
      </c>
    </row>
    <row r="608" spans="1:31">
      <c r="A608" s="4" t="s">
        <v>1228</v>
      </c>
      <c r="B608" s="4" t="s">
        <v>1229</v>
      </c>
      <c r="C608" s="5">
        <v>80</v>
      </c>
      <c r="D608" s="5">
        <v>80</v>
      </c>
      <c r="E608" s="5">
        <v>80</v>
      </c>
      <c r="F608" s="5">
        <v>80</v>
      </c>
      <c r="G608" s="5">
        <v>80</v>
      </c>
      <c r="H608" s="5">
        <v>80</v>
      </c>
      <c r="I608" s="5"/>
      <c r="J608" s="4" t="s">
        <v>55</v>
      </c>
      <c r="K608" s="5"/>
      <c r="L608" s="4" t="s">
        <v>986</v>
      </c>
      <c r="M608" s="5"/>
      <c r="N608" s="5"/>
      <c r="O608" s="5" t="b">
        <v>0</v>
      </c>
      <c r="P608" s="4" t="str">
        <f>IF(A608="",IF(ISNUMBER(SEARCH("NOT NULL",UPPER(A$3))),"''","null"),SUBSTITUTE(VLOOKUP(A$2,convert!$A$1:$B$4,2,0),"@@@",A608))</f>
        <v>'0489N01'</v>
      </c>
      <c r="Q608" s="4" t="str">
        <f>IF(B608="",IF(ISNUMBER(SEARCH("NOT NULL",UPPER(B$3))),"''","null"),SUBSTITUTE(VLOOKUP(B$2,convert!$A$1:$B$4,2,0),"@@@",B608))</f>
        <v>'フィオネ'</v>
      </c>
      <c r="R608" s="4" t="str">
        <f>IF(C608="",IF(ISNUMBER(SEARCH("NOT NULL",UPPER(C$3))),"''","null"),SUBSTITUTE(VLOOKUP(C$2,convert!$A$1:$B$4,2,0),"@@@",C608))</f>
        <v>80</v>
      </c>
      <c r="S608" s="4" t="str">
        <f>IF(D608="",IF(ISNUMBER(SEARCH("NOT NULL",UPPER(D$3))),"''","null"),SUBSTITUTE(VLOOKUP(D$2,convert!$A$1:$B$4,2,0),"@@@",D608))</f>
        <v>80</v>
      </c>
      <c r="T608" s="4" t="str">
        <f>IF(E608="",IF(ISNUMBER(SEARCH("NOT NULL",UPPER(E$3))),"''","null"),SUBSTITUTE(VLOOKUP(E$2,convert!$A$1:$B$4,2,0),"@@@",E608))</f>
        <v>80</v>
      </c>
      <c r="U608" s="4" t="str">
        <f>IF(F608="",IF(ISNUMBER(SEARCH("NOT NULL",UPPER(F$3))),"''","null"),SUBSTITUTE(VLOOKUP(F$2,convert!$A$1:$B$4,2,0),"@@@",F608))</f>
        <v>80</v>
      </c>
      <c r="V608" s="4" t="str">
        <f>IF(G608="",IF(ISNUMBER(SEARCH("NOT NULL",UPPER(G$3))),"''","null"),SUBSTITUTE(VLOOKUP(G$2,convert!$A$1:$B$4,2,0),"@@@",G608))</f>
        <v>80</v>
      </c>
      <c r="W608" s="4" t="str">
        <f>IF(H608="",IF(ISNUMBER(SEARCH("NOT NULL",UPPER(H$3))),"''","null"),SUBSTITUTE(VLOOKUP(H$2,convert!$A$1:$B$4,2,0),"@@@",H608))</f>
        <v>80</v>
      </c>
      <c r="X608" s="4" t="str">
        <f>IF(I608="",IF(ISNUMBER(SEARCH("NOT NULL",UPPER(I$3))),"''","null"),SUBSTITUTE(VLOOKUP(I$2,convert!$A$1:$B$4,2,0),"@@@",I608))</f>
        <v>''</v>
      </c>
      <c r="Y608" s="4" t="str">
        <f>IF(J608="",IF(ISNUMBER(SEARCH("NOT NULL",UPPER(J$3))),"''","null"),SUBSTITUTE(VLOOKUP(J$2,convert!$A$1:$B$4,2,0),"@@@",J608))</f>
        <v>'water'</v>
      </c>
      <c r="Z608" s="4" t="str">
        <f>IF(K608="",IF(ISNUMBER(SEARCH("NOT NULL",UPPER(K$3))),"''","null"),SUBSTITUTE(VLOOKUP(K$2,convert!$A$1:$B$4,2,0),"@@@",K608))</f>
        <v>null</v>
      </c>
      <c r="AA608" s="4" t="str">
        <f>IF(L608="",IF(ISNUMBER(SEARCH("NOT NULL",UPPER(L$3))),"''","null"),SUBSTITUTE(VLOOKUP(L$2,convert!$A$1:$B$4,2,0),"@@@",L608))</f>
        <v>'g4'</v>
      </c>
      <c r="AB608" s="4" t="str">
        <f>IF(M608="",IF(ISNUMBER(SEARCH("NOT NULL",UPPER(M$3))),"''","null"),SUBSTITUTE(VLOOKUP(M$2,convert!$A$1:$B$4,2,0),"@@@",M608))</f>
        <v>null</v>
      </c>
      <c r="AC608" s="4" t="str">
        <f>IF(N608="",IF(ISNUMBER(SEARCH("NOT NULL",UPPER(N$3))),"''","null"),SUBSTITUTE(VLOOKUP(N$2,convert!$A$1:$B$4,2,0),"@@@",N608))</f>
        <v>null</v>
      </c>
      <c r="AD608" s="4" t="str">
        <f>IF(O608="",IF(ISNUMBER(SEARCH("NOT NULL",UPPER(O$3))),"''","null"),SUBSTITUTE(VLOOKUP(O$2,convert!$A$1:$B$4,2,0),"@@@",O608))</f>
        <v>FALSE</v>
      </c>
      <c r="AE608" s="4" t="str">
        <f t="shared" si="9"/>
        <v>    ('0489N01', 'フィオネ', 80, 80, 80, 80, 80, 80, '', 'water', null, 'g4', null, null, FALSE),</v>
      </c>
    </row>
    <row r="609" spans="1:31">
      <c r="A609" s="4" t="s">
        <v>1230</v>
      </c>
      <c r="B609" s="4" t="s">
        <v>1231</v>
      </c>
      <c r="C609" s="5">
        <v>100</v>
      </c>
      <c r="D609" s="5">
        <v>100</v>
      </c>
      <c r="E609" s="5">
        <v>100</v>
      </c>
      <c r="F609" s="5">
        <v>100</v>
      </c>
      <c r="G609" s="5">
        <v>100</v>
      </c>
      <c r="H609" s="5">
        <v>100</v>
      </c>
      <c r="I609" s="5"/>
      <c r="J609" s="4" t="s">
        <v>55</v>
      </c>
      <c r="K609" s="5"/>
      <c r="L609" s="4" t="s">
        <v>986</v>
      </c>
      <c r="M609" s="5"/>
      <c r="N609" s="5"/>
      <c r="O609" s="5" t="b">
        <v>0</v>
      </c>
      <c r="P609" s="4" t="str">
        <f>IF(A609="",IF(ISNUMBER(SEARCH("NOT NULL",UPPER(A$3))),"''","null"),SUBSTITUTE(VLOOKUP(A$2,convert!$A$1:$B$4,2,0),"@@@",A609))</f>
        <v>'0490N01'</v>
      </c>
      <c r="Q609" s="4" t="str">
        <f>IF(B609="",IF(ISNUMBER(SEARCH("NOT NULL",UPPER(B$3))),"''","null"),SUBSTITUTE(VLOOKUP(B$2,convert!$A$1:$B$4,2,0),"@@@",B609))</f>
        <v>'マナフィ'</v>
      </c>
      <c r="R609" s="4" t="str">
        <f>IF(C609="",IF(ISNUMBER(SEARCH("NOT NULL",UPPER(C$3))),"''","null"),SUBSTITUTE(VLOOKUP(C$2,convert!$A$1:$B$4,2,0),"@@@",C609))</f>
        <v>100</v>
      </c>
      <c r="S609" s="4" t="str">
        <f>IF(D609="",IF(ISNUMBER(SEARCH("NOT NULL",UPPER(D$3))),"''","null"),SUBSTITUTE(VLOOKUP(D$2,convert!$A$1:$B$4,2,0),"@@@",D609))</f>
        <v>100</v>
      </c>
      <c r="T609" s="4" t="str">
        <f>IF(E609="",IF(ISNUMBER(SEARCH("NOT NULL",UPPER(E$3))),"''","null"),SUBSTITUTE(VLOOKUP(E$2,convert!$A$1:$B$4,2,0),"@@@",E609))</f>
        <v>100</v>
      </c>
      <c r="U609" s="4" t="str">
        <f>IF(F609="",IF(ISNUMBER(SEARCH("NOT NULL",UPPER(F$3))),"''","null"),SUBSTITUTE(VLOOKUP(F$2,convert!$A$1:$B$4,2,0),"@@@",F609))</f>
        <v>100</v>
      </c>
      <c r="V609" s="4" t="str">
        <f>IF(G609="",IF(ISNUMBER(SEARCH("NOT NULL",UPPER(G$3))),"''","null"),SUBSTITUTE(VLOOKUP(G$2,convert!$A$1:$B$4,2,0),"@@@",G609))</f>
        <v>100</v>
      </c>
      <c r="W609" s="4" t="str">
        <f>IF(H609="",IF(ISNUMBER(SEARCH("NOT NULL",UPPER(H$3))),"''","null"),SUBSTITUTE(VLOOKUP(H$2,convert!$A$1:$B$4,2,0),"@@@",H609))</f>
        <v>100</v>
      </c>
      <c r="X609" s="4" t="str">
        <f>IF(I609="",IF(ISNUMBER(SEARCH("NOT NULL",UPPER(I$3))),"''","null"),SUBSTITUTE(VLOOKUP(I$2,convert!$A$1:$B$4,2,0),"@@@",I609))</f>
        <v>''</v>
      </c>
      <c r="Y609" s="4" t="str">
        <f>IF(J609="",IF(ISNUMBER(SEARCH("NOT NULL",UPPER(J$3))),"''","null"),SUBSTITUTE(VLOOKUP(J$2,convert!$A$1:$B$4,2,0),"@@@",J609))</f>
        <v>'water'</v>
      </c>
      <c r="Z609" s="4" t="str">
        <f>IF(K609="",IF(ISNUMBER(SEARCH("NOT NULL",UPPER(K$3))),"''","null"),SUBSTITUTE(VLOOKUP(K$2,convert!$A$1:$B$4,2,0),"@@@",K609))</f>
        <v>null</v>
      </c>
      <c r="AA609" s="4" t="str">
        <f>IF(L609="",IF(ISNUMBER(SEARCH("NOT NULL",UPPER(L$3))),"''","null"),SUBSTITUTE(VLOOKUP(L$2,convert!$A$1:$B$4,2,0),"@@@",L609))</f>
        <v>'g4'</v>
      </c>
      <c r="AB609" s="4" t="str">
        <f>IF(M609="",IF(ISNUMBER(SEARCH("NOT NULL",UPPER(M$3))),"''","null"),SUBSTITUTE(VLOOKUP(M$2,convert!$A$1:$B$4,2,0),"@@@",M609))</f>
        <v>null</v>
      </c>
      <c r="AC609" s="4" t="str">
        <f>IF(N609="",IF(ISNUMBER(SEARCH("NOT NULL",UPPER(N$3))),"''","null"),SUBSTITUTE(VLOOKUP(N$2,convert!$A$1:$B$4,2,0),"@@@",N609))</f>
        <v>null</v>
      </c>
      <c r="AD609" s="4" t="str">
        <f>IF(O609="",IF(ISNUMBER(SEARCH("NOT NULL",UPPER(O$3))),"''","null"),SUBSTITUTE(VLOOKUP(O$2,convert!$A$1:$B$4,2,0),"@@@",O609))</f>
        <v>FALSE</v>
      </c>
      <c r="AE609" s="4" t="str">
        <f t="shared" si="9"/>
        <v>    ('0490N01', 'マナフィ', 100, 100, 100, 100, 100, 100, '', 'water', null, 'g4', null, null, FALSE),</v>
      </c>
    </row>
    <row r="610" spans="1:31">
      <c r="A610" s="4" t="s">
        <v>1232</v>
      </c>
      <c r="B610" s="4" t="s">
        <v>1233</v>
      </c>
      <c r="C610" s="5">
        <v>70</v>
      </c>
      <c r="D610" s="5">
        <v>90</v>
      </c>
      <c r="E610" s="5">
        <v>90</v>
      </c>
      <c r="F610" s="5">
        <v>135</v>
      </c>
      <c r="G610" s="5">
        <v>90</v>
      </c>
      <c r="H610" s="5">
        <v>125</v>
      </c>
      <c r="I610" s="5"/>
      <c r="J610" s="4" t="s">
        <v>91</v>
      </c>
      <c r="K610" s="5"/>
      <c r="L610" s="4" t="s">
        <v>986</v>
      </c>
      <c r="M610" s="5"/>
      <c r="N610" s="5"/>
      <c r="O610" s="5" t="b">
        <v>1</v>
      </c>
      <c r="P610" s="4" t="str">
        <f>IF(A610="",IF(ISNUMBER(SEARCH("NOT NULL",UPPER(A$3))),"''","null"),SUBSTITUTE(VLOOKUP(A$2,convert!$A$1:$B$4,2,0),"@@@",A610))</f>
        <v>'0491N01'</v>
      </c>
      <c r="Q610" s="4" t="str">
        <f>IF(B610="",IF(ISNUMBER(SEARCH("NOT NULL",UPPER(B$3))),"''","null"),SUBSTITUTE(VLOOKUP(B$2,convert!$A$1:$B$4,2,0),"@@@",B610))</f>
        <v>'ダークライ'</v>
      </c>
      <c r="R610" s="4" t="str">
        <f>IF(C610="",IF(ISNUMBER(SEARCH("NOT NULL",UPPER(C$3))),"''","null"),SUBSTITUTE(VLOOKUP(C$2,convert!$A$1:$B$4,2,0),"@@@",C610))</f>
        <v>70</v>
      </c>
      <c r="S610" s="4" t="str">
        <f>IF(D610="",IF(ISNUMBER(SEARCH("NOT NULL",UPPER(D$3))),"''","null"),SUBSTITUTE(VLOOKUP(D$2,convert!$A$1:$B$4,2,0),"@@@",D610))</f>
        <v>90</v>
      </c>
      <c r="T610" s="4" t="str">
        <f>IF(E610="",IF(ISNUMBER(SEARCH("NOT NULL",UPPER(E$3))),"''","null"),SUBSTITUTE(VLOOKUP(E$2,convert!$A$1:$B$4,2,0),"@@@",E610))</f>
        <v>90</v>
      </c>
      <c r="U610" s="4" t="str">
        <f>IF(F610="",IF(ISNUMBER(SEARCH("NOT NULL",UPPER(F$3))),"''","null"),SUBSTITUTE(VLOOKUP(F$2,convert!$A$1:$B$4,2,0),"@@@",F610))</f>
        <v>135</v>
      </c>
      <c r="V610" s="4" t="str">
        <f>IF(G610="",IF(ISNUMBER(SEARCH("NOT NULL",UPPER(G$3))),"''","null"),SUBSTITUTE(VLOOKUP(G$2,convert!$A$1:$B$4,2,0),"@@@",G610))</f>
        <v>90</v>
      </c>
      <c r="W610" s="4" t="str">
        <f>IF(H610="",IF(ISNUMBER(SEARCH("NOT NULL",UPPER(H$3))),"''","null"),SUBSTITUTE(VLOOKUP(H$2,convert!$A$1:$B$4,2,0),"@@@",H610))</f>
        <v>125</v>
      </c>
      <c r="X610" s="4" t="str">
        <f>IF(I610="",IF(ISNUMBER(SEARCH("NOT NULL",UPPER(I$3))),"''","null"),SUBSTITUTE(VLOOKUP(I$2,convert!$A$1:$B$4,2,0),"@@@",I610))</f>
        <v>''</v>
      </c>
      <c r="Y610" s="4" t="str">
        <f>IF(J610="",IF(ISNUMBER(SEARCH("NOT NULL",UPPER(J$3))),"''","null"),SUBSTITUTE(VLOOKUP(J$2,convert!$A$1:$B$4,2,0),"@@@",J610))</f>
        <v>'dark'</v>
      </c>
      <c r="Z610" s="4" t="str">
        <f>IF(K610="",IF(ISNUMBER(SEARCH("NOT NULL",UPPER(K$3))),"''","null"),SUBSTITUTE(VLOOKUP(K$2,convert!$A$1:$B$4,2,0),"@@@",K610))</f>
        <v>null</v>
      </c>
      <c r="AA610" s="4" t="str">
        <f>IF(L610="",IF(ISNUMBER(SEARCH("NOT NULL",UPPER(L$3))),"''","null"),SUBSTITUTE(VLOOKUP(L$2,convert!$A$1:$B$4,2,0),"@@@",L610))</f>
        <v>'g4'</v>
      </c>
      <c r="AB610" s="4" t="str">
        <f>IF(M610="",IF(ISNUMBER(SEARCH("NOT NULL",UPPER(M$3))),"''","null"),SUBSTITUTE(VLOOKUP(M$2,convert!$A$1:$B$4,2,0),"@@@",M610))</f>
        <v>null</v>
      </c>
      <c r="AC610" s="4" t="str">
        <f>IF(N610="",IF(ISNUMBER(SEARCH("NOT NULL",UPPER(N$3))),"''","null"),SUBSTITUTE(VLOOKUP(N$2,convert!$A$1:$B$4,2,0),"@@@",N610))</f>
        <v>null</v>
      </c>
      <c r="AD610" s="4" t="str">
        <f>IF(O610="",IF(ISNUMBER(SEARCH("NOT NULL",UPPER(O$3))),"''","null"),SUBSTITUTE(VLOOKUP(O$2,convert!$A$1:$B$4,2,0),"@@@",O610))</f>
        <v>TRUE</v>
      </c>
      <c r="AE610" s="4" t="str">
        <f t="shared" si="9"/>
        <v>    ('0491N01', 'ダークライ', 70, 90, 90, 135, 90, 125, '', 'dark', null, 'g4', null, null, TRUE),</v>
      </c>
    </row>
    <row r="611" spans="1:31">
      <c r="A611" s="4" t="s">
        <v>1234</v>
      </c>
      <c r="B611" s="4" t="s">
        <v>1235</v>
      </c>
      <c r="C611" s="5">
        <v>100</v>
      </c>
      <c r="D611" s="5">
        <v>100</v>
      </c>
      <c r="E611" s="5">
        <v>100</v>
      </c>
      <c r="F611" s="5">
        <v>100</v>
      </c>
      <c r="G611" s="5">
        <v>100</v>
      </c>
      <c r="H611" s="5">
        <v>100</v>
      </c>
      <c r="I611" s="4" t="s">
        <v>1236</v>
      </c>
      <c r="J611" s="4" t="s">
        <v>30</v>
      </c>
      <c r="K611" s="5"/>
      <c r="L611" s="4" t="s">
        <v>986</v>
      </c>
      <c r="M611" s="5"/>
      <c r="N611" s="5"/>
      <c r="O611" s="5" t="b">
        <v>1</v>
      </c>
      <c r="P611" s="4" t="str">
        <f>IF(A611="",IF(ISNUMBER(SEARCH("NOT NULL",UPPER(A$3))),"''","null"),SUBSTITUTE(VLOOKUP(A$2,convert!$A$1:$B$4,2,0),"@@@",A611))</f>
        <v>'0492N01'</v>
      </c>
      <c r="Q611" s="4" t="str">
        <f>IF(B611="",IF(ISNUMBER(SEARCH("NOT NULL",UPPER(B$3))),"''","null"),SUBSTITUTE(VLOOKUP(B$2,convert!$A$1:$B$4,2,0),"@@@",B611))</f>
        <v>'シェイミ'</v>
      </c>
      <c r="R611" s="4" t="str">
        <f>IF(C611="",IF(ISNUMBER(SEARCH("NOT NULL",UPPER(C$3))),"''","null"),SUBSTITUTE(VLOOKUP(C$2,convert!$A$1:$B$4,2,0),"@@@",C611))</f>
        <v>100</v>
      </c>
      <c r="S611" s="4" t="str">
        <f>IF(D611="",IF(ISNUMBER(SEARCH("NOT NULL",UPPER(D$3))),"''","null"),SUBSTITUTE(VLOOKUP(D$2,convert!$A$1:$B$4,2,0),"@@@",D611))</f>
        <v>100</v>
      </c>
      <c r="T611" s="4" t="str">
        <f>IF(E611="",IF(ISNUMBER(SEARCH("NOT NULL",UPPER(E$3))),"''","null"),SUBSTITUTE(VLOOKUP(E$2,convert!$A$1:$B$4,2,0),"@@@",E611))</f>
        <v>100</v>
      </c>
      <c r="U611" s="4" t="str">
        <f>IF(F611="",IF(ISNUMBER(SEARCH("NOT NULL",UPPER(F$3))),"''","null"),SUBSTITUTE(VLOOKUP(F$2,convert!$A$1:$B$4,2,0),"@@@",F611))</f>
        <v>100</v>
      </c>
      <c r="V611" s="4" t="str">
        <f>IF(G611="",IF(ISNUMBER(SEARCH("NOT NULL",UPPER(G$3))),"''","null"),SUBSTITUTE(VLOOKUP(G$2,convert!$A$1:$B$4,2,0),"@@@",G611))</f>
        <v>100</v>
      </c>
      <c r="W611" s="4" t="str">
        <f>IF(H611="",IF(ISNUMBER(SEARCH("NOT NULL",UPPER(H$3))),"''","null"),SUBSTITUTE(VLOOKUP(H$2,convert!$A$1:$B$4,2,0),"@@@",H611))</f>
        <v>100</v>
      </c>
      <c r="X611" s="4" t="str">
        <f>IF(I611="",IF(ISNUMBER(SEARCH("NOT NULL",UPPER(I$3))),"''","null"),SUBSTITUTE(VLOOKUP(I$2,convert!$A$1:$B$4,2,0),"@@@",I611))</f>
        <v>'ランドフォルム'</v>
      </c>
      <c r="Y611" s="4" t="str">
        <f>IF(J611="",IF(ISNUMBER(SEARCH("NOT NULL",UPPER(J$3))),"''","null"),SUBSTITUTE(VLOOKUP(J$2,convert!$A$1:$B$4,2,0),"@@@",J611))</f>
        <v>'grass'</v>
      </c>
      <c r="Z611" s="4" t="str">
        <f>IF(K611="",IF(ISNUMBER(SEARCH("NOT NULL",UPPER(K$3))),"''","null"),SUBSTITUTE(VLOOKUP(K$2,convert!$A$1:$B$4,2,0),"@@@",K611))</f>
        <v>null</v>
      </c>
      <c r="AA611" s="4" t="str">
        <f>IF(L611="",IF(ISNUMBER(SEARCH("NOT NULL",UPPER(L$3))),"''","null"),SUBSTITUTE(VLOOKUP(L$2,convert!$A$1:$B$4,2,0),"@@@",L611))</f>
        <v>'g4'</v>
      </c>
      <c r="AB611" s="4" t="str">
        <f>IF(M611="",IF(ISNUMBER(SEARCH("NOT NULL",UPPER(M$3))),"''","null"),SUBSTITUTE(VLOOKUP(M$2,convert!$A$1:$B$4,2,0),"@@@",M611))</f>
        <v>null</v>
      </c>
      <c r="AC611" s="4" t="str">
        <f>IF(N611="",IF(ISNUMBER(SEARCH("NOT NULL",UPPER(N$3))),"''","null"),SUBSTITUTE(VLOOKUP(N$2,convert!$A$1:$B$4,2,0),"@@@",N611))</f>
        <v>null</v>
      </c>
      <c r="AD611" s="4" t="str">
        <f>IF(O611="",IF(ISNUMBER(SEARCH("NOT NULL",UPPER(O$3))),"''","null"),SUBSTITUTE(VLOOKUP(O$2,convert!$A$1:$B$4,2,0),"@@@",O611))</f>
        <v>TRUE</v>
      </c>
      <c r="AE611" s="4" t="str">
        <f t="shared" si="9"/>
        <v>    ('0492N01', 'シェイミ', 100, 100, 100, 100, 100, 100, 'ランドフォルム', 'grass', null, 'g4', null, null, TRUE),</v>
      </c>
    </row>
    <row r="612" spans="1:31">
      <c r="A612" s="4" t="s">
        <v>1237</v>
      </c>
      <c r="B612" s="4" t="s">
        <v>1235</v>
      </c>
      <c r="C612" s="5">
        <v>100</v>
      </c>
      <c r="D612" s="5">
        <v>103</v>
      </c>
      <c r="E612" s="5">
        <v>75</v>
      </c>
      <c r="F612" s="5">
        <v>120</v>
      </c>
      <c r="G612" s="5">
        <v>75</v>
      </c>
      <c r="H612" s="5">
        <v>127</v>
      </c>
      <c r="I612" s="4" t="s">
        <v>1238</v>
      </c>
      <c r="J612" s="4" t="s">
        <v>30</v>
      </c>
      <c r="K612" s="4" t="s">
        <v>47</v>
      </c>
      <c r="L612" s="4" t="s">
        <v>986</v>
      </c>
      <c r="M612" s="5"/>
      <c r="N612" s="5"/>
      <c r="O612" s="5" t="b">
        <v>1</v>
      </c>
      <c r="P612" s="4" t="str">
        <f>IF(A612="",IF(ISNUMBER(SEARCH("NOT NULL",UPPER(A$3))),"''","null"),SUBSTITUTE(VLOOKUP(A$2,convert!$A$1:$B$4,2,0),"@@@",A612))</f>
        <v>'0492N02'</v>
      </c>
      <c r="Q612" s="4" t="str">
        <f>IF(B612="",IF(ISNUMBER(SEARCH("NOT NULL",UPPER(B$3))),"''","null"),SUBSTITUTE(VLOOKUP(B$2,convert!$A$1:$B$4,2,0),"@@@",B612))</f>
        <v>'シェイミ'</v>
      </c>
      <c r="R612" s="4" t="str">
        <f>IF(C612="",IF(ISNUMBER(SEARCH("NOT NULL",UPPER(C$3))),"''","null"),SUBSTITUTE(VLOOKUP(C$2,convert!$A$1:$B$4,2,0),"@@@",C612))</f>
        <v>100</v>
      </c>
      <c r="S612" s="4" t="str">
        <f>IF(D612="",IF(ISNUMBER(SEARCH("NOT NULL",UPPER(D$3))),"''","null"),SUBSTITUTE(VLOOKUP(D$2,convert!$A$1:$B$4,2,0),"@@@",D612))</f>
        <v>103</v>
      </c>
      <c r="T612" s="4" t="str">
        <f>IF(E612="",IF(ISNUMBER(SEARCH("NOT NULL",UPPER(E$3))),"''","null"),SUBSTITUTE(VLOOKUP(E$2,convert!$A$1:$B$4,2,0),"@@@",E612))</f>
        <v>75</v>
      </c>
      <c r="U612" s="4" t="str">
        <f>IF(F612="",IF(ISNUMBER(SEARCH("NOT NULL",UPPER(F$3))),"''","null"),SUBSTITUTE(VLOOKUP(F$2,convert!$A$1:$B$4,2,0),"@@@",F612))</f>
        <v>120</v>
      </c>
      <c r="V612" s="4" t="str">
        <f>IF(G612="",IF(ISNUMBER(SEARCH("NOT NULL",UPPER(G$3))),"''","null"),SUBSTITUTE(VLOOKUP(G$2,convert!$A$1:$B$4,2,0),"@@@",G612))</f>
        <v>75</v>
      </c>
      <c r="W612" s="4" t="str">
        <f>IF(H612="",IF(ISNUMBER(SEARCH("NOT NULL",UPPER(H$3))),"''","null"),SUBSTITUTE(VLOOKUP(H$2,convert!$A$1:$B$4,2,0),"@@@",H612))</f>
        <v>127</v>
      </c>
      <c r="X612" s="4" t="str">
        <f>IF(I612="",IF(ISNUMBER(SEARCH("NOT NULL",UPPER(I$3))),"''","null"),SUBSTITUTE(VLOOKUP(I$2,convert!$A$1:$B$4,2,0),"@@@",I612))</f>
        <v>'スカイフォルム'</v>
      </c>
      <c r="Y612" s="4" t="str">
        <f>IF(J612="",IF(ISNUMBER(SEARCH("NOT NULL",UPPER(J$3))),"''","null"),SUBSTITUTE(VLOOKUP(J$2,convert!$A$1:$B$4,2,0),"@@@",J612))</f>
        <v>'grass'</v>
      </c>
      <c r="Z612" s="4" t="str">
        <f>IF(K612="",IF(ISNUMBER(SEARCH("NOT NULL",UPPER(K$3))),"''","null"),SUBSTITUTE(VLOOKUP(K$2,convert!$A$1:$B$4,2,0),"@@@",K612))</f>
        <v>'flying'</v>
      </c>
      <c r="AA612" s="4" t="str">
        <f>IF(L612="",IF(ISNUMBER(SEARCH("NOT NULL",UPPER(L$3))),"''","null"),SUBSTITUTE(VLOOKUP(L$2,convert!$A$1:$B$4,2,0),"@@@",L612))</f>
        <v>'g4'</v>
      </c>
      <c r="AB612" s="4" t="str">
        <f>IF(M612="",IF(ISNUMBER(SEARCH("NOT NULL",UPPER(M$3))),"''","null"),SUBSTITUTE(VLOOKUP(M$2,convert!$A$1:$B$4,2,0),"@@@",M612))</f>
        <v>null</v>
      </c>
      <c r="AC612" s="4" t="str">
        <f>IF(N612="",IF(ISNUMBER(SEARCH("NOT NULL",UPPER(N$3))),"''","null"),SUBSTITUTE(VLOOKUP(N$2,convert!$A$1:$B$4,2,0),"@@@",N612))</f>
        <v>null</v>
      </c>
      <c r="AD612" s="4" t="str">
        <f>IF(O612="",IF(ISNUMBER(SEARCH("NOT NULL",UPPER(O$3))),"''","null"),SUBSTITUTE(VLOOKUP(O$2,convert!$A$1:$B$4,2,0),"@@@",O612))</f>
        <v>TRUE</v>
      </c>
      <c r="AE612" s="4" t="str">
        <f t="shared" si="9"/>
        <v>    ('0492N02', 'シェイミ', 100, 103, 75, 120, 75, 127, 'スカイフォルム', 'grass', 'flying', 'g4', null, null, TRUE),</v>
      </c>
    </row>
    <row r="613" spans="1:31">
      <c r="A613" s="4" t="s">
        <v>1239</v>
      </c>
      <c r="B613" s="4" t="s">
        <v>1240</v>
      </c>
      <c r="C613" s="5">
        <v>120</v>
      </c>
      <c r="D613" s="5">
        <v>120</v>
      </c>
      <c r="E613" s="5">
        <v>120</v>
      </c>
      <c r="F613" s="5">
        <v>120</v>
      </c>
      <c r="G613" s="5">
        <v>120</v>
      </c>
      <c r="H613" s="5">
        <v>120</v>
      </c>
      <c r="I613" s="5"/>
      <c r="J613" s="4" t="s">
        <v>80</v>
      </c>
      <c r="K613" s="5"/>
      <c r="L613" s="4" t="s">
        <v>986</v>
      </c>
      <c r="M613" s="5"/>
      <c r="N613" s="5"/>
      <c r="O613" s="5" t="b">
        <v>0</v>
      </c>
      <c r="P613" s="4" t="str">
        <f>IF(A613="",IF(ISNUMBER(SEARCH("NOT NULL",UPPER(A$3))),"''","null"),SUBSTITUTE(VLOOKUP(A$2,convert!$A$1:$B$4,2,0),"@@@",A613))</f>
        <v>'0493N01'</v>
      </c>
      <c r="Q613" s="4" t="str">
        <f>IF(B613="",IF(ISNUMBER(SEARCH("NOT NULL",UPPER(B$3))),"''","null"),SUBSTITUTE(VLOOKUP(B$2,convert!$A$1:$B$4,2,0),"@@@",B613))</f>
        <v>'アルセウス'</v>
      </c>
      <c r="R613" s="4" t="str">
        <f>IF(C613="",IF(ISNUMBER(SEARCH("NOT NULL",UPPER(C$3))),"''","null"),SUBSTITUTE(VLOOKUP(C$2,convert!$A$1:$B$4,2,0),"@@@",C613))</f>
        <v>120</v>
      </c>
      <c r="S613" s="4" t="str">
        <f>IF(D613="",IF(ISNUMBER(SEARCH("NOT NULL",UPPER(D$3))),"''","null"),SUBSTITUTE(VLOOKUP(D$2,convert!$A$1:$B$4,2,0),"@@@",D613))</f>
        <v>120</v>
      </c>
      <c r="T613" s="4" t="str">
        <f>IF(E613="",IF(ISNUMBER(SEARCH("NOT NULL",UPPER(E$3))),"''","null"),SUBSTITUTE(VLOOKUP(E$2,convert!$A$1:$B$4,2,0),"@@@",E613))</f>
        <v>120</v>
      </c>
      <c r="U613" s="4" t="str">
        <f>IF(F613="",IF(ISNUMBER(SEARCH("NOT NULL",UPPER(F$3))),"''","null"),SUBSTITUTE(VLOOKUP(F$2,convert!$A$1:$B$4,2,0),"@@@",F613))</f>
        <v>120</v>
      </c>
      <c r="V613" s="4" t="str">
        <f>IF(G613="",IF(ISNUMBER(SEARCH("NOT NULL",UPPER(G$3))),"''","null"),SUBSTITUTE(VLOOKUP(G$2,convert!$A$1:$B$4,2,0),"@@@",G613))</f>
        <v>120</v>
      </c>
      <c r="W613" s="4" t="str">
        <f>IF(H613="",IF(ISNUMBER(SEARCH("NOT NULL",UPPER(H$3))),"''","null"),SUBSTITUTE(VLOOKUP(H$2,convert!$A$1:$B$4,2,0),"@@@",H613))</f>
        <v>120</v>
      </c>
      <c r="X613" s="4" t="str">
        <f>IF(I613="",IF(ISNUMBER(SEARCH("NOT NULL",UPPER(I$3))),"''","null"),SUBSTITUTE(VLOOKUP(I$2,convert!$A$1:$B$4,2,0),"@@@",I613))</f>
        <v>''</v>
      </c>
      <c r="Y613" s="4" t="str">
        <f>IF(J613="",IF(ISNUMBER(SEARCH("NOT NULL",UPPER(J$3))),"''","null"),SUBSTITUTE(VLOOKUP(J$2,convert!$A$1:$B$4,2,0),"@@@",J613))</f>
        <v>'normal'</v>
      </c>
      <c r="Z613" s="4" t="str">
        <f>IF(K613="",IF(ISNUMBER(SEARCH("NOT NULL",UPPER(K$3))),"''","null"),SUBSTITUTE(VLOOKUP(K$2,convert!$A$1:$B$4,2,0),"@@@",K613))</f>
        <v>null</v>
      </c>
      <c r="AA613" s="4" t="str">
        <f>IF(L613="",IF(ISNUMBER(SEARCH("NOT NULL",UPPER(L$3))),"''","null"),SUBSTITUTE(VLOOKUP(L$2,convert!$A$1:$B$4,2,0),"@@@",L613))</f>
        <v>'g4'</v>
      </c>
      <c r="AB613" s="4" t="str">
        <f>IF(M613="",IF(ISNUMBER(SEARCH("NOT NULL",UPPER(M$3))),"''","null"),SUBSTITUTE(VLOOKUP(M$2,convert!$A$1:$B$4,2,0),"@@@",M613))</f>
        <v>null</v>
      </c>
      <c r="AC613" s="4" t="str">
        <f>IF(N613="",IF(ISNUMBER(SEARCH("NOT NULL",UPPER(N$3))),"''","null"),SUBSTITUTE(VLOOKUP(N$2,convert!$A$1:$B$4,2,0),"@@@",N613))</f>
        <v>null</v>
      </c>
      <c r="AD613" s="4" t="str">
        <f>IF(O613="",IF(ISNUMBER(SEARCH("NOT NULL",UPPER(O$3))),"''","null"),SUBSTITUTE(VLOOKUP(O$2,convert!$A$1:$B$4,2,0),"@@@",O613))</f>
        <v>FALSE</v>
      </c>
      <c r="AE613" s="4" t="str">
        <f t="shared" si="9"/>
        <v>    ('0493N01', 'アルセウス', 120, 120, 120, 120, 120, 120, '', 'normal', null, 'g4', null, null, FALSE),</v>
      </c>
    </row>
    <row r="614" spans="1:31">
      <c r="A614" s="4" t="s">
        <v>1241</v>
      </c>
      <c r="B614" s="4" t="s">
        <v>1242</v>
      </c>
      <c r="C614" s="5">
        <v>100</v>
      </c>
      <c r="D614" s="5">
        <v>100</v>
      </c>
      <c r="E614" s="5">
        <v>100</v>
      </c>
      <c r="F614" s="5">
        <v>100</v>
      </c>
      <c r="G614" s="5">
        <v>100</v>
      </c>
      <c r="H614" s="5">
        <v>100</v>
      </c>
      <c r="I614" s="5"/>
      <c r="J614" s="4" t="s">
        <v>113</v>
      </c>
      <c r="K614" s="4" t="s">
        <v>42</v>
      </c>
      <c r="L614" s="4" t="s">
        <v>1243</v>
      </c>
      <c r="M614" s="5"/>
      <c r="N614" s="5"/>
      <c r="O614" s="5" t="b">
        <v>1</v>
      </c>
      <c r="P614" s="4" t="str">
        <f>IF(A614="",IF(ISNUMBER(SEARCH("NOT NULL",UPPER(A$3))),"''","null"),SUBSTITUTE(VLOOKUP(A$2,convert!$A$1:$B$4,2,0),"@@@",A614))</f>
        <v>'0494N01'</v>
      </c>
      <c r="Q614" s="4" t="str">
        <f>IF(B614="",IF(ISNUMBER(SEARCH("NOT NULL",UPPER(B$3))),"''","null"),SUBSTITUTE(VLOOKUP(B$2,convert!$A$1:$B$4,2,0),"@@@",B614))</f>
        <v>'ビクティニ'</v>
      </c>
      <c r="R614" s="4" t="str">
        <f>IF(C614="",IF(ISNUMBER(SEARCH("NOT NULL",UPPER(C$3))),"''","null"),SUBSTITUTE(VLOOKUP(C$2,convert!$A$1:$B$4,2,0),"@@@",C614))</f>
        <v>100</v>
      </c>
      <c r="S614" s="4" t="str">
        <f>IF(D614="",IF(ISNUMBER(SEARCH("NOT NULL",UPPER(D$3))),"''","null"),SUBSTITUTE(VLOOKUP(D$2,convert!$A$1:$B$4,2,0),"@@@",D614))</f>
        <v>100</v>
      </c>
      <c r="T614" s="4" t="str">
        <f>IF(E614="",IF(ISNUMBER(SEARCH("NOT NULL",UPPER(E$3))),"''","null"),SUBSTITUTE(VLOOKUP(E$2,convert!$A$1:$B$4,2,0),"@@@",E614))</f>
        <v>100</v>
      </c>
      <c r="U614" s="4" t="str">
        <f>IF(F614="",IF(ISNUMBER(SEARCH("NOT NULL",UPPER(F$3))),"''","null"),SUBSTITUTE(VLOOKUP(F$2,convert!$A$1:$B$4,2,0),"@@@",F614))</f>
        <v>100</v>
      </c>
      <c r="V614" s="4" t="str">
        <f>IF(G614="",IF(ISNUMBER(SEARCH("NOT NULL",UPPER(G$3))),"''","null"),SUBSTITUTE(VLOOKUP(G$2,convert!$A$1:$B$4,2,0),"@@@",G614))</f>
        <v>100</v>
      </c>
      <c r="W614" s="4" t="str">
        <f>IF(H614="",IF(ISNUMBER(SEARCH("NOT NULL",UPPER(H$3))),"''","null"),SUBSTITUTE(VLOOKUP(H$2,convert!$A$1:$B$4,2,0),"@@@",H614))</f>
        <v>100</v>
      </c>
      <c r="X614" s="4" t="str">
        <f>IF(I614="",IF(ISNUMBER(SEARCH("NOT NULL",UPPER(I$3))),"''","null"),SUBSTITUTE(VLOOKUP(I$2,convert!$A$1:$B$4,2,0),"@@@",I614))</f>
        <v>''</v>
      </c>
      <c r="Y614" s="4" t="str">
        <f>IF(J614="",IF(ISNUMBER(SEARCH("NOT NULL",UPPER(J$3))),"''","null"),SUBSTITUTE(VLOOKUP(J$2,convert!$A$1:$B$4,2,0),"@@@",J614))</f>
        <v>'psychic'</v>
      </c>
      <c r="Z614" s="4" t="str">
        <f>IF(K614="",IF(ISNUMBER(SEARCH("NOT NULL",UPPER(K$3))),"''","null"),SUBSTITUTE(VLOOKUP(K$2,convert!$A$1:$B$4,2,0),"@@@",K614))</f>
        <v>'fire'</v>
      </c>
      <c r="AA614" s="4" t="str">
        <f>IF(L614="",IF(ISNUMBER(SEARCH("NOT NULL",UPPER(L$3))),"''","null"),SUBSTITUTE(VLOOKUP(L$2,convert!$A$1:$B$4,2,0),"@@@",L614))</f>
        <v>'g5'</v>
      </c>
      <c r="AB614" s="4" t="str">
        <f>IF(M614="",IF(ISNUMBER(SEARCH("NOT NULL",UPPER(M$3))),"''","null"),SUBSTITUTE(VLOOKUP(M$2,convert!$A$1:$B$4,2,0),"@@@",M614))</f>
        <v>null</v>
      </c>
      <c r="AC614" s="4" t="str">
        <f>IF(N614="",IF(ISNUMBER(SEARCH("NOT NULL",UPPER(N$3))),"''","null"),SUBSTITUTE(VLOOKUP(N$2,convert!$A$1:$B$4,2,0),"@@@",N614))</f>
        <v>null</v>
      </c>
      <c r="AD614" s="4" t="str">
        <f>IF(O614="",IF(ISNUMBER(SEARCH("NOT NULL",UPPER(O$3))),"''","null"),SUBSTITUTE(VLOOKUP(O$2,convert!$A$1:$B$4,2,0),"@@@",O614))</f>
        <v>TRUE</v>
      </c>
      <c r="AE614" s="4" t="str">
        <f t="shared" si="9"/>
        <v>    ('0494N01', 'ビクティニ', 100, 100, 100, 100, 100, 100, '', 'psychic', 'fire', 'g5', null, null, TRUE),</v>
      </c>
    </row>
    <row r="615" spans="1:31">
      <c r="A615" s="4" t="s">
        <v>1244</v>
      </c>
      <c r="B615" s="4" t="s">
        <v>1245</v>
      </c>
      <c r="C615" s="5">
        <v>45</v>
      </c>
      <c r="D615" s="5">
        <v>45</v>
      </c>
      <c r="E615" s="5">
        <v>55</v>
      </c>
      <c r="F615" s="5">
        <v>45</v>
      </c>
      <c r="G615" s="5">
        <v>55</v>
      </c>
      <c r="H615" s="5">
        <v>63</v>
      </c>
      <c r="I615" s="5"/>
      <c r="J615" s="4" t="s">
        <v>30</v>
      </c>
      <c r="K615" s="5"/>
      <c r="L615" s="4" t="s">
        <v>1243</v>
      </c>
      <c r="M615" s="5"/>
      <c r="N615" s="5"/>
      <c r="O615" s="5" t="b">
        <v>1</v>
      </c>
      <c r="P615" s="4" t="str">
        <f>IF(A615="",IF(ISNUMBER(SEARCH("NOT NULL",UPPER(A$3))),"''","null"),SUBSTITUTE(VLOOKUP(A$2,convert!$A$1:$B$4,2,0),"@@@",A615))</f>
        <v>'0495N01'</v>
      </c>
      <c r="Q615" s="4" t="str">
        <f>IF(B615="",IF(ISNUMBER(SEARCH("NOT NULL",UPPER(B$3))),"''","null"),SUBSTITUTE(VLOOKUP(B$2,convert!$A$1:$B$4,2,0),"@@@",B615))</f>
        <v>'ツタージャ'</v>
      </c>
      <c r="R615" s="4" t="str">
        <f>IF(C615="",IF(ISNUMBER(SEARCH("NOT NULL",UPPER(C$3))),"''","null"),SUBSTITUTE(VLOOKUP(C$2,convert!$A$1:$B$4,2,0),"@@@",C615))</f>
        <v>45</v>
      </c>
      <c r="S615" s="4" t="str">
        <f>IF(D615="",IF(ISNUMBER(SEARCH("NOT NULL",UPPER(D$3))),"''","null"),SUBSTITUTE(VLOOKUP(D$2,convert!$A$1:$B$4,2,0),"@@@",D615))</f>
        <v>45</v>
      </c>
      <c r="T615" s="4" t="str">
        <f>IF(E615="",IF(ISNUMBER(SEARCH("NOT NULL",UPPER(E$3))),"''","null"),SUBSTITUTE(VLOOKUP(E$2,convert!$A$1:$B$4,2,0),"@@@",E615))</f>
        <v>55</v>
      </c>
      <c r="U615" s="4" t="str">
        <f>IF(F615="",IF(ISNUMBER(SEARCH("NOT NULL",UPPER(F$3))),"''","null"),SUBSTITUTE(VLOOKUP(F$2,convert!$A$1:$B$4,2,0),"@@@",F615))</f>
        <v>45</v>
      </c>
      <c r="V615" s="4" t="str">
        <f>IF(G615="",IF(ISNUMBER(SEARCH("NOT NULL",UPPER(G$3))),"''","null"),SUBSTITUTE(VLOOKUP(G$2,convert!$A$1:$B$4,2,0),"@@@",G615))</f>
        <v>55</v>
      </c>
      <c r="W615" s="4" t="str">
        <f>IF(H615="",IF(ISNUMBER(SEARCH("NOT NULL",UPPER(H$3))),"''","null"),SUBSTITUTE(VLOOKUP(H$2,convert!$A$1:$B$4,2,0),"@@@",H615))</f>
        <v>63</v>
      </c>
      <c r="X615" s="4" t="str">
        <f>IF(I615="",IF(ISNUMBER(SEARCH("NOT NULL",UPPER(I$3))),"''","null"),SUBSTITUTE(VLOOKUP(I$2,convert!$A$1:$B$4,2,0),"@@@",I615))</f>
        <v>''</v>
      </c>
      <c r="Y615" s="4" t="str">
        <f>IF(J615="",IF(ISNUMBER(SEARCH("NOT NULL",UPPER(J$3))),"''","null"),SUBSTITUTE(VLOOKUP(J$2,convert!$A$1:$B$4,2,0),"@@@",J615))</f>
        <v>'grass'</v>
      </c>
      <c r="Z615" s="4" t="str">
        <f>IF(K615="",IF(ISNUMBER(SEARCH("NOT NULL",UPPER(K$3))),"''","null"),SUBSTITUTE(VLOOKUP(K$2,convert!$A$1:$B$4,2,0),"@@@",K615))</f>
        <v>null</v>
      </c>
      <c r="AA615" s="4" t="str">
        <f>IF(L615="",IF(ISNUMBER(SEARCH("NOT NULL",UPPER(L$3))),"''","null"),SUBSTITUTE(VLOOKUP(L$2,convert!$A$1:$B$4,2,0),"@@@",L615))</f>
        <v>'g5'</v>
      </c>
      <c r="AB615" s="4" t="str">
        <f>IF(M615="",IF(ISNUMBER(SEARCH("NOT NULL",UPPER(M$3))),"''","null"),SUBSTITUTE(VLOOKUP(M$2,convert!$A$1:$B$4,2,0),"@@@",M615))</f>
        <v>null</v>
      </c>
      <c r="AC615" s="4" t="str">
        <f>IF(N615="",IF(ISNUMBER(SEARCH("NOT NULL",UPPER(N$3))),"''","null"),SUBSTITUTE(VLOOKUP(N$2,convert!$A$1:$B$4,2,0),"@@@",N615))</f>
        <v>null</v>
      </c>
      <c r="AD615" s="4" t="str">
        <f>IF(O615="",IF(ISNUMBER(SEARCH("NOT NULL",UPPER(O$3))),"''","null"),SUBSTITUTE(VLOOKUP(O$2,convert!$A$1:$B$4,2,0),"@@@",O615))</f>
        <v>TRUE</v>
      </c>
      <c r="AE615" s="4" t="str">
        <f t="shared" si="9"/>
        <v>    ('0495N01', 'ツタージャ', 45, 45, 55, 45, 55, 63, '', 'grass', null, 'g5', null, null, TRUE),</v>
      </c>
    </row>
    <row r="616" spans="1:31">
      <c r="A616" s="4" t="s">
        <v>1246</v>
      </c>
      <c r="B616" s="4" t="s">
        <v>1247</v>
      </c>
      <c r="C616" s="5">
        <v>60</v>
      </c>
      <c r="D616" s="5">
        <v>60</v>
      </c>
      <c r="E616" s="5">
        <v>75</v>
      </c>
      <c r="F616" s="5">
        <v>60</v>
      </c>
      <c r="G616" s="5">
        <v>75</v>
      </c>
      <c r="H616" s="5">
        <v>83</v>
      </c>
      <c r="I616" s="5"/>
      <c r="J616" s="4" t="s">
        <v>30</v>
      </c>
      <c r="K616" s="5"/>
      <c r="L616" s="4" t="s">
        <v>1243</v>
      </c>
      <c r="M616" s="5"/>
      <c r="N616" s="5"/>
      <c r="O616" s="5" t="b">
        <v>1</v>
      </c>
      <c r="P616" s="4" t="str">
        <f>IF(A616="",IF(ISNUMBER(SEARCH("NOT NULL",UPPER(A$3))),"''","null"),SUBSTITUTE(VLOOKUP(A$2,convert!$A$1:$B$4,2,0),"@@@",A616))</f>
        <v>'0496N01'</v>
      </c>
      <c r="Q616" s="4" t="str">
        <f>IF(B616="",IF(ISNUMBER(SEARCH("NOT NULL",UPPER(B$3))),"''","null"),SUBSTITUTE(VLOOKUP(B$2,convert!$A$1:$B$4,2,0),"@@@",B616))</f>
        <v>'ジャノビー'</v>
      </c>
      <c r="R616" s="4" t="str">
        <f>IF(C616="",IF(ISNUMBER(SEARCH("NOT NULL",UPPER(C$3))),"''","null"),SUBSTITUTE(VLOOKUP(C$2,convert!$A$1:$B$4,2,0),"@@@",C616))</f>
        <v>60</v>
      </c>
      <c r="S616" s="4" t="str">
        <f>IF(D616="",IF(ISNUMBER(SEARCH("NOT NULL",UPPER(D$3))),"''","null"),SUBSTITUTE(VLOOKUP(D$2,convert!$A$1:$B$4,2,0),"@@@",D616))</f>
        <v>60</v>
      </c>
      <c r="T616" s="4" t="str">
        <f>IF(E616="",IF(ISNUMBER(SEARCH("NOT NULL",UPPER(E$3))),"''","null"),SUBSTITUTE(VLOOKUP(E$2,convert!$A$1:$B$4,2,0),"@@@",E616))</f>
        <v>75</v>
      </c>
      <c r="U616" s="4" t="str">
        <f>IF(F616="",IF(ISNUMBER(SEARCH("NOT NULL",UPPER(F$3))),"''","null"),SUBSTITUTE(VLOOKUP(F$2,convert!$A$1:$B$4,2,0),"@@@",F616))</f>
        <v>60</v>
      </c>
      <c r="V616" s="4" t="str">
        <f>IF(G616="",IF(ISNUMBER(SEARCH("NOT NULL",UPPER(G$3))),"''","null"),SUBSTITUTE(VLOOKUP(G$2,convert!$A$1:$B$4,2,0),"@@@",G616))</f>
        <v>75</v>
      </c>
      <c r="W616" s="4" t="str">
        <f>IF(H616="",IF(ISNUMBER(SEARCH("NOT NULL",UPPER(H$3))),"''","null"),SUBSTITUTE(VLOOKUP(H$2,convert!$A$1:$B$4,2,0),"@@@",H616))</f>
        <v>83</v>
      </c>
      <c r="X616" s="4" t="str">
        <f>IF(I616="",IF(ISNUMBER(SEARCH("NOT NULL",UPPER(I$3))),"''","null"),SUBSTITUTE(VLOOKUP(I$2,convert!$A$1:$B$4,2,0),"@@@",I616))</f>
        <v>''</v>
      </c>
      <c r="Y616" s="4" t="str">
        <f>IF(J616="",IF(ISNUMBER(SEARCH("NOT NULL",UPPER(J$3))),"''","null"),SUBSTITUTE(VLOOKUP(J$2,convert!$A$1:$B$4,2,0),"@@@",J616))</f>
        <v>'grass'</v>
      </c>
      <c r="Z616" s="4" t="str">
        <f>IF(K616="",IF(ISNUMBER(SEARCH("NOT NULL",UPPER(K$3))),"''","null"),SUBSTITUTE(VLOOKUP(K$2,convert!$A$1:$B$4,2,0),"@@@",K616))</f>
        <v>null</v>
      </c>
      <c r="AA616" s="4" t="str">
        <f>IF(L616="",IF(ISNUMBER(SEARCH("NOT NULL",UPPER(L$3))),"''","null"),SUBSTITUTE(VLOOKUP(L$2,convert!$A$1:$B$4,2,0),"@@@",L616))</f>
        <v>'g5'</v>
      </c>
      <c r="AB616" s="4" t="str">
        <f>IF(M616="",IF(ISNUMBER(SEARCH("NOT NULL",UPPER(M$3))),"''","null"),SUBSTITUTE(VLOOKUP(M$2,convert!$A$1:$B$4,2,0),"@@@",M616))</f>
        <v>null</v>
      </c>
      <c r="AC616" s="4" t="str">
        <f>IF(N616="",IF(ISNUMBER(SEARCH("NOT NULL",UPPER(N$3))),"''","null"),SUBSTITUTE(VLOOKUP(N$2,convert!$A$1:$B$4,2,0),"@@@",N616))</f>
        <v>null</v>
      </c>
      <c r="AD616" s="4" t="str">
        <f>IF(O616="",IF(ISNUMBER(SEARCH("NOT NULL",UPPER(O$3))),"''","null"),SUBSTITUTE(VLOOKUP(O$2,convert!$A$1:$B$4,2,0),"@@@",O616))</f>
        <v>TRUE</v>
      </c>
      <c r="AE616" s="4" t="str">
        <f t="shared" si="9"/>
        <v>    ('0496N01', 'ジャノビー', 60, 60, 75, 60, 75, 83, '', 'grass', null, 'g5', null, null, TRUE),</v>
      </c>
    </row>
    <row r="617" spans="1:31">
      <c r="A617" s="4" t="s">
        <v>1248</v>
      </c>
      <c r="B617" s="4" t="s">
        <v>1249</v>
      </c>
      <c r="C617" s="5">
        <v>75</v>
      </c>
      <c r="D617" s="5">
        <v>75</v>
      </c>
      <c r="E617" s="5">
        <v>95</v>
      </c>
      <c r="F617" s="5">
        <v>75</v>
      </c>
      <c r="G617" s="5">
        <v>95</v>
      </c>
      <c r="H617" s="5">
        <v>113</v>
      </c>
      <c r="I617" s="5"/>
      <c r="J617" s="4" t="s">
        <v>30</v>
      </c>
      <c r="K617" s="5"/>
      <c r="L617" s="4" t="s">
        <v>1243</v>
      </c>
      <c r="M617" s="5"/>
      <c r="N617" s="5"/>
      <c r="O617" s="5" t="b">
        <v>1</v>
      </c>
      <c r="P617" s="4" t="str">
        <f>IF(A617="",IF(ISNUMBER(SEARCH("NOT NULL",UPPER(A$3))),"''","null"),SUBSTITUTE(VLOOKUP(A$2,convert!$A$1:$B$4,2,0),"@@@",A617))</f>
        <v>'0497N01'</v>
      </c>
      <c r="Q617" s="4" t="str">
        <f>IF(B617="",IF(ISNUMBER(SEARCH("NOT NULL",UPPER(B$3))),"''","null"),SUBSTITUTE(VLOOKUP(B$2,convert!$A$1:$B$4,2,0),"@@@",B617))</f>
        <v>'ジャローダ'</v>
      </c>
      <c r="R617" s="4" t="str">
        <f>IF(C617="",IF(ISNUMBER(SEARCH("NOT NULL",UPPER(C$3))),"''","null"),SUBSTITUTE(VLOOKUP(C$2,convert!$A$1:$B$4,2,0),"@@@",C617))</f>
        <v>75</v>
      </c>
      <c r="S617" s="4" t="str">
        <f>IF(D617="",IF(ISNUMBER(SEARCH("NOT NULL",UPPER(D$3))),"''","null"),SUBSTITUTE(VLOOKUP(D$2,convert!$A$1:$B$4,2,0),"@@@",D617))</f>
        <v>75</v>
      </c>
      <c r="T617" s="4" t="str">
        <f>IF(E617="",IF(ISNUMBER(SEARCH("NOT NULL",UPPER(E$3))),"''","null"),SUBSTITUTE(VLOOKUP(E$2,convert!$A$1:$B$4,2,0),"@@@",E617))</f>
        <v>95</v>
      </c>
      <c r="U617" s="4" t="str">
        <f>IF(F617="",IF(ISNUMBER(SEARCH("NOT NULL",UPPER(F$3))),"''","null"),SUBSTITUTE(VLOOKUP(F$2,convert!$A$1:$B$4,2,0),"@@@",F617))</f>
        <v>75</v>
      </c>
      <c r="V617" s="4" t="str">
        <f>IF(G617="",IF(ISNUMBER(SEARCH("NOT NULL",UPPER(G$3))),"''","null"),SUBSTITUTE(VLOOKUP(G$2,convert!$A$1:$B$4,2,0),"@@@",G617))</f>
        <v>95</v>
      </c>
      <c r="W617" s="4" t="str">
        <f>IF(H617="",IF(ISNUMBER(SEARCH("NOT NULL",UPPER(H$3))),"''","null"),SUBSTITUTE(VLOOKUP(H$2,convert!$A$1:$B$4,2,0),"@@@",H617))</f>
        <v>113</v>
      </c>
      <c r="X617" s="4" t="str">
        <f>IF(I617="",IF(ISNUMBER(SEARCH("NOT NULL",UPPER(I$3))),"''","null"),SUBSTITUTE(VLOOKUP(I$2,convert!$A$1:$B$4,2,0),"@@@",I617))</f>
        <v>''</v>
      </c>
      <c r="Y617" s="4" t="str">
        <f>IF(J617="",IF(ISNUMBER(SEARCH("NOT NULL",UPPER(J$3))),"''","null"),SUBSTITUTE(VLOOKUP(J$2,convert!$A$1:$B$4,2,0),"@@@",J617))</f>
        <v>'grass'</v>
      </c>
      <c r="Z617" s="4" t="str">
        <f>IF(K617="",IF(ISNUMBER(SEARCH("NOT NULL",UPPER(K$3))),"''","null"),SUBSTITUTE(VLOOKUP(K$2,convert!$A$1:$B$4,2,0),"@@@",K617))</f>
        <v>null</v>
      </c>
      <c r="AA617" s="4" t="str">
        <f>IF(L617="",IF(ISNUMBER(SEARCH("NOT NULL",UPPER(L$3))),"''","null"),SUBSTITUTE(VLOOKUP(L$2,convert!$A$1:$B$4,2,0),"@@@",L617))</f>
        <v>'g5'</v>
      </c>
      <c r="AB617" s="4" t="str">
        <f>IF(M617="",IF(ISNUMBER(SEARCH("NOT NULL",UPPER(M$3))),"''","null"),SUBSTITUTE(VLOOKUP(M$2,convert!$A$1:$B$4,2,0),"@@@",M617))</f>
        <v>null</v>
      </c>
      <c r="AC617" s="4" t="str">
        <f>IF(N617="",IF(ISNUMBER(SEARCH("NOT NULL",UPPER(N$3))),"''","null"),SUBSTITUTE(VLOOKUP(N$2,convert!$A$1:$B$4,2,0),"@@@",N617))</f>
        <v>null</v>
      </c>
      <c r="AD617" s="4" t="str">
        <f>IF(O617="",IF(ISNUMBER(SEARCH("NOT NULL",UPPER(O$3))),"''","null"),SUBSTITUTE(VLOOKUP(O$2,convert!$A$1:$B$4,2,0),"@@@",O617))</f>
        <v>TRUE</v>
      </c>
      <c r="AE617" s="4" t="str">
        <f t="shared" si="9"/>
        <v>    ('0497N01', 'ジャローダ', 75, 75, 95, 75, 95, 113, '', 'grass', null, 'g5', null, null, TRUE),</v>
      </c>
    </row>
    <row r="618" spans="1:31">
      <c r="A618" s="4" t="s">
        <v>1250</v>
      </c>
      <c r="B618" s="4" t="s">
        <v>1251</v>
      </c>
      <c r="C618" s="5">
        <v>65</v>
      </c>
      <c r="D618" s="5">
        <v>63</v>
      </c>
      <c r="E618" s="5">
        <v>45</v>
      </c>
      <c r="F618" s="5">
        <v>45</v>
      </c>
      <c r="G618" s="5">
        <v>45</v>
      </c>
      <c r="H618" s="5">
        <v>45</v>
      </c>
      <c r="I618" s="5"/>
      <c r="J618" s="4" t="s">
        <v>42</v>
      </c>
      <c r="K618" s="5"/>
      <c r="L618" s="4" t="s">
        <v>1243</v>
      </c>
      <c r="M618" s="5"/>
      <c r="N618" s="5"/>
      <c r="O618" s="5" t="b">
        <v>1</v>
      </c>
      <c r="P618" s="4" t="str">
        <f>IF(A618="",IF(ISNUMBER(SEARCH("NOT NULL",UPPER(A$3))),"''","null"),SUBSTITUTE(VLOOKUP(A$2,convert!$A$1:$B$4,2,0),"@@@",A618))</f>
        <v>'0498N01'</v>
      </c>
      <c r="Q618" s="4" t="str">
        <f>IF(B618="",IF(ISNUMBER(SEARCH("NOT NULL",UPPER(B$3))),"''","null"),SUBSTITUTE(VLOOKUP(B$2,convert!$A$1:$B$4,2,0),"@@@",B618))</f>
        <v>'ポカブ'</v>
      </c>
      <c r="R618" s="4" t="str">
        <f>IF(C618="",IF(ISNUMBER(SEARCH("NOT NULL",UPPER(C$3))),"''","null"),SUBSTITUTE(VLOOKUP(C$2,convert!$A$1:$B$4,2,0),"@@@",C618))</f>
        <v>65</v>
      </c>
      <c r="S618" s="4" t="str">
        <f>IF(D618="",IF(ISNUMBER(SEARCH("NOT NULL",UPPER(D$3))),"''","null"),SUBSTITUTE(VLOOKUP(D$2,convert!$A$1:$B$4,2,0),"@@@",D618))</f>
        <v>63</v>
      </c>
      <c r="T618" s="4" t="str">
        <f>IF(E618="",IF(ISNUMBER(SEARCH("NOT NULL",UPPER(E$3))),"''","null"),SUBSTITUTE(VLOOKUP(E$2,convert!$A$1:$B$4,2,0),"@@@",E618))</f>
        <v>45</v>
      </c>
      <c r="U618" s="4" t="str">
        <f>IF(F618="",IF(ISNUMBER(SEARCH("NOT NULL",UPPER(F$3))),"''","null"),SUBSTITUTE(VLOOKUP(F$2,convert!$A$1:$B$4,2,0),"@@@",F618))</f>
        <v>45</v>
      </c>
      <c r="V618" s="4" t="str">
        <f>IF(G618="",IF(ISNUMBER(SEARCH("NOT NULL",UPPER(G$3))),"''","null"),SUBSTITUTE(VLOOKUP(G$2,convert!$A$1:$B$4,2,0),"@@@",G618))</f>
        <v>45</v>
      </c>
      <c r="W618" s="4" t="str">
        <f>IF(H618="",IF(ISNUMBER(SEARCH("NOT NULL",UPPER(H$3))),"''","null"),SUBSTITUTE(VLOOKUP(H$2,convert!$A$1:$B$4,2,0),"@@@",H618))</f>
        <v>45</v>
      </c>
      <c r="X618" s="4" t="str">
        <f>IF(I618="",IF(ISNUMBER(SEARCH("NOT NULL",UPPER(I$3))),"''","null"),SUBSTITUTE(VLOOKUP(I$2,convert!$A$1:$B$4,2,0),"@@@",I618))</f>
        <v>''</v>
      </c>
      <c r="Y618" s="4" t="str">
        <f>IF(J618="",IF(ISNUMBER(SEARCH("NOT NULL",UPPER(J$3))),"''","null"),SUBSTITUTE(VLOOKUP(J$2,convert!$A$1:$B$4,2,0),"@@@",J618))</f>
        <v>'fire'</v>
      </c>
      <c r="Z618" s="4" t="str">
        <f>IF(K618="",IF(ISNUMBER(SEARCH("NOT NULL",UPPER(K$3))),"''","null"),SUBSTITUTE(VLOOKUP(K$2,convert!$A$1:$B$4,2,0),"@@@",K618))</f>
        <v>null</v>
      </c>
      <c r="AA618" s="4" t="str">
        <f>IF(L618="",IF(ISNUMBER(SEARCH("NOT NULL",UPPER(L$3))),"''","null"),SUBSTITUTE(VLOOKUP(L$2,convert!$A$1:$B$4,2,0),"@@@",L618))</f>
        <v>'g5'</v>
      </c>
      <c r="AB618" s="4" t="str">
        <f>IF(M618="",IF(ISNUMBER(SEARCH("NOT NULL",UPPER(M$3))),"''","null"),SUBSTITUTE(VLOOKUP(M$2,convert!$A$1:$B$4,2,0),"@@@",M618))</f>
        <v>null</v>
      </c>
      <c r="AC618" s="4" t="str">
        <f>IF(N618="",IF(ISNUMBER(SEARCH("NOT NULL",UPPER(N$3))),"''","null"),SUBSTITUTE(VLOOKUP(N$2,convert!$A$1:$B$4,2,0),"@@@",N618))</f>
        <v>null</v>
      </c>
      <c r="AD618" s="4" t="str">
        <f>IF(O618="",IF(ISNUMBER(SEARCH("NOT NULL",UPPER(O$3))),"''","null"),SUBSTITUTE(VLOOKUP(O$2,convert!$A$1:$B$4,2,0),"@@@",O618))</f>
        <v>TRUE</v>
      </c>
      <c r="AE618" s="4" t="str">
        <f t="shared" si="9"/>
        <v>    ('0498N01', 'ポカブ', 65, 63, 45, 45, 45, 45, '', 'fire', null, 'g5', null, null, TRUE),</v>
      </c>
    </row>
    <row r="619" spans="1:31">
      <c r="A619" s="4" t="s">
        <v>1252</v>
      </c>
      <c r="B619" s="4" t="s">
        <v>1253</v>
      </c>
      <c r="C619" s="5">
        <v>90</v>
      </c>
      <c r="D619" s="5">
        <v>93</v>
      </c>
      <c r="E619" s="5">
        <v>55</v>
      </c>
      <c r="F619" s="5">
        <v>70</v>
      </c>
      <c r="G619" s="5">
        <v>55</v>
      </c>
      <c r="H619" s="5">
        <v>55</v>
      </c>
      <c r="I619" s="5"/>
      <c r="J619" s="4" t="s">
        <v>42</v>
      </c>
      <c r="K619" s="4" t="s">
        <v>189</v>
      </c>
      <c r="L619" s="4" t="s">
        <v>1243</v>
      </c>
      <c r="M619" s="5"/>
      <c r="N619" s="5"/>
      <c r="O619" s="5" t="b">
        <v>1</v>
      </c>
      <c r="P619" s="4" t="str">
        <f>IF(A619="",IF(ISNUMBER(SEARCH("NOT NULL",UPPER(A$3))),"''","null"),SUBSTITUTE(VLOOKUP(A$2,convert!$A$1:$B$4,2,0),"@@@",A619))</f>
        <v>'0499N01'</v>
      </c>
      <c r="Q619" s="4" t="str">
        <f>IF(B619="",IF(ISNUMBER(SEARCH("NOT NULL",UPPER(B$3))),"''","null"),SUBSTITUTE(VLOOKUP(B$2,convert!$A$1:$B$4,2,0),"@@@",B619))</f>
        <v>'チャオブー'</v>
      </c>
      <c r="R619" s="4" t="str">
        <f>IF(C619="",IF(ISNUMBER(SEARCH("NOT NULL",UPPER(C$3))),"''","null"),SUBSTITUTE(VLOOKUP(C$2,convert!$A$1:$B$4,2,0),"@@@",C619))</f>
        <v>90</v>
      </c>
      <c r="S619" s="4" t="str">
        <f>IF(D619="",IF(ISNUMBER(SEARCH("NOT NULL",UPPER(D$3))),"''","null"),SUBSTITUTE(VLOOKUP(D$2,convert!$A$1:$B$4,2,0),"@@@",D619))</f>
        <v>93</v>
      </c>
      <c r="T619" s="4" t="str">
        <f>IF(E619="",IF(ISNUMBER(SEARCH("NOT NULL",UPPER(E$3))),"''","null"),SUBSTITUTE(VLOOKUP(E$2,convert!$A$1:$B$4,2,0),"@@@",E619))</f>
        <v>55</v>
      </c>
      <c r="U619" s="4" t="str">
        <f>IF(F619="",IF(ISNUMBER(SEARCH("NOT NULL",UPPER(F$3))),"''","null"),SUBSTITUTE(VLOOKUP(F$2,convert!$A$1:$B$4,2,0),"@@@",F619))</f>
        <v>70</v>
      </c>
      <c r="V619" s="4" t="str">
        <f>IF(G619="",IF(ISNUMBER(SEARCH("NOT NULL",UPPER(G$3))),"''","null"),SUBSTITUTE(VLOOKUP(G$2,convert!$A$1:$B$4,2,0),"@@@",G619))</f>
        <v>55</v>
      </c>
      <c r="W619" s="4" t="str">
        <f>IF(H619="",IF(ISNUMBER(SEARCH("NOT NULL",UPPER(H$3))),"''","null"),SUBSTITUTE(VLOOKUP(H$2,convert!$A$1:$B$4,2,0),"@@@",H619))</f>
        <v>55</v>
      </c>
      <c r="X619" s="4" t="str">
        <f>IF(I619="",IF(ISNUMBER(SEARCH("NOT NULL",UPPER(I$3))),"''","null"),SUBSTITUTE(VLOOKUP(I$2,convert!$A$1:$B$4,2,0),"@@@",I619))</f>
        <v>''</v>
      </c>
      <c r="Y619" s="4" t="str">
        <f>IF(J619="",IF(ISNUMBER(SEARCH("NOT NULL",UPPER(J$3))),"''","null"),SUBSTITUTE(VLOOKUP(J$2,convert!$A$1:$B$4,2,0),"@@@",J619))</f>
        <v>'fire'</v>
      </c>
      <c r="Z619" s="4" t="str">
        <f>IF(K619="",IF(ISNUMBER(SEARCH("NOT NULL",UPPER(K$3))),"''","null"),SUBSTITUTE(VLOOKUP(K$2,convert!$A$1:$B$4,2,0),"@@@",K619))</f>
        <v>'fighting'</v>
      </c>
      <c r="AA619" s="4" t="str">
        <f>IF(L619="",IF(ISNUMBER(SEARCH("NOT NULL",UPPER(L$3))),"''","null"),SUBSTITUTE(VLOOKUP(L$2,convert!$A$1:$B$4,2,0),"@@@",L619))</f>
        <v>'g5'</v>
      </c>
      <c r="AB619" s="4" t="str">
        <f>IF(M619="",IF(ISNUMBER(SEARCH("NOT NULL",UPPER(M$3))),"''","null"),SUBSTITUTE(VLOOKUP(M$2,convert!$A$1:$B$4,2,0),"@@@",M619))</f>
        <v>null</v>
      </c>
      <c r="AC619" s="4" t="str">
        <f>IF(N619="",IF(ISNUMBER(SEARCH("NOT NULL",UPPER(N$3))),"''","null"),SUBSTITUTE(VLOOKUP(N$2,convert!$A$1:$B$4,2,0),"@@@",N619))</f>
        <v>null</v>
      </c>
      <c r="AD619" s="4" t="str">
        <f>IF(O619="",IF(ISNUMBER(SEARCH("NOT NULL",UPPER(O$3))),"''","null"),SUBSTITUTE(VLOOKUP(O$2,convert!$A$1:$B$4,2,0),"@@@",O619))</f>
        <v>TRUE</v>
      </c>
      <c r="AE619" s="4" t="str">
        <f t="shared" si="9"/>
        <v>    ('0499N01', 'チャオブー', 90, 93, 55, 70, 55, 55, '', 'fire', 'fighting', 'g5', null, null, TRUE),</v>
      </c>
    </row>
    <row r="620" spans="1:31">
      <c r="A620" s="4" t="s">
        <v>1254</v>
      </c>
      <c r="B620" s="4" t="s">
        <v>1255</v>
      </c>
      <c r="C620" s="5">
        <v>110</v>
      </c>
      <c r="D620" s="5">
        <v>123</v>
      </c>
      <c r="E620" s="5">
        <v>65</v>
      </c>
      <c r="F620" s="5">
        <v>100</v>
      </c>
      <c r="G620" s="5">
        <v>65</v>
      </c>
      <c r="H620" s="5">
        <v>65</v>
      </c>
      <c r="I620" s="5"/>
      <c r="J620" s="4" t="s">
        <v>42</v>
      </c>
      <c r="K620" s="4" t="s">
        <v>189</v>
      </c>
      <c r="L620" s="4" t="s">
        <v>1243</v>
      </c>
      <c r="M620" s="5"/>
      <c r="N620" s="5"/>
      <c r="O620" s="5" t="b">
        <v>1</v>
      </c>
      <c r="P620" s="4" t="str">
        <f>IF(A620="",IF(ISNUMBER(SEARCH("NOT NULL",UPPER(A$3))),"''","null"),SUBSTITUTE(VLOOKUP(A$2,convert!$A$1:$B$4,2,0),"@@@",A620))</f>
        <v>'0500N01'</v>
      </c>
      <c r="Q620" s="4" t="str">
        <f>IF(B620="",IF(ISNUMBER(SEARCH("NOT NULL",UPPER(B$3))),"''","null"),SUBSTITUTE(VLOOKUP(B$2,convert!$A$1:$B$4,2,0),"@@@",B620))</f>
        <v>'エンブオー'</v>
      </c>
      <c r="R620" s="4" t="str">
        <f>IF(C620="",IF(ISNUMBER(SEARCH("NOT NULL",UPPER(C$3))),"''","null"),SUBSTITUTE(VLOOKUP(C$2,convert!$A$1:$B$4,2,0),"@@@",C620))</f>
        <v>110</v>
      </c>
      <c r="S620" s="4" t="str">
        <f>IF(D620="",IF(ISNUMBER(SEARCH("NOT NULL",UPPER(D$3))),"''","null"),SUBSTITUTE(VLOOKUP(D$2,convert!$A$1:$B$4,2,0),"@@@",D620))</f>
        <v>123</v>
      </c>
      <c r="T620" s="4" t="str">
        <f>IF(E620="",IF(ISNUMBER(SEARCH("NOT NULL",UPPER(E$3))),"''","null"),SUBSTITUTE(VLOOKUP(E$2,convert!$A$1:$B$4,2,0),"@@@",E620))</f>
        <v>65</v>
      </c>
      <c r="U620" s="4" t="str">
        <f>IF(F620="",IF(ISNUMBER(SEARCH("NOT NULL",UPPER(F$3))),"''","null"),SUBSTITUTE(VLOOKUP(F$2,convert!$A$1:$B$4,2,0),"@@@",F620))</f>
        <v>100</v>
      </c>
      <c r="V620" s="4" t="str">
        <f>IF(G620="",IF(ISNUMBER(SEARCH("NOT NULL",UPPER(G$3))),"''","null"),SUBSTITUTE(VLOOKUP(G$2,convert!$A$1:$B$4,2,0),"@@@",G620))</f>
        <v>65</v>
      </c>
      <c r="W620" s="4" t="str">
        <f>IF(H620="",IF(ISNUMBER(SEARCH("NOT NULL",UPPER(H$3))),"''","null"),SUBSTITUTE(VLOOKUP(H$2,convert!$A$1:$B$4,2,0),"@@@",H620))</f>
        <v>65</v>
      </c>
      <c r="X620" s="4" t="str">
        <f>IF(I620="",IF(ISNUMBER(SEARCH("NOT NULL",UPPER(I$3))),"''","null"),SUBSTITUTE(VLOOKUP(I$2,convert!$A$1:$B$4,2,0),"@@@",I620))</f>
        <v>''</v>
      </c>
      <c r="Y620" s="4" t="str">
        <f>IF(J620="",IF(ISNUMBER(SEARCH("NOT NULL",UPPER(J$3))),"''","null"),SUBSTITUTE(VLOOKUP(J$2,convert!$A$1:$B$4,2,0),"@@@",J620))</f>
        <v>'fire'</v>
      </c>
      <c r="Z620" s="4" t="str">
        <f>IF(K620="",IF(ISNUMBER(SEARCH("NOT NULL",UPPER(K$3))),"''","null"),SUBSTITUTE(VLOOKUP(K$2,convert!$A$1:$B$4,2,0),"@@@",K620))</f>
        <v>'fighting'</v>
      </c>
      <c r="AA620" s="4" t="str">
        <f>IF(L620="",IF(ISNUMBER(SEARCH("NOT NULL",UPPER(L$3))),"''","null"),SUBSTITUTE(VLOOKUP(L$2,convert!$A$1:$B$4,2,0),"@@@",L620))</f>
        <v>'g5'</v>
      </c>
      <c r="AB620" s="4" t="str">
        <f>IF(M620="",IF(ISNUMBER(SEARCH("NOT NULL",UPPER(M$3))),"''","null"),SUBSTITUTE(VLOOKUP(M$2,convert!$A$1:$B$4,2,0),"@@@",M620))</f>
        <v>null</v>
      </c>
      <c r="AC620" s="4" t="str">
        <f>IF(N620="",IF(ISNUMBER(SEARCH("NOT NULL",UPPER(N$3))),"''","null"),SUBSTITUTE(VLOOKUP(N$2,convert!$A$1:$B$4,2,0),"@@@",N620))</f>
        <v>null</v>
      </c>
      <c r="AD620" s="4" t="str">
        <f>IF(O620="",IF(ISNUMBER(SEARCH("NOT NULL",UPPER(O$3))),"''","null"),SUBSTITUTE(VLOOKUP(O$2,convert!$A$1:$B$4,2,0),"@@@",O620))</f>
        <v>TRUE</v>
      </c>
      <c r="AE620" s="4" t="str">
        <f t="shared" si="9"/>
        <v>    ('0500N01', 'エンブオー', 110, 123, 65, 100, 65, 65, '', 'fire', 'fighting', 'g5', null, null, TRUE),</v>
      </c>
    </row>
    <row r="621" spans="1:31">
      <c r="A621" s="4" t="s">
        <v>1256</v>
      </c>
      <c r="B621" s="4" t="s">
        <v>1257</v>
      </c>
      <c r="C621" s="5">
        <v>55</v>
      </c>
      <c r="D621" s="5">
        <v>55</v>
      </c>
      <c r="E621" s="5">
        <v>45</v>
      </c>
      <c r="F621" s="5">
        <v>63</v>
      </c>
      <c r="G621" s="5">
        <v>45</v>
      </c>
      <c r="H621" s="5">
        <v>45</v>
      </c>
      <c r="I621" s="5"/>
      <c r="J621" s="4" t="s">
        <v>55</v>
      </c>
      <c r="K621" s="5"/>
      <c r="L621" s="4" t="s">
        <v>1243</v>
      </c>
      <c r="M621" s="5"/>
      <c r="N621" s="5"/>
      <c r="O621" s="5" t="b">
        <v>1</v>
      </c>
      <c r="P621" s="4" t="str">
        <f>IF(A621="",IF(ISNUMBER(SEARCH("NOT NULL",UPPER(A$3))),"''","null"),SUBSTITUTE(VLOOKUP(A$2,convert!$A$1:$B$4,2,0),"@@@",A621))</f>
        <v>'0501N01'</v>
      </c>
      <c r="Q621" s="4" t="str">
        <f>IF(B621="",IF(ISNUMBER(SEARCH("NOT NULL",UPPER(B$3))),"''","null"),SUBSTITUTE(VLOOKUP(B$2,convert!$A$1:$B$4,2,0),"@@@",B621))</f>
        <v>'ミジュマル'</v>
      </c>
      <c r="R621" s="4" t="str">
        <f>IF(C621="",IF(ISNUMBER(SEARCH("NOT NULL",UPPER(C$3))),"''","null"),SUBSTITUTE(VLOOKUP(C$2,convert!$A$1:$B$4,2,0),"@@@",C621))</f>
        <v>55</v>
      </c>
      <c r="S621" s="4" t="str">
        <f>IF(D621="",IF(ISNUMBER(SEARCH("NOT NULL",UPPER(D$3))),"''","null"),SUBSTITUTE(VLOOKUP(D$2,convert!$A$1:$B$4,2,0),"@@@",D621))</f>
        <v>55</v>
      </c>
      <c r="T621" s="4" t="str">
        <f>IF(E621="",IF(ISNUMBER(SEARCH("NOT NULL",UPPER(E$3))),"''","null"),SUBSTITUTE(VLOOKUP(E$2,convert!$A$1:$B$4,2,0),"@@@",E621))</f>
        <v>45</v>
      </c>
      <c r="U621" s="4" t="str">
        <f>IF(F621="",IF(ISNUMBER(SEARCH("NOT NULL",UPPER(F$3))),"''","null"),SUBSTITUTE(VLOOKUP(F$2,convert!$A$1:$B$4,2,0),"@@@",F621))</f>
        <v>63</v>
      </c>
      <c r="V621" s="4" t="str">
        <f>IF(G621="",IF(ISNUMBER(SEARCH("NOT NULL",UPPER(G$3))),"''","null"),SUBSTITUTE(VLOOKUP(G$2,convert!$A$1:$B$4,2,0),"@@@",G621))</f>
        <v>45</v>
      </c>
      <c r="W621" s="4" t="str">
        <f>IF(H621="",IF(ISNUMBER(SEARCH("NOT NULL",UPPER(H$3))),"''","null"),SUBSTITUTE(VLOOKUP(H$2,convert!$A$1:$B$4,2,0),"@@@",H621))</f>
        <v>45</v>
      </c>
      <c r="X621" s="4" t="str">
        <f>IF(I621="",IF(ISNUMBER(SEARCH("NOT NULL",UPPER(I$3))),"''","null"),SUBSTITUTE(VLOOKUP(I$2,convert!$A$1:$B$4,2,0),"@@@",I621))</f>
        <v>''</v>
      </c>
      <c r="Y621" s="4" t="str">
        <f>IF(J621="",IF(ISNUMBER(SEARCH("NOT NULL",UPPER(J$3))),"''","null"),SUBSTITUTE(VLOOKUP(J$2,convert!$A$1:$B$4,2,0),"@@@",J621))</f>
        <v>'water'</v>
      </c>
      <c r="Z621" s="4" t="str">
        <f>IF(K621="",IF(ISNUMBER(SEARCH("NOT NULL",UPPER(K$3))),"''","null"),SUBSTITUTE(VLOOKUP(K$2,convert!$A$1:$B$4,2,0),"@@@",K621))</f>
        <v>null</v>
      </c>
      <c r="AA621" s="4" t="str">
        <f>IF(L621="",IF(ISNUMBER(SEARCH("NOT NULL",UPPER(L$3))),"''","null"),SUBSTITUTE(VLOOKUP(L$2,convert!$A$1:$B$4,2,0),"@@@",L621))</f>
        <v>'g5'</v>
      </c>
      <c r="AB621" s="4" t="str">
        <f>IF(M621="",IF(ISNUMBER(SEARCH("NOT NULL",UPPER(M$3))),"''","null"),SUBSTITUTE(VLOOKUP(M$2,convert!$A$1:$B$4,2,0),"@@@",M621))</f>
        <v>null</v>
      </c>
      <c r="AC621" s="4" t="str">
        <f>IF(N621="",IF(ISNUMBER(SEARCH("NOT NULL",UPPER(N$3))),"''","null"),SUBSTITUTE(VLOOKUP(N$2,convert!$A$1:$B$4,2,0),"@@@",N621))</f>
        <v>null</v>
      </c>
      <c r="AD621" s="4" t="str">
        <f>IF(O621="",IF(ISNUMBER(SEARCH("NOT NULL",UPPER(O$3))),"''","null"),SUBSTITUTE(VLOOKUP(O$2,convert!$A$1:$B$4,2,0),"@@@",O621))</f>
        <v>TRUE</v>
      </c>
      <c r="AE621" s="4" t="str">
        <f t="shared" si="9"/>
        <v>    ('0501N01', 'ミジュマル', 55, 55, 45, 63, 45, 45, '', 'water', null, 'g5', null, null, TRUE),</v>
      </c>
    </row>
    <row r="622" spans="1:31">
      <c r="A622" s="4" t="s">
        <v>1258</v>
      </c>
      <c r="B622" s="4" t="s">
        <v>1259</v>
      </c>
      <c r="C622" s="5">
        <v>75</v>
      </c>
      <c r="D622" s="5">
        <v>75</v>
      </c>
      <c r="E622" s="5">
        <v>60</v>
      </c>
      <c r="F622" s="5">
        <v>83</v>
      </c>
      <c r="G622" s="5">
        <v>60</v>
      </c>
      <c r="H622" s="5">
        <v>60</v>
      </c>
      <c r="I622" s="5"/>
      <c r="J622" s="4" t="s">
        <v>55</v>
      </c>
      <c r="K622" s="5"/>
      <c r="L622" s="4" t="s">
        <v>1243</v>
      </c>
      <c r="M622" s="5"/>
      <c r="N622" s="5"/>
      <c r="O622" s="5" t="b">
        <v>1</v>
      </c>
      <c r="P622" s="4" t="str">
        <f>IF(A622="",IF(ISNUMBER(SEARCH("NOT NULL",UPPER(A$3))),"''","null"),SUBSTITUTE(VLOOKUP(A$2,convert!$A$1:$B$4,2,0),"@@@",A622))</f>
        <v>'0502N01'</v>
      </c>
      <c r="Q622" s="4" t="str">
        <f>IF(B622="",IF(ISNUMBER(SEARCH("NOT NULL",UPPER(B$3))),"''","null"),SUBSTITUTE(VLOOKUP(B$2,convert!$A$1:$B$4,2,0),"@@@",B622))</f>
        <v>'フタチマル'</v>
      </c>
      <c r="R622" s="4" t="str">
        <f>IF(C622="",IF(ISNUMBER(SEARCH("NOT NULL",UPPER(C$3))),"''","null"),SUBSTITUTE(VLOOKUP(C$2,convert!$A$1:$B$4,2,0),"@@@",C622))</f>
        <v>75</v>
      </c>
      <c r="S622" s="4" t="str">
        <f>IF(D622="",IF(ISNUMBER(SEARCH("NOT NULL",UPPER(D$3))),"''","null"),SUBSTITUTE(VLOOKUP(D$2,convert!$A$1:$B$4,2,0),"@@@",D622))</f>
        <v>75</v>
      </c>
      <c r="T622" s="4" t="str">
        <f>IF(E622="",IF(ISNUMBER(SEARCH("NOT NULL",UPPER(E$3))),"''","null"),SUBSTITUTE(VLOOKUP(E$2,convert!$A$1:$B$4,2,0),"@@@",E622))</f>
        <v>60</v>
      </c>
      <c r="U622" s="4" t="str">
        <f>IF(F622="",IF(ISNUMBER(SEARCH("NOT NULL",UPPER(F$3))),"''","null"),SUBSTITUTE(VLOOKUP(F$2,convert!$A$1:$B$4,2,0),"@@@",F622))</f>
        <v>83</v>
      </c>
      <c r="V622" s="4" t="str">
        <f>IF(G622="",IF(ISNUMBER(SEARCH("NOT NULL",UPPER(G$3))),"''","null"),SUBSTITUTE(VLOOKUP(G$2,convert!$A$1:$B$4,2,0),"@@@",G622))</f>
        <v>60</v>
      </c>
      <c r="W622" s="4" t="str">
        <f>IF(H622="",IF(ISNUMBER(SEARCH("NOT NULL",UPPER(H$3))),"''","null"),SUBSTITUTE(VLOOKUP(H$2,convert!$A$1:$B$4,2,0),"@@@",H622))</f>
        <v>60</v>
      </c>
      <c r="X622" s="4" t="str">
        <f>IF(I622="",IF(ISNUMBER(SEARCH("NOT NULL",UPPER(I$3))),"''","null"),SUBSTITUTE(VLOOKUP(I$2,convert!$A$1:$B$4,2,0),"@@@",I622))</f>
        <v>''</v>
      </c>
      <c r="Y622" s="4" t="str">
        <f>IF(J622="",IF(ISNUMBER(SEARCH("NOT NULL",UPPER(J$3))),"''","null"),SUBSTITUTE(VLOOKUP(J$2,convert!$A$1:$B$4,2,0),"@@@",J622))</f>
        <v>'water'</v>
      </c>
      <c r="Z622" s="4" t="str">
        <f>IF(K622="",IF(ISNUMBER(SEARCH("NOT NULL",UPPER(K$3))),"''","null"),SUBSTITUTE(VLOOKUP(K$2,convert!$A$1:$B$4,2,0),"@@@",K622))</f>
        <v>null</v>
      </c>
      <c r="AA622" s="4" t="str">
        <f>IF(L622="",IF(ISNUMBER(SEARCH("NOT NULL",UPPER(L$3))),"''","null"),SUBSTITUTE(VLOOKUP(L$2,convert!$A$1:$B$4,2,0),"@@@",L622))</f>
        <v>'g5'</v>
      </c>
      <c r="AB622" s="4" t="str">
        <f>IF(M622="",IF(ISNUMBER(SEARCH("NOT NULL",UPPER(M$3))),"''","null"),SUBSTITUTE(VLOOKUP(M$2,convert!$A$1:$B$4,2,0),"@@@",M622))</f>
        <v>null</v>
      </c>
      <c r="AC622" s="4" t="str">
        <f>IF(N622="",IF(ISNUMBER(SEARCH("NOT NULL",UPPER(N$3))),"''","null"),SUBSTITUTE(VLOOKUP(N$2,convert!$A$1:$B$4,2,0),"@@@",N622))</f>
        <v>null</v>
      </c>
      <c r="AD622" s="4" t="str">
        <f>IF(O622="",IF(ISNUMBER(SEARCH("NOT NULL",UPPER(O$3))),"''","null"),SUBSTITUTE(VLOOKUP(O$2,convert!$A$1:$B$4,2,0),"@@@",O622))</f>
        <v>TRUE</v>
      </c>
      <c r="AE622" s="4" t="str">
        <f t="shared" si="9"/>
        <v>    ('0502N01', 'フタチマル', 75, 75, 60, 83, 60, 60, '', 'water', null, 'g5', null, null, TRUE),</v>
      </c>
    </row>
    <row r="623" spans="1:31">
      <c r="A623" s="4" t="s">
        <v>1260</v>
      </c>
      <c r="B623" s="4" t="s">
        <v>1261</v>
      </c>
      <c r="C623" s="5">
        <v>95</v>
      </c>
      <c r="D623" s="5">
        <v>100</v>
      </c>
      <c r="E623" s="5">
        <v>85</v>
      </c>
      <c r="F623" s="5">
        <v>108</v>
      </c>
      <c r="G623" s="5">
        <v>70</v>
      </c>
      <c r="H623" s="5">
        <v>70</v>
      </c>
      <c r="I623" s="5"/>
      <c r="J623" s="4" t="s">
        <v>55</v>
      </c>
      <c r="K623" s="5"/>
      <c r="L623" s="4" t="s">
        <v>1243</v>
      </c>
      <c r="M623" s="5"/>
      <c r="N623" s="5"/>
      <c r="O623" s="5" t="b">
        <v>1</v>
      </c>
      <c r="P623" s="4" t="str">
        <f>IF(A623="",IF(ISNUMBER(SEARCH("NOT NULL",UPPER(A$3))),"''","null"),SUBSTITUTE(VLOOKUP(A$2,convert!$A$1:$B$4,2,0),"@@@",A623))</f>
        <v>'0503N01'</v>
      </c>
      <c r="Q623" s="4" t="str">
        <f>IF(B623="",IF(ISNUMBER(SEARCH("NOT NULL",UPPER(B$3))),"''","null"),SUBSTITUTE(VLOOKUP(B$2,convert!$A$1:$B$4,2,0),"@@@",B623))</f>
        <v>'ダイケンキ'</v>
      </c>
      <c r="R623" s="4" t="str">
        <f>IF(C623="",IF(ISNUMBER(SEARCH("NOT NULL",UPPER(C$3))),"''","null"),SUBSTITUTE(VLOOKUP(C$2,convert!$A$1:$B$4,2,0),"@@@",C623))</f>
        <v>95</v>
      </c>
      <c r="S623" s="4" t="str">
        <f>IF(D623="",IF(ISNUMBER(SEARCH("NOT NULL",UPPER(D$3))),"''","null"),SUBSTITUTE(VLOOKUP(D$2,convert!$A$1:$B$4,2,0),"@@@",D623))</f>
        <v>100</v>
      </c>
      <c r="T623" s="4" t="str">
        <f>IF(E623="",IF(ISNUMBER(SEARCH("NOT NULL",UPPER(E$3))),"''","null"),SUBSTITUTE(VLOOKUP(E$2,convert!$A$1:$B$4,2,0),"@@@",E623))</f>
        <v>85</v>
      </c>
      <c r="U623" s="4" t="str">
        <f>IF(F623="",IF(ISNUMBER(SEARCH("NOT NULL",UPPER(F$3))),"''","null"),SUBSTITUTE(VLOOKUP(F$2,convert!$A$1:$B$4,2,0),"@@@",F623))</f>
        <v>108</v>
      </c>
      <c r="V623" s="4" t="str">
        <f>IF(G623="",IF(ISNUMBER(SEARCH("NOT NULL",UPPER(G$3))),"''","null"),SUBSTITUTE(VLOOKUP(G$2,convert!$A$1:$B$4,2,0),"@@@",G623))</f>
        <v>70</v>
      </c>
      <c r="W623" s="4" t="str">
        <f>IF(H623="",IF(ISNUMBER(SEARCH("NOT NULL",UPPER(H$3))),"''","null"),SUBSTITUTE(VLOOKUP(H$2,convert!$A$1:$B$4,2,0),"@@@",H623))</f>
        <v>70</v>
      </c>
      <c r="X623" s="4" t="str">
        <f>IF(I623="",IF(ISNUMBER(SEARCH("NOT NULL",UPPER(I$3))),"''","null"),SUBSTITUTE(VLOOKUP(I$2,convert!$A$1:$B$4,2,0),"@@@",I623))</f>
        <v>''</v>
      </c>
      <c r="Y623" s="4" t="str">
        <f>IF(J623="",IF(ISNUMBER(SEARCH("NOT NULL",UPPER(J$3))),"''","null"),SUBSTITUTE(VLOOKUP(J$2,convert!$A$1:$B$4,2,0),"@@@",J623))</f>
        <v>'water'</v>
      </c>
      <c r="Z623" s="4" t="str">
        <f>IF(K623="",IF(ISNUMBER(SEARCH("NOT NULL",UPPER(K$3))),"''","null"),SUBSTITUTE(VLOOKUP(K$2,convert!$A$1:$B$4,2,0),"@@@",K623))</f>
        <v>null</v>
      </c>
      <c r="AA623" s="4" t="str">
        <f>IF(L623="",IF(ISNUMBER(SEARCH("NOT NULL",UPPER(L$3))),"''","null"),SUBSTITUTE(VLOOKUP(L$2,convert!$A$1:$B$4,2,0),"@@@",L623))</f>
        <v>'g5'</v>
      </c>
      <c r="AB623" s="4" t="str">
        <f>IF(M623="",IF(ISNUMBER(SEARCH("NOT NULL",UPPER(M$3))),"''","null"),SUBSTITUTE(VLOOKUP(M$2,convert!$A$1:$B$4,2,0),"@@@",M623))</f>
        <v>null</v>
      </c>
      <c r="AC623" s="4" t="str">
        <f>IF(N623="",IF(ISNUMBER(SEARCH("NOT NULL",UPPER(N$3))),"''","null"),SUBSTITUTE(VLOOKUP(N$2,convert!$A$1:$B$4,2,0),"@@@",N623))</f>
        <v>null</v>
      </c>
      <c r="AD623" s="4" t="str">
        <f>IF(O623="",IF(ISNUMBER(SEARCH("NOT NULL",UPPER(O$3))),"''","null"),SUBSTITUTE(VLOOKUP(O$2,convert!$A$1:$B$4,2,0),"@@@",O623))</f>
        <v>TRUE</v>
      </c>
      <c r="AE623" s="4" t="str">
        <f t="shared" si="9"/>
        <v>    ('0503N01', 'ダイケンキ', 95, 100, 85, 108, 70, 70, '', 'water', null, 'g5', null, null, TRUE),</v>
      </c>
    </row>
    <row r="624" spans="1:31">
      <c r="A624" s="4" t="s">
        <v>1262</v>
      </c>
      <c r="B624" s="4" t="s">
        <v>1261</v>
      </c>
      <c r="C624" s="5">
        <v>90</v>
      </c>
      <c r="D624" s="5">
        <v>108</v>
      </c>
      <c r="E624" s="5">
        <v>80</v>
      </c>
      <c r="F624" s="5">
        <v>100</v>
      </c>
      <c r="G624" s="5">
        <v>65</v>
      </c>
      <c r="H624" s="5">
        <v>85</v>
      </c>
      <c r="I624" s="4" t="s">
        <v>195</v>
      </c>
      <c r="J624" s="4" t="s">
        <v>55</v>
      </c>
      <c r="K624" s="4" t="s">
        <v>91</v>
      </c>
      <c r="L624" s="4" t="s">
        <v>197</v>
      </c>
      <c r="M624" s="5"/>
      <c r="N624" s="5"/>
      <c r="O624" s="5" t="b">
        <v>1</v>
      </c>
      <c r="P624" s="4" t="str">
        <f>IF(A624="",IF(ISNUMBER(SEARCH("NOT NULL",UPPER(A$3))),"''","null"),SUBSTITUTE(VLOOKUP(A$2,convert!$A$1:$B$4,2,0),"@@@",A624))</f>
        <v>'0503H01'</v>
      </c>
      <c r="Q624" s="4" t="str">
        <f>IF(B624="",IF(ISNUMBER(SEARCH("NOT NULL",UPPER(B$3))),"''","null"),SUBSTITUTE(VLOOKUP(B$2,convert!$A$1:$B$4,2,0),"@@@",B624))</f>
        <v>'ダイケンキ'</v>
      </c>
      <c r="R624" s="4" t="str">
        <f>IF(C624="",IF(ISNUMBER(SEARCH("NOT NULL",UPPER(C$3))),"''","null"),SUBSTITUTE(VLOOKUP(C$2,convert!$A$1:$B$4,2,0),"@@@",C624))</f>
        <v>90</v>
      </c>
      <c r="S624" s="4" t="str">
        <f>IF(D624="",IF(ISNUMBER(SEARCH("NOT NULL",UPPER(D$3))),"''","null"),SUBSTITUTE(VLOOKUP(D$2,convert!$A$1:$B$4,2,0),"@@@",D624))</f>
        <v>108</v>
      </c>
      <c r="T624" s="4" t="str">
        <f>IF(E624="",IF(ISNUMBER(SEARCH("NOT NULL",UPPER(E$3))),"''","null"),SUBSTITUTE(VLOOKUP(E$2,convert!$A$1:$B$4,2,0),"@@@",E624))</f>
        <v>80</v>
      </c>
      <c r="U624" s="4" t="str">
        <f>IF(F624="",IF(ISNUMBER(SEARCH("NOT NULL",UPPER(F$3))),"''","null"),SUBSTITUTE(VLOOKUP(F$2,convert!$A$1:$B$4,2,0),"@@@",F624))</f>
        <v>100</v>
      </c>
      <c r="V624" s="4" t="str">
        <f>IF(G624="",IF(ISNUMBER(SEARCH("NOT NULL",UPPER(G$3))),"''","null"),SUBSTITUTE(VLOOKUP(G$2,convert!$A$1:$B$4,2,0),"@@@",G624))</f>
        <v>65</v>
      </c>
      <c r="W624" s="4" t="str">
        <f>IF(H624="",IF(ISNUMBER(SEARCH("NOT NULL",UPPER(H$3))),"''","null"),SUBSTITUTE(VLOOKUP(H$2,convert!$A$1:$B$4,2,0),"@@@",H624))</f>
        <v>85</v>
      </c>
      <c r="X624" s="4" t="str">
        <f>IF(I624="",IF(ISNUMBER(SEARCH("NOT NULL",UPPER(I$3))),"''","null"),SUBSTITUTE(VLOOKUP(I$2,convert!$A$1:$B$4,2,0),"@@@",I624))</f>
        <v>'ヒスイのすがた'</v>
      </c>
      <c r="Y624" s="4" t="str">
        <f>IF(J624="",IF(ISNUMBER(SEARCH("NOT NULL",UPPER(J$3))),"''","null"),SUBSTITUTE(VLOOKUP(J$2,convert!$A$1:$B$4,2,0),"@@@",J624))</f>
        <v>'water'</v>
      </c>
      <c r="Z624" s="4" t="str">
        <f>IF(K624="",IF(ISNUMBER(SEARCH("NOT NULL",UPPER(K$3))),"''","null"),SUBSTITUTE(VLOOKUP(K$2,convert!$A$1:$B$4,2,0),"@@@",K624))</f>
        <v>'dark'</v>
      </c>
      <c r="AA624" s="4" t="str">
        <f>IF(L624="",IF(ISNUMBER(SEARCH("NOT NULL",UPPER(L$3))),"''","null"),SUBSTITUTE(VLOOKUP(L$2,convert!$A$1:$B$4,2,0),"@@@",L624))</f>
        <v>'g8arceus'</v>
      </c>
      <c r="AB624" s="4" t="str">
        <f>IF(M624="",IF(ISNUMBER(SEARCH("NOT NULL",UPPER(M$3))),"''","null"),SUBSTITUTE(VLOOKUP(M$2,convert!$A$1:$B$4,2,0),"@@@",M624))</f>
        <v>null</v>
      </c>
      <c r="AC624" s="4" t="str">
        <f>IF(N624="",IF(ISNUMBER(SEARCH("NOT NULL",UPPER(N$3))),"''","null"),SUBSTITUTE(VLOOKUP(N$2,convert!$A$1:$B$4,2,0),"@@@",N624))</f>
        <v>null</v>
      </c>
      <c r="AD624" s="4" t="str">
        <f>IF(O624="",IF(ISNUMBER(SEARCH("NOT NULL",UPPER(O$3))),"''","null"),SUBSTITUTE(VLOOKUP(O$2,convert!$A$1:$B$4,2,0),"@@@",O624))</f>
        <v>TRUE</v>
      </c>
      <c r="AE624" s="4" t="str">
        <f t="shared" si="9"/>
        <v>    ('0503H01', 'ダイケンキ', 90, 108, 80, 100, 65, 85, 'ヒスイのすがた', 'water', 'dark', 'g8arceus', null, null, TRUE),</v>
      </c>
    </row>
    <row r="625" spans="1:31">
      <c r="A625" s="4" t="s">
        <v>1263</v>
      </c>
      <c r="B625" s="4" t="s">
        <v>1264</v>
      </c>
      <c r="C625" s="5">
        <v>45</v>
      </c>
      <c r="D625" s="5">
        <v>55</v>
      </c>
      <c r="E625" s="5">
        <v>39</v>
      </c>
      <c r="F625" s="5">
        <v>35</v>
      </c>
      <c r="G625" s="5">
        <v>39</v>
      </c>
      <c r="H625" s="5">
        <v>42</v>
      </c>
      <c r="I625" s="5"/>
      <c r="J625" s="4" t="s">
        <v>80</v>
      </c>
      <c r="K625" s="5"/>
      <c r="L625" s="4" t="s">
        <v>1243</v>
      </c>
      <c r="M625" s="5"/>
      <c r="N625" s="5"/>
      <c r="O625" s="5" t="b">
        <v>1</v>
      </c>
      <c r="P625" s="4" t="str">
        <f>IF(A625="",IF(ISNUMBER(SEARCH("NOT NULL",UPPER(A$3))),"''","null"),SUBSTITUTE(VLOOKUP(A$2,convert!$A$1:$B$4,2,0),"@@@",A625))</f>
        <v>'0504N01'</v>
      </c>
      <c r="Q625" s="4" t="str">
        <f>IF(B625="",IF(ISNUMBER(SEARCH("NOT NULL",UPPER(B$3))),"''","null"),SUBSTITUTE(VLOOKUP(B$2,convert!$A$1:$B$4,2,0),"@@@",B625))</f>
        <v>'ミネズミ'</v>
      </c>
      <c r="R625" s="4" t="str">
        <f>IF(C625="",IF(ISNUMBER(SEARCH("NOT NULL",UPPER(C$3))),"''","null"),SUBSTITUTE(VLOOKUP(C$2,convert!$A$1:$B$4,2,0),"@@@",C625))</f>
        <v>45</v>
      </c>
      <c r="S625" s="4" t="str">
        <f>IF(D625="",IF(ISNUMBER(SEARCH("NOT NULL",UPPER(D$3))),"''","null"),SUBSTITUTE(VLOOKUP(D$2,convert!$A$1:$B$4,2,0),"@@@",D625))</f>
        <v>55</v>
      </c>
      <c r="T625" s="4" t="str">
        <f>IF(E625="",IF(ISNUMBER(SEARCH("NOT NULL",UPPER(E$3))),"''","null"),SUBSTITUTE(VLOOKUP(E$2,convert!$A$1:$B$4,2,0),"@@@",E625))</f>
        <v>39</v>
      </c>
      <c r="U625" s="4" t="str">
        <f>IF(F625="",IF(ISNUMBER(SEARCH("NOT NULL",UPPER(F$3))),"''","null"),SUBSTITUTE(VLOOKUP(F$2,convert!$A$1:$B$4,2,0),"@@@",F625))</f>
        <v>35</v>
      </c>
      <c r="V625" s="4" t="str">
        <f>IF(G625="",IF(ISNUMBER(SEARCH("NOT NULL",UPPER(G$3))),"''","null"),SUBSTITUTE(VLOOKUP(G$2,convert!$A$1:$B$4,2,0),"@@@",G625))</f>
        <v>39</v>
      </c>
      <c r="W625" s="4" t="str">
        <f>IF(H625="",IF(ISNUMBER(SEARCH("NOT NULL",UPPER(H$3))),"''","null"),SUBSTITUTE(VLOOKUP(H$2,convert!$A$1:$B$4,2,0),"@@@",H625))</f>
        <v>42</v>
      </c>
      <c r="X625" s="4" t="str">
        <f>IF(I625="",IF(ISNUMBER(SEARCH("NOT NULL",UPPER(I$3))),"''","null"),SUBSTITUTE(VLOOKUP(I$2,convert!$A$1:$B$4,2,0),"@@@",I625))</f>
        <v>''</v>
      </c>
      <c r="Y625" s="4" t="str">
        <f>IF(J625="",IF(ISNUMBER(SEARCH("NOT NULL",UPPER(J$3))),"''","null"),SUBSTITUTE(VLOOKUP(J$2,convert!$A$1:$B$4,2,0),"@@@",J625))</f>
        <v>'normal'</v>
      </c>
      <c r="Z625" s="4" t="str">
        <f>IF(K625="",IF(ISNUMBER(SEARCH("NOT NULL",UPPER(K$3))),"''","null"),SUBSTITUTE(VLOOKUP(K$2,convert!$A$1:$B$4,2,0),"@@@",K625))</f>
        <v>null</v>
      </c>
      <c r="AA625" s="4" t="str">
        <f>IF(L625="",IF(ISNUMBER(SEARCH("NOT NULL",UPPER(L$3))),"''","null"),SUBSTITUTE(VLOOKUP(L$2,convert!$A$1:$B$4,2,0),"@@@",L625))</f>
        <v>'g5'</v>
      </c>
      <c r="AB625" s="4" t="str">
        <f>IF(M625="",IF(ISNUMBER(SEARCH("NOT NULL",UPPER(M$3))),"''","null"),SUBSTITUTE(VLOOKUP(M$2,convert!$A$1:$B$4,2,0),"@@@",M625))</f>
        <v>null</v>
      </c>
      <c r="AC625" s="4" t="str">
        <f>IF(N625="",IF(ISNUMBER(SEARCH("NOT NULL",UPPER(N$3))),"''","null"),SUBSTITUTE(VLOOKUP(N$2,convert!$A$1:$B$4,2,0),"@@@",N625))</f>
        <v>null</v>
      </c>
      <c r="AD625" s="4" t="str">
        <f>IF(O625="",IF(ISNUMBER(SEARCH("NOT NULL",UPPER(O$3))),"''","null"),SUBSTITUTE(VLOOKUP(O$2,convert!$A$1:$B$4,2,0),"@@@",O625))</f>
        <v>TRUE</v>
      </c>
      <c r="AE625" s="4" t="str">
        <f t="shared" si="9"/>
        <v>    ('0504N01', 'ミネズミ', 45, 55, 39, 35, 39, 42, '', 'normal', null, 'g5', null, null, TRUE),</v>
      </c>
    </row>
    <row r="626" spans="1:31">
      <c r="A626" s="4" t="s">
        <v>1265</v>
      </c>
      <c r="B626" s="4" t="s">
        <v>1266</v>
      </c>
      <c r="C626" s="5">
        <v>60</v>
      </c>
      <c r="D626" s="5">
        <v>85</v>
      </c>
      <c r="E626" s="5">
        <v>69</v>
      </c>
      <c r="F626" s="5">
        <v>60</v>
      </c>
      <c r="G626" s="5">
        <v>69</v>
      </c>
      <c r="H626" s="5">
        <v>77</v>
      </c>
      <c r="I626" s="5"/>
      <c r="J626" s="4" t="s">
        <v>80</v>
      </c>
      <c r="K626" s="5"/>
      <c r="L626" s="4" t="s">
        <v>1243</v>
      </c>
      <c r="M626" s="5"/>
      <c r="N626" s="5"/>
      <c r="O626" s="5" t="b">
        <v>1</v>
      </c>
      <c r="P626" s="4" t="str">
        <f>IF(A626="",IF(ISNUMBER(SEARCH("NOT NULL",UPPER(A$3))),"''","null"),SUBSTITUTE(VLOOKUP(A$2,convert!$A$1:$B$4,2,0),"@@@",A626))</f>
        <v>'0505N01'</v>
      </c>
      <c r="Q626" s="4" t="str">
        <f>IF(B626="",IF(ISNUMBER(SEARCH("NOT NULL",UPPER(B$3))),"''","null"),SUBSTITUTE(VLOOKUP(B$2,convert!$A$1:$B$4,2,0),"@@@",B626))</f>
        <v>'ミルホッグ'</v>
      </c>
      <c r="R626" s="4" t="str">
        <f>IF(C626="",IF(ISNUMBER(SEARCH("NOT NULL",UPPER(C$3))),"''","null"),SUBSTITUTE(VLOOKUP(C$2,convert!$A$1:$B$4,2,0),"@@@",C626))</f>
        <v>60</v>
      </c>
      <c r="S626" s="4" t="str">
        <f>IF(D626="",IF(ISNUMBER(SEARCH("NOT NULL",UPPER(D$3))),"''","null"),SUBSTITUTE(VLOOKUP(D$2,convert!$A$1:$B$4,2,0),"@@@",D626))</f>
        <v>85</v>
      </c>
      <c r="T626" s="4" t="str">
        <f>IF(E626="",IF(ISNUMBER(SEARCH("NOT NULL",UPPER(E$3))),"''","null"),SUBSTITUTE(VLOOKUP(E$2,convert!$A$1:$B$4,2,0),"@@@",E626))</f>
        <v>69</v>
      </c>
      <c r="U626" s="4" t="str">
        <f>IF(F626="",IF(ISNUMBER(SEARCH("NOT NULL",UPPER(F$3))),"''","null"),SUBSTITUTE(VLOOKUP(F$2,convert!$A$1:$B$4,2,0),"@@@",F626))</f>
        <v>60</v>
      </c>
      <c r="V626" s="4" t="str">
        <f>IF(G626="",IF(ISNUMBER(SEARCH("NOT NULL",UPPER(G$3))),"''","null"),SUBSTITUTE(VLOOKUP(G$2,convert!$A$1:$B$4,2,0),"@@@",G626))</f>
        <v>69</v>
      </c>
      <c r="W626" s="4" t="str">
        <f>IF(H626="",IF(ISNUMBER(SEARCH("NOT NULL",UPPER(H$3))),"''","null"),SUBSTITUTE(VLOOKUP(H$2,convert!$A$1:$B$4,2,0),"@@@",H626))</f>
        <v>77</v>
      </c>
      <c r="X626" s="4" t="str">
        <f>IF(I626="",IF(ISNUMBER(SEARCH("NOT NULL",UPPER(I$3))),"''","null"),SUBSTITUTE(VLOOKUP(I$2,convert!$A$1:$B$4,2,0),"@@@",I626))</f>
        <v>''</v>
      </c>
      <c r="Y626" s="4" t="str">
        <f>IF(J626="",IF(ISNUMBER(SEARCH("NOT NULL",UPPER(J$3))),"''","null"),SUBSTITUTE(VLOOKUP(J$2,convert!$A$1:$B$4,2,0),"@@@",J626))</f>
        <v>'normal'</v>
      </c>
      <c r="Z626" s="4" t="str">
        <f>IF(K626="",IF(ISNUMBER(SEARCH("NOT NULL",UPPER(K$3))),"''","null"),SUBSTITUTE(VLOOKUP(K$2,convert!$A$1:$B$4,2,0),"@@@",K626))</f>
        <v>null</v>
      </c>
      <c r="AA626" s="4" t="str">
        <f>IF(L626="",IF(ISNUMBER(SEARCH("NOT NULL",UPPER(L$3))),"''","null"),SUBSTITUTE(VLOOKUP(L$2,convert!$A$1:$B$4,2,0),"@@@",L626))</f>
        <v>'g5'</v>
      </c>
      <c r="AB626" s="4" t="str">
        <f>IF(M626="",IF(ISNUMBER(SEARCH("NOT NULL",UPPER(M$3))),"''","null"),SUBSTITUTE(VLOOKUP(M$2,convert!$A$1:$B$4,2,0),"@@@",M626))</f>
        <v>null</v>
      </c>
      <c r="AC626" s="4" t="str">
        <f>IF(N626="",IF(ISNUMBER(SEARCH("NOT NULL",UPPER(N$3))),"''","null"),SUBSTITUTE(VLOOKUP(N$2,convert!$A$1:$B$4,2,0),"@@@",N626))</f>
        <v>null</v>
      </c>
      <c r="AD626" s="4" t="str">
        <f>IF(O626="",IF(ISNUMBER(SEARCH("NOT NULL",UPPER(O$3))),"''","null"),SUBSTITUTE(VLOOKUP(O$2,convert!$A$1:$B$4,2,0),"@@@",O626))</f>
        <v>TRUE</v>
      </c>
      <c r="AE626" s="4" t="str">
        <f t="shared" si="9"/>
        <v>    ('0505N01', 'ミルホッグ', 60, 85, 69, 60, 69, 77, '', 'normal', null, 'g5', null, null, TRUE),</v>
      </c>
    </row>
    <row r="627" spans="1:31">
      <c r="A627" s="4" t="s">
        <v>1267</v>
      </c>
      <c r="B627" s="4" t="s">
        <v>1268</v>
      </c>
      <c r="C627" s="5">
        <v>45</v>
      </c>
      <c r="D627" s="5">
        <v>60</v>
      </c>
      <c r="E627" s="5">
        <v>45</v>
      </c>
      <c r="F627" s="5">
        <v>25</v>
      </c>
      <c r="G627" s="5">
        <v>45</v>
      </c>
      <c r="H627" s="5">
        <v>55</v>
      </c>
      <c r="I627" s="5"/>
      <c r="J627" s="4" t="s">
        <v>80</v>
      </c>
      <c r="K627" s="5"/>
      <c r="L627" s="4" t="s">
        <v>1243</v>
      </c>
      <c r="M627" s="5"/>
      <c r="N627" s="5"/>
      <c r="O627" s="5" t="b">
        <v>1</v>
      </c>
      <c r="P627" s="4" t="str">
        <f>IF(A627="",IF(ISNUMBER(SEARCH("NOT NULL",UPPER(A$3))),"''","null"),SUBSTITUTE(VLOOKUP(A$2,convert!$A$1:$B$4,2,0),"@@@",A627))</f>
        <v>'0506N01'</v>
      </c>
      <c r="Q627" s="4" t="str">
        <f>IF(B627="",IF(ISNUMBER(SEARCH("NOT NULL",UPPER(B$3))),"''","null"),SUBSTITUTE(VLOOKUP(B$2,convert!$A$1:$B$4,2,0),"@@@",B627))</f>
        <v>'ヨーテリー'</v>
      </c>
      <c r="R627" s="4" t="str">
        <f>IF(C627="",IF(ISNUMBER(SEARCH("NOT NULL",UPPER(C$3))),"''","null"),SUBSTITUTE(VLOOKUP(C$2,convert!$A$1:$B$4,2,0),"@@@",C627))</f>
        <v>45</v>
      </c>
      <c r="S627" s="4" t="str">
        <f>IF(D627="",IF(ISNUMBER(SEARCH("NOT NULL",UPPER(D$3))),"''","null"),SUBSTITUTE(VLOOKUP(D$2,convert!$A$1:$B$4,2,0),"@@@",D627))</f>
        <v>60</v>
      </c>
      <c r="T627" s="4" t="str">
        <f>IF(E627="",IF(ISNUMBER(SEARCH("NOT NULL",UPPER(E$3))),"''","null"),SUBSTITUTE(VLOOKUP(E$2,convert!$A$1:$B$4,2,0),"@@@",E627))</f>
        <v>45</v>
      </c>
      <c r="U627" s="4" t="str">
        <f>IF(F627="",IF(ISNUMBER(SEARCH("NOT NULL",UPPER(F$3))),"''","null"),SUBSTITUTE(VLOOKUP(F$2,convert!$A$1:$B$4,2,0),"@@@",F627))</f>
        <v>25</v>
      </c>
      <c r="V627" s="4" t="str">
        <f>IF(G627="",IF(ISNUMBER(SEARCH("NOT NULL",UPPER(G$3))),"''","null"),SUBSTITUTE(VLOOKUP(G$2,convert!$A$1:$B$4,2,0),"@@@",G627))</f>
        <v>45</v>
      </c>
      <c r="W627" s="4" t="str">
        <f>IF(H627="",IF(ISNUMBER(SEARCH("NOT NULL",UPPER(H$3))),"''","null"),SUBSTITUTE(VLOOKUP(H$2,convert!$A$1:$B$4,2,0),"@@@",H627))</f>
        <v>55</v>
      </c>
      <c r="X627" s="4" t="str">
        <f>IF(I627="",IF(ISNUMBER(SEARCH("NOT NULL",UPPER(I$3))),"''","null"),SUBSTITUTE(VLOOKUP(I$2,convert!$A$1:$B$4,2,0),"@@@",I627))</f>
        <v>''</v>
      </c>
      <c r="Y627" s="4" t="str">
        <f>IF(J627="",IF(ISNUMBER(SEARCH("NOT NULL",UPPER(J$3))),"''","null"),SUBSTITUTE(VLOOKUP(J$2,convert!$A$1:$B$4,2,0),"@@@",J627))</f>
        <v>'normal'</v>
      </c>
      <c r="Z627" s="4" t="str">
        <f>IF(K627="",IF(ISNUMBER(SEARCH("NOT NULL",UPPER(K$3))),"''","null"),SUBSTITUTE(VLOOKUP(K$2,convert!$A$1:$B$4,2,0),"@@@",K627))</f>
        <v>null</v>
      </c>
      <c r="AA627" s="4" t="str">
        <f>IF(L627="",IF(ISNUMBER(SEARCH("NOT NULL",UPPER(L$3))),"''","null"),SUBSTITUTE(VLOOKUP(L$2,convert!$A$1:$B$4,2,0),"@@@",L627))</f>
        <v>'g5'</v>
      </c>
      <c r="AB627" s="4" t="str">
        <f>IF(M627="",IF(ISNUMBER(SEARCH("NOT NULL",UPPER(M$3))),"''","null"),SUBSTITUTE(VLOOKUP(M$2,convert!$A$1:$B$4,2,0),"@@@",M627))</f>
        <v>null</v>
      </c>
      <c r="AC627" s="4" t="str">
        <f>IF(N627="",IF(ISNUMBER(SEARCH("NOT NULL",UPPER(N$3))),"''","null"),SUBSTITUTE(VLOOKUP(N$2,convert!$A$1:$B$4,2,0),"@@@",N627))</f>
        <v>null</v>
      </c>
      <c r="AD627" s="4" t="str">
        <f>IF(O627="",IF(ISNUMBER(SEARCH("NOT NULL",UPPER(O$3))),"''","null"),SUBSTITUTE(VLOOKUP(O$2,convert!$A$1:$B$4,2,0),"@@@",O627))</f>
        <v>TRUE</v>
      </c>
      <c r="AE627" s="4" t="str">
        <f t="shared" si="9"/>
        <v>    ('0506N01', 'ヨーテリー', 45, 60, 45, 25, 45, 55, '', 'normal', null, 'g5', null, null, TRUE),</v>
      </c>
    </row>
    <row r="628" spans="1:31">
      <c r="A628" s="4" t="s">
        <v>1269</v>
      </c>
      <c r="B628" s="4" t="s">
        <v>1270</v>
      </c>
      <c r="C628" s="5">
        <v>65</v>
      </c>
      <c r="D628" s="5">
        <v>80</v>
      </c>
      <c r="E628" s="5">
        <v>65</v>
      </c>
      <c r="F628" s="5">
        <v>35</v>
      </c>
      <c r="G628" s="5">
        <v>65</v>
      </c>
      <c r="H628" s="5">
        <v>60</v>
      </c>
      <c r="I628" s="5"/>
      <c r="J628" s="4" t="s">
        <v>80</v>
      </c>
      <c r="K628" s="5"/>
      <c r="L628" s="4" t="s">
        <v>1243</v>
      </c>
      <c r="M628" s="5"/>
      <c r="N628" s="5"/>
      <c r="O628" s="5" t="b">
        <v>1</v>
      </c>
      <c r="P628" s="4" t="str">
        <f>IF(A628="",IF(ISNUMBER(SEARCH("NOT NULL",UPPER(A$3))),"''","null"),SUBSTITUTE(VLOOKUP(A$2,convert!$A$1:$B$4,2,0),"@@@",A628))</f>
        <v>'0507N01'</v>
      </c>
      <c r="Q628" s="4" t="str">
        <f>IF(B628="",IF(ISNUMBER(SEARCH("NOT NULL",UPPER(B$3))),"''","null"),SUBSTITUTE(VLOOKUP(B$2,convert!$A$1:$B$4,2,0),"@@@",B628))</f>
        <v>'ハーデリア'</v>
      </c>
      <c r="R628" s="4" t="str">
        <f>IF(C628="",IF(ISNUMBER(SEARCH("NOT NULL",UPPER(C$3))),"''","null"),SUBSTITUTE(VLOOKUP(C$2,convert!$A$1:$B$4,2,0),"@@@",C628))</f>
        <v>65</v>
      </c>
      <c r="S628" s="4" t="str">
        <f>IF(D628="",IF(ISNUMBER(SEARCH("NOT NULL",UPPER(D$3))),"''","null"),SUBSTITUTE(VLOOKUP(D$2,convert!$A$1:$B$4,2,0),"@@@",D628))</f>
        <v>80</v>
      </c>
      <c r="T628" s="4" t="str">
        <f>IF(E628="",IF(ISNUMBER(SEARCH("NOT NULL",UPPER(E$3))),"''","null"),SUBSTITUTE(VLOOKUP(E$2,convert!$A$1:$B$4,2,0),"@@@",E628))</f>
        <v>65</v>
      </c>
      <c r="U628" s="4" t="str">
        <f>IF(F628="",IF(ISNUMBER(SEARCH("NOT NULL",UPPER(F$3))),"''","null"),SUBSTITUTE(VLOOKUP(F$2,convert!$A$1:$B$4,2,0),"@@@",F628))</f>
        <v>35</v>
      </c>
      <c r="V628" s="4" t="str">
        <f>IF(G628="",IF(ISNUMBER(SEARCH("NOT NULL",UPPER(G$3))),"''","null"),SUBSTITUTE(VLOOKUP(G$2,convert!$A$1:$B$4,2,0),"@@@",G628))</f>
        <v>65</v>
      </c>
      <c r="W628" s="4" t="str">
        <f>IF(H628="",IF(ISNUMBER(SEARCH("NOT NULL",UPPER(H$3))),"''","null"),SUBSTITUTE(VLOOKUP(H$2,convert!$A$1:$B$4,2,0),"@@@",H628))</f>
        <v>60</v>
      </c>
      <c r="X628" s="4" t="str">
        <f>IF(I628="",IF(ISNUMBER(SEARCH("NOT NULL",UPPER(I$3))),"''","null"),SUBSTITUTE(VLOOKUP(I$2,convert!$A$1:$B$4,2,0),"@@@",I628))</f>
        <v>''</v>
      </c>
      <c r="Y628" s="4" t="str">
        <f>IF(J628="",IF(ISNUMBER(SEARCH("NOT NULL",UPPER(J$3))),"''","null"),SUBSTITUTE(VLOOKUP(J$2,convert!$A$1:$B$4,2,0),"@@@",J628))</f>
        <v>'normal'</v>
      </c>
      <c r="Z628" s="4" t="str">
        <f>IF(K628="",IF(ISNUMBER(SEARCH("NOT NULL",UPPER(K$3))),"''","null"),SUBSTITUTE(VLOOKUP(K$2,convert!$A$1:$B$4,2,0),"@@@",K628))</f>
        <v>null</v>
      </c>
      <c r="AA628" s="4" t="str">
        <f>IF(L628="",IF(ISNUMBER(SEARCH("NOT NULL",UPPER(L$3))),"''","null"),SUBSTITUTE(VLOOKUP(L$2,convert!$A$1:$B$4,2,0),"@@@",L628))</f>
        <v>'g5'</v>
      </c>
      <c r="AB628" s="4" t="str">
        <f>IF(M628="",IF(ISNUMBER(SEARCH("NOT NULL",UPPER(M$3))),"''","null"),SUBSTITUTE(VLOOKUP(M$2,convert!$A$1:$B$4,2,0),"@@@",M628))</f>
        <v>null</v>
      </c>
      <c r="AC628" s="4" t="str">
        <f>IF(N628="",IF(ISNUMBER(SEARCH("NOT NULL",UPPER(N$3))),"''","null"),SUBSTITUTE(VLOOKUP(N$2,convert!$A$1:$B$4,2,0),"@@@",N628))</f>
        <v>null</v>
      </c>
      <c r="AD628" s="4" t="str">
        <f>IF(O628="",IF(ISNUMBER(SEARCH("NOT NULL",UPPER(O$3))),"''","null"),SUBSTITUTE(VLOOKUP(O$2,convert!$A$1:$B$4,2,0),"@@@",O628))</f>
        <v>TRUE</v>
      </c>
      <c r="AE628" s="4" t="str">
        <f t="shared" si="9"/>
        <v>    ('0507N01', 'ハーデリア', 65, 80, 65, 35, 65, 60, '', 'normal', null, 'g5', null, null, TRUE),</v>
      </c>
    </row>
    <row r="629" spans="1:31">
      <c r="A629" s="4" t="s">
        <v>1271</v>
      </c>
      <c r="B629" s="4" t="s">
        <v>1272</v>
      </c>
      <c r="C629" s="5">
        <v>85</v>
      </c>
      <c r="D629" s="5">
        <v>110</v>
      </c>
      <c r="E629" s="5">
        <v>90</v>
      </c>
      <c r="F629" s="5">
        <v>45</v>
      </c>
      <c r="G629" s="5">
        <v>90</v>
      </c>
      <c r="H629" s="5">
        <v>80</v>
      </c>
      <c r="I629" s="5"/>
      <c r="J629" s="4" t="s">
        <v>80</v>
      </c>
      <c r="K629" s="5"/>
      <c r="L629" s="4" t="s">
        <v>1243</v>
      </c>
      <c r="M629" s="5"/>
      <c r="N629" s="5"/>
      <c r="O629" s="5" t="b">
        <v>1</v>
      </c>
      <c r="P629" s="4" t="str">
        <f>IF(A629="",IF(ISNUMBER(SEARCH("NOT NULL",UPPER(A$3))),"''","null"),SUBSTITUTE(VLOOKUP(A$2,convert!$A$1:$B$4,2,0),"@@@",A629))</f>
        <v>'0508N01'</v>
      </c>
      <c r="Q629" s="4" t="str">
        <f>IF(B629="",IF(ISNUMBER(SEARCH("NOT NULL",UPPER(B$3))),"''","null"),SUBSTITUTE(VLOOKUP(B$2,convert!$A$1:$B$4,2,0),"@@@",B629))</f>
        <v>'ムーランド'</v>
      </c>
      <c r="R629" s="4" t="str">
        <f>IF(C629="",IF(ISNUMBER(SEARCH("NOT NULL",UPPER(C$3))),"''","null"),SUBSTITUTE(VLOOKUP(C$2,convert!$A$1:$B$4,2,0),"@@@",C629))</f>
        <v>85</v>
      </c>
      <c r="S629" s="4" t="str">
        <f>IF(D629="",IF(ISNUMBER(SEARCH("NOT NULL",UPPER(D$3))),"''","null"),SUBSTITUTE(VLOOKUP(D$2,convert!$A$1:$B$4,2,0),"@@@",D629))</f>
        <v>110</v>
      </c>
      <c r="T629" s="4" t="str">
        <f>IF(E629="",IF(ISNUMBER(SEARCH("NOT NULL",UPPER(E$3))),"''","null"),SUBSTITUTE(VLOOKUP(E$2,convert!$A$1:$B$4,2,0),"@@@",E629))</f>
        <v>90</v>
      </c>
      <c r="U629" s="4" t="str">
        <f>IF(F629="",IF(ISNUMBER(SEARCH("NOT NULL",UPPER(F$3))),"''","null"),SUBSTITUTE(VLOOKUP(F$2,convert!$A$1:$B$4,2,0),"@@@",F629))</f>
        <v>45</v>
      </c>
      <c r="V629" s="4" t="str">
        <f>IF(G629="",IF(ISNUMBER(SEARCH("NOT NULL",UPPER(G$3))),"''","null"),SUBSTITUTE(VLOOKUP(G$2,convert!$A$1:$B$4,2,0),"@@@",G629))</f>
        <v>90</v>
      </c>
      <c r="W629" s="4" t="str">
        <f>IF(H629="",IF(ISNUMBER(SEARCH("NOT NULL",UPPER(H$3))),"''","null"),SUBSTITUTE(VLOOKUP(H$2,convert!$A$1:$B$4,2,0),"@@@",H629))</f>
        <v>80</v>
      </c>
      <c r="X629" s="4" t="str">
        <f>IF(I629="",IF(ISNUMBER(SEARCH("NOT NULL",UPPER(I$3))),"''","null"),SUBSTITUTE(VLOOKUP(I$2,convert!$A$1:$B$4,2,0),"@@@",I629))</f>
        <v>''</v>
      </c>
      <c r="Y629" s="4" t="str">
        <f>IF(J629="",IF(ISNUMBER(SEARCH("NOT NULL",UPPER(J$3))),"''","null"),SUBSTITUTE(VLOOKUP(J$2,convert!$A$1:$B$4,2,0),"@@@",J629))</f>
        <v>'normal'</v>
      </c>
      <c r="Z629" s="4" t="str">
        <f>IF(K629="",IF(ISNUMBER(SEARCH("NOT NULL",UPPER(K$3))),"''","null"),SUBSTITUTE(VLOOKUP(K$2,convert!$A$1:$B$4,2,0),"@@@",K629))</f>
        <v>null</v>
      </c>
      <c r="AA629" s="4" t="str">
        <f>IF(L629="",IF(ISNUMBER(SEARCH("NOT NULL",UPPER(L$3))),"''","null"),SUBSTITUTE(VLOOKUP(L$2,convert!$A$1:$B$4,2,0),"@@@",L629))</f>
        <v>'g5'</v>
      </c>
      <c r="AB629" s="4" t="str">
        <f>IF(M629="",IF(ISNUMBER(SEARCH("NOT NULL",UPPER(M$3))),"''","null"),SUBSTITUTE(VLOOKUP(M$2,convert!$A$1:$B$4,2,0),"@@@",M629))</f>
        <v>null</v>
      </c>
      <c r="AC629" s="4" t="str">
        <f>IF(N629="",IF(ISNUMBER(SEARCH("NOT NULL",UPPER(N$3))),"''","null"),SUBSTITUTE(VLOOKUP(N$2,convert!$A$1:$B$4,2,0),"@@@",N629))</f>
        <v>null</v>
      </c>
      <c r="AD629" s="4" t="str">
        <f>IF(O629="",IF(ISNUMBER(SEARCH("NOT NULL",UPPER(O$3))),"''","null"),SUBSTITUTE(VLOOKUP(O$2,convert!$A$1:$B$4,2,0),"@@@",O629))</f>
        <v>TRUE</v>
      </c>
      <c r="AE629" s="4" t="str">
        <f t="shared" si="9"/>
        <v>    ('0508N01', 'ムーランド', 85, 110, 90, 45, 90, 80, '', 'normal', null, 'g5', null, null, TRUE),</v>
      </c>
    </row>
    <row r="630" spans="1:31">
      <c r="A630" s="4" t="s">
        <v>1273</v>
      </c>
      <c r="B630" s="4" t="s">
        <v>1274</v>
      </c>
      <c r="C630" s="5">
        <v>41</v>
      </c>
      <c r="D630" s="5">
        <v>50</v>
      </c>
      <c r="E630" s="5">
        <v>37</v>
      </c>
      <c r="F630" s="5">
        <v>50</v>
      </c>
      <c r="G630" s="5">
        <v>37</v>
      </c>
      <c r="H630" s="5">
        <v>66</v>
      </c>
      <c r="I630" s="5"/>
      <c r="J630" s="4" t="s">
        <v>91</v>
      </c>
      <c r="K630" s="5"/>
      <c r="L630" s="4" t="s">
        <v>1243</v>
      </c>
      <c r="M630" s="5"/>
      <c r="N630" s="5"/>
      <c r="O630" s="5" t="b">
        <v>1</v>
      </c>
      <c r="P630" s="4" t="str">
        <f>IF(A630="",IF(ISNUMBER(SEARCH("NOT NULL",UPPER(A$3))),"''","null"),SUBSTITUTE(VLOOKUP(A$2,convert!$A$1:$B$4,2,0),"@@@",A630))</f>
        <v>'0509N01'</v>
      </c>
      <c r="Q630" s="4" t="str">
        <f>IF(B630="",IF(ISNUMBER(SEARCH("NOT NULL",UPPER(B$3))),"''","null"),SUBSTITUTE(VLOOKUP(B$2,convert!$A$1:$B$4,2,0),"@@@",B630))</f>
        <v>'チョロネコ'</v>
      </c>
      <c r="R630" s="4" t="str">
        <f>IF(C630="",IF(ISNUMBER(SEARCH("NOT NULL",UPPER(C$3))),"''","null"),SUBSTITUTE(VLOOKUP(C$2,convert!$A$1:$B$4,2,0),"@@@",C630))</f>
        <v>41</v>
      </c>
      <c r="S630" s="4" t="str">
        <f>IF(D630="",IF(ISNUMBER(SEARCH("NOT NULL",UPPER(D$3))),"''","null"),SUBSTITUTE(VLOOKUP(D$2,convert!$A$1:$B$4,2,0),"@@@",D630))</f>
        <v>50</v>
      </c>
      <c r="T630" s="4" t="str">
        <f>IF(E630="",IF(ISNUMBER(SEARCH("NOT NULL",UPPER(E$3))),"''","null"),SUBSTITUTE(VLOOKUP(E$2,convert!$A$1:$B$4,2,0),"@@@",E630))</f>
        <v>37</v>
      </c>
      <c r="U630" s="4" t="str">
        <f>IF(F630="",IF(ISNUMBER(SEARCH("NOT NULL",UPPER(F$3))),"''","null"),SUBSTITUTE(VLOOKUP(F$2,convert!$A$1:$B$4,2,0),"@@@",F630))</f>
        <v>50</v>
      </c>
      <c r="V630" s="4" t="str">
        <f>IF(G630="",IF(ISNUMBER(SEARCH("NOT NULL",UPPER(G$3))),"''","null"),SUBSTITUTE(VLOOKUP(G$2,convert!$A$1:$B$4,2,0),"@@@",G630))</f>
        <v>37</v>
      </c>
      <c r="W630" s="4" t="str">
        <f>IF(H630="",IF(ISNUMBER(SEARCH("NOT NULL",UPPER(H$3))),"''","null"),SUBSTITUTE(VLOOKUP(H$2,convert!$A$1:$B$4,2,0),"@@@",H630))</f>
        <v>66</v>
      </c>
      <c r="X630" s="4" t="str">
        <f>IF(I630="",IF(ISNUMBER(SEARCH("NOT NULL",UPPER(I$3))),"''","null"),SUBSTITUTE(VLOOKUP(I$2,convert!$A$1:$B$4,2,0),"@@@",I630))</f>
        <v>''</v>
      </c>
      <c r="Y630" s="4" t="str">
        <f>IF(J630="",IF(ISNUMBER(SEARCH("NOT NULL",UPPER(J$3))),"''","null"),SUBSTITUTE(VLOOKUP(J$2,convert!$A$1:$B$4,2,0),"@@@",J630))</f>
        <v>'dark'</v>
      </c>
      <c r="Z630" s="4" t="str">
        <f>IF(K630="",IF(ISNUMBER(SEARCH("NOT NULL",UPPER(K$3))),"''","null"),SUBSTITUTE(VLOOKUP(K$2,convert!$A$1:$B$4,2,0),"@@@",K630))</f>
        <v>null</v>
      </c>
      <c r="AA630" s="4" t="str">
        <f>IF(L630="",IF(ISNUMBER(SEARCH("NOT NULL",UPPER(L$3))),"''","null"),SUBSTITUTE(VLOOKUP(L$2,convert!$A$1:$B$4,2,0),"@@@",L630))</f>
        <v>'g5'</v>
      </c>
      <c r="AB630" s="4" t="str">
        <f>IF(M630="",IF(ISNUMBER(SEARCH("NOT NULL",UPPER(M$3))),"''","null"),SUBSTITUTE(VLOOKUP(M$2,convert!$A$1:$B$4,2,0),"@@@",M630))</f>
        <v>null</v>
      </c>
      <c r="AC630" s="4" t="str">
        <f>IF(N630="",IF(ISNUMBER(SEARCH("NOT NULL",UPPER(N$3))),"''","null"),SUBSTITUTE(VLOOKUP(N$2,convert!$A$1:$B$4,2,0),"@@@",N630))</f>
        <v>null</v>
      </c>
      <c r="AD630" s="4" t="str">
        <f>IF(O630="",IF(ISNUMBER(SEARCH("NOT NULL",UPPER(O$3))),"''","null"),SUBSTITUTE(VLOOKUP(O$2,convert!$A$1:$B$4,2,0),"@@@",O630))</f>
        <v>TRUE</v>
      </c>
      <c r="AE630" s="4" t="str">
        <f t="shared" si="9"/>
        <v>    ('0509N01', 'チョロネコ', 41, 50, 37, 50, 37, 66, '', 'dark', null, 'g5', null, null, TRUE),</v>
      </c>
    </row>
    <row r="631" spans="1:31">
      <c r="A631" s="4" t="s">
        <v>1275</v>
      </c>
      <c r="B631" s="4" t="s">
        <v>1276</v>
      </c>
      <c r="C631" s="5">
        <v>64</v>
      </c>
      <c r="D631" s="5">
        <v>88</v>
      </c>
      <c r="E631" s="5">
        <v>50</v>
      </c>
      <c r="F631" s="5">
        <v>88</v>
      </c>
      <c r="G631" s="5">
        <v>50</v>
      </c>
      <c r="H631" s="5">
        <v>106</v>
      </c>
      <c r="I631" s="5"/>
      <c r="J631" s="4" t="s">
        <v>91</v>
      </c>
      <c r="K631" s="5"/>
      <c r="L631" s="4" t="s">
        <v>1243</v>
      </c>
      <c r="M631" s="5"/>
      <c r="N631" s="5"/>
      <c r="O631" s="5" t="b">
        <v>1</v>
      </c>
      <c r="P631" s="4" t="str">
        <f>IF(A631="",IF(ISNUMBER(SEARCH("NOT NULL",UPPER(A$3))),"''","null"),SUBSTITUTE(VLOOKUP(A$2,convert!$A$1:$B$4,2,0),"@@@",A631))</f>
        <v>'0510N01'</v>
      </c>
      <c r="Q631" s="4" t="str">
        <f>IF(B631="",IF(ISNUMBER(SEARCH("NOT NULL",UPPER(B$3))),"''","null"),SUBSTITUTE(VLOOKUP(B$2,convert!$A$1:$B$4,2,0),"@@@",B631))</f>
        <v>'レパルダス'</v>
      </c>
      <c r="R631" s="4" t="str">
        <f>IF(C631="",IF(ISNUMBER(SEARCH("NOT NULL",UPPER(C$3))),"''","null"),SUBSTITUTE(VLOOKUP(C$2,convert!$A$1:$B$4,2,0),"@@@",C631))</f>
        <v>64</v>
      </c>
      <c r="S631" s="4" t="str">
        <f>IF(D631="",IF(ISNUMBER(SEARCH("NOT NULL",UPPER(D$3))),"''","null"),SUBSTITUTE(VLOOKUP(D$2,convert!$A$1:$B$4,2,0),"@@@",D631))</f>
        <v>88</v>
      </c>
      <c r="T631" s="4" t="str">
        <f>IF(E631="",IF(ISNUMBER(SEARCH("NOT NULL",UPPER(E$3))),"''","null"),SUBSTITUTE(VLOOKUP(E$2,convert!$A$1:$B$4,2,0),"@@@",E631))</f>
        <v>50</v>
      </c>
      <c r="U631" s="4" t="str">
        <f>IF(F631="",IF(ISNUMBER(SEARCH("NOT NULL",UPPER(F$3))),"''","null"),SUBSTITUTE(VLOOKUP(F$2,convert!$A$1:$B$4,2,0),"@@@",F631))</f>
        <v>88</v>
      </c>
      <c r="V631" s="4" t="str">
        <f>IF(G631="",IF(ISNUMBER(SEARCH("NOT NULL",UPPER(G$3))),"''","null"),SUBSTITUTE(VLOOKUP(G$2,convert!$A$1:$B$4,2,0),"@@@",G631))</f>
        <v>50</v>
      </c>
      <c r="W631" s="4" t="str">
        <f>IF(H631="",IF(ISNUMBER(SEARCH("NOT NULL",UPPER(H$3))),"''","null"),SUBSTITUTE(VLOOKUP(H$2,convert!$A$1:$B$4,2,0),"@@@",H631))</f>
        <v>106</v>
      </c>
      <c r="X631" s="4" t="str">
        <f>IF(I631="",IF(ISNUMBER(SEARCH("NOT NULL",UPPER(I$3))),"''","null"),SUBSTITUTE(VLOOKUP(I$2,convert!$A$1:$B$4,2,0),"@@@",I631))</f>
        <v>''</v>
      </c>
      <c r="Y631" s="4" t="str">
        <f>IF(J631="",IF(ISNUMBER(SEARCH("NOT NULL",UPPER(J$3))),"''","null"),SUBSTITUTE(VLOOKUP(J$2,convert!$A$1:$B$4,2,0),"@@@",J631))</f>
        <v>'dark'</v>
      </c>
      <c r="Z631" s="4" t="str">
        <f>IF(K631="",IF(ISNUMBER(SEARCH("NOT NULL",UPPER(K$3))),"''","null"),SUBSTITUTE(VLOOKUP(K$2,convert!$A$1:$B$4,2,0),"@@@",K631))</f>
        <v>null</v>
      </c>
      <c r="AA631" s="4" t="str">
        <f>IF(L631="",IF(ISNUMBER(SEARCH("NOT NULL",UPPER(L$3))),"''","null"),SUBSTITUTE(VLOOKUP(L$2,convert!$A$1:$B$4,2,0),"@@@",L631))</f>
        <v>'g5'</v>
      </c>
      <c r="AB631" s="4" t="str">
        <f>IF(M631="",IF(ISNUMBER(SEARCH("NOT NULL",UPPER(M$3))),"''","null"),SUBSTITUTE(VLOOKUP(M$2,convert!$A$1:$B$4,2,0),"@@@",M631))</f>
        <v>null</v>
      </c>
      <c r="AC631" s="4" t="str">
        <f>IF(N631="",IF(ISNUMBER(SEARCH("NOT NULL",UPPER(N$3))),"''","null"),SUBSTITUTE(VLOOKUP(N$2,convert!$A$1:$B$4,2,0),"@@@",N631))</f>
        <v>null</v>
      </c>
      <c r="AD631" s="4" t="str">
        <f>IF(O631="",IF(ISNUMBER(SEARCH("NOT NULL",UPPER(O$3))),"''","null"),SUBSTITUTE(VLOOKUP(O$2,convert!$A$1:$B$4,2,0),"@@@",O631))</f>
        <v>TRUE</v>
      </c>
      <c r="AE631" s="4" t="str">
        <f t="shared" si="9"/>
        <v>    ('0510N01', 'レパルダス', 64, 88, 50, 88, 50, 106, '', 'dark', null, 'g5', null, null, TRUE),</v>
      </c>
    </row>
    <row r="632" spans="1:31">
      <c r="A632" s="4" t="s">
        <v>1277</v>
      </c>
      <c r="B632" s="4" t="s">
        <v>1278</v>
      </c>
      <c r="C632" s="5">
        <v>50</v>
      </c>
      <c r="D632" s="5">
        <v>53</v>
      </c>
      <c r="E632" s="5">
        <v>48</v>
      </c>
      <c r="F632" s="5">
        <v>53</v>
      </c>
      <c r="G632" s="5">
        <v>48</v>
      </c>
      <c r="H632" s="5">
        <v>64</v>
      </c>
      <c r="I632" s="5"/>
      <c r="J632" s="4" t="s">
        <v>30</v>
      </c>
      <c r="K632" s="5"/>
      <c r="L632" s="4" t="s">
        <v>1243</v>
      </c>
      <c r="M632" s="5"/>
      <c r="N632" s="5"/>
      <c r="O632" s="5" t="b">
        <v>1</v>
      </c>
      <c r="P632" s="4" t="str">
        <f>IF(A632="",IF(ISNUMBER(SEARCH("NOT NULL",UPPER(A$3))),"''","null"),SUBSTITUTE(VLOOKUP(A$2,convert!$A$1:$B$4,2,0),"@@@",A632))</f>
        <v>'0511N01'</v>
      </c>
      <c r="Q632" s="4" t="str">
        <f>IF(B632="",IF(ISNUMBER(SEARCH("NOT NULL",UPPER(B$3))),"''","null"),SUBSTITUTE(VLOOKUP(B$2,convert!$A$1:$B$4,2,0),"@@@",B632))</f>
        <v>'ヤナップ'</v>
      </c>
      <c r="R632" s="4" t="str">
        <f>IF(C632="",IF(ISNUMBER(SEARCH("NOT NULL",UPPER(C$3))),"''","null"),SUBSTITUTE(VLOOKUP(C$2,convert!$A$1:$B$4,2,0),"@@@",C632))</f>
        <v>50</v>
      </c>
      <c r="S632" s="4" t="str">
        <f>IF(D632="",IF(ISNUMBER(SEARCH("NOT NULL",UPPER(D$3))),"''","null"),SUBSTITUTE(VLOOKUP(D$2,convert!$A$1:$B$4,2,0),"@@@",D632))</f>
        <v>53</v>
      </c>
      <c r="T632" s="4" t="str">
        <f>IF(E632="",IF(ISNUMBER(SEARCH("NOT NULL",UPPER(E$3))),"''","null"),SUBSTITUTE(VLOOKUP(E$2,convert!$A$1:$B$4,2,0),"@@@",E632))</f>
        <v>48</v>
      </c>
      <c r="U632" s="4" t="str">
        <f>IF(F632="",IF(ISNUMBER(SEARCH("NOT NULL",UPPER(F$3))),"''","null"),SUBSTITUTE(VLOOKUP(F$2,convert!$A$1:$B$4,2,0),"@@@",F632))</f>
        <v>53</v>
      </c>
      <c r="V632" s="4" t="str">
        <f>IF(G632="",IF(ISNUMBER(SEARCH("NOT NULL",UPPER(G$3))),"''","null"),SUBSTITUTE(VLOOKUP(G$2,convert!$A$1:$B$4,2,0),"@@@",G632))</f>
        <v>48</v>
      </c>
      <c r="W632" s="4" t="str">
        <f>IF(H632="",IF(ISNUMBER(SEARCH("NOT NULL",UPPER(H$3))),"''","null"),SUBSTITUTE(VLOOKUP(H$2,convert!$A$1:$B$4,2,0),"@@@",H632))</f>
        <v>64</v>
      </c>
      <c r="X632" s="4" t="str">
        <f>IF(I632="",IF(ISNUMBER(SEARCH("NOT NULL",UPPER(I$3))),"''","null"),SUBSTITUTE(VLOOKUP(I$2,convert!$A$1:$B$4,2,0),"@@@",I632))</f>
        <v>''</v>
      </c>
      <c r="Y632" s="4" t="str">
        <f>IF(J632="",IF(ISNUMBER(SEARCH("NOT NULL",UPPER(J$3))),"''","null"),SUBSTITUTE(VLOOKUP(J$2,convert!$A$1:$B$4,2,0),"@@@",J632))</f>
        <v>'grass'</v>
      </c>
      <c r="Z632" s="4" t="str">
        <f>IF(K632="",IF(ISNUMBER(SEARCH("NOT NULL",UPPER(K$3))),"''","null"),SUBSTITUTE(VLOOKUP(K$2,convert!$A$1:$B$4,2,0),"@@@",K632))</f>
        <v>null</v>
      </c>
      <c r="AA632" s="4" t="str">
        <f>IF(L632="",IF(ISNUMBER(SEARCH("NOT NULL",UPPER(L$3))),"''","null"),SUBSTITUTE(VLOOKUP(L$2,convert!$A$1:$B$4,2,0),"@@@",L632))</f>
        <v>'g5'</v>
      </c>
      <c r="AB632" s="4" t="str">
        <f>IF(M632="",IF(ISNUMBER(SEARCH("NOT NULL",UPPER(M$3))),"''","null"),SUBSTITUTE(VLOOKUP(M$2,convert!$A$1:$B$4,2,0),"@@@",M632))</f>
        <v>null</v>
      </c>
      <c r="AC632" s="4" t="str">
        <f>IF(N632="",IF(ISNUMBER(SEARCH("NOT NULL",UPPER(N$3))),"''","null"),SUBSTITUTE(VLOOKUP(N$2,convert!$A$1:$B$4,2,0),"@@@",N632))</f>
        <v>null</v>
      </c>
      <c r="AD632" s="4" t="str">
        <f>IF(O632="",IF(ISNUMBER(SEARCH("NOT NULL",UPPER(O$3))),"''","null"),SUBSTITUTE(VLOOKUP(O$2,convert!$A$1:$B$4,2,0),"@@@",O632))</f>
        <v>TRUE</v>
      </c>
      <c r="AE632" s="4" t="str">
        <f t="shared" si="9"/>
        <v>    ('0511N01', 'ヤナップ', 50, 53, 48, 53, 48, 64, '', 'grass', null, 'g5', null, null, TRUE),</v>
      </c>
    </row>
    <row r="633" spans="1:31">
      <c r="A633" s="4" t="s">
        <v>1279</v>
      </c>
      <c r="B633" s="4" t="s">
        <v>1280</v>
      </c>
      <c r="C633" s="5">
        <v>75</v>
      </c>
      <c r="D633" s="5">
        <v>98</v>
      </c>
      <c r="E633" s="5">
        <v>63</v>
      </c>
      <c r="F633" s="5">
        <v>98</v>
      </c>
      <c r="G633" s="5">
        <v>63</v>
      </c>
      <c r="H633" s="5">
        <v>101</v>
      </c>
      <c r="I633" s="5"/>
      <c r="J633" s="4" t="s">
        <v>30</v>
      </c>
      <c r="K633" s="5"/>
      <c r="L633" s="4" t="s">
        <v>1243</v>
      </c>
      <c r="M633" s="5"/>
      <c r="N633" s="5"/>
      <c r="O633" s="5" t="b">
        <v>1</v>
      </c>
      <c r="P633" s="4" t="str">
        <f>IF(A633="",IF(ISNUMBER(SEARCH("NOT NULL",UPPER(A$3))),"''","null"),SUBSTITUTE(VLOOKUP(A$2,convert!$A$1:$B$4,2,0),"@@@",A633))</f>
        <v>'0512N01'</v>
      </c>
      <c r="Q633" s="4" t="str">
        <f>IF(B633="",IF(ISNUMBER(SEARCH("NOT NULL",UPPER(B$3))),"''","null"),SUBSTITUTE(VLOOKUP(B$2,convert!$A$1:$B$4,2,0),"@@@",B633))</f>
        <v>'ヤナッキー'</v>
      </c>
      <c r="R633" s="4" t="str">
        <f>IF(C633="",IF(ISNUMBER(SEARCH("NOT NULL",UPPER(C$3))),"''","null"),SUBSTITUTE(VLOOKUP(C$2,convert!$A$1:$B$4,2,0),"@@@",C633))</f>
        <v>75</v>
      </c>
      <c r="S633" s="4" t="str">
        <f>IF(D633="",IF(ISNUMBER(SEARCH("NOT NULL",UPPER(D$3))),"''","null"),SUBSTITUTE(VLOOKUP(D$2,convert!$A$1:$B$4,2,0),"@@@",D633))</f>
        <v>98</v>
      </c>
      <c r="T633" s="4" t="str">
        <f>IF(E633="",IF(ISNUMBER(SEARCH("NOT NULL",UPPER(E$3))),"''","null"),SUBSTITUTE(VLOOKUP(E$2,convert!$A$1:$B$4,2,0),"@@@",E633))</f>
        <v>63</v>
      </c>
      <c r="U633" s="4" t="str">
        <f>IF(F633="",IF(ISNUMBER(SEARCH("NOT NULL",UPPER(F$3))),"''","null"),SUBSTITUTE(VLOOKUP(F$2,convert!$A$1:$B$4,2,0),"@@@",F633))</f>
        <v>98</v>
      </c>
      <c r="V633" s="4" t="str">
        <f>IF(G633="",IF(ISNUMBER(SEARCH("NOT NULL",UPPER(G$3))),"''","null"),SUBSTITUTE(VLOOKUP(G$2,convert!$A$1:$B$4,2,0),"@@@",G633))</f>
        <v>63</v>
      </c>
      <c r="W633" s="4" t="str">
        <f>IF(H633="",IF(ISNUMBER(SEARCH("NOT NULL",UPPER(H$3))),"''","null"),SUBSTITUTE(VLOOKUP(H$2,convert!$A$1:$B$4,2,0),"@@@",H633))</f>
        <v>101</v>
      </c>
      <c r="X633" s="4" t="str">
        <f>IF(I633="",IF(ISNUMBER(SEARCH("NOT NULL",UPPER(I$3))),"''","null"),SUBSTITUTE(VLOOKUP(I$2,convert!$A$1:$B$4,2,0),"@@@",I633))</f>
        <v>''</v>
      </c>
      <c r="Y633" s="4" t="str">
        <f>IF(J633="",IF(ISNUMBER(SEARCH("NOT NULL",UPPER(J$3))),"''","null"),SUBSTITUTE(VLOOKUP(J$2,convert!$A$1:$B$4,2,0),"@@@",J633))</f>
        <v>'grass'</v>
      </c>
      <c r="Z633" s="4" t="str">
        <f>IF(K633="",IF(ISNUMBER(SEARCH("NOT NULL",UPPER(K$3))),"''","null"),SUBSTITUTE(VLOOKUP(K$2,convert!$A$1:$B$4,2,0),"@@@",K633))</f>
        <v>null</v>
      </c>
      <c r="AA633" s="4" t="str">
        <f>IF(L633="",IF(ISNUMBER(SEARCH("NOT NULL",UPPER(L$3))),"''","null"),SUBSTITUTE(VLOOKUP(L$2,convert!$A$1:$B$4,2,0),"@@@",L633))</f>
        <v>'g5'</v>
      </c>
      <c r="AB633" s="4" t="str">
        <f>IF(M633="",IF(ISNUMBER(SEARCH("NOT NULL",UPPER(M$3))),"''","null"),SUBSTITUTE(VLOOKUP(M$2,convert!$A$1:$B$4,2,0),"@@@",M633))</f>
        <v>null</v>
      </c>
      <c r="AC633" s="4" t="str">
        <f>IF(N633="",IF(ISNUMBER(SEARCH("NOT NULL",UPPER(N$3))),"''","null"),SUBSTITUTE(VLOOKUP(N$2,convert!$A$1:$B$4,2,0),"@@@",N633))</f>
        <v>null</v>
      </c>
      <c r="AD633" s="4" t="str">
        <f>IF(O633="",IF(ISNUMBER(SEARCH("NOT NULL",UPPER(O$3))),"''","null"),SUBSTITUTE(VLOOKUP(O$2,convert!$A$1:$B$4,2,0),"@@@",O633))</f>
        <v>TRUE</v>
      </c>
      <c r="AE633" s="4" t="str">
        <f t="shared" si="9"/>
        <v>    ('0512N01', 'ヤナッキー', 75, 98, 63, 98, 63, 101, '', 'grass', null, 'g5', null, null, TRUE),</v>
      </c>
    </row>
    <row r="634" spans="1:31">
      <c r="A634" s="4" t="s">
        <v>1281</v>
      </c>
      <c r="B634" s="4" t="s">
        <v>1282</v>
      </c>
      <c r="C634" s="5">
        <v>50</v>
      </c>
      <c r="D634" s="5">
        <v>53</v>
      </c>
      <c r="E634" s="5">
        <v>48</v>
      </c>
      <c r="F634" s="5">
        <v>53</v>
      </c>
      <c r="G634" s="5">
        <v>48</v>
      </c>
      <c r="H634" s="5">
        <v>64</v>
      </c>
      <c r="I634" s="5"/>
      <c r="J634" s="4" t="s">
        <v>42</v>
      </c>
      <c r="K634" s="5"/>
      <c r="L634" s="4" t="s">
        <v>1243</v>
      </c>
      <c r="M634" s="5"/>
      <c r="N634" s="5"/>
      <c r="O634" s="5" t="b">
        <v>1</v>
      </c>
      <c r="P634" s="4" t="str">
        <f>IF(A634="",IF(ISNUMBER(SEARCH("NOT NULL",UPPER(A$3))),"''","null"),SUBSTITUTE(VLOOKUP(A$2,convert!$A$1:$B$4,2,0),"@@@",A634))</f>
        <v>'0513N01'</v>
      </c>
      <c r="Q634" s="4" t="str">
        <f>IF(B634="",IF(ISNUMBER(SEARCH("NOT NULL",UPPER(B$3))),"''","null"),SUBSTITUTE(VLOOKUP(B$2,convert!$A$1:$B$4,2,0),"@@@",B634))</f>
        <v>'バオップ'</v>
      </c>
      <c r="R634" s="4" t="str">
        <f>IF(C634="",IF(ISNUMBER(SEARCH("NOT NULL",UPPER(C$3))),"''","null"),SUBSTITUTE(VLOOKUP(C$2,convert!$A$1:$B$4,2,0),"@@@",C634))</f>
        <v>50</v>
      </c>
      <c r="S634" s="4" t="str">
        <f>IF(D634="",IF(ISNUMBER(SEARCH("NOT NULL",UPPER(D$3))),"''","null"),SUBSTITUTE(VLOOKUP(D$2,convert!$A$1:$B$4,2,0),"@@@",D634))</f>
        <v>53</v>
      </c>
      <c r="T634" s="4" t="str">
        <f>IF(E634="",IF(ISNUMBER(SEARCH("NOT NULL",UPPER(E$3))),"''","null"),SUBSTITUTE(VLOOKUP(E$2,convert!$A$1:$B$4,2,0),"@@@",E634))</f>
        <v>48</v>
      </c>
      <c r="U634" s="4" t="str">
        <f>IF(F634="",IF(ISNUMBER(SEARCH("NOT NULL",UPPER(F$3))),"''","null"),SUBSTITUTE(VLOOKUP(F$2,convert!$A$1:$B$4,2,0),"@@@",F634))</f>
        <v>53</v>
      </c>
      <c r="V634" s="4" t="str">
        <f>IF(G634="",IF(ISNUMBER(SEARCH("NOT NULL",UPPER(G$3))),"''","null"),SUBSTITUTE(VLOOKUP(G$2,convert!$A$1:$B$4,2,0),"@@@",G634))</f>
        <v>48</v>
      </c>
      <c r="W634" s="4" t="str">
        <f>IF(H634="",IF(ISNUMBER(SEARCH("NOT NULL",UPPER(H$3))),"''","null"),SUBSTITUTE(VLOOKUP(H$2,convert!$A$1:$B$4,2,0),"@@@",H634))</f>
        <v>64</v>
      </c>
      <c r="X634" s="4" t="str">
        <f>IF(I634="",IF(ISNUMBER(SEARCH("NOT NULL",UPPER(I$3))),"''","null"),SUBSTITUTE(VLOOKUP(I$2,convert!$A$1:$B$4,2,0),"@@@",I634))</f>
        <v>''</v>
      </c>
      <c r="Y634" s="4" t="str">
        <f>IF(J634="",IF(ISNUMBER(SEARCH("NOT NULL",UPPER(J$3))),"''","null"),SUBSTITUTE(VLOOKUP(J$2,convert!$A$1:$B$4,2,0),"@@@",J634))</f>
        <v>'fire'</v>
      </c>
      <c r="Z634" s="4" t="str">
        <f>IF(K634="",IF(ISNUMBER(SEARCH("NOT NULL",UPPER(K$3))),"''","null"),SUBSTITUTE(VLOOKUP(K$2,convert!$A$1:$B$4,2,0),"@@@",K634))</f>
        <v>null</v>
      </c>
      <c r="AA634" s="4" t="str">
        <f>IF(L634="",IF(ISNUMBER(SEARCH("NOT NULL",UPPER(L$3))),"''","null"),SUBSTITUTE(VLOOKUP(L$2,convert!$A$1:$B$4,2,0),"@@@",L634))</f>
        <v>'g5'</v>
      </c>
      <c r="AB634" s="4" t="str">
        <f>IF(M634="",IF(ISNUMBER(SEARCH("NOT NULL",UPPER(M$3))),"''","null"),SUBSTITUTE(VLOOKUP(M$2,convert!$A$1:$B$4,2,0),"@@@",M634))</f>
        <v>null</v>
      </c>
      <c r="AC634" s="4" t="str">
        <f>IF(N634="",IF(ISNUMBER(SEARCH("NOT NULL",UPPER(N$3))),"''","null"),SUBSTITUTE(VLOOKUP(N$2,convert!$A$1:$B$4,2,0),"@@@",N634))</f>
        <v>null</v>
      </c>
      <c r="AD634" s="4" t="str">
        <f>IF(O634="",IF(ISNUMBER(SEARCH("NOT NULL",UPPER(O$3))),"''","null"),SUBSTITUTE(VLOOKUP(O$2,convert!$A$1:$B$4,2,0),"@@@",O634))</f>
        <v>TRUE</v>
      </c>
      <c r="AE634" s="4" t="str">
        <f t="shared" si="9"/>
        <v>    ('0513N01', 'バオップ', 50, 53, 48, 53, 48, 64, '', 'fire', null, 'g5', null, null, TRUE),</v>
      </c>
    </row>
    <row r="635" spans="1:31">
      <c r="A635" s="4" t="s">
        <v>1283</v>
      </c>
      <c r="B635" s="4" t="s">
        <v>1284</v>
      </c>
      <c r="C635" s="5">
        <v>75</v>
      </c>
      <c r="D635" s="5">
        <v>98</v>
      </c>
      <c r="E635" s="5">
        <v>63</v>
      </c>
      <c r="F635" s="5">
        <v>98</v>
      </c>
      <c r="G635" s="5">
        <v>63</v>
      </c>
      <c r="H635" s="5">
        <v>101</v>
      </c>
      <c r="I635" s="5"/>
      <c r="J635" s="4" t="s">
        <v>42</v>
      </c>
      <c r="K635" s="5"/>
      <c r="L635" s="4" t="s">
        <v>1243</v>
      </c>
      <c r="M635" s="5"/>
      <c r="N635" s="5"/>
      <c r="O635" s="5" t="b">
        <v>1</v>
      </c>
      <c r="P635" s="4" t="str">
        <f>IF(A635="",IF(ISNUMBER(SEARCH("NOT NULL",UPPER(A$3))),"''","null"),SUBSTITUTE(VLOOKUP(A$2,convert!$A$1:$B$4,2,0),"@@@",A635))</f>
        <v>'0514N01'</v>
      </c>
      <c r="Q635" s="4" t="str">
        <f>IF(B635="",IF(ISNUMBER(SEARCH("NOT NULL",UPPER(B$3))),"''","null"),SUBSTITUTE(VLOOKUP(B$2,convert!$A$1:$B$4,2,0),"@@@",B635))</f>
        <v>'バオッキー'</v>
      </c>
      <c r="R635" s="4" t="str">
        <f>IF(C635="",IF(ISNUMBER(SEARCH("NOT NULL",UPPER(C$3))),"''","null"),SUBSTITUTE(VLOOKUP(C$2,convert!$A$1:$B$4,2,0),"@@@",C635))</f>
        <v>75</v>
      </c>
      <c r="S635" s="4" t="str">
        <f>IF(D635="",IF(ISNUMBER(SEARCH("NOT NULL",UPPER(D$3))),"''","null"),SUBSTITUTE(VLOOKUP(D$2,convert!$A$1:$B$4,2,0),"@@@",D635))</f>
        <v>98</v>
      </c>
      <c r="T635" s="4" t="str">
        <f>IF(E635="",IF(ISNUMBER(SEARCH("NOT NULL",UPPER(E$3))),"''","null"),SUBSTITUTE(VLOOKUP(E$2,convert!$A$1:$B$4,2,0),"@@@",E635))</f>
        <v>63</v>
      </c>
      <c r="U635" s="4" t="str">
        <f>IF(F635="",IF(ISNUMBER(SEARCH("NOT NULL",UPPER(F$3))),"''","null"),SUBSTITUTE(VLOOKUP(F$2,convert!$A$1:$B$4,2,0),"@@@",F635))</f>
        <v>98</v>
      </c>
      <c r="V635" s="4" t="str">
        <f>IF(G635="",IF(ISNUMBER(SEARCH("NOT NULL",UPPER(G$3))),"''","null"),SUBSTITUTE(VLOOKUP(G$2,convert!$A$1:$B$4,2,0),"@@@",G635))</f>
        <v>63</v>
      </c>
      <c r="W635" s="4" t="str">
        <f>IF(H635="",IF(ISNUMBER(SEARCH("NOT NULL",UPPER(H$3))),"''","null"),SUBSTITUTE(VLOOKUP(H$2,convert!$A$1:$B$4,2,0),"@@@",H635))</f>
        <v>101</v>
      </c>
      <c r="X635" s="4" t="str">
        <f>IF(I635="",IF(ISNUMBER(SEARCH("NOT NULL",UPPER(I$3))),"''","null"),SUBSTITUTE(VLOOKUP(I$2,convert!$A$1:$B$4,2,0),"@@@",I635))</f>
        <v>''</v>
      </c>
      <c r="Y635" s="4" t="str">
        <f>IF(J635="",IF(ISNUMBER(SEARCH("NOT NULL",UPPER(J$3))),"''","null"),SUBSTITUTE(VLOOKUP(J$2,convert!$A$1:$B$4,2,0),"@@@",J635))</f>
        <v>'fire'</v>
      </c>
      <c r="Z635" s="4" t="str">
        <f>IF(K635="",IF(ISNUMBER(SEARCH("NOT NULL",UPPER(K$3))),"''","null"),SUBSTITUTE(VLOOKUP(K$2,convert!$A$1:$B$4,2,0),"@@@",K635))</f>
        <v>null</v>
      </c>
      <c r="AA635" s="4" t="str">
        <f>IF(L635="",IF(ISNUMBER(SEARCH("NOT NULL",UPPER(L$3))),"''","null"),SUBSTITUTE(VLOOKUP(L$2,convert!$A$1:$B$4,2,0),"@@@",L635))</f>
        <v>'g5'</v>
      </c>
      <c r="AB635" s="4" t="str">
        <f>IF(M635="",IF(ISNUMBER(SEARCH("NOT NULL",UPPER(M$3))),"''","null"),SUBSTITUTE(VLOOKUP(M$2,convert!$A$1:$B$4,2,0),"@@@",M635))</f>
        <v>null</v>
      </c>
      <c r="AC635" s="4" t="str">
        <f>IF(N635="",IF(ISNUMBER(SEARCH("NOT NULL",UPPER(N$3))),"''","null"),SUBSTITUTE(VLOOKUP(N$2,convert!$A$1:$B$4,2,0),"@@@",N635))</f>
        <v>null</v>
      </c>
      <c r="AD635" s="4" t="str">
        <f>IF(O635="",IF(ISNUMBER(SEARCH("NOT NULL",UPPER(O$3))),"''","null"),SUBSTITUTE(VLOOKUP(O$2,convert!$A$1:$B$4,2,0),"@@@",O635))</f>
        <v>TRUE</v>
      </c>
      <c r="AE635" s="4" t="str">
        <f t="shared" si="9"/>
        <v>    ('0514N01', 'バオッキー', 75, 98, 63, 98, 63, 101, '', 'fire', null, 'g5', null, null, TRUE),</v>
      </c>
    </row>
    <row r="636" spans="1:31">
      <c r="A636" s="4" t="s">
        <v>1285</v>
      </c>
      <c r="B636" s="4" t="s">
        <v>1286</v>
      </c>
      <c r="C636" s="5">
        <v>50</v>
      </c>
      <c r="D636" s="5">
        <v>53</v>
      </c>
      <c r="E636" s="5">
        <v>48</v>
      </c>
      <c r="F636" s="5">
        <v>53</v>
      </c>
      <c r="G636" s="5">
        <v>48</v>
      </c>
      <c r="H636" s="5">
        <v>64</v>
      </c>
      <c r="I636" s="5"/>
      <c r="J636" s="4" t="s">
        <v>55</v>
      </c>
      <c r="K636" s="5"/>
      <c r="L636" s="4" t="s">
        <v>1243</v>
      </c>
      <c r="M636" s="5"/>
      <c r="N636" s="5"/>
      <c r="O636" s="5" t="b">
        <v>1</v>
      </c>
      <c r="P636" s="4" t="str">
        <f>IF(A636="",IF(ISNUMBER(SEARCH("NOT NULL",UPPER(A$3))),"''","null"),SUBSTITUTE(VLOOKUP(A$2,convert!$A$1:$B$4,2,0),"@@@",A636))</f>
        <v>'0515N01'</v>
      </c>
      <c r="Q636" s="4" t="str">
        <f>IF(B636="",IF(ISNUMBER(SEARCH("NOT NULL",UPPER(B$3))),"''","null"),SUBSTITUTE(VLOOKUP(B$2,convert!$A$1:$B$4,2,0),"@@@",B636))</f>
        <v>'ヒヤップ'</v>
      </c>
      <c r="R636" s="4" t="str">
        <f>IF(C636="",IF(ISNUMBER(SEARCH("NOT NULL",UPPER(C$3))),"''","null"),SUBSTITUTE(VLOOKUP(C$2,convert!$A$1:$B$4,2,0),"@@@",C636))</f>
        <v>50</v>
      </c>
      <c r="S636" s="4" t="str">
        <f>IF(D636="",IF(ISNUMBER(SEARCH("NOT NULL",UPPER(D$3))),"''","null"),SUBSTITUTE(VLOOKUP(D$2,convert!$A$1:$B$4,2,0),"@@@",D636))</f>
        <v>53</v>
      </c>
      <c r="T636" s="4" t="str">
        <f>IF(E636="",IF(ISNUMBER(SEARCH("NOT NULL",UPPER(E$3))),"''","null"),SUBSTITUTE(VLOOKUP(E$2,convert!$A$1:$B$4,2,0),"@@@",E636))</f>
        <v>48</v>
      </c>
      <c r="U636" s="4" t="str">
        <f>IF(F636="",IF(ISNUMBER(SEARCH("NOT NULL",UPPER(F$3))),"''","null"),SUBSTITUTE(VLOOKUP(F$2,convert!$A$1:$B$4,2,0),"@@@",F636))</f>
        <v>53</v>
      </c>
      <c r="V636" s="4" t="str">
        <f>IF(G636="",IF(ISNUMBER(SEARCH("NOT NULL",UPPER(G$3))),"''","null"),SUBSTITUTE(VLOOKUP(G$2,convert!$A$1:$B$4,2,0),"@@@",G636))</f>
        <v>48</v>
      </c>
      <c r="W636" s="4" t="str">
        <f>IF(H636="",IF(ISNUMBER(SEARCH("NOT NULL",UPPER(H$3))),"''","null"),SUBSTITUTE(VLOOKUP(H$2,convert!$A$1:$B$4,2,0),"@@@",H636))</f>
        <v>64</v>
      </c>
      <c r="X636" s="4" t="str">
        <f>IF(I636="",IF(ISNUMBER(SEARCH("NOT NULL",UPPER(I$3))),"''","null"),SUBSTITUTE(VLOOKUP(I$2,convert!$A$1:$B$4,2,0),"@@@",I636))</f>
        <v>''</v>
      </c>
      <c r="Y636" s="4" t="str">
        <f>IF(J636="",IF(ISNUMBER(SEARCH("NOT NULL",UPPER(J$3))),"''","null"),SUBSTITUTE(VLOOKUP(J$2,convert!$A$1:$B$4,2,0),"@@@",J636))</f>
        <v>'water'</v>
      </c>
      <c r="Z636" s="4" t="str">
        <f>IF(K636="",IF(ISNUMBER(SEARCH("NOT NULL",UPPER(K$3))),"''","null"),SUBSTITUTE(VLOOKUP(K$2,convert!$A$1:$B$4,2,0),"@@@",K636))</f>
        <v>null</v>
      </c>
      <c r="AA636" s="4" t="str">
        <f>IF(L636="",IF(ISNUMBER(SEARCH("NOT NULL",UPPER(L$3))),"''","null"),SUBSTITUTE(VLOOKUP(L$2,convert!$A$1:$B$4,2,0),"@@@",L636))</f>
        <v>'g5'</v>
      </c>
      <c r="AB636" s="4" t="str">
        <f>IF(M636="",IF(ISNUMBER(SEARCH("NOT NULL",UPPER(M$3))),"''","null"),SUBSTITUTE(VLOOKUP(M$2,convert!$A$1:$B$4,2,0),"@@@",M636))</f>
        <v>null</v>
      </c>
      <c r="AC636" s="4" t="str">
        <f>IF(N636="",IF(ISNUMBER(SEARCH("NOT NULL",UPPER(N$3))),"''","null"),SUBSTITUTE(VLOOKUP(N$2,convert!$A$1:$B$4,2,0),"@@@",N636))</f>
        <v>null</v>
      </c>
      <c r="AD636" s="4" t="str">
        <f>IF(O636="",IF(ISNUMBER(SEARCH("NOT NULL",UPPER(O$3))),"''","null"),SUBSTITUTE(VLOOKUP(O$2,convert!$A$1:$B$4,2,0),"@@@",O636))</f>
        <v>TRUE</v>
      </c>
      <c r="AE636" s="4" t="str">
        <f t="shared" si="9"/>
        <v>    ('0515N01', 'ヒヤップ', 50, 53, 48, 53, 48, 64, '', 'water', null, 'g5', null, null, TRUE),</v>
      </c>
    </row>
    <row r="637" spans="1:31">
      <c r="A637" s="4" t="s">
        <v>1287</v>
      </c>
      <c r="B637" s="4" t="s">
        <v>1288</v>
      </c>
      <c r="C637" s="5">
        <v>75</v>
      </c>
      <c r="D637" s="5">
        <v>98</v>
      </c>
      <c r="E637" s="5">
        <v>63</v>
      </c>
      <c r="F637" s="5">
        <v>98</v>
      </c>
      <c r="G637" s="5">
        <v>63</v>
      </c>
      <c r="H637" s="5">
        <v>101</v>
      </c>
      <c r="I637" s="5"/>
      <c r="J637" s="4" t="s">
        <v>55</v>
      </c>
      <c r="K637" s="5"/>
      <c r="L637" s="4" t="s">
        <v>1243</v>
      </c>
      <c r="M637" s="5"/>
      <c r="N637" s="5"/>
      <c r="O637" s="5" t="b">
        <v>1</v>
      </c>
      <c r="P637" s="4" t="str">
        <f>IF(A637="",IF(ISNUMBER(SEARCH("NOT NULL",UPPER(A$3))),"''","null"),SUBSTITUTE(VLOOKUP(A$2,convert!$A$1:$B$4,2,0),"@@@",A637))</f>
        <v>'0516N01'</v>
      </c>
      <c r="Q637" s="4" t="str">
        <f>IF(B637="",IF(ISNUMBER(SEARCH("NOT NULL",UPPER(B$3))),"''","null"),SUBSTITUTE(VLOOKUP(B$2,convert!$A$1:$B$4,2,0),"@@@",B637))</f>
        <v>'ヒヤッキー'</v>
      </c>
      <c r="R637" s="4" t="str">
        <f>IF(C637="",IF(ISNUMBER(SEARCH("NOT NULL",UPPER(C$3))),"''","null"),SUBSTITUTE(VLOOKUP(C$2,convert!$A$1:$B$4,2,0),"@@@",C637))</f>
        <v>75</v>
      </c>
      <c r="S637" s="4" t="str">
        <f>IF(D637="",IF(ISNUMBER(SEARCH("NOT NULL",UPPER(D$3))),"''","null"),SUBSTITUTE(VLOOKUP(D$2,convert!$A$1:$B$4,2,0),"@@@",D637))</f>
        <v>98</v>
      </c>
      <c r="T637" s="4" t="str">
        <f>IF(E637="",IF(ISNUMBER(SEARCH("NOT NULL",UPPER(E$3))),"''","null"),SUBSTITUTE(VLOOKUP(E$2,convert!$A$1:$B$4,2,0),"@@@",E637))</f>
        <v>63</v>
      </c>
      <c r="U637" s="4" t="str">
        <f>IF(F637="",IF(ISNUMBER(SEARCH("NOT NULL",UPPER(F$3))),"''","null"),SUBSTITUTE(VLOOKUP(F$2,convert!$A$1:$B$4,2,0),"@@@",F637))</f>
        <v>98</v>
      </c>
      <c r="V637" s="4" t="str">
        <f>IF(G637="",IF(ISNUMBER(SEARCH("NOT NULL",UPPER(G$3))),"''","null"),SUBSTITUTE(VLOOKUP(G$2,convert!$A$1:$B$4,2,0),"@@@",G637))</f>
        <v>63</v>
      </c>
      <c r="W637" s="4" t="str">
        <f>IF(H637="",IF(ISNUMBER(SEARCH("NOT NULL",UPPER(H$3))),"''","null"),SUBSTITUTE(VLOOKUP(H$2,convert!$A$1:$B$4,2,0),"@@@",H637))</f>
        <v>101</v>
      </c>
      <c r="X637" s="4" t="str">
        <f>IF(I637="",IF(ISNUMBER(SEARCH("NOT NULL",UPPER(I$3))),"''","null"),SUBSTITUTE(VLOOKUP(I$2,convert!$A$1:$B$4,2,0),"@@@",I637))</f>
        <v>''</v>
      </c>
      <c r="Y637" s="4" t="str">
        <f>IF(J637="",IF(ISNUMBER(SEARCH("NOT NULL",UPPER(J$3))),"''","null"),SUBSTITUTE(VLOOKUP(J$2,convert!$A$1:$B$4,2,0),"@@@",J637))</f>
        <v>'water'</v>
      </c>
      <c r="Z637" s="4" t="str">
        <f>IF(K637="",IF(ISNUMBER(SEARCH("NOT NULL",UPPER(K$3))),"''","null"),SUBSTITUTE(VLOOKUP(K$2,convert!$A$1:$B$4,2,0),"@@@",K637))</f>
        <v>null</v>
      </c>
      <c r="AA637" s="4" t="str">
        <f>IF(L637="",IF(ISNUMBER(SEARCH("NOT NULL",UPPER(L$3))),"''","null"),SUBSTITUTE(VLOOKUP(L$2,convert!$A$1:$B$4,2,0),"@@@",L637))</f>
        <v>'g5'</v>
      </c>
      <c r="AB637" s="4" t="str">
        <f>IF(M637="",IF(ISNUMBER(SEARCH("NOT NULL",UPPER(M$3))),"''","null"),SUBSTITUTE(VLOOKUP(M$2,convert!$A$1:$B$4,2,0),"@@@",M637))</f>
        <v>null</v>
      </c>
      <c r="AC637" s="4" t="str">
        <f>IF(N637="",IF(ISNUMBER(SEARCH("NOT NULL",UPPER(N$3))),"''","null"),SUBSTITUTE(VLOOKUP(N$2,convert!$A$1:$B$4,2,0),"@@@",N637))</f>
        <v>null</v>
      </c>
      <c r="AD637" s="4" t="str">
        <f>IF(O637="",IF(ISNUMBER(SEARCH("NOT NULL",UPPER(O$3))),"''","null"),SUBSTITUTE(VLOOKUP(O$2,convert!$A$1:$B$4,2,0),"@@@",O637))</f>
        <v>TRUE</v>
      </c>
      <c r="AE637" s="4" t="str">
        <f t="shared" si="9"/>
        <v>    ('0516N01', 'ヒヤッキー', 75, 98, 63, 98, 63, 101, '', 'water', null, 'g5', null, null, TRUE),</v>
      </c>
    </row>
    <row r="638" spans="1:31">
      <c r="A638" s="4" t="s">
        <v>1289</v>
      </c>
      <c r="B638" s="4" t="s">
        <v>1290</v>
      </c>
      <c r="C638" s="5">
        <v>76</v>
      </c>
      <c r="D638" s="5">
        <v>25</v>
      </c>
      <c r="E638" s="5">
        <v>45</v>
      </c>
      <c r="F638" s="5">
        <v>67</v>
      </c>
      <c r="G638" s="5">
        <v>55</v>
      </c>
      <c r="H638" s="5">
        <v>24</v>
      </c>
      <c r="I638" s="5"/>
      <c r="J638" s="4" t="s">
        <v>113</v>
      </c>
      <c r="K638" s="5"/>
      <c r="L638" s="4" t="s">
        <v>1243</v>
      </c>
      <c r="M638" s="5"/>
      <c r="N638" s="5"/>
      <c r="O638" s="5" t="b">
        <v>1</v>
      </c>
      <c r="P638" s="4" t="str">
        <f>IF(A638="",IF(ISNUMBER(SEARCH("NOT NULL",UPPER(A$3))),"''","null"),SUBSTITUTE(VLOOKUP(A$2,convert!$A$1:$B$4,2,0),"@@@",A638))</f>
        <v>'0517N01'</v>
      </c>
      <c r="Q638" s="4" t="str">
        <f>IF(B638="",IF(ISNUMBER(SEARCH("NOT NULL",UPPER(B$3))),"''","null"),SUBSTITUTE(VLOOKUP(B$2,convert!$A$1:$B$4,2,0),"@@@",B638))</f>
        <v>'ムンナ'</v>
      </c>
      <c r="R638" s="4" t="str">
        <f>IF(C638="",IF(ISNUMBER(SEARCH("NOT NULL",UPPER(C$3))),"''","null"),SUBSTITUTE(VLOOKUP(C$2,convert!$A$1:$B$4,2,0),"@@@",C638))</f>
        <v>76</v>
      </c>
      <c r="S638" s="4" t="str">
        <f>IF(D638="",IF(ISNUMBER(SEARCH("NOT NULL",UPPER(D$3))),"''","null"),SUBSTITUTE(VLOOKUP(D$2,convert!$A$1:$B$4,2,0),"@@@",D638))</f>
        <v>25</v>
      </c>
      <c r="T638" s="4" t="str">
        <f>IF(E638="",IF(ISNUMBER(SEARCH("NOT NULL",UPPER(E$3))),"''","null"),SUBSTITUTE(VLOOKUP(E$2,convert!$A$1:$B$4,2,0),"@@@",E638))</f>
        <v>45</v>
      </c>
      <c r="U638" s="4" t="str">
        <f>IF(F638="",IF(ISNUMBER(SEARCH("NOT NULL",UPPER(F$3))),"''","null"),SUBSTITUTE(VLOOKUP(F$2,convert!$A$1:$B$4,2,0),"@@@",F638))</f>
        <v>67</v>
      </c>
      <c r="V638" s="4" t="str">
        <f>IF(G638="",IF(ISNUMBER(SEARCH("NOT NULL",UPPER(G$3))),"''","null"),SUBSTITUTE(VLOOKUP(G$2,convert!$A$1:$B$4,2,0),"@@@",G638))</f>
        <v>55</v>
      </c>
      <c r="W638" s="4" t="str">
        <f>IF(H638="",IF(ISNUMBER(SEARCH("NOT NULL",UPPER(H$3))),"''","null"),SUBSTITUTE(VLOOKUP(H$2,convert!$A$1:$B$4,2,0),"@@@",H638))</f>
        <v>24</v>
      </c>
      <c r="X638" s="4" t="str">
        <f>IF(I638="",IF(ISNUMBER(SEARCH("NOT NULL",UPPER(I$3))),"''","null"),SUBSTITUTE(VLOOKUP(I$2,convert!$A$1:$B$4,2,0),"@@@",I638))</f>
        <v>''</v>
      </c>
      <c r="Y638" s="4" t="str">
        <f>IF(J638="",IF(ISNUMBER(SEARCH("NOT NULL",UPPER(J$3))),"''","null"),SUBSTITUTE(VLOOKUP(J$2,convert!$A$1:$B$4,2,0),"@@@",J638))</f>
        <v>'psychic'</v>
      </c>
      <c r="Z638" s="4" t="str">
        <f>IF(K638="",IF(ISNUMBER(SEARCH("NOT NULL",UPPER(K$3))),"''","null"),SUBSTITUTE(VLOOKUP(K$2,convert!$A$1:$B$4,2,0),"@@@",K638))</f>
        <v>null</v>
      </c>
      <c r="AA638" s="4" t="str">
        <f>IF(L638="",IF(ISNUMBER(SEARCH("NOT NULL",UPPER(L$3))),"''","null"),SUBSTITUTE(VLOOKUP(L$2,convert!$A$1:$B$4,2,0),"@@@",L638))</f>
        <v>'g5'</v>
      </c>
      <c r="AB638" s="4" t="str">
        <f>IF(M638="",IF(ISNUMBER(SEARCH("NOT NULL",UPPER(M$3))),"''","null"),SUBSTITUTE(VLOOKUP(M$2,convert!$A$1:$B$4,2,0),"@@@",M638))</f>
        <v>null</v>
      </c>
      <c r="AC638" s="4" t="str">
        <f>IF(N638="",IF(ISNUMBER(SEARCH("NOT NULL",UPPER(N$3))),"''","null"),SUBSTITUTE(VLOOKUP(N$2,convert!$A$1:$B$4,2,0),"@@@",N638))</f>
        <v>null</v>
      </c>
      <c r="AD638" s="4" t="str">
        <f>IF(O638="",IF(ISNUMBER(SEARCH("NOT NULL",UPPER(O$3))),"''","null"),SUBSTITUTE(VLOOKUP(O$2,convert!$A$1:$B$4,2,0),"@@@",O638))</f>
        <v>TRUE</v>
      </c>
      <c r="AE638" s="4" t="str">
        <f t="shared" si="9"/>
        <v>    ('0517N01', 'ムンナ', 76, 25, 45, 67, 55, 24, '', 'psychic', null, 'g5', null, null, TRUE),</v>
      </c>
    </row>
    <row r="639" spans="1:31">
      <c r="A639" s="4" t="s">
        <v>1291</v>
      </c>
      <c r="B639" s="4" t="s">
        <v>1292</v>
      </c>
      <c r="C639" s="5">
        <v>116</v>
      </c>
      <c r="D639" s="5">
        <v>55</v>
      </c>
      <c r="E639" s="5">
        <v>85</v>
      </c>
      <c r="F639" s="5">
        <v>107</v>
      </c>
      <c r="G639" s="5">
        <v>95</v>
      </c>
      <c r="H639" s="5">
        <v>29</v>
      </c>
      <c r="I639" s="5"/>
      <c r="J639" s="4" t="s">
        <v>113</v>
      </c>
      <c r="K639" s="5"/>
      <c r="L639" s="4" t="s">
        <v>1243</v>
      </c>
      <c r="M639" s="5"/>
      <c r="N639" s="5"/>
      <c r="O639" s="5" t="b">
        <v>1</v>
      </c>
      <c r="P639" s="4" t="str">
        <f>IF(A639="",IF(ISNUMBER(SEARCH("NOT NULL",UPPER(A$3))),"''","null"),SUBSTITUTE(VLOOKUP(A$2,convert!$A$1:$B$4,2,0),"@@@",A639))</f>
        <v>'0518N01'</v>
      </c>
      <c r="Q639" s="4" t="str">
        <f>IF(B639="",IF(ISNUMBER(SEARCH("NOT NULL",UPPER(B$3))),"''","null"),SUBSTITUTE(VLOOKUP(B$2,convert!$A$1:$B$4,2,0),"@@@",B639))</f>
        <v>'ムシャーナ'</v>
      </c>
      <c r="R639" s="4" t="str">
        <f>IF(C639="",IF(ISNUMBER(SEARCH("NOT NULL",UPPER(C$3))),"''","null"),SUBSTITUTE(VLOOKUP(C$2,convert!$A$1:$B$4,2,0),"@@@",C639))</f>
        <v>116</v>
      </c>
      <c r="S639" s="4" t="str">
        <f>IF(D639="",IF(ISNUMBER(SEARCH("NOT NULL",UPPER(D$3))),"''","null"),SUBSTITUTE(VLOOKUP(D$2,convert!$A$1:$B$4,2,0),"@@@",D639))</f>
        <v>55</v>
      </c>
      <c r="T639" s="4" t="str">
        <f>IF(E639="",IF(ISNUMBER(SEARCH("NOT NULL",UPPER(E$3))),"''","null"),SUBSTITUTE(VLOOKUP(E$2,convert!$A$1:$B$4,2,0),"@@@",E639))</f>
        <v>85</v>
      </c>
      <c r="U639" s="4" t="str">
        <f>IF(F639="",IF(ISNUMBER(SEARCH("NOT NULL",UPPER(F$3))),"''","null"),SUBSTITUTE(VLOOKUP(F$2,convert!$A$1:$B$4,2,0),"@@@",F639))</f>
        <v>107</v>
      </c>
      <c r="V639" s="4" t="str">
        <f>IF(G639="",IF(ISNUMBER(SEARCH("NOT NULL",UPPER(G$3))),"''","null"),SUBSTITUTE(VLOOKUP(G$2,convert!$A$1:$B$4,2,0),"@@@",G639))</f>
        <v>95</v>
      </c>
      <c r="W639" s="4" t="str">
        <f>IF(H639="",IF(ISNUMBER(SEARCH("NOT NULL",UPPER(H$3))),"''","null"),SUBSTITUTE(VLOOKUP(H$2,convert!$A$1:$B$4,2,0),"@@@",H639))</f>
        <v>29</v>
      </c>
      <c r="X639" s="4" t="str">
        <f>IF(I639="",IF(ISNUMBER(SEARCH("NOT NULL",UPPER(I$3))),"''","null"),SUBSTITUTE(VLOOKUP(I$2,convert!$A$1:$B$4,2,0),"@@@",I639))</f>
        <v>''</v>
      </c>
      <c r="Y639" s="4" t="str">
        <f>IF(J639="",IF(ISNUMBER(SEARCH("NOT NULL",UPPER(J$3))),"''","null"),SUBSTITUTE(VLOOKUP(J$2,convert!$A$1:$B$4,2,0),"@@@",J639))</f>
        <v>'psychic'</v>
      </c>
      <c r="Z639" s="4" t="str">
        <f>IF(K639="",IF(ISNUMBER(SEARCH("NOT NULL",UPPER(K$3))),"''","null"),SUBSTITUTE(VLOOKUP(K$2,convert!$A$1:$B$4,2,0),"@@@",K639))</f>
        <v>null</v>
      </c>
      <c r="AA639" s="4" t="str">
        <f>IF(L639="",IF(ISNUMBER(SEARCH("NOT NULL",UPPER(L$3))),"''","null"),SUBSTITUTE(VLOOKUP(L$2,convert!$A$1:$B$4,2,0),"@@@",L639))</f>
        <v>'g5'</v>
      </c>
      <c r="AB639" s="4" t="str">
        <f>IF(M639="",IF(ISNUMBER(SEARCH("NOT NULL",UPPER(M$3))),"''","null"),SUBSTITUTE(VLOOKUP(M$2,convert!$A$1:$B$4,2,0),"@@@",M639))</f>
        <v>null</v>
      </c>
      <c r="AC639" s="4" t="str">
        <f>IF(N639="",IF(ISNUMBER(SEARCH("NOT NULL",UPPER(N$3))),"''","null"),SUBSTITUTE(VLOOKUP(N$2,convert!$A$1:$B$4,2,0),"@@@",N639))</f>
        <v>null</v>
      </c>
      <c r="AD639" s="4" t="str">
        <f>IF(O639="",IF(ISNUMBER(SEARCH("NOT NULL",UPPER(O$3))),"''","null"),SUBSTITUTE(VLOOKUP(O$2,convert!$A$1:$B$4,2,0),"@@@",O639))</f>
        <v>TRUE</v>
      </c>
      <c r="AE639" s="4" t="str">
        <f t="shared" si="9"/>
        <v>    ('0518N01', 'ムシャーナ', 116, 55, 85, 107, 95, 29, '', 'psychic', null, 'g5', null, null, TRUE),</v>
      </c>
    </row>
    <row r="640" spans="1:31">
      <c r="A640" s="4" t="s">
        <v>1293</v>
      </c>
      <c r="B640" s="4" t="s">
        <v>1294</v>
      </c>
      <c r="C640" s="5">
        <v>50</v>
      </c>
      <c r="D640" s="5">
        <v>55</v>
      </c>
      <c r="E640" s="5">
        <v>50</v>
      </c>
      <c r="F640" s="5">
        <v>36</v>
      </c>
      <c r="G640" s="5">
        <v>30</v>
      </c>
      <c r="H640" s="5">
        <v>43</v>
      </c>
      <c r="I640" s="5"/>
      <c r="J640" s="4" t="s">
        <v>80</v>
      </c>
      <c r="K640" s="4" t="s">
        <v>47</v>
      </c>
      <c r="L640" s="4" t="s">
        <v>1243</v>
      </c>
      <c r="M640" s="5"/>
      <c r="N640" s="5"/>
      <c r="O640" s="5" t="b">
        <v>1</v>
      </c>
      <c r="P640" s="4" t="str">
        <f>IF(A640="",IF(ISNUMBER(SEARCH("NOT NULL",UPPER(A$3))),"''","null"),SUBSTITUTE(VLOOKUP(A$2,convert!$A$1:$B$4,2,0),"@@@",A640))</f>
        <v>'0519N01'</v>
      </c>
      <c r="Q640" s="4" t="str">
        <f>IF(B640="",IF(ISNUMBER(SEARCH("NOT NULL",UPPER(B$3))),"''","null"),SUBSTITUTE(VLOOKUP(B$2,convert!$A$1:$B$4,2,0),"@@@",B640))</f>
        <v>'マメパト'</v>
      </c>
      <c r="R640" s="4" t="str">
        <f>IF(C640="",IF(ISNUMBER(SEARCH("NOT NULL",UPPER(C$3))),"''","null"),SUBSTITUTE(VLOOKUP(C$2,convert!$A$1:$B$4,2,0),"@@@",C640))</f>
        <v>50</v>
      </c>
      <c r="S640" s="4" t="str">
        <f>IF(D640="",IF(ISNUMBER(SEARCH("NOT NULL",UPPER(D$3))),"''","null"),SUBSTITUTE(VLOOKUP(D$2,convert!$A$1:$B$4,2,0),"@@@",D640))</f>
        <v>55</v>
      </c>
      <c r="T640" s="4" t="str">
        <f>IF(E640="",IF(ISNUMBER(SEARCH("NOT NULL",UPPER(E$3))),"''","null"),SUBSTITUTE(VLOOKUP(E$2,convert!$A$1:$B$4,2,0),"@@@",E640))</f>
        <v>50</v>
      </c>
      <c r="U640" s="4" t="str">
        <f>IF(F640="",IF(ISNUMBER(SEARCH("NOT NULL",UPPER(F$3))),"''","null"),SUBSTITUTE(VLOOKUP(F$2,convert!$A$1:$B$4,2,0),"@@@",F640))</f>
        <v>36</v>
      </c>
      <c r="V640" s="4" t="str">
        <f>IF(G640="",IF(ISNUMBER(SEARCH("NOT NULL",UPPER(G$3))),"''","null"),SUBSTITUTE(VLOOKUP(G$2,convert!$A$1:$B$4,2,0),"@@@",G640))</f>
        <v>30</v>
      </c>
      <c r="W640" s="4" t="str">
        <f>IF(H640="",IF(ISNUMBER(SEARCH("NOT NULL",UPPER(H$3))),"''","null"),SUBSTITUTE(VLOOKUP(H$2,convert!$A$1:$B$4,2,0),"@@@",H640))</f>
        <v>43</v>
      </c>
      <c r="X640" s="4" t="str">
        <f>IF(I640="",IF(ISNUMBER(SEARCH("NOT NULL",UPPER(I$3))),"''","null"),SUBSTITUTE(VLOOKUP(I$2,convert!$A$1:$B$4,2,0),"@@@",I640))</f>
        <v>''</v>
      </c>
      <c r="Y640" s="4" t="str">
        <f>IF(J640="",IF(ISNUMBER(SEARCH("NOT NULL",UPPER(J$3))),"''","null"),SUBSTITUTE(VLOOKUP(J$2,convert!$A$1:$B$4,2,0),"@@@",J640))</f>
        <v>'normal'</v>
      </c>
      <c r="Z640" s="4" t="str">
        <f>IF(K640="",IF(ISNUMBER(SEARCH("NOT NULL",UPPER(K$3))),"''","null"),SUBSTITUTE(VLOOKUP(K$2,convert!$A$1:$B$4,2,0),"@@@",K640))</f>
        <v>'flying'</v>
      </c>
      <c r="AA640" s="4" t="str">
        <f>IF(L640="",IF(ISNUMBER(SEARCH("NOT NULL",UPPER(L$3))),"''","null"),SUBSTITUTE(VLOOKUP(L$2,convert!$A$1:$B$4,2,0),"@@@",L640))</f>
        <v>'g5'</v>
      </c>
      <c r="AB640" s="4" t="str">
        <f>IF(M640="",IF(ISNUMBER(SEARCH("NOT NULL",UPPER(M$3))),"''","null"),SUBSTITUTE(VLOOKUP(M$2,convert!$A$1:$B$4,2,0),"@@@",M640))</f>
        <v>null</v>
      </c>
      <c r="AC640" s="4" t="str">
        <f>IF(N640="",IF(ISNUMBER(SEARCH("NOT NULL",UPPER(N$3))),"''","null"),SUBSTITUTE(VLOOKUP(N$2,convert!$A$1:$B$4,2,0),"@@@",N640))</f>
        <v>null</v>
      </c>
      <c r="AD640" s="4" t="str">
        <f>IF(O640="",IF(ISNUMBER(SEARCH("NOT NULL",UPPER(O$3))),"''","null"),SUBSTITUTE(VLOOKUP(O$2,convert!$A$1:$B$4,2,0),"@@@",O640))</f>
        <v>TRUE</v>
      </c>
      <c r="AE640" s="4" t="str">
        <f t="shared" si="9"/>
        <v>    ('0519N01', 'マメパト', 50, 55, 50, 36, 30, 43, '', 'normal', 'flying', 'g5', null, null, TRUE),</v>
      </c>
    </row>
    <row r="641" spans="1:31">
      <c r="A641" s="4" t="s">
        <v>1295</v>
      </c>
      <c r="B641" s="4" t="s">
        <v>1296</v>
      </c>
      <c r="C641" s="5">
        <v>62</v>
      </c>
      <c r="D641" s="5">
        <v>77</v>
      </c>
      <c r="E641" s="5">
        <v>62</v>
      </c>
      <c r="F641" s="5">
        <v>50</v>
      </c>
      <c r="G641" s="5">
        <v>42</v>
      </c>
      <c r="H641" s="5">
        <v>65</v>
      </c>
      <c r="I641" s="5"/>
      <c r="J641" s="4" t="s">
        <v>80</v>
      </c>
      <c r="K641" s="4" t="s">
        <v>47</v>
      </c>
      <c r="L641" s="4" t="s">
        <v>1243</v>
      </c>
      <c r="M641" s="5"/>
      <c r="N641" s="5"/>
      <c r="O641" s="5" t="b">
        <v>1</v>
      </c>
      <c r="P641" s="4" t="str">
        <f>IF(A641="",IF(ISNUMBER(SEARCH("NOT NULL",UPPER(A$3))),"''","null"),SUBSTITUTE(VLOOKUP(A$2,convert!$A$1:$B$4,2,0),"@@@",A641))</f>
        <v>'0520N01'</v>
      </c>
      <c r="Q641" s="4" t="str">
        <f>IF(B641="",IF(ISNUMBER(SEARCH("NOT NULL",UPPER(B$3))),"''","null"),SUBSTITUTE(VLOOKUP(B$2,convert!$A$1:$B$4,2,0),"@@@",B641))</f>
        <v>'ハトーボー'</v>
      </c>
      <c r="R641" s="4" t="str">
        <f>IF(C641="",IF(ISNUMBER(SEARCH("NOT NULL",UPPER(C$3))),"''","null"),SUBSTITUTE(VLOOKUP(C$2,convert!$A$1:$B$4,2,0),"@@@",C641))</f>
        <v>62</v>
      </c>
      <c r="S641" s="4" t="str">
        <f>IF(D641="",IF(ISNUMBER(SEARCH("NOT NULL",UPPER(D$3))),"''","null"),SUBSTITUTE(VLOOKUP(D$2,convert!$A$1:$B$4,2,0),"@@@",D641))</f>
        <v>77</v>
      </c>
      <c r="T641" s="4" t="str">
        <f>IF(E641="",IF(ISNUMBER(SEARCH("NOT NULL",UPPER(E$3))),"''","null"),SUBSTITUTE(VLOOKUP(E$2,convert!$A$1:$B$4,2,0),"@@@",E641))</f>
        <v>62</v>
      </c>
      <c r="U641" s="4" t="str">
        <f>IF(F641="",IF(ISNUMBER(SEARCH("NOT NULL",UPPER(F$3))),"''","null"),SUBSTITUTE(VLOOKUP(F$2,convert!$A$1:$B$4,2,0),"@@@",F641))</f>
        <v>50</v>
      </c>
      <c r="V641" s="4" t="str">
        <f>IF(G641="",IF(ISNUMBER(SEARCH("NOT NULL",UPPER(G$3))),"''","null"),SUBSTITUTE(VLOOKUP(G$2,convert!$A$1:$B$4,2,0),"@@@",G641))</f>
        <v>42</v>
      </c>
      <c r="W641" s="4" t="str">
        <f>IF(H641="",IF(ISNUMBER(SEARCH("NOT NULL",UPPER(H$3))),"''","null"),SUBSTITUTE(VLOOKUP(H$2,convert!$A$1:$B$4,2,0),"@@@",H641))</f>
        <v>65</v>
      </c>
      <c r="X641" s="4" t="str">
        <f>IF(I641="",IF(ISNUMBER(SEARCH("NOT NULL",UPPER(I$3))),"''","null"),SUBSTITUTE(VLOOKUP(I$2,convert!$A$1:$B$4,2,0),"@@@",I641))</f>
        <v>''</v>
      </c>
      <c r="Y641" s="4" t="str">
        <f>IF(J641="",IF(ISNUMBER(SEARCH("NOT NULL",UPPER(J$3))),"''","null"),SUBSTITUTE(VLOOKUP(J$2,convert!$A$1:$B$4,2,0),"@@@",J641))</f>
        <v>'normal'</v>
      </c>
      <c r="Z641" s="4" t="str">
        <f>IF(K641="",IF(ISNUMBER(SEARCH("NOT NULL",UPPER(K$3))),"''","null"),SUBSTITUTE(VLOOKUP(K$2,convert!$A$1:$B$4,2,0),"@@@",K641))</f>
        <v>'flying'</v>
      </c>
      <c r="AA641" s="4" t="str">
        <f>IF(L641="",IF(ISNUMBER(SEARCH("NOT NULL",UPPER(L$3))),"''","null"),SUBSTITUTE(VLOOKUP(L$2,convert!$A$1:$B$4,2,0),"@@@",L641))</f>
        <v>'g5'</v>
      </c>
      <c r="AB641" s="4" t="str">
        <f>IF(M641="",IF(ISNUMBER(SEARCH("NOT NULL",UPPER(M$3))),"''","null"),SUBSTITUTE(VLOOKUP(M$2,convert!$A$1:$B$4,2,0),"@@@",M641))</f>
        <v>null</v>
      </c>
      <c r="AC641" s="4" t="str">
        <f>IF(N641="",IF(ISNUMBER(SEARCH("NOT NULL",UPPER(N$3))),"''","null"),SUBSTITUTE(VLOOKUP(N$2,convert!$A$1:$B$4,2,0),"@@@",N641))</f>
        <v>null</v>
      </c>
      <c r="AD641" s="4" t="str">
        <f>IF(O641="",IF(ISNUMBER(SEARCH("NOT NULL",UPPER(O$3))),"''","null"),SUBSTITUTE(VLOOKUP(O$2,convert!$A$1:$B$4,2,0),"@@@",O641))</f>
        <v>TRUE</v>
      </c>
      <c r="AE641" s="4" t="str">
        <f t="shared" si="9"/>
        <v>    ('0520N01', 'ハトーボー', 62, 77, 62, 50, 42, 65, '', 'normal', 'flying', 'g5', null, null, TRUE),</v>
      </c>
    </row>
    <row r="642" spans="1:31">
      <c r="A642" s="4" t="s">
        <v>1297</v>
      </c>
      <c r="B642" s="4" t="s">
        <v>1298</v>
      </c>
      <c r="C642" s="5">
        <v>80</v>
      </c>
      <c r="D642" s="5">
        <v>115</v>
      </c>
      <c r="E642" s="5">
        <v>80</v>
      </c>
      <c r="F642" s="5">
        <v>65</v>
      </c>
      <c r="G642" s="5">
        <v>55</v>
      </c>
      <c r="H642" s="5">
        <v>93</v>
      </c>
      <c r="I642" s="5"/>
      <c r="J642" s="4" t="s">
        <v>80</v>
      </c>
      <c r="K642" s="4" t="s">
        <v>47</v>
      </c>
      <c r="L642" s="4" t="s">
        <v>1243</v>
      </c>
      <c r="M642" s="5"/>
      <c r="N642" s="5"/>
      <c r="O642" s="5" t="b">
        <v>1</v>
      </c>
      <c r="P642" s="4" t="str">
        <f>IF(A642="",IF(ISNUMBER(SEARCH("NOT NULL",UPPER(A$3))),"''","null"),SUBSTITUTE(VLOOKUP(A$2,convert!$A$1:$B$4,2,0),"@@@",A642))</f>
        <v>'0521N01'</v>
      </c>
      <c r="Q642" s="4" t="str">
        <f>IF(B642="",IF(ISNUMBER(SEARCH("NOT NULL",UPPER(B$3))),"''","null"),SUBSTITUTE(VLOOKUP(B$2,convert!$A$1:$B$4,2,0),"@@@",B642))</f>
        <v>'ケンホロウ'</v>
      </c>
      <c r="R642" s="4" t="str">
        <f>IF(C642="",IF(ISNUMBER(SEARCH("NOT NULL",UPPER(C$3))),"''","null"),SUBSTITUTE(VLOOKUP(C$2,convert!$A$1:$B$4,2,0),"@@@",C642))</f>
        <v>80</v>
      </c>
      <c r="S642" s="4" t="str">
        <f>IF(D642="",IF(ISNUMBER(SEARCH("NOT NULL",UPPER(D$3))),"''","null"),SUBSTITUTE(VLOOKUP(D$2,convert!$A$1:$B$4,2,0),"@@@",D642))</f>
        <v>115</v>
      </c>
      <c r="T642" s="4" t="str">
        <f>IF(E642="",IF(ISNUMBER(SEARCH("NOT NULL",UPPER(E$3))),"''","null"),SUBSTITUTE(VLOOKUP(E$2,convert!$A$1:$B$4,2,0),"@@@",E642))</f>
        <v>80</v>
      </c>
      <c r="U642" s="4" t="str">
        <f>IF(F642="",IF(ISNUMBER(SEARCH("NOT NULL",UPPER(F$3))),"''","null"),SUBSTITUTE(VLOOKUP(F$2,convert!$A$1:$B$4,2,0),"@@@",F642))</f>
        <v>65</v>
      </c>
      <c r="V642" s="4" t="str">
        <f>IF(G642="",IF(ISNUMBER(SEARCH("NOT NULL",UPPER(G$3))),"''","null"),SUBSTITUTE(VLOOKUP(G$2,convert!$A$1:$B$4,2,0),"@@@",G642))</f>
        <v>55</v>
      </c>
      <c r="W642" s="4" t="str">
        <f>IF(H642="",IF(ISNUMBER(SEARCH("NOT NULL",UPPER(H$3))),"''","null"),SUBSTITUTE(VLOOKUP(H$2,convert!$A$1:$B$4,2,0),"@@@",H642))</f>
        <v>93</v>
      </c>
      <c r="X642" s="4" t="str">
        <f>IF(I642="",IF(ISNUMBER(SEARCH("NOT NULL",UPPER(I$3))),"''","null"),SUBSTITUTE(VLOOKUP(I$2,convert!$A$1:$B$4,2,0),"@@@",I642))</f>
        <v>''</v>
      </c>
      <c r="Y642" s="4" t="str">
        <f>IF(J642="",IF(ISNUMBER(SEARCH("NOT NULL",UPPER(J$3))),"''","null"),SUBSTITUTE(VLOOKUP(J$2,convert!$A$1:$B$4,2,0),"@@@",J642))</f>
        <v>'normal'</v>
      </c>
      <c r="Z642" s="4" t="str">
        <f>IF(K642="",IF(ISNUMBER(SEARCH("NOT NULL",UPPER(K$3))),"''","null"),SUBSTITUTE(VLOOKUP(K$2,convert!$A$1:$B$4,2,0),"@@@",K642))</f>
        <v>'flying'</v>
      </c>
      <c r="AA642" s="4" t="str">
        <f>IF(L642="",IF(ISNUMBER(SEARCH("NOT NULL",UPPER(L$3))),"''","null"),SUBSTITUTE(VLOOKUP(L$2,convert!$A$1:$B$4,2,0),"@@@",L642))</f>
        <v>'g5'</v>
      </c>
      <c r="AB642" s="4" t="str">
        <f>IF(M642="",IF(ISNUMBER(SEARCH("NOT NULL",UPPER(M$3))),"''","null"),SUBSTITUTE(VLOOKUP(M$2,convert!$A$1:$B$4,2,0),"@@@",M642))</f>
        <v>null</v>
      </c>
      <c r="AC642" s="4" t="str">
        <f>IF(N642="",IF(ISNUMBER(SEARCH("NOT NULL",UPPER(N$3))),"''","null"),SUBSTITUTE(VLOOKUP(N$2,convert!$A$1:$B$4,2,0),"@@@",N642))</f>
        <v>null</v>
      </c>
      <c r="AD642" s="4" t="str">
        <f>IF(O642="",IF(ISNUMBER(SEARCH("NOT NULL",UPPER(O$3))),"''","null"),SUBSTITUTE(VLOOKUP(O$2,convert!$A$1:$B$4,2,0),"@@@",O642))</f>
        <v>TRUE</v>
      </c>
      <c r="AE642" s="4" t="str">
        <f t="shared" si="9"/>
        <v>    ('0521N01', 'ケンホロウ', 80, 115, 80, 65, 55, 93, '', 'normal', 'flying', 'g5', null, null, TRUE),</v>
      </c>
    </row>
    <row r="643" spans="1:31">
      <c r="A643" s="4" t="s">
        <v>1299</v>
      </c>
      <c r="B643" s="4" t="s">
        <v>1300</v>
      </c>
      <c r="C643" s="5">
        <v>45</v>
      </c>
      <c r="D643" s="5">
        <v>60</v>
      </c>
      <c r="E643" s="5">
        <v>32</v>
      </c>
      <c r="F643" s="5">
        <v>50</v>
      </c>
      <c r="G643" s="5">
        <v>32</v>
      </c>
      <c r="H643" s="5">
        <v>76</v>
      </c>
      <c r="I643" s="5"/>
      <c r="J643" s="4" t="s">
        <v>106</v>
      </c>
      <c r="K643" s="5"/>
      <c r="L643" s="4" t="s">
        <v>1243</v>
      </c>
      <c r="M643" s="5"/>
      <c r="N643" s="5"/>
      <c r="O643" s="5" t="b">
        <v>1</v>
      </c>
      <c r="P643" s="4" t="str">
        <f>IF(A643="",IF(ISNUMBER(SEARCH("NOT NULL",UPPER(A$3))),"''","null"),SUBSTITUTE(VLOOKUP(A$2,convert!$A$1:$B$4,2,0),"@@@",A643))</f>
        <v>'0522N01'</v>
      </c>
      <c r="Q643" s="4" t="str">
        <f>IF(B643="",IF(ISNUMBER(SEARCH("NOT NULL",UPPER(B$3))),"''","null"),SUBSTITUTE(VLOOKUP(B$2,convert!$A$1:$B$4,2,0),"@@@",B643))</f>
        <v>'シママ'</v>
      </c>
      <c r="R643" s="4" t="str">
        <f>IF(C643="",IF(ISNUMBER(SEARCH("NOT NULL",UPPER(C$3))),"''","null"),SUBSTITUTE(VLOOKUP(C$2,convert!$A$1:$B$4,2,0),"@@@",C643))</f>
        <v>45</v>
      </c>
      <c r="S643" s="4" t="str">
        <f>IF(D643="",IF(ISNUMBER(SEARCH("NOT NULL",UPPER(D$3))),"''","null"),SUBSTITUTE(VLOOKUP(D$2,convert!$A$1:$B$4,2,0),"@@@",D643))</f>
        <v>60</v>
      </c>
      <c r="T643" s="4" t="str">
        <f>IF(E643="",IF(ISNUMBER(SEARCH("NOT NULL",UPPER(E$3))),"''","null"),SUBSTITUTE(VLOOKUP(E$2,convert!$A$1:$B$4,2,0),"@@@",E643))</f>
        <v>32</v>
      </c>
      <c r="U643" s="4" t="str">
        <f>IF(F643="",IF(ISNUMBER(SEARCH("NOT NULL",UPPER(F$3))),"''","null"),SUBSTITUTE(VLOOKUP(F$2,convert!$A$1:$B$4,2,0),"@@@",F643))</f>
        <v>50</v>
      </c>
      <c r="V643" s="4" t="str">
        <f>IF(G643="",IF(ISNUMBER(SEARCH("NOT NULL",UPPER(G$3))),"''","null"),SUBSTITUTE(VLOOKUP(G$2,convert!$A$1:$B$4,2,0),"@@@",G643))</f>
        <v>32</v>
      </c>
      <c r="W643" s="4" t="str">
        <f>IF(H643="",IF(ISNUMBER(SEARCH("NOT NULL",UPPER(H$3))),"''","null"),SUBSTITUTE(VLOOKUP(H$2,convert!$A$1:$B$4,2,0),"@@@",H643))</f>
        <v>76</v>
      </c>
      <c r="X643" s="4" t="str">
        <f>IF(I643="",IF(ISNUMBER(SEARCH("NOT NULL",UPPER(I$3))),"''","null"),SUBSTITUTE(VLOOKUP(I$2,convert!$A$1:$B$4,2,0),"@@@",I643))</f>
        <v>''</v>
      </c>
      <c r="Y643" s="4" t="str">
        <f>IF(J643="",IF(ISNUMBER(SEARCH("NOT NULL",UPPER(J$3))),"''","null"),SUBSTITUTE(VLOOKUP(J$2,convert!$A$1:$B$4,2,0),"@@@",J643))</f>
        <v>'electric'</v>
      </c>
      <c r="Z643" s="4" t="str">
        <f>IF(K643="",IF(ISNUMBER(SEARCH("NOT NULL",UPPER(K$3))),"''","null"),SUBSTITUTE(VLOOKUP(K$2,convert!$A$1:$B$4,2,0),"@@@",K643))</f>
        <v>null</v>
      </c>
      <c r="AA643" s="4" t="str">
        <f>IF(L643="",IF(ISNUMBER(SEARCH("NOT NULL",UPPER(L$3))),"''","null"),SUBSTITUTE(VLOOKUP(L$2,convert!$A$1:$B$4,2,0),"@@@",L643))</f>
        <v>'g5'</v>
      </c>
      <c r="AB643" s="4" t="str">
        <f>IF(M643="",IF(ISNUMBER(SEARCH("NOT NULL",UPPER(M$3))),"''","null"),SUBSTITUTE(VLOOKUP(M$2,convert!$A$1:$B$4,2,0),"@@@",M643))</f>
        <v>null</v>
      </c>
      <c r="AC643" s="4" t="str">
        <f>IF(N643="",IF(ISNUMBER(SEARCH("NOT NULL",UPPER(N$3))),"''","null"),SUBSTITUTE(VLOOKUP(N$2,convert!$A$1:$B$4,2,0),"@@@",N643))</f>
        <v>null</v>
      </c>
      <c r="AD643" s="4" t="str">
        <f>IF(O643="",IF(ISNUMBER(SEARCH("NOT NULL",UPPER(O$3))),"''","null"),SUBSTITUTE(VLOOKUP(O$2,convert!$A$1:$B$4,2,0),"@@@",O643))</f>
        <v>TRUE</v>
      </c>
      <c r="AE643" s="4" t="str">
        <f t="shared" si="9"/>
        <v>    ('0522N01', 'シママ', 45, 60, 32, 50, 32, 76, '', 'electric', null, 'g5', null, null, TRUE),</v>
      </c>
    </row>
    <row r="644" spans="1:31">
      <c r="A644" s="4" t="s">
        <v>1301</v>
      </c>
      <c r="B644" s="4" t="s">
        <v>1302</v>
      </c>
      <c r="C644" s="5">
        <v>75</v>
      </c>
      <c r="D644" s="5">
        <v>100</v>
      </c>
      <c r="E644" s="5">
        <v>63</v>
      </c>
      <c r="F644" s="5">
        <v>80</v>
      </c>
      <c r="G644" s="5">
        <v>63</v>
      </c>
      <c r="H644" s="5">
        <v>116</v>
      </c>
      <c r="I644" s="5"/>
      <c r="J644" s="4" t="s">
        <v>106</v>
      </c>
      <c r="K644" s="5"/>
      <c r="L644" s="4" t="s">
        <v>1243</v>
      </c>
      <c r="M644" s="5"/>
      <c r="N644" s="5"/>
      <c r="O644" s="5" t="b">
        <v>1</v>
      </c>
      <c r="P644" s="4" t="str">
        <f>IF(A644="",IF(ISNUMBER(SEARCH("NOT NULL",UPPER(A$3))),"''","null"),SUBSTITUTE(VLOOKUP(A$2,convert!$A$1:$B$4,2,0),"@@@",A644))</f>
        <v>'0523N01'</v>
      </c>
      <c r="Q644" s="4" t="str">
        <f>IF(B644="",IF(ISNUMBER(SEARCH("NOT NULL",UPPER(B$3))),"''","null"),SUBSTITUTE(VLOOKUP(B$2,convert!$A$1:$B$4,2,0),"@@@",B644))</f>
        <v>'ゼブライカ'</v>
      </c>
      <c r="R644" s="4" t="str">
        <f>IF(C644="",IF(ISNUMBER(SEARCH("NOT NULL",UPPER(C$3))),"''","null"),SUBSTITUTE(VLOOKUP(C$2,convert!$A$1:$B$4,2,0),"@@@",C644))</f>
        <v>75</v>
      </c>
      <c r="S644" s="4" t="str">
        <f>IF(D644="",IF(ISNUMBER(SEARCH("NOT NULL",UPPER(D$3))),"''","null"),SUBSTITUTE(VLOOKUP(D$2,convert!$A$1:$B$4,2,0),"@@@",D644))</f>
        <v>100</v>
      </c>
      <c r="T644" s="4" t="str">
        <f>IF(E644="",IF(ISNUMBER(SEARCH("NOT NULL",UPPER(E$3))),"''","null"),SUBSTITUTE(VLOOKUP(E$2,convert!$A$1:$B$4,2,0),"@@@",E644))</f>
        <v>63</v>
      </c>
      <c r="U644" s="4" t="str">
        <f>IF(F644="",IF(ISNUMBER(SEARCH("NOT NULL",UPPER(F$3))),"''","null"),SUBSTITUTE(VLOOKUP(F$2,convert!$A$1:$B$4,2,0),"@@@",F644))</f>
        <v>80</v>
      </c>
      <c r="V644" s="4" t="str">
        <f>IF(G644="",IF(ISNUMBER(SEARCH("NOT NULL",UPPER(G$3))),"''","null"),SUBSTITUTE(VLOOKUP(G$2,convert!$A$1:$B$4,2,0),"@@@",G644))</f>
        <v>63</v>
      </c>
      <c r="W644" s="4" t="str">
        <f>IF(H644="",IF(ISNUMBER(SEARCH("NOT NULL",UPPER(H$3))),"''","null"),SUBSTITUTE(VLOOKUP(H$2,convert!$A$1:$B$4,2,0),"@@@",H644))</f>
        <v>116</v>
      </c>
      <c r="X644" s="4" t="str">
        <f>IF(I644="",IF(ISNUMBER(SEARCH("NOT NULL",UPPER(I$3))),"''","null"),SUBSTITUTE(VLOOKUP(I$2,convert!$A$1:$B$4,2,0),"@@@",I644))</f>
        <v>''</v>
      </c>
      <c r="Y644" s="4" t="str">
        <f>IF(J644="",IF(ISNUMBER(SEARCH("NOT NULL",UPPER(J$3))),"''","null"),SUBSTITUTE(VLOOKUP(J$2,convert!$A$1:$B$4,2,0),"@@@",J644))</f>
        <v>'electric'</v>
      </c>
      <c r="Z644" s="4" t="str">
        <f>IF(K644="",IF(ISNUMBER(SEARCH("NOT NULL",UPPER(K$3))),"''","null"),SUBSTITUTE(VLOOKUP(K$2,convert!$A$1:$B$4,2,0),"@@@",K644))</f>
        <v>null</v>
      </c>
      <c r="AA644" s="4" t="str">
        <f>IF(L644="",IF(ISNUMBER(SEARCH("NOT NULL",UPPER(L$3))),"''","null"),SUBSTITUTE(VLOOKUP(L$2,convert!$A$1:$B$4,2,0),"@@@",L644))</f>
        <v>'g5'</v>
      </c>
      <c r="AB644" s="4" t="str">
        <f>IF(M644="",IF(ISNUMBER(SEARCH("NOT NULL",UPPER(M$3))),"''","null"),SUBSTITUTE(VLOOKUP(M$2,convert!$A$1:$B$4,2,0),"@@@",M644))</f>
        <v>null</v>
      </c>
      <c r="AC644" s="4" t="str">
        <f>IF(N644="",IF(ISNUMBER(SEARCH("NOT NULL",UPPER(N$3))),"''","null"),SUBSTITUTE(VLOOKUP(N$2,convert!$A$1:$B$4,2,0),"@@@",N644))</f>
        <v>null</v>
      </c>
      <c r="AD644" s="4" t="str">
        <f>IF(O644="",IF(ISNUMBER(SEARCH("NOT NULL",UPPER(O$3))),"''","null"),SUBSTITUTE(VLOOKUP(O$2,convert!$A$1:$B$4,2,0),"@@@",O644))</f>
        <v>TRUE</v>
      </c>
      <c r="AE644" s="4" t="str">
        <f t="shared" si="9"/>
        <v>    ('0523N01', 'ゼブライカ', 75, 100, 63, 80, 63, 116, '', 'electric', null, 'g5', null, null, TRUE),</v>
      </c>
    </row>
    <row r="645" spans="1:31">
      <c r="A645" s="4" t="s">
        <v>1303</v>
      </c>
      <c r="B645" s="4" t="s">
        <v>1304</v>
      </c>
      <c r="C645" s="5">
        <v>55</v>
      </c>
      <c r="D645" s="5">
        <v>75</v>
      </c>
      <c r="E645" s="5">
        <v>85</v>
      </c>
      <c r="F645" s="5">
        <v>25</v>
      </c>
      <c r="G645" s="5">
        <v>25</v>
      </c>
      <c r="H645" s="5">
        <v>15</v>
      </c>
      <c r="I645" s="5"/>
      <c r="J645" s="4" t="s">
        <v>196</v>
      </c>
      <c r="K645" s="5"/>
      <c r="L645" s="4" t="s">
        <v>1243</v>
      </c>
      <c r="M645" s="5"/>
      <c r="N645" s="5"/>
      <c r="O645" s="5" t="b">
        <v>1</v>
      </c>
      <c r="P645" s="4" t="str">
        <f>IF(A645="",IF(ISNUMBER(SEARCH("NOT NULL",UPPER(A$3))),"''","null"),SUBSTITUTE(VLOOKUP(A$2,convert!$A$1:$B$4,2,0),"@@@",A645))</f>
        <v>'0524N01'</v>
      </c>
      <c r="Q645" s="4" t="str">
        <f>IF(B645="",IF(ISNUMBER(SEARCH("NOT NULL",UPPER(B$3))),"''","null"),SUBSTITUTE(VLOOKUP(B$2,convert!$A$1:$B$4,2,0),"@@@",B645))</f>
        <v>'ダンゴロ'</v>
      </c>
      <c r="R645" s="4" t="str">
        <f>IF(C645="",IF(ISNUMBER(SEARCH("NOT NULL",UPPER(C$3))),"''","null"),SUBSTITUTE(VLOOKUP(C$2,convert!$A$1:$B$4,2,0),"@@@",C645))</f>
        <v>55</v>
      </c>
      <c r="S645" s="4" t="str">
        <f>IF(D645="",IF(ISNUMBER(SEARCH("NOT NULL",UPPER(D$3))),"''","null"),SUBSTITUTE(VLOOKUP(D$2,convert!$A$1:$B$4,2,0),"@@@",D645))</f>
        <v>75</v>
      </c>
      <c r="T645" s="4" t="str">
        <f>IF(E645="",IF(ISNUMBER(SEARCH("NOT NULL",UPPER(E$3))),"''","null"),SUBSTITUTE(VLOOKUP(E$2,convert!$A$1:$B$4,2,0),"@@@",E645))</f>
        <v>85</v>
      </c>
      <c r="U645" s="4" t="str">
        <f>IF(F645="",IF(ISNUMBER(SEARCH("NOT NULL",UPPER(F$3))),"''","null"),SUBSTITUTE(VLOOKUP(F$2,convert!$A$1:$B$4,2,0),"@@@",F645))</f>
        <v>25</v>
      </c>
      <c r="V645" s="4" t="str">
        <f>IF(G645="",IF(ISNUMBER(SEARCH("NOT NULL",UPPER(G$3))),"''","null"),SUBSTITUTE(VLOOKUP(G$2,convert!$A$1:$B$4,2,0),"@@@",G645))</f>
        <v>25</v>
      </c>
      <c r="W645" s="4" t="str">
        <f>IF(H645="",IF(ISNUMBER(SEARCH("NOT NULL",UPPER(H$3))),"''","null"),SUBSTITUTE(VLOOKUP(H$2,convert!$A$1:$B$4,2,0),"@@@",H645))</f>
        <v>15</v>
      </c>
      <c r="X645" s="4" t="str">
        <f>IF(I645="",IF(ISNUMBER(SEARCH("NOT NULL",UPPER(I$3))),"''","null"),SUBSTITUTE(VLOOKUP(I$2,convert!$A$1:$B$4,2,0),"@@@",I645))</f>
        <v>''</v>
      </c>
      <c r="Y645" s="4" t="str">
        <f>IF(J645="",IF(ISNUMBER(SEARCH("NOT NULL",UPPER(J$3))),"''","null"),SUBSTITUTE(VLOOKUP(J$2,convert!$A$1:$B$4,2,0),"@@@",J645))</f>
        <v>'rock'</v>
      </c>
      <c r="Z645" s="4" t="str">
        <f>IF(K645="",IF(ISNUMBER(SEARCH("NOT NULL",UPPER(K$3))),"''","null"),SUBSTITUTE(VLOOKUP(K$2,convert!$A$1:$B$4,2,0),"@@@",K645))</f>
        <v>null</v>
      </c>
      <c r="AA645" s="4" t="str">
        <f>IF(L645="",IF(ISNUMBER(SEARCH("NOT NULL",UPPER(L$3))),"''","null"),SUBSTITUTE(VLOOKUP(L$2,convert!$A$1:$B$4,2,0),"@@@",L645))</f>
        <v>'g5'</v>
      </c>
      <c r="AB645" s="4" t="str">
        <f>IF(M645="",IF(ISNUMBER(SEARCH("NOT NULL",UPPER(M$3))),"''","null"),SUBSTITUTE(VLOOKUP(M$2,convert!$A$1:$B$4,2,0),"@@@",M645))</f>
        <v>null</v>
      </c>
      <c r="AC645" s="4" t="str">
        <f>IF(N645="",IF(ISNUMBER(SEARCH("NOT NULL",UPPER(N$3))),"''","null"),SUBSTITUTE(VLOOKUP(N$2,convert!$A$1:$B$4,2,0),"@@@",N645))</f>
        <v>null</v>
      </c>
      <c r="AD645" s="4" t="str">
        <f>IF(O645="",IF(ISNUMBER(SEARCH("NOT NULL",UPPER(O$3))),"''","null"),SUBSTITUTE(VLOOKUP(O$2,convert!$A$1:$B$4,2,0),"@@@",O645))</f>
        <v>TRUE</v>
      </c>
      <c r="AE645" s="4" t="str">
        <f t="shared" ref="AE645:AE708" si="10">"    ("&amp;_xlfn.TEXTJOIN(", ",FALSE,P645:AD645)&amp;"),"</f>
        <v>    ('0524N01', 'ダンゴロ', 55, 75, 85, 25, 25, 15, '', 'rock', null, 'g5', null, null, TRUE),</v>
      </c>
    </row>
    <row r="646" spans="1:31">
      <c r="A646" s="4" t="s">
        <v>1305</v>
      </c>
      <c r="B646" s="4" t="s">
        <v>1306</v>
      </c>
      <c r="C646" s="5">
        <v>70</v>
      </c>
      <c r="D646" s="5">
        <v>105</v>
      </c>
      <c r="E646" s="5">
        <v>105</v>
      </c>
      <c r="F646" s="5">
        <v>50</v>
      </c>
      <c r="G646" s="5">
        <v>40</v>
      </c>
      <c r="H646" s="5">
        <v>20</v>
      </c>
      <c r="I646" s="5"/>
      <c r="J646" s="4" t="s">
        <v>196</v>
      </c>
      <c r="K646" s="5"/>
      <c r="L646" s="4" t="s">
        <v>1243</v>
      </c>
      <c r="M646" s="5"/>
      <c r="N646" s="5"/>
      <c r="O646" s="5" t="b">
        <v>1</v>
      </c>
      <c r="P646" s="4" t="str">
        <f>IF(A646="",IF(ISNUMBER(SEARCH("NOT NULL",UPPER(A$3))),"''","null"),SUBSTITUTE(VLOOKUP(A$2,convert!$A$1:$B$4,2,0),"@@@",A646))</f>
        <v>'0525N01'</v>
      </c>
      <c r="Q646" s="4" t="str">
        <f>IF(B646="",IF(ISNUMBER(SEARCH("NOT NULL",UPPER(B$3))),"''","null"),SUBSTITUTE(VLOOKUP(B$2,convert!$A$1:$B$4,2,0),"@@@",B646))</f>
        <v>'ガントル'</v>
      </c>
      <c r="R646" s="4" t="str">
        <f>IF(C646="",IF(ISNUMBER(SEARCH("NOT NULL",UPPER(C$3))),"''","null"),SUBSTITUTE(VLOOKUP(C$2,convert!$A$1:$B$4,2,0),"@@@",C646))</f>
        <v>70</v>
      </c>
      <c r="S646" s="4" t="str">
        <f>IF(D646="",IF(ISNUMBER(SEARCH("NOT NULL",UPPER(D$3))),"''","null"),SUBSTITUTE(VLOOKUP(D$2,convert!$A$1:$B$4,2,0),"@@@",D646))</f>
        <v>105</v>
      </c>
      <c r="T646" s="4" t="str">
        <f>IF(E646="",IF(ISNUMBER(SEARCH("NOT NULL",UPPER(E$3))),"''","null"),SUBSTITUTE(VLOOKUP(E$2,convert!$A$1:$B$4,2,0),"@@@",E646))</f>
        <v>105</v>
      </c>
      <c r="U646" s="4" t="str">
        <f>IF(F646="",IF(ISNUMBER(SEARCH("NOT NULL",UPPER(F$3))),"''","null"),SUBSTITUTE(VLOOKUP(F$2,convert!$A$1:$B$4,2,0),"@@@",F646))</f>
        <v>50</v>
      </c>
      <c r="V646" s="4" t="str">
        <f>IF(G646="",IF(ISNUMBER(SEARCH("NOT NULL",UPPER(G$3))),"''","null"),SUBSTITUTE(VLOOKUP(G$2,convert!$A$1:$B$4,2,0),"@@@",G646))</f>
        <v>40</v>
      </c>
      <c r="W646" s="4" t="str">
        <f>IF(H646="",IF(ISNUMBER(SEARCH("NOT NULL",UPPER(H$3))),"''","null"),SUBSTITUTE(VLOOKUP(H$2,convert!$A$1:$B$4,2,0),"@@@",H646))</f>
        <v>20</v>
      </c>
      <c r="X646" s="4" t="str">
        <f>IF(I646="",IF(ISNUMBER(SEARCH("NOT NULL",UPPER(I$3))),"''","null"),SUBSTITUTE(VLOOKUP(I$2,convert!$A$1:$B$4,2,0),"@@@",I646))</f>
        <v>''</v>
      </c>
      <c r="Y646" s="4" t="str">
        <f>IF(J646="",IF(ISNUMBER(SEARCH("NOT NULL",UPPER(J$3))),"''","null"),SUBSTITUTE(VLOOKUP(J$2,convert!$A$1:$B$4,2,0),"@@@",J646))</f>
        <v>'rock'</v>
      </c>
      <c r="Z646" s="4" t="str">
        <f>IF(K646="",IF(ISNUMBER(SEARCH("NOT NULL",UPPER(K$3))),"''","null"),SUBSTITUTE(VLOOKUP(K$2,convert!$A$1:$B$4,2,0),"@@@",K646))</f>
        <v>null</v>
      </c>
      <c r="AA646" s="4" t="str">
        <f>IF(L646="",IF(ISNUMBER(SEARCH("NOT NULL",UPPER(L$3))),"''","null"),SUBSTITUTE(VLOOKUP(L$2,convert!$A$1:$B$4,2,0),"@@@",L646))</f>
        <v>'g5'</v>
      </c>
      <c r="AB646" s="4" t="str">
        <f>IF(M646="",IF(ISNUMBER(SEARCH("NOT NULL",UPPER(M$3))),"''","null"),SUBSTITUTE(VLOOKUP(M$2,convert!$A$1:$B$4,2,0),"@@@",M646))</f>
        <v>null</v>
      </c>
      <c r="AC646" s="4" t="str">
        <f>IF(N646="",IF(ISNUMBER(SEARCH("NOT NULL",UPPER(N$3))),"''","null"),SUBSTITUTE(VLOOKUP(N$2,convert!$A$1:$B$4,2,0),"@@@",N646))</f>
        <v>null</v>
      </c>
      <c r="AD646" s="4" t="str">
        <f>IF(O646="",IF(ISNUMBER(SEARCH("NOT NULL",UPPER(O$3))),"''","null"),SUBSTITUTE(VLOOKUP(O$2,convert!$A$1:$B$4,2,0),"@@@",O646))</f>
        <v>TRUE</v>
      </c>
      <c r="AE646" s="4" t="str">
        <f t="shared" si="10"/>
        <v>    ('0525N01', 'ガントル', 70, 105, 105, 50, 40, 20, '', 'rock', null, 'g5', null, null, TRUE),</v>
      </c>
    </row>
    <row r="647" spans="1:31">
      <c r="A647" s="4" t="s">
        <v>1307</v>
      </c>
      <c r="B647" s="4" t="s">
        <v>1308</v>
      </c>
      <c r="C647" s="5">
        <v>85</v>
      </c>
      <c r="D647" s="5">
        <v>135</v>
      </c>
      <c r="E647" s="5">
        <v>130</v>
      </c>
      <c r="F647" s="5">
        <v>60</v>
      </c>
      <c r="G647" s="5">
        <v>80</v>
      </c>
      <c r="H647" s="5">
        <v>25</v>
      </c>
      <c r="I647" s="5"/>
      <c r="J647" s="4" t="s">
        <v>196</v>
      </c>
      <c r="K647" s="5"/>
      <c r="L647" s="4" t="s">
        <v>1243</v>
      </c>
      <c r="M647" s="5"/>
      <c r="N647" s="5"/>
      <c r="O647" s="5" t="b">
        <v>1</v>
      </c>
      <c r="P647" s="4" t="str">
        <f>IF(A647="",IF(ISNUMBER(SEARCH("NOT NULL",UPPER(A$3))),"''","null"),SUBSTITUTE(VLOOKUP(A$2,convert!$A$1:$B$4,2,0),"@@@",A647))</f>
        <v>'0526N01'</v>
      </c>
      <c r="Q647" s="4" t="str">
        <f>IF(B647="",IF(ISNUMBER(SEARCH("NOT NULL",UPPER(B$3))),"''","null"),SUBSTITUTE(VLOOKUP(B$2,convert!$A$1:$B$4,2,0),"@@@",B647))</f>
        <v>'ギガイアス'</v>
      </c>
      <c r="R647" s="4" t="str">
        <f>IF(C647="",IF(ISNUMBER(SEARCH("NOT NULL",UPPER(C$3))),"''","null"),SUBSTITUTE(VLOOKUP(C$2,convert!$A$1:$B$4,2,0),"@@@",C647))</f>
        <v>85</v>
      </c>
      <c r="S647" s="4" t="str">
        <f>IF(D647="",IF(ISNUMBER(SEARCH("NOT NULL",UPPER(D$3))),"''","null"),SUBSTITUTE(VLOOKUP(D$2,convert!$A$1:$B$4,2,0),"@@@",D647))</f>
        <v>135</v>
      </c>
      <c r="T647" s="4" t="str">
        <f>IF(E647="",IF(ISNUMBER(SEARCH("NOT NULL",UPPER(E$3))),"''","null"),SUBSTITUTE(VLOOKUP(E$2,convert!$A$1:$B$4,2,0),"@@@",E647))</f>
        <v>130</v>
      </c>
      <c r="U647" s="4" t="str">
        <f>IF(F647="",IF(ISNUMBER(SEARCH("NOT NULL",UPPER(F$3))),"''","null"),SUBSTITUTE(VLOOKUP(F$2,convert!$A$1:$B$4,2,0),"@@@",F647))</f>
        <v>60</v>
      </c>
      <c r="V647" s="4" t="str">
        <f>IF(G647="",IF(ISNUMBER(SEARCH("NOT NULL",UPPER(G$3))),"''","null"),SUBSTITUTE(VLOOKUP(G$2,convert!$A$1:$B$4,2,0),"@@@",G647))</f>
        <v>80</v>
      </c>
      <c r="W647" s="4" t="str">
        <f>IF(H647="",IF(ISNUMBER(SEARCH("NOT NULL",UPPER(H$3))),"''","null"),SUBSTITUTE(VLOOKUP(H$2,convert!$A$1:$B$4,2,0),"@@@",H647))</f>
        <v>25</v>
      </c>
      <c r="X647" s="4" t="str">
        <f>IF(I647="",IF(ISNUMBER(SEARCH("NOT NULL",UPPER(I$3))),"''","null"),SUBSTITUTE(VLOOKUP(I$2,convert!$A$1:$B$4,2,0),"@@@",I647))</f>
        <v>''</v>
      </c>
      <c r="Y647" s="4" t="str">
        <f>IF(J647="",IF(ISNUMBER(SEARCH("NOT NULL",UPPER(J$3))),"''","null"),SUBSTITUTE(VLOOKUP(J$2,convert!$A$1:$B$4,2,0),"@@@",J647))</f>
        <v>'rock'</v>
      </c>
      <c r="Z647" s="4" t="str">
        <f>IF(K647="",IF(ISNUMBER(SEARCH("NOT NULL",UPPER(K$3))),"''","null"),SUBSTITUTE(VLOOKUP(K$2,convert!$A$1:$B$4,2,0),"@@@",K647))</f>
        <v>null</v>
      </c>
      <c r="AA647" s="4" t="str">
        <f>IF(L647="",IF(ISNUMBER(SEARCH("NOT NULL",UPPER(L$3))),"''","null"),SUBSTITUTE(VLOOKUP(L$2,convert!$A$1:$B$4,2,0),"@@@",L647))</f>
        <v>'g5'</v>
      </c>
      <c r="AB647" s="4" t="str">
        <f>IF(M647="",IF(ISNUMBER(SEARCH("NOT NULL",UPPER(M$3))),"''","null"),SUBSTITUTE(VLOOKUP(M$2,convert!$A$1:$B$4,2,0),"@@@",M647))</f>
        <v>null</v>
      </c>
      <c r="AC647" s="4" t="str">
        <f>IF(N647="",IF(ISNUMBER(SEARCH("NOT NULL",UPPER(N$3))),"''","null"),SUBSTITUTE(VLOOKUP(N$2,convert!$A$1:$B$4,2,0),"@@@",N647))</f>
        <v>null</v>
      </c>
      <c r="AD647" s="4" t="str">
        <f>IF(O647="",IF(ISNUMBER(SEARCH("NOT NULL",UPPER(O$3))),"''","null"),SUBSTITUTE(VLOOKUP(O$2,convert!$A$1:$B$4,2,0),"@@@",O647))</f>
        <v>TRUE</v>
      </c>
      <c r="AE647" s="4" t="str">
        <f t="shared" si="10"/>
        <v>    ('0526N01', 'ギガイアス', 85, 135, 130, 60, 80, 25, '', 'rock', null, 'g5', null, null, TRUE),</v>
      </c>
    </row>
    <row r="648" spans="1:31">
      <c r="A648" s="4" t="s">
        <v>1309</v>
      </c>
      <c r="B648" s="4" t="s">
        <v>1310</v>
      </c>
      <c r="C648" s="5">
        <v>65</v>
      </c>
      <c r="D648" s="5">
        <v>45</v>
      </c>
      <c r="E648" s="5">
        <v>43</v>
      </c>
      <c r="F648" s="5">
        <v>55</v>
      </c>
      <c r="G648" s="5">
        <v>43</v>
      </c>
      <c r="H648" s="5">
        <v>72</v>
      </c>
      <c r="I648" s="5"/>
      <c r="J648" s="4" t="s">
        <v>113</v>
      </c>
      <c r="K648" s="4" t="s">
        <v>47</v>
      </c>
      <c r="L648" s="4" t="s">
        <v>1243</v>
      </c>
      <c r="M648" s="5"/>
      <c r="N648" s="5"/>
      <c r="O648" s="5" t="b">
        <v>1</v>
      </c>
      <c r="P648" s="4" t="str">
        <f>IF(A648="",IF(ISNUMBER(SEARCH("NOT NULL",UPPER(A$3))),"''","null"),SUBSTITUTE(VLOOKUP(A$2,convert!$A$1:$B$4,2,0),"@@@",A648))</f>
        <v>'0527N01'</v>
      </c>
      <c r="Q648" s="4" t="str">
        <f>IF(B648="",IF(ISNUMBER(SEARCH("NOT NULL",UPPER(B$3))),"''","null"),SUBSTITUTE(VLOOKUP(B$2,convert!$A$1:$B$4,2,0),"@@@",B648))</f>
        <v>'コロモリ'</v>
      </c>
      <c r="R648" s="4" t="str">
        <f>IF(C648="",IF(ISNUMBER(SEARCH("NOT NULL",UPPER(C$3))),"''","null"),SUBSTITUTE(VLOOKUP(C$2,convert!$A$1:$B$4,2,0),"@@@",C648))</f>
        <v>65</v>
      </c>
      <c r="S648" s="4" t="str">
        <f>IF(D648="",IF(ISNUMBER(SEARCH("NOT NULL",UPPER(D$3))),"''","null"),SUBSTITUTE(VLOOKUP(D$2,convert!$A$1:$B$4,2,0),"@@@",D648))</f>
        <v>45</v>
      </c>
      <c r="T648" s="4" t="str">
        <f>IF(E648="",IF(ISNUMBER(SEARCH("NOT NULL",UPPER(E$3))),"''","null"),SUBSTITUTE(VLOOKUP(E$2,convert!$A$1:$B$4,2,0),"@@@",E648))</f>
        <v>43</v>
      </c>
      <c r="U648" s="4" t="str">
        <f>IF(F648="",IF(ISNUMBER(SEARCH("NOT NULL",UPPER(F$3))),"''","null"),SUBSTITUTE(VLOOKUP(F$2,convert!$A$1:$B$4,2,0),"@@@",F648))</f>
        <v>55</v>
      </c>
      <c r="V648" s="4" t="str">
        <f>IF(G648="",IF(ISNUMBER(SEARCH("NOT NULL",UPPER(G$3))),"''","null"),SUBSTITUTE(VLOOKUP(G$2,convert!$A$1:$B$4,2,0),"@@@",G648))</f>
        <v>43</v>
      </c>
      <c r="W648" s="4" t="str">
        <f>IF(H648="",IF(ISNUMBER(SEARCH("NOT NULL",UPPER(H$3))),"''","null"),SUBSTITUTE(VLOOKUP(H$2,convert!$A$1:$B$4,2,0),"@@@",H648))</f>
        <v>72</v>
      </c>
      <c r="X648" s="4" t="str">
        <f>IF(I648="",IF(ISNUMBER(SEARCH("NOT NULL",UPPER(I$3))),"''","null"),SUBSTITUTE(VLOOKUP(I$2,convert!$A$1:$B$4,2,0),"@@@",I648))</f>
        <v>''</v>
      </c>
      <c r="Y648" s="4" t="str">
        <f>IF(J648="",IF(ISNUMBER(SEARCH("NOT NULL",UPPER(J$3))),"''","null"),SUBSTITUTE(VLOOKUP(J$2,convert!$A$1:$B$4,2,0),"@@@",J648))</f>
        <v>'psychic'</v>
      </c>
      <c r="Z648" s="4" t="str">
        <f>IF(K648="",IF(ISNUMBER(SEARCH("NOT NULL",UPPER(K$3))),"''","null"),SUBSTITUTE(VLOOKUP(K$2,convert!$A$1:$B$4,2,0),"@@@",K648))</f>
        <v>'flying'</v>
      </c>
      <c r="AA648" s="4" t="str">
        <f>IF(L648="",IF(ISNUMBER(SEARCH("NOT NULL",UPPER(L$3))),"''","null"),SUBSTITUTE(VLOOKUP(L$2,convert!$A$1:$B$4,2,0),"@@@",L648))</f>
        <v>'g5'</v>
      </c>
      <c r="AB648" s="4" t="str">
        <f>IF(M648="",IF(ISNUMBER(SEARCH("NOT NULL",UPPER(M$3))),"''","null"),SUBSTITUTE(VLOOKUP(M$2,convert!$A$1:$B$4,2,0),"@@@",M648))</f>
        <v>null</v>
      </c>
      <c r="AC648" s="4" t="str">
        <f>IF(N648="",IF(ISNUMBER(SEARCH("NOT NULL",UPPER(N$3))),"''","null"),SUBSTITUTE(VLOOKUP(N$2,convert!$A$1:$B$4,2,0),"@@@",N648))</f>
        <v>null</v>
      </c>
      <c r="AD648" s="4" t="str">
        <f>IF(O648="",IF(ISNUMBER(SEARCH("NOT NULL",UPPER(O$3))),"''","null"),SUBSTITUTE(VLOOKUP(O$2,convert!$A$1:$B$4,2,0),"@@@",O648))</f>
        <v>TRUE</v>
      </c>
      <c r="AE648" s="4" t="str">
        <f t="shared" si="10"/>
        <v>    ('0527N01', 'コロモリ', 65, 45, 43, 55, 43, 72, '', 'psychic', 'flying', 'g5', null, null, TRUE),</v>
      </c>
    </row>
    <row r="649" spans="1:31">
      <c r="A649" s="4" t="s">
        <v>1311</v>
      </c>
      <c r="B649" s="4" t="s">
        <v>1312</v>
      </c>
      <c r="C649" s="5">
        <v>67</v>
      </c>
      <c r="D649" s="5">
        <v>57</v>
      </c>
      <c r="E649" s="5">
        <v>55</v>
      </c>
      <c r="F649" s="5">
        <v>77</v>
      </c>
      <c r="G649" s="5">
        <v>55</v>
      </c>
      <c r="H649" s="5">
        <v>114</v>
      </c>
      <c r="I649" s="5"/>
      <c r="J649" s="4" t="s">
        <v>113</v>
      </c>
      <c r="K649" s="4" t="s">
        <v>47</v>
      </c>
      <c r="L649" s="4" t="s">
        <v>1243</v>
      </c>
      <c r="M649" s="5"/>
      <c r="N649" s="5"/>
      <c r="O649" s="5" t="b">
        <v>1</v>
      </c>
      <c r="P649" s="4" t="str">
        <f>IF(A649="",IF(ISNUMBER(SEARCH("NOT NULL",UPPER(A$3))),"''","null"),SUBSTITUTE(VLOOKUP(A$2,convert!$A$1:$B$4,2,0),"@@@",A649))</f>
        <v>'0528N01'</v>
      </c>
      <c r="Q649" s="4" t="str">
        <f>IF(B649="",IF(ISNUMBER(SEARCH("NOT NULL",UPPER(B$3))),"''","null"),SUBSTITUTE(VLOOKUP(B$2,convert!$A$1:$B$4,2,0),"@@@",B649))</f>
        <v>'ココロモリ'</v>
      </c>
      <c r="R649" s="4" t="str">
        <f>IF(C649="",IF(ISNUMBER(SEARCH("NOT NULL",UPPER(C$3))),"''","null"),SUBSTITUTE(VLOOKUP(C$2,convert!$A$1:$B$4,2,0),"@@@",C649))</f>
        <v>67</v>
      </c>
      <c r="S649" s="4" t="str">
        <f>IF(D649="",IF(ISNUMBER(SEARCH("NOT NULL",UPPER(D$3))),"''","null"),SUBSTITUTE(VLOOKUP(D$2,convert!$A$1:$B$4,2,0),"@@@",D649))</f>
        <v>57</v>
      </c>
      <c r="T649" s="4" t="str">
        <f>IF(E649="",IF(ISNUMBER(SEARCH("NOT NULL",UPPER(E$3))),"''","null"),SUBSTITUTE(VLOOKUP(E$2,convert!$A$1:$B$4,2,0),"@@@",E649))</f>
        <v>55</v>
      </c>
      <c r="U649" s="4" t="str">
        <f>IF(F649="",IF(ISNUMBER(SEARCH("NOT NULL",UPPER(F$3))),"''","null"),SUBSTITUTE(VLOOKUP(F$2,convert!$A$1:$B$4,2,0),"@@@",F649))</f>
        <v>77</v>
      </c>
      <c r="V649" s="4" t="str">
        <f>IF(G649="",IF(ISNUMBER(SEARCH("NOT NULL",UPPER(G$3))),"''","null"),SUBSTITUTE(VLOOKUP(G$2,convert!$A$1:$B$4,2,0),"@@@",G649))</f>
        <v>55</v>
      </c>
      <c r="W649" s="4" t="str">
        <f>IF(H649="",IF(ISNUMBER(SEARCH("NOT NULL",UPPER(H$3))),"''","null"),SUBSTITUTE(VLOOKUP(H$2,convert!$A$1:$B$4,2,0),"@@@",H649))</f>
        <v>114</v>
      </c>
      <c r="X649" s="4" t="str">
        <f>IF(I649="",IF(ISNUMBER(SEARCH("NOT NULL",UPPER(I$3))),"''","null"),SUBSTITUTE(VLOOKUP(I$2,convert!$A$1:$B$4,2,0),"@@@",I649))</f>
        <v>''</v>
      </c>
      <c r="Y649" s="4" t="str">
        <f>IF(J649="",IF(ISNUMBER(SEARCH("NOT NULL",UPPER(J$3))),"''","null"),SUBSTITUTE(VLOOKUP(J$2,convert!$A$1:$B$4,2,0),"@@@",J649))</f>
        <v>'psychic'</v>
      </c>
      <c r="Z649" s="4" t="str">
        <f>IF(K649="",IF(ISNUMBER(SEARCH("NOT NULL",UPPER(K$3))),"''","null"),SUBSTITUTE(VLOOKUP(K$2,convert!$A$1:$B$4,2,0),"@@@",K649))</f>
        <v>'flying'</v>
      </c>
      <c r="AA649" s="4" t="str">
        <f>IF(L649="",IF(ISNUMBER(SEARCH("NOT NULL",UPPER(L$3))),"''","null"),SUBSTITUTE(VLOOKUP(L$2,convert!$A$1:$B$4,2,0),"@@@",L649))</f>
        <v>'g5'</v>
      </c>
      <c r="AB649" s="4" t="str">
        <f>IF(M649="",IF(ISNUMBER(SEARCH("NOT NULL",UPPER(M$3))),"''","null"),SUBSTITUTE(VLOOKUP(M$2,convert!$A$1:$B$4,2,0),"@@@",M649))</f>
        <v>null</v>
      </c>
      <c r="AC649" s="4" t="str">
        <f>IF(N649="",IF(ISNUMBER(SEARCH("NOT NULL",UPPER(N$3))),"''","null"),SUBSTITUTE(VLOOKUP(N$2,convert!$A$1:$B$4,2,0),"@@@",N649))</f>
        <v>null</v>
      </c>
      <c r="AD649" s="4" t="str">
        <f>IF(O649="",IF(ISNUMBER(SEARCH("NOT NULL",UPPER(O$3))),"''","null"),SUBSTITUTE(VLOOKUP(O$2,convert!$A$1:$B$4,2,0),"@@@",O649))</f>
        <v>TRUE</v>
      </c>
      <c r="AE649" s="4" t="str">
        <f t="shared" si="10"/>
        <v>    ('0528N01', 'ココロモリ', 67, 57, 55, 77, 55, 114, '', 'psychic', 'flying', 'g5', null, null, TRUE),</v>
      </c>
    </row>
    <row r="650" spans="1:31">
      <c r="A650" s="4" t="s">
        <v>1313</v>
      </c>
      <c r="B650" s="4" t="s">
        <v>1314</v>
      </c>
      <c r="C650" s="5">
        <v>60</v>
      </c>
      <c r="D650" s="5">
        <v>85</v>
      </c>
      <c r="E650" s="5">
        <v>40</v>
      </c>
      <c r="F650" s="5">
        <v>30</v>
      </c>
      <c r="G650" s="5">
        <v>45</v>
      </c>
      <c r="H650" s="5">
        <v>68</v>
      </c>
      <c r="I650" s="5"/>
      <c r="J650" s="4" t="s">
        <v>116</v>
      </c>
      <c r="K650" s="5"/>
      <c r="L650" s="4" t="s">
        <v>1243</v>
      </c>
      <c r="M650" s="5"/>
      <c r="N650" s="5"/>
      <c r="O650" s="5" t="b">
        <v>1</v>
      </c>
      <c r="P650" s="4" t="str">
        <f>IF(A650="",IF(ISNUMBER(SEARCH("NOT NULL",UPPER(A$3))),"''","null"),SUBSTITUTE(VLOOKUP(A$2,convert!$A$1:$B$4,2,0),"@@@",A650))</f>
        <v>'0529N01'</v>
      </c>
      <c r="Q650" s="4" t="str">
        <f>IF(B650="",IF(ISNUMBER(SEARCH("NOT NULL",UPPER(B$3))),"''","null"),SUBSTITUTE(VLOOKUP(B$2,convert!$A$1:$B$4,2,0),"@@@",B650))</f>
        <v>'モグリュー'</v>
      </c>
      <c r="R650" s="4" t="str">
        <f>IF(C650="",IF(ISNUMBER(SEARCH("NOT NULL",UPPER(C$3))),"''","null"),SUBSTITUTE(VLOOKUP(C$2,convert!$A$1:$B$4,2,0),"@@@",C650))</f>
        <v>60</v>
      </c>
      <c r="S650" s="4" t="str">
        <f>IF(D650="",IF(ISNUMBER(SEARCH("NOT NULL",UPPER(D$3))),"''","null"),SUBSTITUTE(VLOOKUP(D$2,convert!$A$1:$B$4,2,0),"@@@",D650))</f>
        <v>85</v>
      </c>
      <c r="T650" s="4" t="str">
        <f>IF(E650="",IF(ISNUMBER(SEARCH("NOT NULL",UPPER(E$3))),"''","null"),SUBSTITUTE(VLOOKUP(E$2,convert!$A$1:$B$4,2,0),"@@@",E650))</f>
        <v>40</v>
      </c>
      <c r="U650" s="4" t="str">
        <f>IF(F650="",IF(ISNUMBER(SEARCH("NOT NULL",UPPER(F$3))),"''","null"),SUBSTITUTE(VLOOKUP(F$2,convert!$A$1:$B$4,2,0),"@@@",F650))</f>
        <v>30</v>
      </c>
      <c r="V650" s="4" t="str">
        <f>IF(G650="",IF(ISNUMBER(SEARCH("NOT NULL",UPPER(G$3))),"''","null"),SUBSTITUTE(VLOOKUP(G$2,convert!$A$1:$B$4,2,0),"@@@",G650))</f>
        <v>45</v>
      </c>
      <c r="W650" s="4" t="str">
        <f>IF(H650="",IF(ISNUMBER(SEARCH("NOT NULL",UPPER(H$3))),"''","null"),SUBSTITUTE(VLOOKUP(H$2,convert!$A$1:$B$4,2,0),"@@@",H650))</f>
        <v>68</v>
      </c>
      <c r="X650" s="4" t="str">
        <f>IF(I650="",IF(ISNUMBER(SEARCH("NOT NULL",UPPER(I$3))),"''","null"),SUBSTITUTE(VLOOKUP(I$2,convert!$A$1:$B$4,2,0),"@@@",I650))</f>
        <v>''</v>
      </c>
      <c r="Y650" s="4" t="str">
        <f>IF(J650="",IF(ISNUMBER(SEARCH("NOT NULL",UPPER(J$3))),"''","null"),SUBSTITUTE(VLOOKUP(J$2,convert!$A$1:$B$4,2,0),"@@@",J650))</f>
        <v>'ground'</v>
      </c>
      <c r="Z650" s="4" t="str">
        <f>IF(K650="",IF(ISNUMBER(SEARCH("NOT NULL",UPPER(K$3))),"''","null"),SUBSTITUTE(VLOOKUP(K$2,convert!$A$1:$B$4,2,0),"@@@",K650))</f>
        <v>null</v>
      </c>
      <c r="AA650" s="4" t="str">
        <f>IF(L650="",IF(ISNUMBER(SEARCH("NOT NULL",UPPER(L$3))),"''","null"),SUBSTITUTE(VLOOKUP(L$2,convert!$A$1:$B$4,2,0),"@@@",L650))</f>
        <v>'g5'</v>
      </c>
      <c r="AB650" s="4" t="str">
        <f>IF(M650="",IF(ISNUMBER(SEARCH("NOT NULL",UPPER(M$3))),"''","null"),SUBSTITUTE(VLOOKUP(M$2,convert!$A$1:$B$4,2,0),"@@@",M650))</f>
        <v>null</v>
      </c>
      <c r="AC650" s="4" t="str">
        <f>IF(N650="",IF(ISNUMBER(SEARCH("NOT NULL",UPPER(N$3))),"''","null"),SUBSTITUTE(VLOOKUP(N$2,convert!$A$1:$B$4,2,0),"@@@",N650))</f>
        <v>null</v>
      </c>
      <c r="AD650" s="4" t="str">
        <f>IF(O650="",IF(ISNUMBER(SEARCH("NOT NULL",UPPER(O$3))),"''","null"),SUBSTITUTE(VLOOKUP(O$2,convert!$A$1:$B$4,2,0),"@@@",O650))</f>
        <v>TRUE</v>
      </c>
      <c r="AE650" s="4" t="str">
        <f t="shared" si="10"/>
        <v>    ('0529N01', 'モグリュー', 60, 85, 40, 30, 45, 68, '', 'ground', null, 'g5', null, null, TRUE),</v>
      </c>
    </row>
    <row r="651" spans="1:31">
      <c r="A651" s="4" t="s">
        <v>1315</v>
      </c>
      <c r="B651" s="4" t="s">
        <v>1316</v>
      </c>
      <c r="C651" s="5">
        <v>110</v>
      </c>
      <c r="D651" s="5">
        <v>135</v>
      </c>
      <c r="E651" s="5">
        <v>60</v>
      </c>
      <c r="F651" s="5">
        <v>50</v>
      </c>
      <c r="G651" s="5">
        <v>65</v>
      </c>
      <c r="H651" s="5">
        <v>88</v>
      </c>
      <c r="I651" s="5"/>
      <c r="J651" s="4" t="s">
        <v>116</v>
      </c>
      <c r="K651" s="4" t="s">
        <v>119</v>
      </c>
      <c r="L651" s="4" t="s">
        <v>1243</v>
      </c>
      <c r="M651" s="5"/>
      <c r="N651" s="5"/>
      <c r="O651" s="5" t="b">
        <v>1</v>
      </c>
      <c r="P651" s="4" t="str">
        <f>IF(A651="",IF(ISNUMBER(SEARCH("NOT NULL",UPPER(A$3))),"''","null"),SUBSTITUTE(VLOOKUP(A$2,convert!$A$1:$B$4,2,0),"@@@",A651))</f>
        <v>'0530N01'</v>
      </c>
      <c r="Q651" s="4" t="str">
        <f>IF(B651="",IF(ISNUMBER(SEARCH("NOT NULL",UPPER(B$3))),"''","null"),SUBSTITUTE(VLOOKUP(B$2,convert!$A$1:$B$4,2,0),"@@@",B651))</f>
        <v>'ドリュウズ'</v>
      </c>
      <c r="R651" s="4" t="str">
        <f>IF(C651="",IF(ISNUMBER(SEARCH("NOT NULL",UPPER(C$3))),"''","null"),SUBSTITUTE(VLOOKUP(C$2,convert!$A$1:$B$4,2,0),"@@@",C651))</f>
        <v>110</v>
      </c>
      <c r="S651" s="4" t="str">
        <f>IF(D651="",IF(ISNUMBER(SEARCH("NOT NULL",UPPER(D$3))),"''","null"),SUBSTITUTE(VLOOKUP(D$2,convert!$A$1:$B$4,2,0),"@@@",D651))</f>
        <v>135</v>
      </c>
      <c r="T651" s="4" t="str">
        <f>IF(E651="",IF(ISNUMBER(SEARCH("NOT NULL",UPPER(E$3))),"''","null"),SUBSTITUTE(VLOOKUP(E$2,convert!$A$1:$B$4,2,0),"@@@",E651))</f>
        <v>60</v>
      </c>
      <c r="U651" s="4" t="str">
        <f>IF(F651="",IF(ISNUMBER(SEARCH("NOT NULL",UPPER(F$3))),"''","null"),SUBSTITUTE(VLOOKUP(F$2,convert!$A$1:$B$4,2,0),"@@@",F651))</f>
        <v>50</v>
      </c>
      <c r="V651" s="4" t="str">
        <f>IF(G651="",IF(ISNUMBER(SEARCH("NOT NULL",UPPER(G$3))),"''","null"),SUBSTITUTE(VLOOKUP(G$2,convert!$A$1:$B$4,2,0),"@@@",G651))</f>
        <v>65</v>
      </c>
      <c r="W651" s="4" t="str">
        <f>IF(H651="",IF(ISNUMBER(SEARCH("NOT NULL",UPPER(H$3))),"''","null"),SUBSTITUTE(VLOOKUP(H$2,convert!$A$1:$B$4,2,0),"@@@",H651))</f>
        <v>88</v>
      </c>
      <c r="X651" s="4" t="str">
        <f>IF(I651="",IF(ISNUMBER(SEARCH("NOT NULL",UPPER(I$3))),"''","null"),SUBSTITUTE(VLOOKUP(I$2,convert!$A$1:$B$4,2,0),"@@@",I651))</f>
        <v>''</v>
      </c>
      <c r="Y651" s="4" t="str">
        <f>IF(J651="",IF(ISNUMBER(SEARCH("NOT NULL",UPPER(J$3))),"''","null"),SUBSTITUTE(VLOOKUP(J$2,convert!$A$1:$B$4,2,0),"@@@",J651))</f>
        <v>'ground'</v>
      </c>
      <c r="Z651" s="4" t="str">
        <f>IF(K651="",IF(ISNUMBER(SEARCH("NOT NULL",UPPER(K$3))),"''","null"),SUBSTITUTE(VLOOKUP(K$2,convert!$A$1:$B$4,2,0),"@@@",K651))</f>
        <v>'steel'</v>
      </c>
      <c r="AA651" s="4" t="str">
        <f>IF(L651="",IF(ISNUMBER(SEARCH("NOT NULL",UPPER(L$3))),"''","null"),SUBSTITUTE(VLOOKUP(L$2,convert!$A$1:$B$4,2,0),"@@@",L651))</f>
        <v>'g5'</v>
      </c>
      <c r="AB651" s="4" t="str">
        <f>IF(M651="",IF(ISNUMBER(SEARCH("NOT NULL",UPPER(M$3))),"''","null"),SUBSTITUTE(VLOOKUP(M$2,convert!$A$1:$B$4,2,0),"@@@",M651))</f>
        <v>null</v>
      </c>
      <c r="AC651" s="4" t="str">
        <f>IF(N651="",IF(ISNUMBER(SEARCH("NOT NULL",UPPER(N$3))),"''","null"),SUBSTITUTE(VLOOKUP(N$2,convert!$A$1:$B$4,2,0),"@@@",N651))</f>
        <v>null</v>
      </c>
      <c r="AD651" s="4" t="str">
        <f>IF(O651="",IF(ISNUMBER(SEARCH("NOT NULL",UPPER(O$3))),"''","null"),SUBSTITUTE(VLOOKUP(O$2,convert!$A$1:$B$4,2,0),"@@@",O651))</f>
        <v>TRUE</v>
      </c>
      <c r="AE651" s="4" t="str">
        <f t="shared" si="10"/>
        <v>    ('0530N01', 'ドリュウズ', 110, 135, 60, 50, 65, 88, '', 'ground', 'steel', 'g5', null, null, TRUE),</v>
      </c>
    </row>
    <row r="652" spans="1:31">
      <c r="A652" s="4" t="s">
        <v>1317</v>
      </c>
      <c r="B652" s="4" t="s">
        <v>1318</v>
      </c>
      <c r="C652" s="5">
        <v>103</v>
      </c>
      <c r="D652" s="5">
        <v>60</v>
      </c>
      <c r="E652" s="5">
        <v>86</v>
      </c>
      <c r="F652" s="5">
        <v>60</v>
      </c>
      <c r="G652" s="5">
        <v>86</v>
      </c>
      <c r="H652" s="5">
        <v>50</v>
      </c>
      <c r="I652" s="5"/>
      <c r="J652" s="4" t="s">
        <v>80</v>
      </c>
      <c r="K652" s="5"/>
      <c r="L652" s="4" t="s">
        <v>1243</v>
      </c>
      <c r="M652" s="5"/>
      <c r="N652" s="5"/>
      <c r="O652" s="5" t="b">
        <v>1</v>
      </c>
      <c r="P652" s="4" t="str">
        <f>IF(A652="",IF(ISNUMBER(SEARCH("NOT NULL",UPPER(A$3))),"''","null"),SUBSTITUTE(VLOOKUP(A$2,convert!$A$1:$B$4,2,0),"@@@",A652))</f>
        <v>'0531N01'</v>
      </c>
      <c r="Q652" s="4" t="str">
        <f>IF(B652="",IF(ISNUMBER(SEARCH("NOT NULL",UPPER(B$3))),"''","null"),SUBSTITUTE(VLOOKUP(B$2,convert!$A$1:$B$4,2,0),"@@@",B652))</f>
        <v>'タブンネ'</v>
      </c>
      <c r="R652" s="4" t="str">
        <f>IF(C652="",IF(ISNUMBER(SEARCH("NOT NULL",UPPER(C$3))),"''","null"),SUBSTITUTE(VLOOKUP(C$2,convert!$A$1:$B$4,2,0),"@@@",C652))</f>
        <v>103</v>
      </c>
      <c r="S652" s="4" t="str">
        <f>IF(D652="",IF(ISNUMBER(SEARCH("NOT NULL",UPPER(D$3))),"''","null"),SUBSTITUTE(VLOOKUP(D$2,convert!$A$1:$B$4,2,0),"@@@",D652))</f>
        <v>60</v>
      </c>
      <c r="T652" s="4" t="str">
        <f>IF(E652="",IF(ISNUMBER(SEARCH("NOT NULL",UPPER(E$3))),"''","null"),SUBSTITUTE(VLOOKUP(E$2,convert!$A$1:$B$4,2,0),"@@@",E652))</f>
        <v>86</v>
      </c>
      <c r="U652" s="4" t="str">
        <f>IF(F652="",IF(ISNUMBER(SEARCH("NOT NULL",UPPER(F$3))),"''","null"),SUBSTITUTE(VLOOKUP(F$2,convert!$A$1:$B$4,2,0),"@@@",F652))</f>
        <v>60</v>
      </c>
      <c r="V652" s="4" t="str">
        <f>IF(G652="",IF(ISNUMBER(SEARCH("NOT NULL",UPPER(G$3))),"''","null"),SUBSTITUTE(VLOOKUP(G$2,convert!$A$1:$B$4,2,0),"@@@",G652))</f>
        <v>86</v>
      </c>
      <c r="W652" s="4" t="str">
        <f>IF(H652="",IF(ISNUMBER(SEARCH("NOT NULL",UPPER(H$3))),"''","null"),SUBSTITUTE(VLOOKUP(H$2,convert!$A$1:$B$4,2,0),"@@@",H652))</f>
        <v>50</v>
      </c>
      <c r="X652" s="4" t="str">
        <f>IF(I652="",IF(ISNUMBER(SEARCH("NOT NULL",UPPER(I$3))),"''","null"),SUBSTITUTE(VLOOKUP(I$2,convert!$A$1:$B$4,2,0),"@@@",I652))</f>
        <v>''</v>
      </c>
      <c r="Y652" s="4" t="str">
        <f>IF(J652="",IF(ISNUMBER(SEARCH("NOT NULL",UPPER(J$3))),"''","null"),SUBSTITUTE(VLOOKUP(J$2,convert!$A$1:$B$4,2,0),"@@@",J652))</f>
        <v>'normal'</v>
      </c>
      <c r="Z652" s="4" t="str">
        <f>IF(K652="",IF(ISNUMBER(SEARCH("NOT NULL",UPPER(K$3))),"''","null"),SUBSTITUTE(VLOOKUP(K$2,convert!$A$1:$B$4,2,0),"@@@",K652))</f>
        <v>null</v>
      </c>
      <c r="AA652" s="4" t="str">
        <f>IF(L652="",IF(ISNUMBER(SEARCH("NOT NULL",UPPER(L$3))),"''","null"),SUBSTITUTE(VLOOKUP(L$2,convert!$A$1:$B$4,2,0),"@@@",L652))</f>
        <v>'g5'</v>
      </c>
      <c r="AB652" s="4" t="str">
        <f>IF(M652="",IF(ISNUMBER(SEARCH("NOT NULL",UPPER(M$3))),"''","null"),SUBSTITUTE(VLOOKUP(M$2,convert!$A$1:$B$4,2,0),"@@@",M652))</f>
        <v>null</v>
      </c>
      <c r="AC652" s="4" t="str">
        <f>IF(N652="",IF(ISNUMBER(SEARCH("NOT NULL",UPPER(N$3))),"''","null"),SUBSTITUTE(VLOOKUP(N$2,convert!$A$1:$B$4,2,0),"@@@",N652))</f>
        <v>null</v>
      </c>
      <c r="AD652" s="4" t="str">
        <f>IF(O652="",IF(ISNUMBER(SEARCH("NOT NULL",UPPER(O$3))),"''","null"),SUBSTITUTE(VLOOKUP(O$2,convert!$A$1:$B$4,2,0),"@@@",O652))</f>
        <v>TRUE</v>
      </c>
      <c r="AE652" s="4" t="str">
        <f t="shared" si="10"/>
        <v>    ('0531N01', 'タブンネ', 103, 60, 86, 60, 86, 50, '', 'normal', null, 'g5', null, null, TRUE),</v>
      </c>
    </row>
    <row r="653" spans="1:31">
      <c r="A653" s="4" t="s">
        <v>1319</v>
      </c>
      <c r="B653" s="4" t="s">
        <v>1320</v>
      </c>
      <c r="C653" s="5">
        <v>103</v>
      </c>
      <c r="D653" s="5">
        <v>60</v>
      </c>
      <c r="E653" s="5">
        <v>126</v>
      </c>
      <c r="F653" s="5">
        <v>80</v>
      </c>
      <c r="G653" s="5">
        <v>126</v>
      </c>
      <c r="H653" s="5">
        <v>50</v>
      </c>
      <c r="I653" s="5"/>
      <c r="J653" s="4" t="s">
        <v>80</v>
      </c>
      <c r="K653" s="4" t="s">
        <v>137</v>
      </c>
      <c r="L653" s="4" t="s">
        <v>77</v>
      </c>
      <c r="M653" s="5"/>
      <c r="N653" s="5"/>
      <c r="O653" s="5" t="b">
        <v>0</v>
      </c>
      <c r="P653" s="4" t="str">
        <f>IF(A653="",IF(ISNUMBER(SEARCH("NOT NULL",UPPER(A$3))),"''","null"),SUBSTITUTE(VLOOKUP(A$2,convert!$A$1:$B$4,2,0),"@@@",A653))</f>
        <v>'0531M01'</v>
      </c>
      <c r="Q653" s="4" t="str">
        <f>IF(B653="",IF(ISNUMBER(SEARCH("NOT NULL",UPPER(B$3))),"''","null"),SUBSTITUTE(VLOOKUP(B$2,convert!$A$1:$B$4,2,0),"@@@",B653))</f>
        <v>'メガタブンネ'</v>
      </c>
      <c r="R653" s="4" t="str">
        <f>IF(C653="",IF(ISNUMBER(SEARCH("NOT NULL",UPPER(C$3))),"''","null"),SUBSTITUTE(VLOOKUP(C$2,convert!$A$1:$B$4,2,0),"@@@",C653))</f>
        <v>103</v>
      </c>
      <c r="S653" s="4" t="str">
        <f>IF(D653="",IF(ISNUMBER(SEARCH("NOT NULL",UPPER(D$3))),"''","null"),SUBSTITUTE(VLOOKUP(D$2,convert!$A$1:$B$4,2,0),"@@@",D653))</f>
        <v>60</v>
      </c>
      <c r="T653" s="4" t="str">
        <f>IF(E653="",IF(ISNUMBER(SEARCH("NOT NULL",UPPER(E$3))),"''","null"),SUBSTITUTE(VLOOKUP(E$2,convert!$A$1:$B$4,2,0),"@@@",E653))</f>
        <v>126</v>
      </c>
      <c r="U653" s="4" t="str">
        <f>IF(F653="",IF(ISNUMBER(SEARCH("NOT NULL",UPPER(F$3))),"''","null"),SUBSTITUTE(VLOOKUP(F$2,convert!$A$1:$B$4,2,0),"@@@",F653))</f>
        <v>80</v>
      </c>
      <c r="V653" s="4" t="str">
        <f>IF(G653="",IF(ISNUMBER(SEARCH("NOT NULL",UPPER(G$3))),"''","null"),SUBSTITUTE(VLOOKUP(G$2,convert!$A$1:$B$4,2,0),"@@@",G653))</f>
        <v>126</v>
      </c>
      <c r="W653" s="4" t="str">
        <f>IF(H653="",IF(ISNUMBER(SEARCH("NOT NULL",UPPER(H$3))),"''","null"),SUBSTITUTE(VLOOKUP(H$2,convert!$A$1:$B$4,2,0),"@@@",H653))</f>
        <v>50</v>
      </c>
      <c r="X653" s="4" t="str">
        <f>IF(I653="",IF(ISNUMBER(SEARCH("NOT NULL",UPPER(I$3))),"''","null"),SUBSTITUTE(VLOOKUP(I$2,convert!$A$1:$B$4,2,0),"@@@",I653))</f>
        <v>''</v>
      </c>
      <c r="Y653" s="4" t="str">
        <f>IF(J653="",IF(ISNUMBER(SEARCH("NOT NULL",UPPER(J$3))),"''","null"),SUBSTITUTE(VLOOKUP(J$2,convert!$A$1:$B$4,2,0),"@@@",J653))</f>
        <v>'normal'</v>
      </c>
      <c r="Z653" s="4" t="str">
        <f>IF(K653="",IF(ISNUMBER(SEARCH("NOT NULL",UPPER(K$3))),"''","null"),SUBSTITUTE(VLOOKUP(K$2,convert!$A$1:$B$4,2,0),"@@@",K653))</f>
        <v>'fairy'</v>
      </c>
      <c r="AA653" s="4" t="str">
        <f>IF(L653="",IF(ISNUMBER(SEARCH("NOT NULL",UPPER(L$3))),"''","null"),SUBSTITUTE(VLOOKUP(L$2,convert!$A$1:$B$4,2,0),"@@@",L653))</f>
        <v>'g6oras'</v>
      </c>
      <c r="AB653" s="4" t="str">
        <f>IF(M653="",IF(ISNUMBER(SEARCH("NOT NULL",UPPER(M$3))),"''","null"),SUBSTITUTE(VLOOKUP(M$2,convert!$A$1:$B$4,2,0),"@@@",M653))</f>
        <v>null</v>
      </c>
      <c r="AC653" s="4" t="str">
        <f>IF(N653="",IF(ISNUMBER(SEARCH("NOT NULL",UPPER(N$3))),"''","null"),SUBSTITUTE(VLOOKUP(N$2,convert!$A$1:$B$4,2,0),"@@@",N653))</f>
        <v>null</v>
      </c>
      <c r="AD653" s="4" t="str">
        <f>IF(O653="",IF(ISNUMBER(SEARCH("NOT NULL",UPPER(O$3))),"''","null"),SUBSTITUTE(VLOOKUP(O$2,convert!$A$1:$B$4,2,0),"@@@",O653))</f>
        <v>FALSE</v>
      </c>
      <c r="AE653" s="4" t="str">
        <f t="shared" si="10"/>
        <v>    ('0531M01', 'メガタブンネ', 103, 60, 126, 80, 126, 50, '', 'normal', 'fairy', 'g6oras', null, null, FALSE),</v>
      </c>
    </row>
    <row r="654" spans="1:31">
      <c r="A654" s="4" t="s">
        <v>1321</v>
      </c>
      <c r="B654" s="4" t="s">
        <v>1322</v>
      </c>
      <c r="C654" s="5">
        <v>75</v>
      </c>
      <c r="D654" s="5">
        <v>80</v>
      </c>
      <c r="E654" s="5">
        <v>55</v>
      </c>
      <c r="F654" s="5">
        <v>25</v>
      </c>
      <c r="G654" s="5">
        <v>35</v>
      </c>
      <c r="H654" s="5">
        <v>35</v>
      </c>
      <c r="I654" s="5"/>
      <c r="J654" s="4" t="s">
        <v>189</v>
      </c>
      <c r="K654" s="5"/>
      <c r="L654" s="4" t="s">
        <v>1243</v>
      </c>
      <c r="M654" s="5"/>
      <c r="N654" s="5"/>
      <c r="O654" s="5" t="b">
        <v>1</v>
      </c>
      <c r="P654" s="4" t="str">
        <f>IF(A654="",IF(ISNUMBER(SEARCH("NOT NULL",UPPER(A$3))),"''","null"),SUBSTITUTE(VLOOKUP(A$2,convert!$A$1:$B$4,2,0),"@@@",A654))</f>
        <v>'0532N01'</v>
      </c>
      <c r="Q654" s="4" t="str">
        <f>IF(B654="",IF(ISNUMBER(SEARCH("NOT NULL",UPPER(B$3))),"''","null"),SUBSTITUTE(VLOOKUP(B$2,convert!$A$1:$B$4,2,0),"@@@",B654))</f>
        <v>'ドッコラー'</v>
      </c>
      <c r="R654" s="4" t="str">
        <f>IF(C654="",IF(ISNUMBER(SEARCH("NOT NULL",UPPER(C$3))),"''","null"),SUBSTITUTE(VLOOKUP(C$2,convert!$A$1:$B$4,2,0),"@@@",C654))</f>
        <v>75</v>
      </c>
      <c r="S654" s="4" t="str">
        <f>IF(D654="",IF(ISNUMBER(SEARCH("NOT NULL",UPPER(D$3))),"''","null"),SUBSTITUTE(VLOOKUP(D$2,convert!$A$1:$B$4,2,0),"@@@",D654))</f>
        <v>80</v>
      </c>
      <c r="T654" s="4" t="str">
        <f>IF(E654="",IF(ISNUMBER(SEARCH("NOT NULL",UPPER(E$3))),"''","null"),SUBSTITUTE(VLOOKUP(E$2,convert!$A$1:$B$4,2,0),"@@@",E654))</f>
        <v>55</v>
      </c>
      <c r="U654" s="4" t="str">
        <f>IF(F654="",IF(ISNUMBER(SEARCH("NOT NULL",UPPER(F$3))),"''","null"),SUBSTITUTE(VLOOKUP(F$2,convert!$A$1:$B$4,2,0),"@@@",F654))</f>
        <v>25</v>
      </c>
      <c r="V654" s="4" t="str">
        <f>IF(G654="",IF(ISNUMBER(SEARCH("NOT NULL",UPPER(G$3))),"''","null"),SUBSTITUTE(VLOOKUP(G$2,convert!$A$1:$B$4,2,0),"@@@",G654))</f>
        <v>35</v>
      </c>
      <c r="W654" s="4" t="str">
        <f>IF(H654="",IF(ISNUMBER(SEARCH("NOT NULL",UPPER(H$3))),"''","null"),SUBSTITUTE(VLOOKUP(H$2,convert!$A$1:$B$4,2,0),"@@@",H654))</f>
        <v>35</v>
      </c>
      <c r="X654" s="4" t="str">
        <f>IF(I654="",IF(ISNUMBER(SEARCH("NOT NULL",UPPER(I$3))),"''","null"),SUBSTITUTE(VLOOKUP(I$2,convert!$A$1:$B$4,2,0),"@@@",I654))</f>
        <v>''</v>
      </c>
      <c r="Y654" s="4" t="str">
        <f>IF(J654="",IF(ISNUMBER(SEARCH("NOT NULL",UPPER(J$3))),"''","null"),SUBSTITUTE(VLOOKUP(J$2,convert!$A$1:$B$4,2,0),"@@@",J654))</f>
        <v>'fighting'</v>
      </c>
      <c r="Z654" s="4" t="str">
        <f>IF(K654="",IF(ISNUMBER(SEARCH("NOT NULL",UPPER(K$3))),"''","null"),SUBSTITUTE(VLOOKUP(K$2,convert!$A$1:$B$4,2,0),"@@@",K654))</f>
        <v>null</v>
      </c>
      <c r="AA654" s="4" t="str">
        <f>IF(L654="",IF(ISNUMBER(SEARCH("NOT NULL",UPPER(L$3))),"''","null"),SUBSTITUTE(VLOOKUP(L$2,convert!$A$1:$B$4,2,0),"@@@",L654))</f>
        <v>'g5'</v>
      </c>
      <c r="AB654" s="4" t="str">
        <f>IF(M654="",IF(ISNUMBER(SEARCH("NOT NULL",UPPER(M$3))),"''","null"),SUBSTITUTE(VLOOKUP(M$2,convert!$A$1:$B$4,2,0),"@@@",M654))</f>
        <v>null</v>
      </c>
      <c r="AC654" s="4" t="str">
        <f>IF(N654="",IF(ISNUMBER(SEARCH("NOT NULL",UPPER(N$3))),"''","null"),SUBSTITUTE(VLOOKUP(N$2,convert!$A$1:$B$4,2,0),"@@@",N654))</f>
        <v>null</v>
      </c>
      <c r="AD654" s="4" t="str">
        <f>IF(O654="",IF(ISNUMBER(SEARCH("NOT NULL",UPPER(O$3))),"''","null"),SUBSTITUTE(VLOOKUP(O$2,convert!$A$1:$B$4,2,0),"@@@",O654))</f>
        <v>TRUE</v>
      </c>
      <c r="AE654" s="4" t="str">
        <f t="shared" si="10"/>
        <v>    ('0532N01', 'ドッコラー', 75, 80, 55, 25, 35, 35, '', 'fighting', null, 'g5', null, null, TRUE),</v>
      </c>
    </row>
    <row r="655" spans="1:31">
      <c r="A655" s="4" t="s">
        <v>1323</v>
      </c>
      <c r="B655" s="4" t="s">
        <v>1324</v>
      </c>
      <c r="C655" s="5">
        <v>85</v>
      </c>
      <c r="D655" s="5">
        <v>105</v>
      </c>
      <c r="E655" s="5">
        <v>85</v>
      </c>
      <c r="F655" s="5">
        <v>40</v>
      </c>
      <c r="G655" s="5">
        <v>50</v>
      </c>
      <c r="H655" s="5">
        <v>40</v>
      </c>
      <c r="I655" s="5"/>
      <c r="J655" s="4" t="s">
        <v>189</v>
      </c>
      <c r="K655" s="5"/>
      <c r="L655" s="4" t="s">
        <v>1243</v>
      </c>
      <c r="M655" s="5"/>
      <c r="N655" s="5"/>
      <c r="O655" s="5" t="b">
        <v>1</v>
      </c>
      <c r="P655" s="4" t="str">
        <f>IF(A655="",IF(ISNUMBER(SEARCH("NOT NULL",UPPER(A$3))),"''","null"),SUBSTITUTE(VLOOKUP(A$2,convert!$A$1:$B$4,2,0),"@@@",A655))</f>
        <v>'0533N01'</v>
      </c>
      <c r="Q655" s="4" t="str">
        <f>IF(B655="",IF(ISNUMBER(SEARCH("NOT NULL",UPPER(B$3))),"''","null"),SUBSTITUTE(VLOOKUP(B$2,convert!$A$1:$B$4,2,0),"@@@",B655))</f>
        <v>'ドテッコツ'</v>
      </c>
      <c r="R655" s="4" t="str">
        <f>IF(C655="",IF(ISNUMBER(SEARCH("NOT NULL",UPPER(C$3))),"''","null"),SUBSTITUTE(VLOOKUP(C$2,convert!$A$1:$B$4,2,0),"@@@",C655))</f>
        <v>85</v>
      </c>
      <c r="S655" s="4" t="str">
        <f>IF(D655="",IF(ISNUMBER(SEARCH("NOT NULL",UPPER(D$3))),"''","null"),SUBSTITUTE(VLOOKUP(D$2,convert!$A$1:$B$4,2,0),"@@@",D655))</f>
        <v>105</v>
      </c>
      <c r="T655" s="4" t="str">
        <f>IF(E655="",IF(ISNUMBER(SEARCH("NOT NULL",UPPER(E$3))),"''","null"),SUBSTITUTE(VLOOKUP(E$2,convert!$A$1:$B$4,2,0),"@@@",E655))</f>
        <v>85</v>
      </c>
      <c r="U655" s="4" t="str">
        <f>IF(F655="",IF(ISNUMBER(SEARCH("NOT NULL",UPPER(F$3))),"''","null"),SUBSTITUTE(VLOOKUP(F$2,convert!$A$1:$B$4,2,0),"@@@",F655))</f>
        <v>40</v>
      </c>
      <c r="V655" s="4" t="str">
        <f>IF(G655="",IF(ISNUMBER(SEARCH("NOT NULL",UPPER(G$3))),"''","null"),SUBSTITUTE(VLOOKUP(G$2,convert!$A$1:$B$4,2,0),"@@@",G655))</f>
        <v>50</v>
      </c>
      <c r="W655" s="4" t="str">
        <f>IF(H655="",IF(ISNUMBER(SEARCH("NOT NULL",UPPER(H$3))),"''","null"),SUBSTITUTE(VLOOKUP(H$2,convert!$A$1:$B$4,2,0),"@@@",H655))</f>
        <v>40</v>
      </c>
      <c r="X655" s="4" t="str">
        <f>IF(I655="",IF(ISNUMBER(SEARCH("NOT NULL",UPPER(I$3))),"''","null"),SUBSTITUTE(VLOOKUP(I$2,convert!$A$1:$B$4,2,0),"@@@",I655))</f>
        <v>''</v>
      </c>
      <c r="Y655" s="4" t="str">
        <f>IF(J655="",IF(ISNUMBER(SEARCH("NOT NULL",UPPER(J$3))),"''","null"),SUBSTITUTE(VLOOKUP(J$2,convert!$A$1:$B$4,2,0),"@@@",J655))</f>
        <v>'fighting'</v>
      </c>
      <c r="Z655" s="4" t="str">
        <f>IF(K655="",IF(ISNUMBER(SEARCH("NOT NULL",UPPER(K$3))),"''","null"),SUBSTITUTE(VLOOKUP(K$2,convert!$A$1:$B$4,2,0),"@@@",K655))</f>
        <v>null</v>
      </c>
      <c r="AA655" s="4" t="str">
        <f>IF(L655="",IF(ISNUMBER(SEARCH("NOT NULL",UPPER(L$3))),"''","null"),SUBSTITUTE(VLOOKUP(L$2,convert!$A$1:$B$4,2,0),"@@@",L655))</f>
        <v>'g5'</v>
      </c>
      <c r="AB655" s="4" t="str">
        <f>IF(M655="",IF(ISNUMBER(SEARCH("NOT NULL",UPPER(M$3))),"''","null"),SUBSTITUTE(VLOOKUP(M$2,convert!$A$1:$B$4,2,0),"@@@",M655))</f>
        <v>null</v>
      </c>
      <c r="AC655" s="4" t="str">
        <f>IF(N655="",IF(ISNUMBER(SEARCH("NOT NULL",UPPER(N$3))),"''","null"),SUBSTITUTE(VLOOKUP(N$2,convert!$A$1:$B$4,2,0),"@@@",N655))</f>
        <v>null</v>
      </c>
      <c r="AD655" s="4" t="str">
        <f>IF(O655="",IF(ISNUMBER(SEARCH("NOT NULL",UPPER(O$3))),"''","null"),SUBSTITUTE(VLOOKUP(O$2,convert!$A$1:$B$4,2,0),"@@@",O655))</f>
        <v>TRUE</v>
      </c>
      <c r="AE655" s="4" t="str">
        <f t="shared" si="10"/>
        <v>    ('0533N01', 'ドテッコツ', 85, 105, 85, 40, 50, 40, '', 'fighting', null, 'g5', null, null, TRUE),</v>
      </c>
    </row>
    <row r="656" spans="1:31">
      <c r="A656" s="4" t="s">
        <v>1325</v>
      </c>
      <c r="B656" s="4" t="s">
        <v>1326</v>
      </c>
      <c r="C656" s="5">
        <v>105</v>
      </c>
      <c r="D656" s="5">
        <v>140</v>
      </c>
      <c r="E656" s="5">
        <v>95</v>
      </c>
      <c r="F656" s="5">
        <v>55</v>
      </c>
      <c r="G656" s="5">
        <v>65</v>
      </c>
      <c r="H656" s="5">
        <v>45</v>
      </c>
      <c r="I656" s="5"/>
      <c r="J656" s="4" t="s">
        <v>189</v>
      </c>
      <c r="K656" s="5"/>
      <c r="L656" s="4" t="s">
        <v>1243</v>
      </c>
      <c r="M656" s="5"/>
      <c r="N656" s="5"/>
      <c r="O656" s="5" t="b">
        <v>1</v>
      </c>
      <c r="P656" s="4" t="str">
        <f>IF(A656="",IF(ISNUMBER(SEARCH("NOT NULL",UPPER(A$3))),"''","null"),SUBSTITUTE(VLOOKUP(A$2,convert!$A$1:$B$4,2,0),"@@@",A656))</f>
        <v>'0534N01'</v>
      </c>
      <c r="Q656" s="4" t="str">
        <f>IF(B656="",IF(ISNUMBER(SEARCH("NOT NULL",UPPER(B$3))),"''","null"),SUBSTITUTE(VLOOKUP(B$2,convert!$A$1:$B$4,2,0),"@@@",B656))</f>
        <v>'ローブシン'</v>
      </c>
      <c r="R656" s="4" t="str">
        <f>IF(C656="",IF(ISNUMBER(SEARCH("NOT NULL",UPPER(C$3))),"''","null"),SUBSTITUTE(VLOOKUP(C$2,convert!$A$1:$B$4,2,0),"@@@",C656))</f>
        <v>105</v>
      </c>
      <c r="S656" s="4" t="str">
        <f>IF(D656="",IF(ISNUMBER(SEARCH("NOT NULL",UPPER(D$3))),"''","null"),SUBSTITUTE(VLOOKUP(D$2,convert!$A$1:$B$4,2,0),"@@@",D656))</f>
        <v>140</v>
      </c>
      <c r="T656" s="4" t="str">
        <f>IF(E656="",IF(ISNUMBER(SEARCH("NOT NULL",UPPER(E$3))),"''","null"),SUBSTITUTE(VLOOKUP(E$2,convert!$A$1:$B$4,2,0),"@@@",E656))</f>
        <v>95</v>
      </c>
      <c r="U656" s="4" t="str">
        <f>IF(F656="",IF(ISNUMBER(SEARCH("NOT NULL",UPPER(F$3))),"''","null"),SUBSTITUTE(VLOOKUP(F$2,convert!$A$1:$B$4,2,0),"@@@",F656))</f>
        <v>55</v>
      </c>
      <c r="V656" s="4" t="str">
        <f>IF(G656="",IF(ISNUMBER(SEARCH("NOT NULL",UPPER(G$3))),"''","null"),SUBSTITUTE(VLOOKUP(G$2,convert!$A$1:$B$4,2,0),"@@@",G656))</f>
        <v>65</v>
      </c>
      <c r="W656" s="4" t="str">
        <f>IF(H656="",IF(ISNUMBER(SEARCH("NOT NULL",UPPER(H$3))),"''","null"),SUBSTITUTE(VLOOKUP(H$2,convert!$A$1:$B$4,2,0),"@@@",H656))</f>
        <v>45</v>
      </c>
      <c r="X656" s="4" t="str">
        <f>IF(I656="",IF(ISNUMBER(SEARCH("NOT NULL",UPPER(I$3))),"''","null"),SUBSTITUTE(VLOOKUP(I$2,convert!$A$1:$B$4,2,0),"@@@",I656))</f>
        <v>''</v>
      </c>
      <c r="Y656" s="4" t="str">
        <f>IF(J656="",IF(ISNUMBER(SEARCH("NOT NULL",UPPER(J$3))),"''","null"),SUBSTITUTE(VLOOKUP(J$2,convert!$A$1:$B$4,2,0),"@@@",J656))</f>
        <v>'fighting'</v>
      </c>
      <c r="Z656" s="4" t="str">
        <f>IF(K656="",IF(ISNUMBER(SEARCH("NOT NULL",UPPER(K$3))),"''","null"),SUBSTITUTE(VLOOKUP(K$2,convert!$A$1:$B$4,2,0),"@@@",K656))</f>
        <v>null</v>
      </c>
      <c r="AA656" s="4" t="str">
        <f>IF(L656="",IF(ISNUMBER(SEARCH("NOT NULL",UPPER(L$3))),"''","null"),SUBSTITUTE(VLOOKUP(L$2,convert!$A$1:$B$4,2,0),"@@@",L656))</f>
        <v>'g5'</v>
      </c>
      <c r="AB656" s="4" t="str">
        <f>IF(M656="",IF(ISNUMBER(SEARCH("NOT NULL",UPPER(M$3))),"''","null"),SUBSTITUTE(VLOOKUP(M$2,convert!$A$1:$B$4,2,0),"@@@",M656))</f>
        <v>null</v>
      </c>
      <c r="AC656" s="4" t="str">
        <f>IF(N656="",IF(ISNUMBER(SEARCH("NOT NULL",UPPER(N$3))),"''","null"),SUBSTITUTE(VLOOKUP(N$2,convert!$A$1:$B$4,2,0),"@@@",N656))</f>
        <v>null</v>
      </c>
      <c r="AD656" s="4" t="str">
        <f>IF(O656="",IF(ISNUMBER(SEARCH("NOT NULL",UPPER(O$3))),"''","null"),SUBSTITUTE(VLOOKUP(O$2,convert!$A$1:$B$4,2,0),"@@@",O656))</f>
        <v>TRUE</v>
      </c>
      <c r="AE656" s="4" t="str">
        <f t="shared" si="10"/>
        <v>    ('0534N01', 'ローブシン', 105, 140, 95, 55, 65, 45, '', 'fighting', null, 'g5', null, null, TRUE),</v>
      </c>
    </row>
    <row r="657" spans="1:31">
      <c r="A657" s="4" t="s">
        <v>1327</v>
      </c>
      <c r="B657" s="4" t="s">
        <v>1328</v>
      </c>
      <c r="C657" s="5">
        <v>50</v>
      </c>
      <c r="D657" s="5">
        <v>50</v>
      </c>
      <c r="E657" s="5">
        <v>40</v>
      </c>
      <c r="F657" s="5">
        <v>50</v>
      </c>
      <c r="G657" s="5">
        <v>40</v>
      </c>
      <c r="H657" s="5">
        <v>64</v>
      </c>
      <c r="I657" s="5"/>
      <c r="J657" s="4" t="s">
        <v>55</v>
      </c>
      <c r="K657" s="5"/>
      <c r="L657" s="4" t="s">
        <v>1243</v>
      </c>
      <c r="M657" s="5"/>
      <c r="N657" s="5"/>
      <c r="O657" s="5" t="b">
        <v>1</v>
      </c>
      <c r="P657" s="4" t="str">
        <f>IF(A657="",IF(ISNUMBER(SEARCH("NOT NULL",UPPER(A$3))),"''","null"),SUBSTITUTE(VLOOKUP(A$2,convert!$A$1:$B$4,2,0),"@@@",A657))</f>
        <v>'0535N01'</v>
      </c>
      <c r="Q657" s="4" t="str">
        <f>IF(B657="",IF(ISNUMBER(SEARCH("NOT NULL",UPPER(B$3))),"''","null"),SUBSTITUTE(VLOOKUP(B$2,convert!$A$1:$B$4,2,0),"@@@",B657))</f>
        <v>'オタマロ'</v>
      </c>
      <c r="R657" s="4" t="str">
        <f>IF(C657="",IF(ISNUMBER(SEARCH("NOT NULL",UPPER(C$3))),"''","null"),SUBSTITUTE(VLOOKUP(C$2,convert!$A$1:$B$4,2,0),"@@@",C657))</f>
        <v>50</v>
      </c>
      <c r="S657" s="4" t="str">
        <f>IF(D657="",IF(ISNUMBER(SEARCH("NOT NULL",UPPER(D$3))),"''","null"),SUBSTITUTE(VLOOKUP(D$2,convert!$A$1:$B$4,2,0),"@@@",D657))</f>
        <v>50</v>
      </c>
      <c r="T657" s="4" t="str">
        <f>IF(E657="",IF(ISNUMBER(SEARCH("NOT NULL",UPPER(E$3))),"''","null"),SUBSTITUTE(VLOOKUP(E$2,convert!$A$1:$B$4,2,0),"@@@",E657))</f>
        <v>40</v>
      </c>
      <c r="U657" s="4" t="str">
        <f>IF(F657="",IF(ISNUMBER(SEARCH("NOT NULL",UPPER(F$3))),"''","null"),SUBSTITUTE(VLOOKUP(F$2,convert!$A$1:$B$4,2,0),"@@@",F657))</f>
        <v>50</v>
      </c>
      <c r="V657" s="4" t="str">
        <f>IF(G657="",IF(ISNUMBER(SEARCH("NOT NULL",UPPER(G$3))),"''","null"),SUBSTITUTE(VLOOKUP(G$2,convert!$A$1:$B$4,2,0),"@@@",G657))</f>
        <v>40</v>
      </c>
      <c r="W657" s="4" t="str">
        <f>IF(H657="",IF(ISNUMBER(SEARCH("NOT NULL",UPPER(H$3))),"''","null"),SUBSTITUTE(VLOOKUP(H$2,convert!$A$1:$B$4,2,0),"@@@",H657))</f>
        <v>64</v>
      </c>
      <c r="X657" s="4" t="str">
        <f>IF(I657="",IF(ISNUMBER(SEARCH("NOT NULL",UPPER(I$3))),"''","null"),SUBSTITUTE(VLOOKUP(I$2,convert!$A$1:$B$4,2,0),"@@@",I657))</f>
        <v>''</v>
      </c>
      <c r="Y657" s="4" t="str">
        <f>IF(J657="",IF(ISNUMBER(SEARCH("NOT NULL",UPPER(J$3))),"''","null"),SUBSTITUTE(VLOOKUP(J$2,convert!$A$1:$B$4,2,0),"@@@",J657))</f>
        <v>'water'</v>
      </c>
      <c r="Z657" s="4" t="str">
        <f>IF(K657="",IF(ISNUMBER(SEARCH("NOT NULL",UPPER(K$3))),"''","null"),SUBSTITUTE(VLOOKUP(K$2,convert!$A$1:$B$4,2,0),"@@@",K657))</f>
        <v>null</v>
      </c>
      <c r="AA657" s="4" t="str">
        <f>IF(L657="",IF(ISNUMBER(SEARCH("NOT NULL",UPPER(L$3))),"''","null"),SUBSTITUTE(VLOOKUP(L$2,convert!$A$1:$B$4,2,0),"@@@",L657))</f>
        <v>'g5'</v>
      </c>
      <c r="AB657" s="4" t="str">
        <f>IF(M657="",IF(ISNUMBER(SEARCH("NOT NULL",UPPER(M$3))),"''","null"),SUBSTITUTE(VLOOKUP(M$2,convert!$A$1:$B$4,2,0),"@@@",M657))</f>
        <v>null</v>
      </c>
      <c r="AC657" s="4" t="str">
        <f>IF(N657="",IF(ISNUMBER(SEARCH("NOT NULL",UPPER(N$3))),"''","null"),SUBSTITUTE(VLOOKUP(N$2,convert!$A$1:$B$4,2,0),"@@@",N657))</f>
        <v>null</v>
      </c>
      <c r="AD657" s="4" t="str">
        <f>IF(O657="",IF(ISNUMBER(SEARCH("NOT NULL",UPPER(O$3))),"''","null"),SUBSTITUTE(VLOOKUP(O$2,convert!$A$1:$B$4,2,0),"@@@",O657))</f>
        <v>TRUE</v>
      </c>
      <c r="AE657" s="4" t="str">
        <f t="shared" si="10"/>
        <v>    ('0535N01', 'オタマロ', 50, 50, 40, 50, 40, 64, '', 'water', null, 'g5', null, null, TRUE),</v>
      </c>
    </row>
    <row r="658" spans="1:31">
      <c r="A658" s="4" t="s">
        <v>1329</v>
      </c>
      <c r="B658" s="4" t="s">
        <v>1330</v>
      </c>
      <c r="C658" s="5">
        <v>75</v>
      </c>
      <c r="D658" s="5">
        <v>65</v>
      </c>
      <c r="E658" s="5">
        <v>55</v>
      </c>
      <c r="F658" s="5">
        <v>65</v>
      </c>
      <c r="G658" s="5">
        <v>55</v>
      </c>
      <c r="H658" s="5">
        <v>69</v>
      </c>
      <c r="I658" s="5"/>
      <c r="J658" s="4" t="s">
        <v>55</v>
      </c>
      <c r="K658" s="4" t="s">
        <v>116</v>
      </c>
      <c r="L658" s="4" t="s">
        <v>1243</v>
      </c>
      <c r="M658" s="5"/>
      <c r="N658" s="5"/>
      <c r="O658" s="5" t="b">
        <v>1</v>
      </c>
      <c r="P658" s="4" t="str">
        <f>IF(A658="",IF(ISNUMBER(SEARCH("NOT NULL",UPPER(A$3))),"''","null"),SUBSTITUTE(VLOOKUP(A$2,convert!$A$1:$B$4,2,0),"@@@",A658))</f>
        <v>'0536N01'</v>
      </c>
      <c r="Q658" s="4" t="str">
        <f>IF(B658="",IF(ISNUMBER(SEARCH("NOT NULL",UPPER(B$3))),"''","null"),SUBSTITUTE(VLOOKUP(B$2,convert!$A$1:$B$4,2,0),"@@@",B658))</f>
        <v>'ガマガル'</v>
      </c>
      <c r="R658" s="4" t="str">
        <f>IF(C658="",IF(ISNUMBER(SEARCH("NOT NULL",UPPER(C$3))),"''","null"),SUBSTITUTE(VLOOKUP(C$2,convert!$A$1:$B$4,2,0),"@@@",C658))</f>
        <v>75</v>
      </c>
      <c r="S658" s="4" t="str">
        <f>IF(D658="",IF(ISNUMBER(SEARCH("NOT NULL",UPPER(D$3))),"''","null"),SUBSTITUTE(VLOOKUP(D$2,convert!$A$1:$B$4,2,0),"@@@",D658))</f>
        <v>65</v>
      </c>
      <c r="T658" s="4" t="str">
        <f>IF(E658="",IF(ISNUMBER(SEARCH("NOT NULL",UPPER(E$3))),"''","null"),SUBSTITUTE(VLOOKUP(E$2,convert!$A$1:$B$4,2,0),"@@@",E658))</f>
        <v>55</v>
      </c>
      <c r="U658" s="4" t="str">
        <f>IF(F658="",IF(ISNUMBER(SEARCH("NOT NULL",UPPER(F$3))),"''","null"),SUBSTITUTE(VLOOKUP(F$2,convert!$A$1:$B$4,2,0),"@@@",F658))</f>
        <v>65</v>
      </c>
      <c r="V658" s="4" t="str">
        <f>IF(G658="",IF(ISNUMBER(SEARCH("NOT NULL",UPPER(G$3))),"''","null"),SUBSTITUTE(VLOOKUP(G$2,convert!$A$1:$B$4,2,0),"@@@",G658))</f>
        <v>55</v>
      </c>
      <c r="W658" s="4" t="str">
        <f>IF(H658="",IF(ISNUMBER(SEARCH("NOT NULL",UPPER(H$3))),"''","null"),SUBSTITUTE(VLOOKUP(H$2,convert!$A$1:$B$4,2,0),"@@@",H658))</f>
        <v>69</v>
      </c>
      <c r="X658" s="4" t="str">
        <f>IF(I658="",IF(ISNUMBER(SEARCH("NOT NULL",UPPER(I$3))),"''","null"),SUBSTITUTE(VLOOKUP(I$2,convert!$A$1:$B$4,2,0),"@@@",I658))</f>
        <v>''</v>
      </c>
      <c r="Y658" s="4" t="str">
        <f>IF(J658="",IF(ISNUMBER(SEARCH("NOT NULL",UPPER(J$3))),"''","null"),SUBSTITUTE(VLOOKUP(J$2,convert!$A$1:$B$4,2,0),"@@@",J658))</f>
        <v>'water'</v>
      </c>
      <c r="Z658" s="4" t="str">
        <f>IF(K658="",IF(ISNUMBER(SEARCH("NOT NULL",UPPER(K$3))),"''","null"),SUBSTITUTE(VLOOKUP(K$2,convert!$A$1:$B$4,2,0),"@@@",K658))</f>
        <v>'ground'</v>
      </c>
      <c r="AA658" s="4" t="str">
        <f>IF(L658="",IF(ISNUMBER(SEARCH("NOT NULL",UPPER(L$3))),"''","null"),SUBSTITUTE(VLOOKUP(L$2,convert!$A$1:$B$4,2,0),"@@@",L658))</f>
        <v>'g5'</v>
      </c>
      <c r="AB658" s="4" t="str">
        <f>IF(M658="",IF(ISNUMBER(SEARCH("NOT NULL",UPPER(M$3))),"''","null"),SUBSTITUTE(VLOOKUP(M$2,convert!$A$1:$B$4,2,0),"@@@",M658))</f>
        <v>null</v>
      </c>
      <c r="AC658" s="4" t="str">
        <f>IF(N658="",IF(ISNUMBER(SEARCH("NOT NULL",UPPER(N$3))),"''","null"),SUBSTITUTE(VLOOKUP(N$2,convert!$A$1:$B$4,2,0),"@@@",N658))</f>
        <v>null</v>
      </c>
      <c r="AD658" s="4" t="str">
        <f>IF(O658="",IF(ISNUMBER(SEARCH("NOT NULL",UPPER(O$3))),"''","null"),SUBSTITUTE(VLOOKUP(O$2,convert!$A$1:$B$4,2,0),"@@@",O658))</f>
        <v>TRUE</v>
      </c>
      <c r="AE658" s="4" t="str">
        <f t="shared" si="10"/>
        <v>    ('0536N01', 'ガマガル', 75, 65, 55, 65, 55, 69, '', 'water', 'ground', 'g5', null, null, TRUE),</v>
      </c>
    </row>
    <row r="659" spans="1:31">
      <c r="A659" s="4" t="s">
        <v>1331</v>
      </c>
      <c r="B659" s="4" t="s">
        <v>1332</v>
      </c>
      <c r="C659" s="5">
        <v>105</v>
      </c>
      <c r="D659" s="5">
        <v>95</v>
      </c>
      <c r="E659" s="5">
        <v>75</v>
      </c>
      <c r="F659" s="5">
        <v>85</v>
      </c>
      <c r="G659" s="5">
        <v>75</v>
      </c>
      <c r="H659" s="5">
        <v>74</v>
      </c>
      <c r="I659" s="5"/>
      <c r="J659" s="4" t="s">
        <v>55</v>
      </c>
      <c r="K659" s="4" t="s">
        <v>116</v>
      </c>
      <c r="L659" s="4" t="s">
        <v>1243</v>
      </c>
      <c r="M659" s="5"/>
      <c r="N659" s="5"/>
      <c r="O659" s="5" t="b">
        <v>1</v>
      </c>
      <c r="P659" s="4" t="str">
        <f>IF(A659="",IF(ISNUMBER(SEARCH("NOT NULL",UPPER(A$3))),"''","null"),SUBSTITUTE(VLOOKUP(A$2,convert!$A$1:$B$4,2,0),"@@@",A659))</f>
        <v>'0537N01'</v>
      </c>
      <c r="Q659" s="4" t="str">
        <f>IF(B659="",IF(ISNUMBER(SEARCH("NOT NULL",UPPER(B$3))),"''","null"),SUBSTITUTE(VLOOKUP(B$2,convert!$A$1:$B$4,2,0),"@@@",B659))</f>
        <v>'ガマゲロゲ'</v>
      </c>
      <c r="R659" s="4" t="str">
        <f>IF(C659="",IF(ISNUMBER(SEARCH("NOT NULL",UPPER(C$3))),"''","null"),SUBSTITUTE(VLOOKUP(C$2,convert!$A$1:$B$4,2,0),"@@@",C659))</f>
        <v>105</v>
      </c>
      <c r="S659" s="4" t="str">
        <f>IF(D659="",IF(ISNUMBER(SEARCH("NOT NULL",UPPER(D$3))),"''","null"),SUBSTITUTE(VLOOKUP(D$2,convert!$A$1:$B$4,2,0),"@@@",D659))</f>
        <v>95</v>
      </c>
      <c r="T659" s="4" t="str">
        <f>IF(E659="",IF(ISNUMBER(SEARCH("NOT NULL",UPPER(E$3))),"''","null"),SUBSTITUTE(VLOOKUP(E$2,convert!$A$1:$B$4,2,0),"@@@",E659))</f>
        <v>75</v>
      </c>
      <c r="U659" s="4" t="str">
        <f>IF(F659="",IF(ISNUMBER(SEARCH("NOT NULL",UPPER(F$3))),"''","null"),SUBSTITUTE(VLOOKUP(F$2,convert!$A$1:$B$4,2,0),"@@@",F659))</f>
        <v>85</v>
      </c>
      <c r="V659" s="4" t="str">
        <f>IF(G659="",IF(ISNUMBER(SEARCH("NOT NULL",UPPER(G$3))),"''","null"),SUBSTITUTE(VLOOKUP(G$2,convert!$A$1:$B$4,2,0),"@@@",G659))</f>
        <v>75</v>
      </c>
      <c r="W659" s="4" t="str">
        <f>IF(H659="",IF(ISNUMBER(SEARCH("NOT NULL",UPPER(H$3))),"''","null"),SUBSTITUTE(VLOOKUP(H$2,convert!$A$1:$B$4,2,0),"@@@",H659))</f>
        <v>74</v>
      </c>
      <c r="X659" s="4" t="str">
        <f>IF(I659="",IF(ISNUMBER(SEARCH("NOT NULL",UPPER(I$3))),"''","null"),SUBSTITUTE(VLOOKUP(I$2,convert!$A$1:$B$4,2,0),"@@@",I659))</f>
        <v>''</v>
      </c>
      <c r="Y659" s="4" t="str">
        <f>IF(J659="",IF(ISNUMBER(SEARCH("NOT NULL",UPPER(J$3))),"''","null"),SUBSTITUTE(VLOOKUP(J$2,convert!$A$1:$B$4,2,0),"@@@",J659))</f>
        <v>'water'</v>
      </c>
      <c r="Z659" s="4" t="str">
        <f>IF(K659="",IF(ISNUMBER(SEARCH("NOT NULL",UPPER(K$3))),"''","null"),SUBSTITUTE(VLOOKUP(K$2,convert!$A$1:$B$4,2,0),"@@@",K659))</f>
        <v>'ground'</v>
      </c>
      <c r="AA659" s="4" t="str">
        <f>IF(L659="",IF(ISNUMBER(SEARCH("NOT NULL",UPPER(L$3))),"''","null"),SUBSTITUTE(VLOOKUP(L$2,convert!$A$1:$B$4,2,0),"@@@",L659))</f>
        <v>'g5'</v>
      </c>
      <c r="AB659" s="4" t="str">
        <f>IF(M659="",IF(ISNUMBER(SEARCH("NOT NULL",UPPER(M$3))),"''","null"),SUBSTITUTE(VLOOKUP(M$2,convert!$A$1:$B$4,2,0),"@@@",M659))</f>
        <v>null</v>
      </c>
      <c r="AC659" s="4" t="str">
        <f>IF(N659="",IF(ISNUMBER(SEARCH("NOT NULL",UPPER(N$3))),"''","null"),SUBSTITUTE(VLOOKUP(N$2,convert!$A$1:$B$4,2,0),"@@@",N659))</f>
        <v>null</v>
      </c>
      <c r="AD659" s="4" t="str">
        <f>IF(O659="",IF(ISNUMBER(SEARCH("NOT NULL",UPPER(O$3))),"''","null"),SUBSTITUTE(VLOOKUP(O$2,convert!$A$1:$B$4,2,0),"@@@",O659))</f>
        <v>TRUE</v>
      </c>
      <c r="AE659" s="4" t="str">
        <f t="shared" si="10"/>
        <v>    ('0537N01', 'ガマゲロゲ', 105, 95, 75, 85, 75, 74, '', 'water', 'ground', 'g5', null, null, TRUE),</v>
      </c>
    </row>
    <row r="660" spans="1:31">
      <c r="A660" s="4" t="s">
        <v>1333</v>
      </c>
      <c r="B660" s="4" t="s">
        <v>1334</v>
      </c>
      <c r="C660" s="5">
        <v>120</v>
      </c>
      <c r="D660" s="5">
        <v>100</v>
      </c>
      <c r="E660" s="5">
        <v>85</v>
      </c>
      <c r="F660" s="5">
        <v>30</v>
      </c>
      <c r="G660" s="5">
        <v>85</v>
      </c>
      <c r="H660" s="5">
        <v>45</v>
      </c>
      <c r="I660" s="5"/>
      <c r="J660" s="4" t="s">
        <v>189</v>
      </c>
      <c r="K660" s="5"/>
      <c r="L660" s="4" t="s">
        <v>1243</v>
      </c>
      <c r="M660" s="5"/>
      <c r="N660" s="5"/>
      <c r="O660" s="5" t="b">
        <v>1</v>
      </c>
      <c r="P660" s="4" t="str">
        <f>IF(A660="",IF(ISNUMBER(SEARCH("NOT NULL",UPPER(A$3))),"''","null"),SUBSTITUTE(VLOOKUP(A$2,convert!$A$1:$B$4,2,0),"@@@",A660))</f>
        <v>'0538N01'</v>
      </c>
      <c r="Q660" s="4" t="str">
        <f>IF(B660="",IF(ISNUMBER(SEARCH("NOT NULL",UPPER(B$3))),"''","null"),SUBSTITUTE(VLOOKUP(B$2,convert!$A$1:$B$4,2,0),"@@@",B660))</f>
        <v>'ナゲキ'</v>
      </c>
      <c r="R660" s="4" t="str">
        <f>IF(C660="",IF(ISNUMBER(SEARCH("NOT NULL",UPPER(C$3))),"''","null"),SUBSTITUTE(VLOOKUP(C$2,convert!$A$1:$B$4,2,0),"@@@",C660))</f>
        <v>120</v>
      </c>
      <c r="S660" s="4" t="str">
        <f>IF(D660="",IF(ISNUMBER(SEARCH("NOT NULL",UPPER(D$3))),"''","null"),SUBSTITUTE(VLOOKUP(D$2,convert!$A$1:$B$4,2,0),"@@@",D660))</f>
        <v>100</v>
      </c>
      <c r="T660" s="4" t="str">
        <f>IF(E660="",IF(ISNUMBER(SEARCH("NOT NULL",UPPER(E$3))),"''","null"),SUBSTITUTE(VLOOKUP(E$2,convert!$A$1:$B$4,2,0),"@@@",E660))</f>
        <v>85</v>
      </c>
      <c r="U660" s="4" t="str">
        <f>IF(F660="",IF(ISNUMBER(SEARCH("NOT NULL",UPPER(F$3))),"''","null"),SUBSTITUTE(VLOOKUP(F$2,convert!$A$1:$B$4,2,0),"@@@",F660))</f>
        <v>30</v>
      </c>
      <c r="V660" s="4" t="str">
        <f>IF(G660="",IF(ISNUMBER(SEARCH("NOT NULL",UPPER(G$3))),"''","null"),SUBSTITUTE(VLOOKUP(G$2,convert!$A$1:$B$4,2,0),"@@@",G660))</f>
        <v>85</v>
      </c>
      <c r="W660" s="4" t="str">
        <f>IF(H660="",IF(ISNUMBER(SEARCH("NOT NULL",UPPER(H$3))),"''","null"),SUBSTITUTE(VLOOKUP(H$2,convert!$A$1:$B$4,2,0),"@@@",H660))</f>
        <v>45</v>
      </c>
      <c r="X660" s="4" t="str">
        <f>IF(I660="",IF(ISNUMBER(SEARCH("NOT NULL",UPPER(I$3))),"''","null"),SUBSTITUTE(VLOOKUP(I$2,convert!$A$1:$B$4,2,0),"@@@",I660))</f>
        <v>''</v>
      </c>
      <c r="Y660" s="4" t="str">
        <f>IF(J660="",IF(ISNUMBER(SEARCH("NOT NULL",UPPER(J$3))),"''","null"),SUBSTITUTE(VLOOKUP(J$2,convert!$A$1:$B$4,2,0),"@@@",J660))</f>
        <v>'fighting'</v>
      </c>
      <c r="Z660" s="4" t="str">
        <f>IF(K660="",IF(ISNUMBER(SEARCH("NOT NULL",UPPER(K$3))),"''","null"),SUBSTITUTE(VLOOKUP(K$2,convert!$A$1:$B$4,2,0),"@@@",K660))</f>
        <v>null</v>
      </c>
      <c r="AA660" s="4" t="str">
        <f>IF(L660="",IF(ISNUMBER(SEARCH("NOT NULL",UPPER(L$3))),"''","null"),SUBSTITUTE(VLOOKUP(L$2,convert!$A$1:$B$4,2,0),"@@@",L660))</f>
        <v>'g5'</v>
      </c>
      <c r="AB660" s="4" t="str">
        <f>IF(M660="",IF(ISNUMBER(SEARCH("NOT NULL",UPPER(M$3))),"''","null"),SUBSTITUTE(VLOOKUP(M$2,convert!$A$1:$B$4,2,0),"@@@",M660))</f>
        <v>null</v>
      </c>
      <c r="AC660" s="4" t="str">
        <f>IF(N660="",IF(ISNUMBER(SEARCH("NOT NULL",UPPER(N$3))),"''","null"),SUBSTITUTE(VLOOKUP(N$2,convert!$A$1:$B$4,2,0),"@@@",N660))</f>
        <v>null</v>
      </c>
      <c r="AD660" s="4" t="str">
        <f>IF(O660="",IF(ISNUMBER(SEARCH("NOT NULL",UPPER(O$3))),"''","null"),SUBSTITUTE(VLOOKUP(O$2,convert!$A$1:$B$4,2,0),"@@@",O660))</f>
        <v>TRUE</v>
      </c>
      <c r="AE660" s="4" t="str">
        <f t="shared" si="10"/>
        <v>    ('0538N01', 'ナゲキ', 120, 100, 85, 30, 85, 45, '', 'fighting', null, 'g5', null, null, TRUE),</v>
      </c>
    </row>
    <row r="661" spans="1:31">
      <c r="A661" s="4" t="s">
        <v>1335</v>
      </c>
      <c r="B661" s="4" t="s">
        <v>1336</v>
      </c>
      <c r="C661" s="5">
        <v>75</v>
      </c>
      <c r="D661" s="5">
        <v>125</v>
      </c>
      <c r="E661" s="5">
        <v>75</v>
      </c>
      <c r="F661" s="5">
        <v>30</v>
      </c>
      <c r="G661" s="5">
        <v>75</v>
      </c>
      <c r="H661" s="5">
        <v>85</v>
      </c>
      <c r="I661" s="5"/>
      <c r="J661" s="4" t="s">
        <v>189</v>
      </c>
      <c r="K661" s="5"/>
      <c r="L661" s="4" t="s">
        <v>1243</v>
      </c>
      <c r="M661" s="5"/>
      <c r="N661" s="5"/>
      <c r="O661" s="5" t="b">
        <v>1</v>
      </c>
      <c r="P661" s="4" t="str">
        <f>IF(A661="",IF(ISNUMBER(SEARCH("NOT NULL",UPPER(A$3))),"''","null"),SUBSTITUTE(VLOOKUP(A$2,convert!$A$1:$B$4,2,0),"@@@",A661))</f>
        <v>'0539N01'</v>
      </c>
      <c r="Q661" s="4" t="str">
        <f>IF(B661="",IF(ISNUMBER(SEARCH("NOT NULL",UPPER(B$3))),"''","null"),SUBSTITUTE(VLOOKUP(B$2,convert!$A$1:$B$4,2,0),"@@@",B661))</f>
        <v>'ダゲキ'</v>
      </c>
      <c r="R661" s="4" t="str">
        <f>IF(C661="",IF(ISNUMBER(SEARCH("NOT NULL",UPPER(C$3))),"''","null"),SUBSTITUTE(VLOOKUP(C$2,convert!$A$1:$B$4,2,0),"@@@",C661))</f>
        <v>75</v>
      </c>
      <c r="S661" s="4" t="str">
        <f>IF(D661="",IF(ISNUMBER(SEARCH("NOT NULL",UPPER(D$3))),"''","null"),SUBSTITUTE(VLOOKUP(D$2,convert!$A$1:$B$4,2,0),"@@@",D661))</f>
        <v>125</v>
      </c>
      <c r="T661" s="4" t="str">
        <f>IF(E661="",IF(ISNUMBER(SEARCH("NOT NULL",UPPER(E$3))),"''","null"),SUBSTITUTE(VLOOKUP(E$2,convert!$A$1:$B$4,2,0),"@@@",E661))</f>
        <v>75</v>
      </c>
      <c r="U661" s="4" t="str">
        <f>IF(F661="",IF(ISNUMBER(SEARCH("NOT NULL",UPPER(F$3))),"''","null"),SUBSTITUTE(VLOOKUP(F$2,convert!$A$1:$B$4,2,0),"@@@",F661))</f>
        <v>30</v>
      </c>
      <c r="V661" s="4" t="str">
        <f>IF(G661="",IF(ISNUMBER(SEARCH("NOT NULL",UPPER(G$3))),"''","null"),SUBSTITUTE(VLOOKUP(G$2,convert!$A$1:$B$4,2,0),"@@@",G661))</f>
        <v>75</v>
      </c>
      <c r="W661" s="4" t="str">
        <f>IF(H661="",IF(ISNUMBER(SEARCH("NOT NULL",UPPER(H$3))),"''","null"),SUBSTITUTE(VLOOKUP(H$2,convert!$A$1:$B$4,2,0),"@@@",H661))</f>
        <v>85</v>
      </c>
      <c r="X661" s="4" t="str">
        <f>IF(I661="",IF(ISNUMBER(SEARCH("NOT NULL",UPPER(I$3))),"''","null"),SUBSTITUTE(VLOOKUP(I$2,convert!$A$1:$B$4,2,0),"@@@",I661))</f>
        <v>''</v>
      </c>
      <c r="Y661" s="4" t="str">
        <f>IF(J661="",IF(ISNUMBER(SEARCH("NOT NULL",UPPER(J$3))),"''","null"),SUBSTITUTE(VLOOKUP(J$2,convert!$A$1:$B$4,2,0),"@@@",J661))</f>
        <v>'fighting'</v>
      </c>
      <c r="Z661" s="4" t="str">
        <f>IF(K661="",IF(ISNUMBER(SEARCH("NOT NULL",UPPER(K$3))),"''","null"),SUBSTITUTE(VLOOKUP(K$2,convert!$A$1:$B$4,2,0),"@@@",K661))</f>
        <v>null</v>
      </c>
      <c r="AA661" s="4" t="str">
        <f>IF(L661="",IF(ISNUMBER(SEARCH("NOT NULL",UPPER(L$3))),"''","null"),SUBSTITUTE(VLOOKUP(L$2,convert!$A$1:$B$4,2,0),"@@@",L661))</f>
        <v>'g5'</v>
      </c>
      <c r="AB661" s="4" t="str">
        <f>IF(M661="",IF(ISNUMBER(SEARCH("NOT NULL",UPPER(M$3))),"''","null"),SUBSTITUTE(VLOOKUP(M$2,convert!$A$1:$B$4,2,0),"@@@",M661))</f>
        <v>null</v>
      </c>
      <c r="AC661" s="4" t="str">
        <f>IF(N661="",IF(ISNUMBER(SEARCH("NOT NULL",UPPER(N$3))),"''","null"),SUBSTITUTE(VLOOKUP(N$2,convert!$A$1:$B$4,2,0),"@@@",N661))</f>
        <v>null</v>
      </c>
      <c r="AD661" s="4" t="str">
        <f>IF(O661="",IF(ISNUMBER(SEARCH("NOT NULL",UPPER(O$3))),"''","null"),SUBSTITUTE(VLOOKUP(O$2,convert!$A$1:$B$4,2,0),"@@@",O661))</f>
        <v>TRUE</v>
      </c>
      <c r="AE661" s="4" t="str">
        <f t="shared" si="10"/>
        <v>    ('0539N01', 'ダゲキ', 75, 125, 75, 30, 75, 85, '', 'fighting', null, 'g5', null, null, TRUE),</v>
      </c>
    </row>
    <row r="662" spans="1:31">
      <c r="A662" s="4" t="s">
        <v>1337</v>
      </c>
      <c r="B662" s="4" t="s">
        <v>1338</v>
      </c>
      <c r="C662" s="5">
        <v>45</v>
      </c>
      <c r="D662" s="5">
        <v>53</v>
      </c>
      <c r="E662" s="5">
        <v>70</v>
      </c>
      <c r="F662" s="5">
        <v>40</v>
      </c>
      <c r="G662" s="5">
        <v>60</v>
      </c>
      <c r="H662" s="5">
        <v>42</v>
      </c>
      <c r="I662" s="5"/>
      <c r="J662" s="4" t="s">
        <v>64</v>
      </c>
      <c r="K662" s="4" t="s">
        <v>30</v>
      </c>
      <c r="L662" s="4" t="s">
        <v>1243</v>
      </c>
      <c r="M662" s="5"/>
      <c r="N662" s="5"/>
      <c r="O662" s="5" t="b">
        <v>1</v>
      </c>
      <c r="P662" s="4" t="str">
        <f>IF(A662="",IF(ISNUMBER(SEARCH("NOT NULL",UPPER(A$3))),"''","null"),SUBSTITUTE(VLOOKUP(A$2,convert!$A$1:$B$4,2,0),"@@@",A662))</f>
        <v>'0540N01'</v>
      </c>
      <c r="Q662" s="4" t="str">
        <f>IF(B662="",IF(ISNUMBER(SEARCH("NOT NULL",UPPER(B$3))),"''","null"),SUBSTITUTE(VLOOKUP(B$2,convert!$A$1:$B$4,2,0),"@@@",B662))</f>
        <v>'クルミル'</v>
      </c>
      <c r="R662" s="4" t="str">
        <f>IF(C662="",IF(ISNUMBER(SEARCH("NOT NULL",UPPER(C$3))),"''","null"),SUBSTITUTE(VLOOKUP(C$2,convert!$A$1:$B$4,2,0),"@@@",C662))</f>
        <v>45</v>
      </c>
      <c r="S662" s="4" t="str">
        <f>IF(D662="",IF(ISNUMBER(SEARCH("NOT NULL",UPPER(D$3))),"''","null"),SUBSTITUTE(VLOOKUP(D$2,convert!$A$1:$B$4,2,0),"@@@",D662))</f>
        <v>53</v>
      </c>
      <c r="T662" s="4" t="str">
        <f>IF(E662="",IF(ISNUMBER(SEARCH("NOT NULL",UPPER(E$3))),"''","null"),SUBSTITUTE(VLOOKUP(E$2,convert!$A$1:$B$4,2,0),"@@@",E662))</f>
        <v>70</v>
      </c>
      <c r="U662" s="4" t="str">
        <f>IF(F662="",IF(ISNUMBER(SEARCH("NOT NULL",UPPER(F$3))),"''","null"),SUBSTITUTE(VLOOKUP(F$2,convert!$A$1:$B$4,2,0),"@@@",F662))</f>
        <v>40</v>
      </c>
      <c r="V662" s="4" t="str">
        <f>IF(G662="",IF(ISNUMBER(SEARCH("NOT NULL",UPPER(G$3))),"''","null"),SUBSTITUTE(VLOOKUP(G$2,convert!$A$1:$B$4,2,0),"@@@",G662))</f>
        <v>60</v>
      </c>
      <c r="W662" s="4" t="str">
        <f>IF(H662="",IF(ISNUMBER(SEARCH("NOT NULL",UPPER(H$3))),"''","null"),SUBSTITUTE(VLOOKUP(H$2,convert!$A$1:$B$4,2,0),"@@@",H662))</f>
        <v>42</v>
      </c>
      <c r="X662" s="4" t="str">
        <f>IF(I662="",IF(ISNUMBER(SEARCH("NOT NULL",UPPER(I$3))),"''","null"),SUBSTITUTE(VLOOKUP(I$2,convert!$A$1:$B$4,2,0),"@@@",I662))</f>
        <v>''</v>
      </c>
      <c r="Y662" s="4" t="str">
        <f>IF(J662="",IF(ISNUMBER(SEARCH("NOT NULL",UPPER(J$3))),"''","null"),SUBSTITUTE(VLOOKUP(J$2,convert!$A$1:$B$4,2,0),"@@@",J662))</f>
        <v>'bug'</v>
      </c>
      <c r="Z662" s="4" t="str">
        <f>IF(K662="",IF(ISNUMBER(SEARCH("NOT NULL",UPPER(K$3))),"''","null"),SUBSTITUTE(VLOOKUP(K$2,convert!$A$1:$B$4,2,0),"@@@",K662))</f>
        <v>'grass'</v>
      </c>
      <c r="AA662" s="4" t="str">
        <f>IF(L662="",IF(ISNUMBER(SEARCH("NOT NULL",UPPER(L$3))),"''","null"),SUBSTITUTE(VLOOKUP(L$2,convert!$A$1:$B$4,2,0),"@@@",L662))</f>
        <v>'g5'</v>
      </c>
      <c r="AB662" s="4" t="str">
        <f>IF(M662="",IF(ISNUMBER(SEARCH("NOT NULL",UPPER(M$3))),"''","null"),SUBSTITUTE(VLOOKUP(M$2,convert!$A$1:$B$4,2,0),"@@@",M662))</f>
        <v>null</v>
      </c>
      <c r="AC662" s="4" t="str">
        <f>IF(N662="",IF(ISNUMBER(SEARCH("NOT NULL",UPPER(N$3))),"''","null"),SUBSTITUTE(VLOOKUP(N$2,convert!$A$1:$B$4,2,0),"@@@",N662))</f>
        <v>null</v>
      </c>
      <c r="AD662" s="4" t="str">
        <f>IF(O662="",IF(ISNUMBER(SEARCH("NOT NULL",UPPER(O$3))),"''","null"),SUBSTITUTE(VLOOKUP(O$2,convert!$A$1:$B$4,2,0),"@@@",O662))</f>
        <v>TRUE</v>
      </c>
      <c r="AE662" s="4" t="str">
        <f t="shared" si="10"/>
        <v>    ('0540N01', 'クルミル', 45, 53, 70, 40, 60, 42, '', 'bug', 'grass', 'g5', null, null, TRUE),</v>
      </c>
    </row>
    <row r="663" spans="1:31">
      <c r="A663" s="4" t="s">
        <v>1339</v>
      </c>
      <c r="B663" s="4" t="s">
        <v>1340</v>
      </c>
      <c r="C663" s="5">
        <v>55</v>
      </c>
      <c r="D663" s="5">
        <v>63</v>
      </c>
      <c r="E663" s="5">
        <v>90</v>
      </c>
      <c r="F663" s="5">
        <v>50</v>
      </c>
      <c r="G663" s="5">
        <v>80</v>
      </c>
      <c r="H663" s="5">
        <v>42</v>
      </c>
      <c r="I663" s="5"/>
      <c r="J663" s="4" t="s">
        <v>64</v>
      </c>
      <c r="K663" s="4" t="s">
        <v>30</v>
      </c>
      <c r="L663" s="4" t="s">
        <v>1243</v>
      </c>
      <c r="M663" s="5"/>
      <c r="N663" s="5"/>
      <c r="O663" s="5" t="b">
        <v>1</v>
      </c>
      <c r="P663" s="4" t="str">
        <f>IF(A663="",IF(ISNUMBER(SEARCH("NOT NULL",UPPER(A$3))),"''","null"),SUBSTITUTE(VLOOKUP(A$2,convert!$A$1:$B$4,2,0),"@@@",A663))</f>
        <v>'0541N01'</v>
      </c>
      <c r="Q663" s="4" t="str">
        <f>IF(B663="",IF(ISNUMBER(SEARCH("NOT NULL",UPPER(B$3))),"''","null"),SUBSTITUTE(VLOOKUP(B$2,convert!$A$1:$B$4,2,0),"@@@",B663))</f>
        <v>'クルマユ'</v>
      </c>
      <c r="R663" s="4" t="str">
        <f>IF(C663="",IF(ISNUMBER(SEARCH("NOT NULL",UPPER(C$3))),"''","null"),SUBSTITUTE(VLOOKUP(C$2,convert!$A$1:$B$4,2,0),"@@@",C663))</f>
        <v>55</v>
      </c>
      <c r="S663" s="4" t="str">
        <f>IF(D663="",IF(ISNUMBER(SEARCH("NOT NULL",UPPER(D$3))),"''","null"),SUBSTITUTE(VLOOKUP(D$2,convert!$A$1:$B$4,2,0),"@@@",D663))</f>
        <v>63</v>
      </c>
      <c r="T663" s="4" t="str">
        <f>IF(E663="",IF(ISNUMBER(SEARCH("NOT NULL",UPPER(E$3))),"''","null"),SUBSTITUTE(VLOOKUP(E$2,convert!$A$1:$B$4,2,0),"@@@",E663))</f>
        <v>90</v>
      </c>
      <c r="U663" s="4" t="str">
        <f>IF(F663="",IF(ISNUMBER(SEARCH("NOT NULL",UPPER(F$3))),"''","null"),SUBSTITUTE(VLOOKUP(F$2,convert!$A$1:$B$4,2,0),"@@@",F663))</f>
        <v>50</v>
      </c>
      <c r="V663" s="4" t="str">
        <f>IF(G663="",IF(ISNUMBER(SEARCH("NOT NULL",UPPER(G$3))),"''","null"),SUBSTITUTE(VLOOKUP(G$2,convert!$A$1:$B$4,2,0),"@@@",G663))</f>
        <v>80</v>
      </c>
      <c r="W663" s="4" t="str">
        <f>IF(H663="",IF(ISNUMBER(SEARCH("NOT NULL",UPPER(H$3))),"''","null"),SUBSTITUTE(VLOOKUP(H$2,convert!$A$1:$B$4,2,0),"@@@",H663))</f>
        <v>42</v>
      </c>
      <c r="X663" s="4" t="str">
        <f>IF(I663="",IF(ISNUMBER(SEARCH("NOT NULL",UPPER(I$3))),"''","null"),SUBSTITUTE(VLOOKUP(I$2,convert!$A$1:$B$4,2,0),"@@@",I663))</f>
        <v>''</v>
      </c>
      <c r="Y663" s="4" t="str">
        <f>IF(J663="",IF(ISNUMBER(SEARCH("NOT NULL",UPPER(J$3))),"''","null"),SUBSTITUTE(VLOOKUP(J$2,convert!$A$1:$B$4,2,0),"@@@",J663))</f>
        <v>'bug'</v>
      </c>
      <c r="Z663" s="4" t="str">
        <f>IF(K663="",IF(ISNUMBER(SEARCH("NOT NULL",UPPER(K$3))),"''","null"),SUBSTITUTE(VLOOKUP(K$2,convert!$A$1:$B$4,2,0),"@@@",K663))</f>
        <v>'grass'</v>
      </c>
      <c r="AA663" s="4" t="str">
        <f>IF(L663="",IF(ISNUMBER(SEARCH("NOT NULL",UPPER(L$3))),"''","null"),SUBSTITUTE(VLOOKUP(L$2,convert!$A$1:$B$4,2,0),"@@@",L663))</f>
        <v>'g5'</v>
      </c>
      <c r="AB663" s="4" t="str">
        <f>IF(M663="",IF(ISNUMBER(SEARCH("NOT NULL",UPPER(M$3))),"''","null"),SUBSTITUTE(VLOOKUP(M$2,convert!$A$1:$B$4,2,0),"@@@",M663))</f>
        <v>null</v>
      </c>
      <c r="AC663" s="4" t="str">
        <f>IF(N663="",IF(ISNUMBER(SEARCH("NOT NULL",UPPER(N$3))),"''","null"),SUBSTITUTE(VLOOKUP(N$2,convert!$A$1:$B$4,2,0),"@@@",N663))</f>
        <v>null</v>
      </c>
      <c r="AD663" s="4" t="str">
        <f>IF(O663="",IF(ISNUMBER(SEARCH("NOT NULL",UPPER(O$3))),"''","null"),SUBSTITUTE(VLOOKUP(O$2,convert!$A$1:$B$4,2,0),"@@@",O663))</f>
        <v>TRUE</v>
      </c>
      <c r="AE663" s="4" t="str">
        <f t="shared" si="10"/>
        <v>    ('0541N01', 'クルマユ', 55, 63, 90, 50, 80, 42, '', 'bug', 'grass', 'g5', null, null, TRUE),</v>
      </c>
    </row>
    <row r="664" spans="1:31">
      <c r="A664" s="4" t="s">
        <v>1341</v>
      </c>
      <c r="B664" s="4" t="s">
        <v>1342</v>
      </c>
      <c r="C664" s="5">
        <v>75</v>
      </c>
      <c r="D664" s="5">
        <v>103</v>
      </c>
      <c r="E664" s="5">
        <v>80</v>
      </c>
      <c r="F664" s="5">
        <v>70</v>
      </c>
      <c r="G664" s="5">
        <v>80</v>
      </c>
      <c r="H664" s="5">
        <v>92</v>
      </c>
      <c r="I664" s="5"/>
      <c r="J664" s="4" t="s">
        <v>64</v>
      </c>
      <c r="K664" s="4" t="s">
        <v>30</v>
      </c>
      <c r="L664" s="4" t="s">
        <v>1243</v>
      </c>
      <c r="M664" s="5"/>
      <c r="N664" s="5"/>
      <c r="O664" s="5" t="b">
        <v>1</v>
      </c>
      <c r="P664" s="4" t="str">
        <f>IF(A664="",IF(ISNUMBER(SEARCH("NOT NULL",UPPER(A$3))),"''","null"),SUBSTITUTE(VLOOKUP(A$2,convert!$A$1:$B$4,2,0),"@@@",A664))</f>
        <v>'0542N01'</v>
      </c>
      <c r="Q664" s="4" t="str">
        <f>IF(B664="",IF(ISNUMBER(SEARCH("NOT NULL",UPPER(B$3))),"''","null"),SUBSTITUTE(VLOOKUP(B$2,convert!$A$1:$B$4,2,0),"@@@",B664))</f>
        <v>'ハハコモリ'</v>
      </c>
      <c r="R664" s="4" t="str">
        <f>IF(C664="",IF(ISNUMBER(SEARCH("NOT NULL",UPPER(C$3))),"''","null"),SUBSTITUTE(VLOOKUP(C$2,convert!$A$1:$B$4,2,0),"@@@",C664))</f>
        <v>75</v>
      </c>
      <c r="S664" s="4" t="str">
        <f>IF(D664="",IF(ISNUMBER(SEARCH("NOT NULL",UPPER(D$3))),"''","null"),SUBSTITUTE(VLOOKUP(D$2,convert!$A$1:$B$4,2,0),"@@@",D664))</f>
        <v>103</v>
      </c>
      <c r="T664" s="4" t="str">
        <f>IF(E664="",IF(ISNUMBER(SEARCH("NOT NULL",UPPER(E$3))),"''","null"),SUBSTITUTE(VLOOKUP(E$2,convert!$A$1:$B$4,2,0),"@@@",E664))</f>
        <v>80</v>
      </c>
      <c r="U664" s="4" t="str">
        <f>IF(F664="",IF(ISNUMBER(SEARCH("NOT NULL",UPPER(F$3))),"''","null"),SUBSTITUTE(VLOOKUP(F$2,convert!$A$1:$B$4,2,0),"@@@",F664))</f>
        <v>70</v>
      </c>
      <c r="V664" s="4" t="str">
        <f>IF(G664="",IF(ISNUMBER(SEARCH("NOT NULL",UPPER(G$3))),"''","null"),SUBSTITUTE(VLOOKUP(G$2,convert!$A$1:$B$4,2,0),"@@@",G664))</f>
        <v>80</v>
      </c>
      <c r="W664" s="4" t="str">
        <f>IF(H664="",IF(ISNUMBER(SEARCH("NOT NULL",UPPER(H$3))),"''","null"),SUBSTITUTE(VLOOKUP(H$2,convert!$A$1:$B$4,2,0),"@@@",H664))</f>
        <v>92</v>
      </c>
      <c r="X664" s="4" t="str">
        <f>IF(I664="",IF(ISNUMBER(SEARCH("NOT NULL",UPPER(I$3))),"''","null"),SUBSTITUTE(VLOOKUP(I$2,convert!$A$1:$B$4,2,0),"@@@",I664))</f>
        <v>''</v>
      </c>
      <c r="Y664" s="4" t="str">
        <f>IF(J664="",IF(ISNUMBER(SEARCH("NOT NULL",UPPER(J$3))),"''","null"),SUBSTITUTE(VLOOKUP(J$2,convert!$A$1:$B$4,2,0),"@@@",J664))</f>
        <v>'bug'</v>
      </c>
      <c r="Z664" s="4" t="str">
        <f>IF(K664="",IF(ISNUMBER(SEARCH("NOT NULL",UPPER(K$3))),"''","null"),SUBSTITUTE(VLOOKUP(K$2,convert!$A$1:$B$4,2,0),"@@@",K664))</f>
        <v>'grass'</v>
      </c>
      <c r="AA664" s="4" t="str">
        <f>IF(L664="",IF(ISNUMBER(SEARCH("NOT NULL",UPPER(L$3))),"''","null"),SUBSTITUTE(VLOOKUP(L$2,convert!$A$1:$B$4,2,0),"@@@",L664))</f>
        <v>'g5'</v>
      </c>
      <c r="AB664" s="4" t="str">
        <f>IF(M664="",IF(ISNUMBER(SEARCH("NOT NULL",UPPER(M$3))),"''","null"),SUBSTITUTE(VLOOKUP(M$2,convert!$A$1:$B$4,2,0),"@@@",M664))</f>
        <v>null</v>
      </c>
      <c r="AC664" s="4" t="str">
        <f>IF(N664="",IF(ISNUMBER(SEARCH("NOT NULL",UPPER(N$3))),"''","null"),SUBSTITUTE(VLOOKUP(N$2,convert!$A$1:$B$4,2,0),"@@@",N664))</f>
        <v>null</v>
      </c>
      <c r="AD664" s="4" t="str">
        <f>IF(O664="",IF(ISNUMBER(SEARCH("NOT NULL",UPPER(O$3))),"''","null"),SUBSTITUTE(VLOOKUP(O$2,convert!$A$1:$B$4,2,0),"@@@",O664))</f>
        <v>TRUE</v>
      </c>
      <c r="AE664" s="4" t="str">
        <f t="shared" si="10"/>
        <v>    ('0542N01', 'ハハコモリ', 75, 103, 80, 70, 80, 92, '', 'bug', 'grass', 'g5', null, null, TRUE),</v>
      </c>
    </row>
    <row r="665" spans="1:31">
      <c r="A665" s="4" t="s">
        <v>1343</v>
      </c>
      <c r="B665" s="4" t="s">
        <v>1344</v>
      </c>
      <c r="C665" s="5">
        <v>30</v>
      </c>
      <c r="D665" s="5">
        <v>45</v>
      </c>
      <c r="E665" s="5">
        <v>59</v>
      </c>
      <c r="F665" s="5">
        <v>30</v>
      </c>
      <c r="G665" s="5">
        <v>39</v>
      </c>
      <c r="H665" s="5">
        <v>57</v>
      </c>
      <c r="I665" s="5"/>
      <c r="J665" s="4" t="s">
        <v>64</v>
      </c>
      <c r="K665" s="4" t="s">
        <v>31</v>
      </c>
      <c r="L665" s="4" t="s">
        <v>1243</v>
      </c>
      <c r="M665" s="5"/>
      <c r="N665" s="5"/>
      <c r="O665" s="5" t="b">
        <v>1</v>
      </c>
      <c r="P665" s="4" t="str">
        <f>IF(A665="",IF(ISNUMBER(SEARCH("NOT NULL",UPPER(A$3))),"''","null"),SUBSTITUTE(VLOOKUP(A$2,convert!$A$1:$B$4,2,0),"@@@",A665))</f>
        <v>'0543N01'</v>
      </c>
      <c r="Q665" s="4" t="str">
        <f>IF(B665="",IF(ISNUMBER(SEARCH("NOT NULL",UPPER(B$3))),"''","null"),SUBSTITUTE(VLOOKUP(B$2,convert!$A$1:$B$4,2,0),"@@@",B665))</f>
        <v>'フシデ'</v>
      </c>
      <c r="R665" s="4" t="str">
        <f>IF(C665="",IF(ISNUMBER(SEARCH("NOT NULL",UPPER(C$3))),"''","null"),SUBSTITUTE(VLOOKUP(C$2,convert!$A$1:$B$4,2,0),"@@@",C665))</f>
        <v>30</v>
      </c>
      <c r="S665" s="4" t="str">
        <f>IF(D665="",IF(ISNUMBER(SEARCH("NOT NULL",UPPER(D$3))),"''","null"),SUBSTITUTE(VLOOKUP(D$2,convert!$A$1:$B$4,2,0),"@@@",D665))</f>
        <v>45</v>
      </c>
      <c r="T665" s="4" t="str">
        <f>IF(E665="",IF(ISNUMBER(SEARCH("NOT NULL",UPPER(E$3))),"''","null"),SUBSTITUTE(VLOOKUP(E$2,convert!$A$1:$B$4,2,0),"@@@",E665))</f>
        <v>59</v>
      </c>
      <c r="U665" s="4" t="str">
        <f>IF(F665="",IF(ISNUMBER(SEARCH("NOT NULL",UPPER(F$3))),"''","null"),SUBSTITUTE(VLOOKUP(F$2,convert!$A$1:$B$4,2,0),"@@@",F665))</f>
        <v>30</v>
      </c>
      <c r="V665" s="4" t="str">
        <f>IF(G665="",IF(ISNUMBER(SEARCH("NOT NULL",UPPER(G$3))),"''","null"),SUBSTITUTE(VLOOKUP(G$2,convert!$A$1:$B$4,2,0),"@@@",G665))</f>
        <v>39</v>
      </c>
      <c r="W665" s="4" t="str">
        <f>IF(H665="",IF(ISNUMBER(SEARCH("NOT NULL",UPPER(H$3))),"''","null"),SUBSTITUTE(VLOOKUP(H$2,convert!$A$1:$B$4,2,0),"@@@",H665))</f>
        <v>57</v>
      </c>
      <c r="X665" s="4" t="str">
        <f>IF(I665="",IF(ISNUMBER(SEARCH("NOT NULL",UPPER(I$3))),"''","null"),SUBSTITUTE(VLOOKUP(I$2,convert!$A$1:$B$4,2,0),"@@@",I665))</f>
        <v>''</v>
      </c>
      <c r="Y665" s="4" t="str">
        <f>IF(J665="",IF(ISNUMBER(SEARCH("NOT NULL",UPPER(J$3))),"''","null"),SUBSTITUTE(VLOOKUP(J$2,convert!$A$1:$B$4,2,0),"@@@",J665))</f>
        <v>'bug'</v>
      </c>
      <c r="Z665" s="4" t="str">
        <f>IF(K665="",IF(ISNUMBER(SEARCH("NOT NULL",UPPER(K$3))),"''","null"),SUBSTITUTE(VLOOKUP(K$2,convert!$A$1:$B$4,2,0),"@@@",K665))</f>
        <v>'poison'</v>
      </c>
      <c r="AA665" s="4" t="str">
        <f>IF(L665="",IF(ISNUMBER(SEARCH("NOT NULL",UPPER(L$3))),"''","null"),SUBSTITUTE(VLOOKUP(L$2,convert!$A$1:$B$4,2,0),"@@@",L665))</f>
        <v>'g5'</v>
      </c>
      <c r="AB665" s="4" t="str">
        <f>IF(M665="",IF(ISNUMBER(SEARCH("NOT NULL",UPPER(M$3))),"''","null"),SUBSTITUTE(VLOOKUP(M$2,convert!$A$1:$B$4,2,0),"@@@",M665))</f>
        <v>null</v>
      </c>
      <c r="AC665" s="4" t="str">
        <f>IF(N665="",IF(ISNUMBER(SEARCH("NOT NULL",UPPER(N$3))),"''","null"),SUBSTITUTE(VLOOKUP(N$2,convert!$A$1:$B$4,2,0),"@@@",N665))</f>
        <v>null</v>
      </c>
      <c r="AD665" s="4" t="str">
        <f>IF(O665="",IF(ISNUMBER(SEARCH("NOT NULL",UPPER(O$3))),"''","null"),SUBSTITUTE(VLOOKUP(O$2,convert!$A$1:$B$4,2,0),"@@@",O665))</f>
        <v>TRUE</v>
      </c>
      <c r="AE665" s="4" t="str">
        <f t="shared" si="10"/>
        <v>    ('0543N01', 'フシデ', 30, 45, 59, 30, 39, 57, '', 'bug', 'poison', 'g5', null, null, TRUE),</v>
      </c>
    </row>
    <row r="666" spans="1:31">
      <c r="A666" s="4" t="s">
        <v>1345</v>
      </c>
      <c r="B666" s="4" t="s">
        <v>1346</v>
      </c>
      <c r="C666" s="5">
        <v>40</v>
      </c>
      <c r="D666" s="5">
        <v>55</v>
      </c>
      <c r="E666" s="5">
        <v>99</v>
      </c>
      <c r="F666" s="5">
        <v>40</v>
      </c>
      <c r="G666" s="5">
        <v>79</v>
      </c>
      <c r="H666" s="5">
        <v>47</v>
      </c>
      <c r="I666" s="5"/>
      <c r="J666" s="4" t="s">
        <v>64</v>
      </c>
      <c r="K666" s="4" t="s">
        <v>31</v>
      </c>
      <c r="L666" s="4" t="s">
        <v>1243</v>
      </c>
      <c r="M666" s="5"/>
      <c r="N666" s="5"/>
      <c r="O666" s="5" t="b">
        <v>1</v>
      </c>
      <c r="P666" s="4" t="str">
        <f>IF(A666="",IF(ISNUMBER(SEARCH("NOT NULL",UPPER(A$3))),"''","null"),SUBSTITUTE(VLOOKUP(A$2,convert!$A$1:$B$4,2,0),"@@@",A666))</f>
        <v>'0544N01'</v>
      </c>
      <c r="Q666" s="4" t="str">
        <f>IF(B666="",IF(ISNUMBER(SEARCH("NOT NULL",UPPER(B$3))),"''","null"),SUBSTITUTE(VLOOKUP(B$2,convert!$A$1:$B$4,2,0),"@@@",B666))</f>
        <v>'ホイーガ'</v>
      </c>
      <c r="R666" s="4" t="str">
        <f>IF(C666="",IF(ISNUMBER(SEARCH("NOT NULL",UPPER(C$3))),"''","null"),SUBSTITUTE(VLOOKUP(C$2,convert!$A$1:$B$4,2,0),"@@@",C666))</f>
        <v>40</v>
      </c>
      <c r="S666" s="4" t="str">
        <f>IF(D666="",IF(ISNUMBER(SEARCH("NOT NULL",UPPER(D$3))),"''","null"),SUBSTITUTE(VLOOKUP(D$2,convert!$A$1:$B$4,2,0),"@@@",D666))</f>
        <v>55</v>
      </c>
      <c r="T666" s="4" t="str">
        <f>IF(E666="",IF(ISNUMBER(SEARCH("NOT NULL",UPPER(E$3))),"''","null"),SUBSTITUTE(VLOOKUP(E$2,convert!$A$1:$B$4,2,0),"@@@",E666))</f>
        <v>99</v>
      </c>
      <c r="U666" s="4" t="str">
        <f>IF(F666="",IF(ISNUMBER(SEARCH("NOT NULL",UPPER(F$3))),"''","null"),SUBSTITUTE(VLOOKUP(F$2,convert!$A$1:$B$4,2,0),"@@@",F666))</f>
        <v>40</v>
      </c>
      <c r="V666" s="4" t="str">
        <f>IF(G666="",IF(ISNUMBER(SEARCH("NOT NULL",UPPER(G$3))),"''","null"),SUBSTITUTE(VLOOKUP(G$2,convert!$A$1:$B$4,2,0),"@@@",G666))</f>
        <v>79</v>
      </c>
      <c r="W666" s="4" t="str">
        <f>IF(H666="",IF(ISNUMBER(SEARCH("NOT NULL",UPPER(H$3))),"''","null"),SUBSTITUTE(VLOOKUP(H$2,convert!$A$1:$B$4,2,0),"@@@",H666))</f>
        <v>47</v>
      </c>
      <c r="X666" s="4" t="str">
        <f>IF(I666="",IF(ISNUMBER(SEARCH("NOT NULL",UPPER(I$3))),"''","null"),SUBSTITUTE(VLOOKUP(I$2,convert!$A$1:$B$4,2,0),"@@@",I666))</f>
        <v>''</v>
      </c>
      <c r="Y666" s="4" t="str">
        <f>IF(J666="",IF(ISNUMBER(SEARCH("NOT NULL",UPPER(J$3))),"''","null"),SUBSTITUTE(VLOOKUP(J$2,convert!$A$1:$B$4,2,0),"@@@",J666))</f>
        <v>'bug'</v>
      </c>
      <c r="Z666" s="4" t="str">
        <f>IF(K666="",IF(ISNUMBER(SEARCH("NOT NULL",UPPER(K$3))),"''","null"),SUBSTITUTE(VLOOKUP(K$2,convert!$A$1:$B$4,2,0),"@@@",K666))</f>
        <v>'poison'</v>
      </c>
      <c r="AA666" s="4" t="str">
        <f>IF(L666="",IF(ISNUMBER(SEARCH("NOT NULL",UPPER(L$3))),"''","null"),SUBSTITUTE(VLOOKUP(L$2,convert!$A$1:$B$4,2,0),"@@@",L666))</f>
        <v>'g5'</v>
      </c>
      <c r="AB666" s="4" t="str">
        <f>IF(M666="",IF(ISNUMBER(SEARCH("NOT NULL",UPPER(M$3))),"''","null"),SUBSTITUTE(VLOOKUP(M$2,convert!$A$1:$B$4,2,0),"@@@",M666))</f>
        <v>null</v>
      </c>
      <c r="AC666" s="4" t="str">
        <f>IF(N666="",IF(ISNUMBER(SEARCH("NOT NULL",UPPER(N$3))),"''","null"),SUBSTITUTE(VLOOKUP(N$2,convert!$A$1:$B$4,2,0),"@@@",N666))</f>
        <v>null</v>
      </c>
      <c r="AD666" s="4" t="str">
        <f>IF(O666="",IF(ISNUMBER(SEARCH("NOT NULL",UPPER(O$3))),"''","null"),SUBSTITUTE(VLOOKUP(O$2,convert!$A$1:$B$4,2,0),"@@@",O666))</f>
        <v>TRUE</v>
      </c>
      <c r="AE666" s="4" t="str">
        <f t="shared" si="10"/>
        <v>    ('0544N01', 'ホイーガ', 40, 55, 99, 40, 79, 47, '', 'bug', 'poison', 'g5', null, null, TRUE),</v>
      </c>
    </row>
    <row r="667" spans="1:31">
      <c r="A667" s="4" t="s">
        <v>1347</v>
      </c>
      <c r="B667" s="4" t="s">
        <v>1348</v>
      </c>
      <c r="C667" s="5">
        <v>60</v>
      </c>
      <c r="D667" s="5">
        <v>100</v>
      </c>
      <c r="E667" s="5">
        <v>89</v>
      </c>
      <c r="F667" s="5">
        <v>55</v>
      </c>
      <c r="G667" s="5">
        <v>69</v>
      </c>
      <c r="H667" s="5">
        <v>112</v>
      </c>
      <c r="I667" s="5"/>
      <c r="J667" s="4" t="s">
        <v>64</v>
      </c>
      <c r="K667" s="4" t="s">
        <v>31</v>
      </c>
      <c r="L667" s="4" t="s">
        <v>1243</v>
      </c>
      <c r="M667" s="5"/>
      <c r="N667" s="5"/>
      <c r="O667" s="5" t="b">
        <v>1</v>
      </c>
      <c r="P667" s="4" t="str">
        <f>IF(A667="",IF(ISNUMBER(SEARCH("NOT NULL",UPPER(A$3))),"''","null"),SUBSTITUTE(VLOOKUP(A$2,convert!$A$1:$B$4,2,0),"@@@",A667))</f>
        <v>'0545N01'</v>
      </c>
      <c r="Q667" s="4" t="str">
        <f>IF(B667="",IF(ISNUMBER(SEARCH("NOT NULL",UPPER(B$3))),"''","null"),SUBSTITUTE(VLOOKUP(B$2,convert!$A$1:$B$4,2,0),"@@@",B667))</f>
        <v>'ペンドラー'</v>
      </c>
      <c r="R667" s="4" t="str">
        <f>IF(C667="",IF(ISNUMBER(SEARCH("NOT NULL",UPPER(C$3))),"''","null"),SUBSTITUTE(VLOOKUP(C$2,convert!$A$1:$B$4,2,0),"@@@",C667))</f>
        <v>60</v>
      </c>
      <c r="S667" s="4" t="str">
        <f>IF(D667="",IF(ISNUMBER(SEARCH("NOT NULL",UPPER(D$3))),"''","null"),SUBSTITUTE(VLOOKUP(D$2,convert!$A$1:$B$4,2,0),"@@@",D667))</f>
        <v>100</v>
      </c>
      <c r="T667" s="4" t="str">
        <f>IF(E667="",IF(ISNUMBER(SEARCH("NOT NULL",UPPER(E$3))),"''","null"),SUBSTITUTE(VLOOKUP(E$2,convert!$A$1:$B$4,2,0),"@@@",E667))</f>
        <v>89</v>
      </c>
      <c r="U667" s="4" t="str">
        <f>IF(F667="",IF(ISNUMBER(SEARCH("NOT NULL",UPPER(F$3))),"''","null"),SUBSTITUTE(VLOOKUP(F$2,convert!$A$1:$B$4,2,0),"@@@",F667))</f>
        <v>55</v>
      </c>
      <c r="V667" s="4" t="str">
        <f>IF(G667="",IF(ISNUMBER(SEARCH("NOT NULL",UPPER(G$3))),"''","null"),SUBSTITUTE(VLOOKUP(G$2,convert!$A$1:$B$4,2,0),"@@@",G667))</f>
        <v>69</v>
      </c>
      <c r="W667" s="4" t="str">
        <f>IF(H667="",IF(ISNUMBER(SEARCH("NOT NULL",UPPER(H$3))),"''","null"),SUBSTITUTE(VLOOKUP(H$2,convert!$A$1:$B$4,2,0),"@@@",H667))</f>
        <v>112</v>
      </c>
      <c r="X667" s="4" t="str">
        <f>IF(I667="",IF(ISNUMBER(SEARCH("NOT NULL",UPPER(I$3))),"''","null"),SUBSTITUTE(VLOOKUP(I$2,convert!$A$1:$B$4,2,0),"@@@",I667))</f>
        <v>''</v>
      </c>
      <c r="Y667" s="4" t="str">
        <f>IF(J667="",IF(ISNUMBER(SEARCH("NOT NULL",UPPER(J$3))),"''","null"),SUBSTITUTE(VLOOKUP(J$2,convert!$A$1:$B$4,2,0),"@@@",J667))</f>
        <v>'bug'</v>
      </c>
      <c r="Z667" s="4" t="str">
        <f>IF(K667="",IF(ISNUMBER(SEARCH("NOT NULL",UPPER(K$3))),"''","null"),SUBSTITUTE(VLOOKUP(K$2,convert!$A$1:$B$4,2,0),"@@@",K667))</f>
        <v>'poison'</v>
      </c>
      <c r="AA667" s="4" t="str">
        <f>IF(L667="",IF(ISNUMBER(SEARCH("NOT NULL",UPPER(L$3))),"''","null"),SUBSTITUTE(VLOOKUP(L$2,convert!$A$1:$B$4,2,0),"@@@",L667))</f>
        <v>'g5'</v>
      </c>
      <c r="AB667" s="4" t="str">
        <f>IF(M667="",IF(ISNUMBER(SEARCH("NOT NULL",UPPER(M$3))),"''","null"),SUBSTITUTE(VLOOKUP(M$2,convert!$A$1:$B$4,2,0),"@@@",M667))</f>
        <v>null</v>
      </c>
      <c r="AC667" s="4" t="str">
        <f>IF(N667="",IF(ISNUMBER(SEARCH("NOT NULL",UPPER(N$3))),"''","null"),SUBSTITUTE(VLOOKUP(N$2,convert!$A$1:$B$4,2,0),"@@@",N667))</f>
        <v>null</v>
      </c>
      <c r="AD667" s="4" t="str">
        <f>IF(O667="",IF(ISNUMBER(SEARCH("NOT NULL",UPPER(O$3))),"''","null"),SUBSTITUTE(VLOOKUP(O$2,convert!$A$1:$B$4,2,0),"@@@",O667))</f>
        <v>TRUE</v>
      </c>
      <c r="AE667" s="4" t="str">
        <f t="shared" si="10"/>
        <v>    ('0545N01', 'ペンドラー', 60, 100, 89, 55, 69, 112, '', 'bug', 'poison', 'g5', null, null, TRUE),</v>
      </c>
    </row>
    <row r="668" spans="1:31">
      <c r="A668" s="4" t="s">
        <v>1349</v>
      </c>
      <c r="B668" s="4" t="s">
        <v>1350</v>
      </c>
      <c r="C668" s="5">
        <v>40</v>
      </c>
      <c r="D668" s="5">
        <v>27</v>
      </c>
      <c r="E668" s="5">
        <v>60</v>
      </c>
      <c r="F668" s="5">
        <v>37</v>
      </c>
      <c r="G668" s="5">
        <v>50</v>
      </c>
      <c r="H668" s="5">
        <v>66</v>
      </c>
      <c r="I668" s="5"/>
      <c r="J668" s="4" t="s">
        <v>30</v>
      </c>
      <c r="K668" s="4" t="s">
        <v>137</v>
      </c>
      <c r="L668" s="4" t="s">
        <v>1243</v>
      </c>
      <c r="M668" s="5"/>
      <c r="N668" s="5"/>
      <c r="O668" s="5" t="b">
        <v>1</v>
      </c>
      <c r="P668" s="4" t="str">
        <f>IF(A668="",IF(ISNUMBER(SEARCH("NOT NULL",UPPER(A$3))),"''","null"),SUBSTITUTE(VLOOKUP(A$2,convert!$A$1:$B$4,2,0),"@@@",A668))</f>
        <v>'0546N01'</v>
      </c>
      <c r="Q668" s="4" t="str">
        <f>IF(B668="",IF(ISNUMBER(SEARCH("NOT NULL",UPPER(B$3))),"''","null"),SUBSTITUTE(VLOOKUP(B$2,convert!$A$1:$B$4,2,0),"@@@",B668))</f>
        <v>'モンメン'</v>
      </c>
      <c r="R668" s="4" t="str">
        <f>IF(C668="",IF(ISNUMBER(SEARCH("NOT NULL",UPPER(C$3))),"''","null"),SUBSTITUTE(VLOOKUP(C$2,convert!$A$1:$B$4,2,0),"@@@",C668))</f>
        <v>40</v>
      </c>
      <c r="S668" s="4" t="str">
        <f>IF(D668="",IF(ISNUMBER(SEARCH("NOT NULL",UPPER(D$3))),"''","null"),SUBSTITUTE(VLOOKUP(D$2,convert!$A$1:$B$4,2,0),"@@@",D668))</f>
        <v>27</v>
      </c>
      <c r="T668" s="4" t="str">
        <f>IF(E668="",IF(ISNUMBER(SEARCH("NOT NULL",UPPER(E$3))),"''","null"),SUBSTITUTE(VLOOKUP(E$2,convert!$A$1:$B$4,2,0),"@@@",E668))</f>
        <v>60</v>
      </c>
      <c r="U668" s="4" t="str">
        <f>IF(F668="",IF(ISNUMBER(SEARCH("NOT NULL",UPPER(F$3))),"''","null"),SUBSTITUTE(VLOOKUP(F$2,convert!$A$1:$B$4,2,0),"@@@",F668))</f>
        <v>37</v>
      </c>
      <c r="V668" s="4" t="str">
        <f>IF(G668="",IF(ISNUMBER(SEARCH("NOT NULL",UPPER(G$3))),"''","null"),SUBSTITUTE(VLOOKUP(G$2,convert!$A$1:$B$4,2,0),"@@@",G668))</f>
        <v>50</v>
      </c>
      <c r="W668" s="4" t="str">
        <f>IF(H668="",IF(ISNUMBER(SEARCH("NOT NULL",UPPER(H$3))),"''","null"),SUBSTITUTE(VLOOKUP(H$2,convert!$A$1:$B$4,2,0),"@@@",H668))</f>
        <v>66</v>
      </c>
      <c r="X668" s="4" t="str">
        <f>IF(I668="",IF(ISNUMBER(SEARCH("NOT NULL",UPPER(I$3))),"''","null"),SUBSTITUTE(VLOOKUP(I$2,convert!$A$1:$B$4,2,0),"@@@",I668))</f>
        <v>''</v>
      </c>
      <c r="Y668" s="4" t="str">
        <f>IF(J668="",IF(ISNUMBER(SEARCH("NOT NULL",UPPER(J$3))),"''","null"),SUBSTITUTE(VLOOKUP(J$2,convert!$A$1:$B$4,2,0),"@@@",J668))</f>
        <v>'grass'</v>
      </c>
      <c r="Z668" s="4" t="str">
        <f>IF(K668="",IF(ISNUMBER(SEARCH("NOT NULL",UPPER(K$3))),"''","null"),SUBSTITUTE(VLOOKUP(K$2,convert!$A$1:$B$4,2,0),"@@@",K668))</f>
        <v>'fairy'</v>
      </c>
      <c r="AA668" s="4" t="str">
        <f>IF(L668="",IF(ISNUMBER(SEARCH("NOT NULL",UPPER(L$3))),"''","null"),SUBSTITUTE(VLOOKUP(L$2,convert!$A$1:$B$4,2,0),"@@@",L668))</f>
        <v>'g5'</v>
      </c>
      <c r="AB668" s="4" t="str">
        <f>IF(M668="",IF(ISNUMBER(SEARCH("NOT NULL",UPPER(M$3))),"''","null"),SUBSTITUTE(VLOOKUP(M$2,convert!$A$1:$B$4,2,0),"@@@",M668))</f>
        <v>null</v>
      </c>
      <c r="AC668" s="4" t="str">
        <f>IF(N668="",IF(ISNUMBER(SEARCH("NOT NULL",UPPER(N$3))),"''","null"),SUBSTITUTE(VLOOKUP(N$2,convert!$A$1:$B$4,2,0),"@@@",N668))</f>
        <v>null</v>
      </c>
      <c r="AD668" s="4" t="str">
        <f>IF(O668="",IF(ISNUMBER(SEARCH("NOT NULL",UPPER(O$3))),"''","null"),SUBSTITUTE(VLOOKUP(O$2,convert!$A$1:$B$4,2,0),"@@@",O668))</f>
        <v>TRUE</v>
      </c>
      <c r="AE668" s="4" t="str">
        <f t="shared" si="10"/>
        <v>    ('0546N01', 'モンメン', 40, 27, 60, 37, 50, 66, '', 'grass', 'fairy', 'g5', null, null, TRUE),</v>
      </c>
    </row>
    <row r="669" spans="1:31">
      <c r="A669" s="4" t="s">
        <v>1351</v>
      </c>
      <c r="B669" s="4" t="s">
        <v>1352</v>
      </c>
      <c r="C669" s="5">
        <v>60</v>
      </c>
      <c r="D669" s="5">
        <v>67</v>
      </c>
      <c r="E669" s="5">
        <v>85</v>
      </c>
      <c r="F669" s="5">
        <v>77</v>
      </c>
      <c r="G669" s="5">
        <v>75</v>
      </c>
      <c r="H669" s="5">
        <v>116</v>
      </c>
      <c r="I669" s="5"/>
      <c r="J669" s="4" t="s">
        <v>30</v>
      </c>
      <c r="K669" s="4" t="s">
        <v>137</v>
      </c>
      <c r="L669" s="4" t="s">
        <v>1243</v>
      </c>
      <c r="M669" s="5"/>
      <c r="N669" s="5"/>
      <c r="O669" s="5" t="b">
        <v>1</v>
      </c>
      <c r="P669" s="4" t="str">
        <f>IF(A669="",IF(ISNUMBER(SEARCH("NOT NULL",UPPER(A$3))),"''","null"),SUBSTITUTE(VLOOKUP(A$2,convert!$A$1:$B$4,2,0),"@@@",A669))</f>
        <v>'0547N01'</v>
      </c>
      <c r="Q669" s="4" t="str">
        <f>IF(B669="",IF(ISNUMBER(SEARCH("NOT NULL",UPPER(B$3))),"''","null"),SUBSTITUTE(VLOOKUP(B$2,convert!$A$1:$B$4,2,0),"@@@",B669))</f>
        <v>'エルフーン'</v>
      </c>
      <c r="R669" s="4" t="str">
        <f>IF(C669="",IF(ISNUMBER(SEARCH("NOT NULL",UPPER(C$3))),"''","null"),SUBSTITUTE(VLOOKUP(C$2,convert!$A$1:$B$4,2,0),"@@@",C669))</f>
        <v>60</v>
      </c>
      <c r="S669" s="4" t="str">
        <f>IF(D669="",IF(ISNUMBER(SEARCH("NOT NULL",UPPER(D$3))),"''","null"),SUBSTITUTE(VLOOKUP(D$2,convert!$A$1:$B$4,2,0),"@@@",D669))</f>
        <v>67</v>
      </c>
      <c r="T669" s="4" t="str">
        <f>IF(E669="",IF(ISNUMBER(SEARCH("NOT NULL",UPPER(E$3))),"''","null"),SUBSTITUTE(VLOOKUP(E$2,convert!$A$1:$B$4,2,0),"@@@",E669))</f>
        <v>85</v>
      </c>
      <c r="U669" s="4" t="str">
        <f>IF(F669="",IF(ISNUMBER(SEARCH("NOT NULL",UPPER(F$3))),"''","null"),SUBSTITUTE(VLOOKUP(F$2,convert!$A$1:$B$4,2,0),"@@@",F669))</f>
        <v>77</v>
      </c>
      <c r="V669" s="4" t="str">
        <f>IF(G669="",IF(ISNUMBER(SEARCH("NOT NULL",UPPER(G$3))),"''","null"),SUBSTITUTE(VLOOKUP(G$2,convert!$A$1:$B$4,2,0),"@@@",G669))</f>
        <v>75</v>
      </c>
      <c r="W669" s="4" t="str">
        <f>IF(H669="",IF(ISNUMBER(SEARCH("NOT NULL",UPPER(H$3))),"''","null"),SUBSTITUTE(VLOOKUP(H$2,convert!$A$1:$B$4,2,0),"@@@",H669))</f>
        <v>116</v>
      </c>
      <c r="X669" s="4" t="str">
        <f>IF(I669="",IF(ISNUMBER(SEARCH("NOT NULL",UPPER(I$3))),"''","null"),SUBSTITUTE(VLOOKUP(I$2,convert!$A$1:$B$4,2,0),"@@@",I669))</f>
        <v>''</v>
      </c>
      <c r="Y669" s="4" t="str">
        <f>IF(J669="",IF(ISNUMBER(SEARCH("NOT NULL",UPPER(J$3))),"''","null"),SUBSTITUTE(VLOOKUP(J$2,convert!$A$1:$B$4,2,0),"@@@",J669))</f>
        <v>'grass'</v>
      </c>
      <c r="Z669" s="4" t="str">
        <f>IF(K669="",IF(ISNUMBER(SEARCH("NOT NULL",UPPER(K$3))),"''","null"),SUBSTITUTE(VLOOKUP(K$2,convert!$A$1:$B$4,2,0),"@@@",K669))</f>
        <v>'fairy'</v>
      </c>
      <c r="AA669" s="4" t="str">
        <f>IF(L669="",IF(ISNUMBER(SEARCH("NOT NULL",UPPER(L$3))),"''","null"),SUBSTITUTE(VLOOKUP(L$2,convert!$A$1:$B$4,2,0),"@@@",L669))</f>
        <v>'g5'</v>
      </c>
      <c r="AB669" s="4" t="str">
        <f>IF(M669="",IF(ISNUMBER(SEARCH("NOT NULL",UPPER(M$3))),"''","null"),SUBSTITUTE(VLOOKUP(M$2,convert!$A$1:$B$4,2,0),"@@@",M669))</f>
        <v>null</v>
      </c>
      <c r="AC669" s="4" t="str">
        <f>IF(N669="",IF(ISNUMBER(SEARCH("NOT NULL",UPPER(N$3))),"''","null"),SUBSTITUTE(VLOOKUP(N$2,convert!$A$1:$B$4,2,0),"@@@",N669))</f>
        <v>null</v>
      </c>
      <c r="AD669" s="4" t="str">
        <f>IF(O669="",IF(ISNUMBER(SEARCH("NOT NULL",UPPER(O$3))),"''","null"),SUBSTITUTE(VLOOKUP(O$2,convert!$A$1:$B$4,2,0),"@@@",O669))</f>
        <v>TRUE</v>
      </c>
      <c r="AE669" s="4" t="str">
        <f t="shared" si="10"/>
        <v>    ('0547N01', 'エルフーン', 60, 67, 85, 77, 75, 116, '', 'grass', 'fairy', 'g5', null, null, TRUE),</v>
      </c>
    </row>
    <row r="670" spans="1:31">
      <c r="A670" s="4" t="s">
        <v>1353</v>
      </c>
      <c r="B670" s="4" t="s">
        <v>1354</v>
      </c>
      <c r="C670" s="5">
        <v>45</v>
      </c>
      <c r="D670" s="5">
        <v>35</v>
      </c>
      <c r="E670" s="5">
        <v>50</v>
      </c>
      <c r="F670" s="5">
        <v>70</v>
      </c>
      <c r="G670" s="5">
        <v>50</v>
      </c>
      <c r="H670" s="5">
        <v>30</v>
      </c>
      <c r="I670" s="5"/>
      <c r="J670" s="4" t="s">
        <v>30</v>
      </c>
      <c r="K670" s="5"/>
      <c r="L670" s="4" t="s">
        <v>1243</v>
      </c>
      <c r="M670" s="5"/>
      <c r="N670" s="5"/>
      <c r="O670" s="5" t="b">
        <v>1</v>
      </c>
      <c r="P670" s="4" t="str">
        <f>IF(A670="",IF(ISNUMBER(SEARCH("NOT NULL",UPPER(A$3))),"''","null"),SUBSTITUTE(VLOOKUP(A$2,convert!$A$1:$B$4,2,0),"@@@",A670))</f>
        <v>'0548N01'</v>
      </c>
      <c r="Q670" s="4" t="str">
        <f>IF(B670="",IF(ISNUMBER(SEARCH("NOT NULL",UPPER(B$3))),"''","null"),SUBSTITUTE(VLOOKUP(B$2,convert!$A$1:$B$4,2,0),"@@@",B670))</f>
        <v>'チュリネ'</v>
      </c>
      <c r="R670" s="4" t="str">
        <f>IF(C670="",IF(ISNUMBER(SEARCH("NOT NULL",UPPER(C$3))),"''","null"),SUBSTITUTE(VLOOKUP(C$2,convert!$A$1:$B$4,2,0),"@@@",C670))</f>
        <v>45</v>
      </c>
      <c r="S670" s="4" t="str">
        <f>IF(D670="",IF(ISNUMBER(SEARCH("NOT NULL",UPPER(D$3))),"''","null"),SUBSTITUTE(VLOOKUP(D$2,convert!$A$1:$B$4,2,0),"@@@",D670))</f>
        <v>35</v>
      </c>
      <c r="T670" s="4" t="str">
        <f>IF(E670="",IF(ISNUMBER(SEARCH("NOT NULL",UPPER(E$3))),"''","null"),SUBSTITUTE(VLOOKUP(E$2,convert!$A$1:$B$4,2,0),"@@@",E670))</f>
        <v>50</v>
      </c>
      <c r="U670" s="4" t="str">
        <f>IF(F670="",IF(ISNUMBER(SEARCH("NOT NULL",UPPER(F$3))),"''","null"),SUBSTITUTE(VLOOKUP(F$2,convert!$A$1:$B$4,2,0),"@@@",F670))</f>
        <v>70</v>
      </c>
      <c r="V670" s="4" t="str">
        <f>IF(G670="",IF(ISNUMBER(SEARCH("NOT NULL",UPPER(G$3))),"''","null"),SUBSTITUTE(VLOOKUP(G$2,convert!$A$1:$B$4,2,0),"@@@",G670))</f>
        <v>50</v>
      </c>
      <c r="W670" s="4" t="str">
        <f>IF(H670="",IF(ISNUMBER(SEARCH("NOT NULL",UPPER(H$3))),"''","null"),SUBSTITUTE(VLOOKUP(H$2,convert!$A$1:$B$4,2,0),"@@@",H670))</f>
        <v>30</v>
      </c>
      <c r="X670" s="4" t="str">
        <f>IF(I670="",IF(ISNUMBER(SEARCH("NOT NULL",UPPER(I$3))),"''","null"),SUBSTITUTE(VLOOKUP(I$2,convert!$A$1:$B$4,2,0),"@@@",I670))</f>
        <v>''</v>
      </c>
      <c r="Y670" s="4" t="str">
        <f>IF(J670="",IF(ISNUMBER(SEARCH("NOT NULL",UPPER(J$3))),"''","null"),SUBSTITUTE(VLOOKUP(J$2,convert!$A$1:$B$4,2,0),"@@@",J670))</f>
        <v>'grass'</v>
      </c>
      <c r="Z670" s="4" t="str">
        <f>IF(K670="",IF(ISNUMBER(SEARCH("NOT NULL",UPPER(K$3))),"''","null"),SUBSTITUTE(VLOOKUP(K$2,convert!$A$1:$B$4,2,0),"@@@",K670))</f>
        <v>null</v>
      </c>
      <c r="AA670" s="4" t="str">
        <f>IF(L670="",IF(ISNUMBER(SEARCH("NOT NULL",UPPER(L$3))),"''","null"),SUBSTITUTE(VLOOKUP(L$2,convert!$A$1:$B$4,2,0),"@@@",L670))</f>
        <v>'g5'</v>
      </c>
      <c r="AB670" s="4" t="str">
        <f>IF(M670="",IF(ISNUMBER(SEARCH("NOT NULL",UPPER(M$3))),"''","null"),SUBSTITUTE(VLOOKUP(M$2,convert!$A$1:$B$4,2,0),"@@@",M670))</f>
        <v>null</v>
      </c>
      <c r="AC670" s="4" t="str">
        <f>IF(N670="",IF(ISNUMBER(SEARCH("NOT NULL",UPPER(N$3))),"''","null"),SUBSTITUTE(VLOOKUP(N$2,convert!$A$1:$B$4,2,0),"@@@",N670))</f>
        <v>null</v>
      </c>
      <c r="AD670" s="4" t="str">
        <f>IF(O670="",IF(ISNUMBER(SEARCH("NOT NULL",UPPER(O$3))),"''","null"),SUBSTITUTE(VLOOKUP(O$2,convert!$A$1:$B$4,2,0),"@@@",O670))</f>
        <v>TRUE</v>
      </c>
      <c r="AE670" s="4" t="str">
        <f t="shared" si="10"/>
        <v>    ('0548N01', 'チュリネ', 45, 35, 50, 70, 50, 30, '', 'grass', null, 'g5', null, null, TRUE),</v>
      </c>
    </row>
    <row r="671" spans="1:31">
      <c r="A671" s="4" t="s">
        <v>1355</v>
      </c>
      <c r="B671" s="4" t="s">
        <v>1356</v>
      </c>
      <c r="C671" s="5">
        <v>70</v>
      </c>
      <c r="D671" s="5">
        <v>60</v>
      </c>
      <c r="E671" s="5">
        <v>75</v>
      </c>
      <c r="F671" s="5">
        <v>110</v>
      </c>
      <c r="G671" s="5">
        <v>75</v>
      </c>
      <c r="H671" s="5">
        <v>90</v>
      </c>
      <c r="I671" s="5"/>
      <c r="J671" s="4" t="s">
        <v>30</v>
      </c>
      <c r="K671" s="5"/>
      <c r="L671" s="4" t="s">
        <v>1243</v>
      </c>
      <c r="M671" s="5"/>
      <c r="N671" s="5"/>
      <c r="O671" s="5" t="b">
        <v>1</v>
      </c>
      <c r="P671" s="4" t="str">
        <f>IF(A671="",IF(ISNUMBER(SEARCH("NOT NULL",UPPER(A$3))),"''","null"),SUBSTITUTE(VLOOKUP(A$2,convert!$A$1:$B$4,2,0),"@@@",A671))</f>
        <v>'0549N01'</v>
      </c>
      <c r="Q671" s="4" t="str">
        <f>IF(B671="",IF(ISNUMBER(SEARCH("NOT NULL",UPPER(B$3))),"''","null"),SUBSTITUTE(VLOOKUP(B$2,convert!$A$1:$B$4,2,0),"@@@",B671))</f>
        <v>'ドレディア'</v>
      </c>
      <c r="R671" s="4" t="str">
        <f>IF(C671="",IF(ISNUMBER(SEARCH("NOT NULL",UPPER(C$3))),"''","null"),SUBSTITUTE(VLOOKUP(C$2,convert!$A$1:$B$4,2,0),"@@@",C671))</f>
        <v>70</v>
      </c>
      <c r="S671" s="4" t="str">
        <f>IF(D671="",IF(ISNUMBER(SEARCH("NOT NULL",UPPER(D$3))),"''","null"),SUBSTITUTE(VLOOKUP(D$2,convert!$A$1:$B$4,2,0),"@@@",D671))</f>
        <v>60</v>
      </c>
      <c r="T671" s="4" t="str">
        <f>IF(E671="",IF(ISNUMBER(SEARCH("NOT NULL",UPPER(E$3))),"''","null"),SUBSTITUTE(VLOOKUP(E$2,convert!$A$1:$B$4,2,0),"@@@",E671))</f>
        <v>75</v>
      </c>
      <c r="U671" s="4" t="str">
        <f>IF(F671="",IF(ISNUMBER(SEARCH("NOT NULL",UPPER(F$3))),"''","null"),SUBSTITUTE(VLOOKUP(F$2,convert!$A$1:$B$4,2,0),"@@@",F671))</f>
        <v>110</v>
      </c>
      <c r="V671" s="4" t="str">
        <f>IF(G671="",IF(ISNUMBER(SEARCH("NOT NULL",UPPER(G$3))),"''","null"),SUBSTITUTE(VLOOKUP(G$2,convert!$A$1:$B$4,2,0),"@@@",G671))</f>
        <v>75</v>
      </c>
      <c r="W671" s="4" t="str">
        <f>IF(H671="",IF(ISNUMBER(SEARCH("NOT NULL",UPPER(H$3))),"''","null"),SUBSTITUTE(VLOOKUP(H$2,convert!$A$1:$B$4,2,0),"@@@",H671))</f>
        <v>90</v>
      </c>
      <c r="X671" s="4" t="str">
        <f>IF(I671="",IF(ISNUMBER(SEARCH("NOT NULL",UPPER(I$3))),"''","null"),SUBSTITUTE(VLOOKUP(I$2,convert!$A$1:$B$4,2,0),"@@@",I671))</f>
        <v>''</v>
      </c>
      <c r="Y671" s="4" t="str">
        <f>IF(J671="",IF(ISNUMBER(SEARCH("NOT NULL",UPPER(J$3))),"''","null"),SUBSTITUTE(VLOOKUP(J$2,convert!$A$1:$B$4,2,0),"@@@",J671))</f>
        <v>'grass'</v>
      </c>
      <c r="Z671" s="4" t="str">
        <f>IF(K671="",IF(ISNUMBER(SEARCH("NOT NULL",UPPER(K$3))),"''","null"),SUBSTITUTE(VLOOKUP(K$2,convert!$A$1:$B$4,2,0),"@@@",K671))</f>
        <v>null</v>
      </c>
      <c r="AA671" s="4" t="str">
        <f>IF(L671="",IF(ISNUMBER(SEARCH("NOT NULL",UPPER(L$3))),"''","null"),SUBSTITUTE(VLOOKUP(L$2,convert!$A$1:$B$4,2,0),"@@@",L671))</f>
        <v>'g5'</v>
      </c>
      <c r="AB671" s="4" t="str">
        <f>IF(M671="",IF(ISNUMBER(SEARCH("NOT NULL",UPPER(M$3))),"''","null"),SUBSTITUTE(VLOOKUP(M$2,convert!$A$1:$B$4,2,0),"@@@",M671))</f>
        <v>null</v>
      </c>
      <c r="AC671" s="4" t="str">
        <f>IF(N671="",IF(ISNUMBER(SEARCH("NOT NULL",UPPER(N$3))),"''","null"),SUBSTITUTE(VLOOKUP(N$2,convert!$A$1:$B$4,2,0),"@@@",N671))</f>
        <v>null</v>
      </c>
      <c r="AD671" s="4" t="str">
        <f>IF(O671="",IF(ISNUMBER(SEARCH("NOT NULL",UPPER(O$3))),"''","null"),SUBSTITUTE(VLOOKUP(O$2,convert!$A$1:$B$4,2,0),"@@@",O671))</f>
        <v>TRUE</v>
      </c>
      <c r="AE671" s="4" t="str">
        <f t="shared" si="10"/>
        <v>    ('0549N01', 'ドレディア', 70, 60, 75, 110, 75, 90, '', 'grass', null, 'g5', null, null, TRUE),</v>
      </c>
    </row>
    <row r="672" spans="1:31">
      <c r="A672" s="4" t="s">
        <v>1357</v>
      </c>
      <c r="B672" s="4" t="s">
        <v>1356</v>
      </c>
      <c r="C672" s="5">
        <v>70</v>
      </c>
      <c r="D672" s="5">
        <v>105</v>
      </c>
      <c r="E672" s="5">
        <v>75</v>
      </c>
      <c r="F672" s="5">
        <v>50</v>
      </c>
      <c r="G672" s="5">
        <v>75</v>
      </c>
      <c r="H672" s="5">
        <v>105</v>
      </c>
      <c r="I672" s="4" t="s">
        <v>195</v>
      </c>
      <c r="J672" s="4" t="s">
        <v>30</v>
      </c>
      <c r="K672" s="4" t="s">
        <v>189</v>
      </c>
      <c r="L672" s="4" t="s">
        <v>197</v>
      </c>
      <c r="M672" s="5"/>
      <c r="N672" s="5"/>
      <c r="O672" s="5" t="b">
        <v>1</v>
      </c>
      <c r="P672" s="4" t="str">
        <f>IF(A672="",IF(ISNUMBER(SEARCH("NOT NULL",UPPER(A$3))),"''","null"),SUBSTITUTE(VLOOKUP(A$2,convert!$A$1:$B$4,2,0),"@@@",A672))</f>
        <v>'0549H01'</v>
      </c>
      <c r="Q672" s="4" t="str">
        <f>IF(B672="",IF(ISNUMBER(SEARCH("NOT NULL",UPPER(B$3))),"''","null"),SUBSTITUTE(VLOOKUP(B$2,convert!$A$1:$B$4,2,0),"@@@",B672))</f>
        <v>'ドレディア'</v>
      </c>
      <c r="R672" s="4" t="str">
        <f>IF(C672="",IF(ISNUMBER(SEARCH("NOT NULL",UPPER(C$3))),"''","null"),SUBSTITUTE(VLOOKUP(C$2,convert!$A$1:$B$4,2,0),"@@@",C672))</f>
        <v>70</v>
      </c>
      <c r="S672" s="4" t="str">
        <f>IF(D672="",IF(ISNUMBER(SEARCH("NOT NULL",UPPER(D$3))),"''","null"),SUBSTITUTE(VLOOKUP(D$2,convert!$A$1:$B$4,2,0),"@@@",D672))</f>
        <v>105</v>
      </c>
      <c r="T672" s="4" t="str">
        <f>IF(E672="",IF(ISNUMBER(SEARCH("NOT NULL",UPPER(E$3))),"''","null"),SUBSTITUTE(VLOOKUP(E$2,convert!$A$1:$B$4,2,0),"@@@",E672))</f>
        <v>75</v>
      </c>
      <c r="U672" s="4" t="str">
        <f>IF(F672="",IF(ISNUMBER(SEARCH("NOT NULL",UPPER(F$3))),"''","null"),SUBSTITUTE(VLOOKUP(F$2,convert!$A$1:$B$4,2,0),"@@@",F672))</f>
        <v>50</v>
      </c>
      <c r="V672" s="4" t="str">
        <f>IF(G672="",IF(ISNUMBER(SEARCH("NOT NULL",UPPER(G$3))),"''","null"),SUBSTITUTE(VLOOKUP(G$2,convert!$A$1:$B$4,2,0),"@@@",G672))</f>
        <v>75</v>
      </c>
      <c r="W672" s="4" t="str">
        <f>IF(H672="",IF(ISNUMBER(SEARCH("NOT NULL",UPPER(H$3))),"''","null"),SUBSTITUTE(VLOOKUP(H$2,convert!$A$1:$B$4,2,0),"@@@",H672))</f>
        <v>105</v>
      </c>
      <c r="X672" s="4" t="str">
        <f>IF(I672="",IF(ISNUMBER(SEARCH("NOT NULL",UPPER(I$3))),"''","null"),SUBSTITUTE(VLOOKUP(I$2,convert!$A$1:$B$4,2,0),"@@@",I672))</f>
        <v>'ヒスイのすがた'</v>
      </c>
      <c r="Y672" s="4" t="str">
        <f>IF(J672="",IF(ISNUMBER(SEARCH("NOT NULL",UPPER(J$3))),"''","null"),SUBSTITUTE(VLOOKUP(J$2,convert!$A$1:$B$4,2,0),"@@@",J672))</f>
        <v>'grass'</v>
      </c>
      <c r="Z672" s="4" t="str">
        <f>IF(K672="",IF(ISNUMBER(SEARCH("NOT NULL",UPPER(K$3))),"''","null"),SUBSTITUTE(VLOOKUP(K$2,convert!$A$1:$B$4,2,0),"@@@",K672))</f>
        <v>'fighting'</v>
      </c>
      <c r="AA672" s="4" t="str">
        <f>IF(L672="",IF(ISNUMBER(SEARCH("NOT NULL",UPPER(L$3))),"''","null"),SUBSTITUTE(VLOOKUP(L$2,convert!$A$1:$B$4,2,0),"@@@",L672))</f>
        <v>'g8arceus'</v>
      </c>
      <c r="AB672" s="4" t="str">
        <f>IF(M672="",IF(ISNUMBER(SEARCH("NOT NULL",UPPER(M$3))),"''","null"),SUBSTITUTE(VLOOKUP(M$2,convert!$A$1:$B$4,2,0),"@@@",M672))</f>
        <v>null</v>
      </c>
      <c r="AC672" s="4" t="str">
        <f>IF(N672="",IF(ISNUMBER(SEARCH("NOT NULL",UPPER(N$3))),"''","null"),SUBSTITUTE(VLOOKUP(N$2,convert!$A$1:$B$4,2,0),"@@@",N672))</f>
        <v>null</v>
      </c>
      <c r="AD672" s="4" t="str">
        <f>IF(O672="",IF(ISNUMBER(SEARCH("NOT NULL",UPPER(O$3))),"''","null"),SUBSTITUTE(VLOOKUP(O$2,convert!$A$1:$B$4,2,0),"@@@",O672))</f>
        <v>TRUE</v>
      </c>
      <c r="AE672" s="4" t="str">
        <f t="shared" si="10"/>
        <v>    ('0549H01', 'ドレディア', 70, 105, 75, 50, 75, 105, 'ヒスイのすがた', 'grass', 'fighting', 'g8arceus', null, null, TRUE),</v>
      </c>
    </row>
    <row r="673" spans="1:31">
      <c r="A673" s="4" t="s">
        <v>1358</v>
      </c>
      <c r="B673" s="4" t="s">
        <v>1359</v>
      </c>
      <c r="C673" s="5">
        <v>70</v>
      </c>
      <c r="D673" s="5">
        <v>92</v>
      </c>
      <c r="E673" s="5">
        <v>65</v>
      </c>
      <c r="F673" s="5">
        <v>80</v>
      </c>
      <c r="G673" s="5">
        <v>55</v>
      </c>
      <c r="H673" s="5">
        <v>98</v>
      </c>
      <c r="I673" s="4" t="s">
        <v>1360</v>
      </c>
      <c r="J673" s="4" t="s">
        <v>55</v>
      </c>
      <c r="K673" s="5"/>
      <c r="L673" s="4" t="s">
        <v>1243</v>
      </c>
      <c r="M673" s="5"/>
      <c r="N673" s="5"/>
      <c r="O673" s="5" t="b">
        <v>1</v>
      </c>
      <c r="P673" s="4" t="str">
        <f>IF(A673="",IF(ISNUMBER(SEARCH("NOT NULL",UPPER(A$3))),"''","null"),SUBSTITUTE(VLOOKUP(A$2,convert!$A$1:$B$4,2,0),"@@@",A673))</f>
        <v>'0550N01'</v>
      </c>
      <c r="Q673" s="4" t="str">
        <f>IF(B673="",IF(ISNUMBER(SEARCH("NOT NULL",UPPER(B$3))),"''","null"),SUBSTITUTE(VLOOKUP(B$2,convert!$A$1:$B$4,2,0),"@@@",B673))</f>
        <v>'バスラオ'</v>
      </c>
      <c r="R673" s="4" t="str">
        <f>IF(C673="",IF(ISNUMBER(SEARCH("NOT NULL",UPPER(C$3))),"''","null"),SUBSTITUTE(VLOOKUP(C$2,convert!$A$1:$B$4,2,0),"@@@",C673))</f>
        <v>70</v>
      </c>
      <c r="S673" s="4" t="str">
        <f>IF(D673="",IF(ISNUMBER(SEARCH("NOT NULL",UPPER(D$3))),"''","null"),SUBSTITUTE(VLOOKUP(D$2,convert!$A$1:$B$4,2,0),"@@@",D673))</f>
        <v>92</v>
      </c>
      <c r="T673" s="4" t="str">
        <f>IF(E673="",IF(ISNUMBER(SEARCH("NOT NULL",UPPER(E$3))),"''","null"),SUBSTITUTE(VLOOKUP(E$2,convert!$A$1:$B$4,2,0),"@@@",E673))</f>
        <v>65</v>
      </c>
      <c r="U673" s="4" t="str">
        <f>IF(F673="",IF(ISNUMBER(SEARCH("NOT NULL",UPPER(F$3))),"''","null"),SUBSTITUTE(VLOOKUP(F$2,convert!$A$1:$B$4,2,0),"@@@",F673))</f>
        <v>80</v>
      </c>
      <c r="V673" s="4" t="str">
        <f>IF(G673="",IF(ISNUMBER(SEARCH("NOT NULL",UPPER(G$3))),"''","null"),SUBSTITUTE(VLOOKUP(G$2,convert!$A$1:$B$4,2,0),"@@@",G673))</f>
        <v>55</v>
      </c>
      <c r="W673" s="4" t="str">
        <f>IF(H673="",IF(ISNUMBER(SEARCH("NOT NULL",UPPER(H$3))),"''","null"),SUBSTITUTE(VLOOKUP(H$2,convert!$A$1:$B$4,2,0),"@@@",H673))</f>
        <v>98</v>
      </c>
      <c r="X673" s="4" t="str">
        <f>IF(I673="",IF(ISNUMBER(SEARCH("NOT NULL",UPPER(I$3))),"''","null"),SUBSTITUTE(VLOOKUP(I$2,convert!$A$1:$B$4,2,0),"@@@",I673))</f>
        <v>'あかすじ'</v>
      </c>
      <c r="Y673" s="4" t="str">
        <f>IF(J673="",IF(ISNUMBER(SEARCH("NOT NULL",UPPER(J$3))),"''","null"),SUBSTITUTE(VLOOKUP(J$2,convert!$A$1:$B$4,2,0),"@@@",J673))</f>
        <v>'water'</v>
      </c>
      <c r="Z673" s="4" t="str">
        <f>IF(K673="",IF(ISNUMBER(SEARCH("NOT NULL",UPPER(K$3))),"''","null"),SUBSTITUTE(VLOOKUP(K$2,convert!$A$1:$B$4,2,0),"@@@",K673))</f>
        <v>null</v>
      </c>
      <c r="AA673" s="4" t="str">
        <f>IF(L673="",IF(ISNUMBER(SEARCH("NOT NULL",UPPER(L$3))),"''","null"),SUBSTITUTE(VLOOKUP(L$2,convert!$A$1:$B$4,2,0),"@@@",L673))</f>
        <v>'g5'</v>
      </c>
      <c r="AB673" s="4" t="str">
        <f>IF(M673="",IF(ISNUMBER(SEARCH("NOT NULL",UPPER(M$3))),"''","null"),SUBSTITUTE(VLOOKUP(M$2,convert!$A$1:$B$4,2,0),"@@@",M673))</f>
        <v>null</v>
      </c>
      <c r="AC673" s="4" t="str">
        <f>IF(N673="",IF(ISNUMBER(SEARCH("NOT NULL",UPPER(N$3))),"''","null"),SUBSTITUTE(VLOOKUP(N$2,convert!$A$1:$B$4,2,0),"@@@",N673))</f>
        <v>null</v>
      </c>
      <c r="AD673" s="4" t="str">
        <f>IF(O673="",IF(ISNUMBER(SEARCH("NOT NULL",UPPER(O$3))),"''","null"),SUBSTITUTE(VLOOKUP(O$2,convert!$A$1:$B$4,2,0),"@@@",O673))</f>
        <v>TRUE</v>
      </c>
      <c r="AE673" s="4" t="str">
        <f t="shared" si="10"/>
        <v>    ('0550N01', 'バスラオ', 70, 92, 65, 80, 55, 98, 'あかすじ', 'water', null, 'g5', null, null, TRUE),</v>
      </c>
    </row>
    <row r="674" spans="1:31">
      <c r="A674" s="4" t="s">
        <v>1361</v>
      </c>
      <c r="B674" s="4" t="s">
        <v>1359</v>
      </c>
      <c r="C674" s="5">
        <v>70</v>
      </c>
      <c r="D674" s="5">
        <v>92</v>
      </c>
      <c r="E674" s="5">
        <v>65</v>
      </c>
      <c r="F674" s="5">
        <v>80</v>
      </c>
      <c r="G674" s="5">
        <v>55</v>
      </c>
      <c r="H674" s="5">
        <v>98</v>
      </c>
      <c r="I674" s="4" t="s">
        <v>1362</v>
      </c>
      <c r="J674" s="4" t="s">
        <v>55</v>
      </c>
      <c r="K674" s="5"/>
      <c r="L674" s="4" t="s">
        <v>1243</v>
      </c>
      <c r="M674" s="5"/>
      <c r="N674" s="5"/>
      <c r="O674" s="5" t="b">
        <v>1</v>
      </c>
      <c r="P674" s="4" t="str">
        <f>IF(A674="",IF(ISNUMBER(SEARCH("NOT NULL",UPPER(A$3))),"''","null"),SUBSTITUTE(VLOOKUP(A$2,convert!$A$1:$B$4,2,0),"@@@",A674))</f>
        <v>'0550N02'</v>
      </c>
      <c r="Q674" s="4" t="str">
        <f>IF(B674="",IF(ISNUMBER(SEARCH("NOT NULL",UPPER(B$3))),"''","null"),SUBSTITUTE(VLOOKUP(B$2,convert!$A$1:$B$4,2,0),"@@@",B674))</f>
        <v>'バスラオ'</v>
      </c>
      <c r="R674" s="4" t="str">
        <f>IF(C674="",IF(ISNUMBER(SEARCH("NOT NULL",UPPER(C$3))),"''","null"),SUBSTITUTE(VLOOKUP(C$2,convert!$A$1:$B$4,2,0),"@@@",C674))</f>
        <v>70</v>
      </c>
      <c r="S674" s="4" t="str">
        <f>IF(D674="",IF(ISNUMBER(SEARCH("NOT NULL",UPPER(D$3))),"''","null"),SUBSTITUTE(VLOOKUP(D$2,convert!$A$1:$B$4,2,0),"@@@",D674))</f>
        <v>92</v>
      </c>
      <c r="T674" s="4" t="str">
        <f>IF(E674="",IF(ISNUMBER(SEARCH("NOT NULL",UPPER(E$3))),"''","null"),SUBSTITUTE(VLOOKUP(E$2,convert!$A$1:$B$4,2,0),"@@@",E674))</f>
        <v>65</v>
      </c>
      <c r="U674" s="4" t="str">
        <f>IF(F674="",IF(ISNUMBER(SEARCH("NOT NULL",UPPER(F$3))),"''","null"),SUBSTITUTE(VLOOKUP(F$2,convert!$A$1:$B$4,2,0),"@@@",F674))</f>
        <v>80</v>
      </c>
      <c r="V674" s="4" t="str">
        <f>IF(G674="",IF(ISNUMBER(SEARCH("NOT NULL",UPPER(G$3))),"''","null"),SUBSTITUTE(VLOOKUP(G$2,convert!$A$1:$B$4,2,0),"@@@",G674))</f>
        <v>55</v>
      </c>
      <c r="W674" s="4" t="str">
        <f>IF(H674="",IF(ISNUMBER(SEARCH("NOT NULL",UPPER(H$3))),"''","null"),SUBSTITUTE(VLOOKUP(H$2,convert!$A$1:$B$4,2,0),"@@@",H674))</f>
        <v>98</v>
      </c>
      <c r="X674" s="4" t="str">
        <f>IF(I674="",IF(ISNUMBER(SEARCH("NOT NULL",UPPER(I$3))),"''","null"),SUBSTITUTE(VLOOKUP(I$2,convert!$A$1:$B$4,2,0),"@@@",I674))</f>
        <v>'あおすじ'</v>
      </c>
      <c r="Y674" s="4" t="str">
        <f>IF(J674="",IF(ISNUMBER(SEARCH("NOT NULL",UPPER(J$3))),"''","null"),SUBSTITUTE(VLOOKUP(J$2,convert!$A$1:$B$4,2,0),"@@@",J674))</f>
        <v>'water'</v>
      </c>
      <c r="Z674" s="4" t="str">
        <f>IF(K674="",IF(ISNUMBER(SEARCH("NOT NULL",UPPER(K$3))),"''","null"),SUBSTITUTE(VLOOKUP(K$2,convert!$A$1:$B$4,2,0),"@@@",K674))</f>
        <v>null</v>
      </c>
      <c r="AA674" s="4" t="str">
        <f>IF(L674="",IF(ISNUMBER(SEARCH("NOT NULL",UPPER(L$3))),"''","null"),SUBSTITUTE(VLOOKUP(L$2,convert!$A$1:$B$4,2,0),"@@@",L674))</f>
        <v>'g5'</v>
      </c>
      <c r="AB674" s="4" t="str">
        <f>IF(M674="",IF(ISNUMBER(SEARCH("NOT NULL",UPPER(M$3))),"''","null"),SUBSTITUTE(VLOOKUP(M$2,convert!$A$1:$B$4,2,0),"@@@",M674))</f>
        <v>null</v>
      </c>
      <c r="AC674" s="4" t="str">
        <f>IF(N674="",IF(ISNUMBER(SEARCH("NOT NULL",UPPER(N$3))),"''","null"),SUBSTITUTE(VLOOKUP(N$2,convert!$A$1:$B$4,2,0),"@@@",N674))</f>
        <v>null</v>
      </c>
      <c r="AD674" s="4" t="str">
        <f>IF(O674="",IF(ISNUMBER(SEARCH("NOT NULL",UPPER(O$3))),"''","null"),SUBSTITUTE(VLOOKUP(O$2,convert!$A$1:$B$4,2,0),"@@@",O674))</f>
        <v>TRUE</v>
      </c>
      <c r="AE674" s="4" t="str">
        <f t="shared" si="10"/>
        <v>    ('0550N02', 'バスラオ', 70, 92, 65, 80, 55, 98, 'あおすじ', 'water', null, 'g5', null, null, TRUE),</v>
      </c>
    </row>
    <row r="675" spans="1:31">
      <c r="A675" s="4" t="s">
        <v>1363</v>
      </c>
      <c r="B675" s="4" t="s">
        <v>1359</v>
      </c>
      <c r="C675" s="5">
        <v>70</v>
      </c>
      <c r="D675" s="5">
        <v>92</v>
      </c>
      <c r="E675" s="5">
        <v>65</v>
      </c>
      <c r="F675" s="5">
        <v>80</v>
      </c>
      <c r="G675" s="5">
        <v>55</v>
      </c>
      <c r="H675" s="5">
        <v>98</v>
      </c>
      <c r="I675" s="4" t="s">
        <v>1364</v>
      </c>
      <c r="J675" s="4" t="s">
        <v>55</v>
      </c>
      <c r="K675" s="5"/>
      <c r="L675" s="4" t="s">
        <v>1243</v>
      </c>
      <c r="M675" s="5"/>
      <c r="N675" s="5"/>
      <c r="O675" s="5" t="b">
        <v>1</v>
      </c>
      <c r="P675" s="4" t="str">
        <f>IF(A675="",IF(ISNUMBER(SEARCH("NOT NULL",UPPER(A$3))),"''","null"),SUBSTITUTE(VLOOKUP(A$2,convert!$A$1:$B$4,2,0),"@@@",A675))</f>
        <v>'0550N03'</v>
      </c>
      <c r="Q675" s="4" t="str">
        <f>IF(B675="",IF(ISNUMBER(SEARCH("NOT NULL",UPPER(B$3))),"''","null"),SUBSTITUTE(VLOOKUP(B$2,convert!$A$1:$B$4,2,0),"@@@",B675))</f>
        <v>'バスラオ'</v>
      </c>
      <c r="R675" s="4" t="str">
        <f>IF(C675="",IF(ISNUMBER(SEARCH("NOT NULL",UPPER(C$3))),"''","null"),SUBSTITUTE(VLOOKUP(C$2,convert!$A$1:$B$4,2,0),"@@@",C675))</f>
        <v>70</v>
      </c>
      <c r="S675" s="4" t="str">
        <f>IF(D675="",IF(ISNUMBER(SEARCH("NOT NULL",UPPER(D$3))),"''","null"),SUBSTITUTE(VLOOKUP(D$2,convert!$A$1:$B$4,2,0),"@@@",D675))</f>
        <v>92</v>
      </c>
      <c r="T675" s="4" t="str">
        <f>IF(E675="",IF(ISNUMBER(SEARCH("NOT NULL",UPPER(E$3))),"''","null"),SUBSTITUTE(VLOOKUP(E$2,convert!$A$1:$B$4,2,0),"@@@",E675))</f>
        <v>65</v>
      </c>
      <c r="U675" s="4" t="str">
        <f>IF(F675="",IF(ISNUMBER(SEARCH("NOT NULL",UPPER(F$3))),"''","null"),SUBSTITUTE(VLOOKUP(F$2,convert!$A$1:$B$4,2,0),"@@@",F675))</f>
        <v>80</v>
      </c>
      <c r="V675" s="4" t="str">
        <f>IF(G675="",IF(ISNUMBER(SEARCH("NOT NULL",UPPER(G$3))),"''","null"),SUBSTITUTE(VLOOKUP(G$2,convert!$A$1:$B$4,2,0),"@@@",G675))</f>
        <v>55</v>
      </c>
      <c r="W675" s="4" t="str">
        <f>IF(H675="",IF(ISNUMBER(SEARCH("NOT NULL",UPPER(H$3))),"''","null"),SUBSTITUTE(VLOOKUP(H$2,convert!$A$1:$B$4,2,0),"@@@",H675))</f>
        <v>98</v>
      </c>
      <c r="X675" s="4" t="str">
        <f>IF(I675="",IF(ISNUMBER(SEARCH("NOT NULL",UPPER(I$3))),"''","null"),SUBSTITUTE(VLOOKUP(I$2,convert!$A$1:$B$4,2,0),"@@@",I675))</f>
        <v>'しろすじ'</v>
      </c>
      <c r="Y675" s="4" t="str">
        <f>IF(J675="",IF(ISNUMBER(SEARCH("NOT NULL",UPPER(J$3))),"''","null"),SUBSTITUTE(VLOOKUP(J$2,convert!$A$1:$B$4,2,0),"@@@",J675))</f>
        <v>'water'</v>
      </c>
      <c r="Z675" s="4" t="str">
        <f>IF(K675="",IF(ISNUMBER(SEARCH("NOT NULL",UPPER(K$3))),"''","null"),SUBSTITUTE(VLOOKUP(K$2,convert!$A$1:$B$4,2,0),"@@@",K675))</f>
        <v>null</v>
      </c>
      <c r="AA675" s="4" t="str">
        <f>IF(L675="",IF(ISNUMBER(SEARCH("NOT NULL",UPPER(L$3))),"''","null"),SUBSTITUTE(VLOOKUP(L$2,convert!$A$1:$B$4,2,0),"@@@",L675))</f>
        <v>'g5'</v>
      </c>
      <c r="AB675" s="4" t="str">
        <f>IF(M675="",IF(ISNUMBER(SEARCH("NOT NULL",UPPER(M$3))),"''","null"),SUBSTITUTE(VLOOKUP(M$2,convert!$A$1:$B$4,2,0),"@@@",M675))</f>
        <v>null</v>
      </c>
      <c r="AC675" s="4" t="str">
        <f>IF(N675="",IF(ISNUMBER(SEARCH("NOT NULL",UPPER(N$3))),"''","null"),SUBSTITUTE(VLOOKUP(N$2,convert!$A$1:$B$4,2,0),"@@@",N675))</f>
        <v>null</v>
      </c>
      <c r="AD675" s="4" t="str">
        <f>IF(O675="",IF(ISNUMBER(SEARCH("NOT NULL",UPPER(O$3))),"''","null"),SUBSTITUTE(VLOOKUP(O$2,convert!$A$1:$B$4,2,0),"@@@",O675))</f>
        <v>TRUE</v>
      </c>
      <c r="AE675" s="4" t="str">
        <f t="shared" si="10"/>
        <v>    ('0550N03', 'バスラオ', 70, 92, 65, 80, 55, 98, 'しろすじ', 'water', null, 'g5', null, null, TRUE),</v>
      </c>
    </row>
    <row r="676" spans="1:31">
      <c r="A676" s="4" t="s">
        <v>1365</v>
      </c>
      <c r="B676" s="4" t="s">
        <v>1366</v>
      </c>
      <c r="C676" s="5">
        <v>50</v>
      </c>
      <c r="D676" s="5">
        <v>72</v>
      </c>
      <c r="E676" s="5">
        <v>35</v>
      </c>
      <c r="F676" s="5">
        <v>35</v>
      </c>
      <c r="G676" s="5">
        <v>35</v>
      </c>
      <c r="H676" s="5">
        <v>65</v>
      </c>
      <c r="I676" s="5"/>
      <c r="J676" s="4" t="s">
        <v>116</v>
      </c>
      <c r="K676" s="4" t="s">
        <v>91</v>
      </c>
      <c r="L676" s="4" t="s">
        <v>1243</v>
      </c>
      <c r="M676" s="5"/>
      <c r="N676" s="5"/>
      <c r="O676" s="5" t="b">
        <v>1</v>
      </c>
      <c r="P676" s="4" t="str">
        <f>IF(A676="",IF(ISNUMBER(SEARCH("NOT NULL",UPPER(A$3))),"''","null"),SUBSTITUTE(VLOOKUP(A$2,convert!$A$1:$B$4,2,0),"@@@",A676))</f>
        <v>'0551N01'</v>
      </c>
      <c r="Q676" s="4" t="str">
        <f>IF(B676="",IF(ISNUMBER(SEARCH("NOT NULL",UPPER(B$3))),"''","null"),SUBSTITUTE(VLOOKUP(B$2,convert!$A$1:$B$4,2,0),"@@@",B676))</f>
        <v>'メグロコ'</v>
      </c>
      <c r="R676" s="4" t="str">
        <f>IF(C676="",IF(ISNUMBER(SEARCH("NOT NULL",UPPER(C$3))),"''","null"),SUBSTITUTE(VLOOKUP(C$2,convert!$A$1:$B$4,2,0),"@@@",C676))</f>
        <v>50</v>
      </c>
      <c r="S676" s="4" t="str">
        <f>IF(D676="",IF(ISNUMBER(SEARCH("NOT NULL",UPPER(D$3))),"''","null"),SUBSTITUTE(VLOOKUP(D$2,convert!$A$1:$B$4,2,0),"@@@",D676))</f>
        <v>72</v>
      </c>
      <c r="T676" s="4" t="str">
        <f>IF(E676="",IF(ISNUMBER(SEARCH("NOT NULL",UPPER(E$3))),"''","null"),SUBSTITUTE(VLOOKUP(E$2,convert!$A$1:$B$4,2,0),"@@@",E676))</f>
        <v>35</v>
      </c>
      <c r="U676" s="4" t="str">
        <f>IF(F676="",IF(ISNUMBER(SEARCH("NOT NULL",UPPER(F$3))),"''","null"),SUBSTITUTE(VLOOKUP(F$2,convert!$A$1:$B$4,2,0),"@@@",F676))</f>
        <v>35</v>
      </c>
      <c r="V676" s="4" t="str">
        <f>IF(G676="",IF(ISNUMBER(SEARCH("NOT NULL",UPPER(G$3))),"''","null"),SUBSTITUTE(VLOOKUP(G$2,convert!$A$1:$B$4,2,0),"@@@",G676))</f>
        <v>35</v>
      </c>
      <c r="W676" s="4" t="str">
        <f>IF(H676="",IF(ISNUMBER(SEARCH("NOT NULL",UPPER(H$3))),"''","null"),SUBSTITUTE(VLOOKUP(H$2,convert!$A$1:$B$4,2,0),"@@@",H676))</f>
        <v>65</v>
      </c>
      <c r="X676" s="4" t="str">
        <f>IF(I676="",IF(ISNUMBER(SEARCH("NOT NULL",UPPER(I$3))),"''","null"),SUBSTITUTE(VLOOKUP(I$2,convert!$A$1:$B$4,2,0),"@@@",I676))</f>
        <v>''</v>
      </c>
      <c r="Y676" s="4" t="str">
        <f>IF(J676="",IF(ISNUMBER(SEARCH("NOT NULL",UPPER(J$3))),"''","null"),SUBSTITUTE(VLOOKUP(J$2,convert!$A$1:$B$4,2,0),"@@@",J676))</f>
        <v>'ground'</v>
      </c>
      <c r="Z676" s="4" t="str">
        <f>IF(K676="",IF(ISNUMBER(SEARCH("NOT NULL",UPPER(K$3))),"''","null"),SUBSTITUTE(VLOOKUP(K$2,convert!$A$1:$B$4,2,0),"@@@",K676))</f>
        <v>'dark'</v>
      </c>
      <c r="AA676" s="4" t="str">
        <f>IF(L676="",IF(ISNUMBER(SEARCH("NOT NULL",UPPER(L$3))),"''","null"),SUBSTITUTE(VLOOKUP(L$2,convert!$A$1:$B$4,2,0),"@@@",L676))</f>
        <v>'g5'</v>
      </c>
      <c r="AB676" s="4" t="str">
        <f>IF(M676="",IF(ISNUMBER(SEARCH("NOT NULL",UPPER(M$3))),"''","null"),SUBSTITUTE(VLOOKUP(M$2,convert!$A$1:$B$4,2,0),"@@@",M676))</f>
        <v>null</v>
      </c>
      <c r="AC676" s="4" t="str">
        <f>IF(N676="",IF(ISNUMBER(SEARCH("NOT NULL",UPPER(N$3))),"''","null"),SUBSTITUTE(VLOOKUP(N$2,convert!$A$1:$B$4,2,0),"@@@",N676))</f>
        <v>null</v>
      </c>
      <c r="AD676" s="4" t="str">
        <f>IF(O676="",IF(ISNUMBER(SEARCH("NOT NULL",UPPER(O$3))),"''","null"),SUBSTITUTE(VLOOKUP(O$2,convert!$A$1:$B$4,2,0),"@@@",O676))</f>
        <v>TRUE</v>
      </c>
      <c r="AE676" s="4" t="str">
        <f t="shared" si="10"/>
        <v>    ('0551N01', 'メグロコ', 50, 72, 35, 35, 35, 65, '', 'ground', 'dark', 'g5', null, null, TRUE),</v>
      </c>
    </row>
    <row r="677" spans="1:31">
      <c r="A677" s="4" t="s">
        <v>1367</v>
      </c>
      <c r="B677" s="4" t="s">
        <v>1368</v>
      </c>
      <c r="C677" s="5">
        <v>60</v>
      </c>
      <c r="D677" s="5">
        <v>82</v>
      </c>
      <c r="E677" s="5">
        <v>45</v>
      </c>
      <c r="F677" s="5">
        <v>45</v>
      </c>
      <c r="G677" s="5">
        <v>45</v>
      </c>
      <c r="H677" s="5">
        <v>74</v>
      </c>
      <c r="I677" s="5"/>
      <c r="J677" s="4" t="s">
        <v>116</v>
      </c>
      <c r="K677" s="4" t="s">
        <v>91</v>
      </c>
      <c r="L677" s="4" t="s">
        <v>1243</v>
      </c>
      <c r="M677" s="5"/>
      <c r="N677" s="5"/>
      <c r="O677" s="5" t="b">
        <v>1</v>
      </c>
      <c r="P677" s="4" t="str">
        <f>IF(A677="",IF(ISNUMBER(SEARCH("NOT NULL",UPPER(A$3))),"''","null"),SUBSTITUTE(VLOOKUP(A$2,convert!$A$1:$B$4,2,0),"@@@",A677))</f>
        <v>'0552N01'</v>
      </c>
      <c r="Q677" s="4" t="str">
        <f>IF(B677="",IF(ISNUMBER(SEARCH("NOT NULL",UPPER(B$3))),"''","null"),SUBSTITUTE(VLOOKUP(B$2,convert!$A$1:$B$4,2,0),"@@@",B677))</f>
        <v>'ワルビル'</v>
      </c>
      <c r="R677" s="4" t="str">
        <f>IF(C677="",IF(ISNUMBER(SEARCH("NOT NULL",UPPER(C$3))),"''","null"),SUBSTITUTE(VLOOKUP(C$2,convert!$A$1:$B$4,2,0),"@@@",C677))</f>
        <v>60</v>
      </c>
      <c r="S677" s="4" t="str">
        <f>IF(D677="",IF(ISNUMBER(SEARCH("NOT NULL",UPPER(D$3))),"''","null"),SUBSTITUTE(VLOOKUP(D$2,convert!$A$1:$B$4,2,0),"@@@",D677))</f>
        <v>82</v>
      </c>
      <c r="T677" s="4" t="str">
        <f>IF(E677="",IF(ISNUMBER(SEARCH("NOT NULL",UPPER(E$3))),"''","null"),SUBSTITUTE(VLOOKUP(E$2,convert!$A$1:$B$4,2,0),"@@@",E677))</f>
        <v>45</v>
      </c>
      <c r="U677" s="4" t="str">
        <f>IF(F677="",IF(ISNUMBER(SEARCH("NOT NULL",UPPER(F$3))),"''","null"),SUBSTITUTE(VLOOKUP(F$2,convert!$A$1:$B$4,2,0),"@@@",F677))</f>
        <v>45</v>
      </c>
      <c r="V677" s="4" t="str">
        <f>IF(G677="",IF(ISNUMBER(SEARCH("NOT NULL",UPPER(G$3))),"''","null"),SUBSTITUTE(VLOOKUP(G$2,convert!$A$1:$B$4,2,0),"@@@",G677))</f>
        <v>45</v>
      </c>
      <c r="W677" s="4" t="str">
        <f>IF(H677="",IF(ISNUMBER(SEARCH("NOT NULL",UPPER(H$3))),"''","null"),SUBSTITUTE(VLOOKUP(H$2,convert!$A$1:$B$4,2,0),"@@@",H677))</f>
        <v>74</v>
      </c>
      <c r="X677" s="4" t="str">
        <f>IF(I677="",IF(ISNUMBER(SEARCH("NOT NULL",UPPER(I$3))),"''","null"),SUBSTITUTE(VLOOKUP(I$2,convert!$A$1:$B$4,2,0),"@@@",I677))</f>
        <v>''</v>
      </c>
      <c r="Y677" s="4" t="str">
        <f>IF(J677="",IF(ISNUMBER(SEARCH("NOT NULL",UPPER(J$3))),"''","null"),SUBSTITUTE(VLOOKUP(J$2,convert!$A$1:$B$4,2,0),"@@@",J677))</f>
        <v>'ground'</v>
      </c>
      <c r="Z677" s="4" t="str">
        <f>IF(K677="",IF(ISNUMBER(SEARCH("NOT NULL",UPPER(K$3))),"''","null"),SUBSTITUTE(VLOOKUP(K$2,convert!$A$1:$B$4,2,0),"@@@",K677))</f>
        <v>'dark'</v>
      </c>
      <c r="AA677" s="4" t="str">
        <f>IF(L677="",IF(ISNUMBER(SEARCH("NOT NULL",UPPER(L$3))),"''","null"),SUBSTITUTE(VLOOKUP(L$2,convert!$A$1:$B$4,2,0),"@@@",L677))</f>
        <v>'g5'</v>
      </c>
      <c r="AB677" s="4" t="str">
        <f>IF(M677="",IF(ISNUMBER(SEARCH("NOT NULL",UPPER(M$3))),"''","null"),SUBSTITUTE(VLOOKUP(M$2,convert!$A$1:$B$4,2,0),"@@@",M677))</f>
        <v>null</v>
      </c>
      <c r="AC677" s="4" t="str">
        <f>IF(N677="",IF(ISNUMBER(SEARCH("NOT NULL",UPPER(N$3))),"''","null"),SUBSTITUTE(VLOOKUP(N$2,convert!$A$1:$B$4,2,0),"@@@",N677))</f>
        <v>null</v>
      </c>
      <c r="AD677" s="4" t="str">
        <f>IF(O677="",IF(ISNUMBER(SEARCH("NOT NULL",UPPER(O$3))),"''","null"),SUBSTITUTE(VLOOKUP(O$2,convert!$A$1:$B$4,2,0),"@@@",O677))</f>
        <v>TRUE</v>
      </c>
      <c r="AE677" s="4" t="str">
        <f t="shared" si="10"/>
        <v>    ('0552N01', 'ワルビル', 60, 82, 45, 45, 45, 74, '', 'ground', 'dark', 'g5', null, null, TRUE),</v>
      </c>
    </row>
    <row r="678" spans="1:31">
      <c r="A678" s="4" t="s">
        <v>1369</v>
      </c>
      <c r="B678" s="4" t="s">
        <v>1370</v>
      </c>
      <c r="C678" s="5">
        <v>95</v>
      </c>
      <c r="D678" s="5">
        <v>117</v>
      </c>
      <c r="E678" s="5">
        <v>80</v>
      </c>
      <c r="F678" s="5">
        <v>65</v>
      </c>
      <c r="G678" s="5">
        <v>70</v>
      </c>
      <c r="H678" s="5">
        <v>92</v>
      </c>
      <c r="I678" s="5"/>
      <c r="J678" s="4" t="s">
        <v>116</v>
      </c>
      <c r="K678" s="4" t="s">
        <v>91</v>
      </c>
      <c r="L678" s="4" t="s">
        <v>1243</v>
      </c>
      <c r="M678" s="5"/>
      <c r="N678" s="5"/>
      <c r="O678" s="5" t="b">
        <v>1</v>
      </c>
      <c r="P678" s="4" t="str">
        <f>IF(A678="",IF(ISNUMBER(SEARCH("NOT NULL",UPPER(A$3))),"''","null"),SUBSTITUTE(VLOOKUP(A$2,convert!$A$1:$B$4,2,0),"@@@",A678))</f>
        <v>'0553N01'</v>
      </c>
      <c r="Q678" s="4" t="str">
        <f>IF(B678="",IF(ISNUMBER(SEARCH("NOT NULL",UPPER(B$3))),"''","null"),SUBSTITUTE(VLOOKUP(B$2,convert!$A$1:$B$4,2,0),"@@@",B678))</f>
        <v>'ワルビアル'</v>
      </c>
      <c r="R678" s="4" t="str">
        <f>IF(C678="",IF(ISNUMBER(SEARCH("NOT NULL",UPPER(C$3))),"''","null"),SUBSTITUTE(VLOOKUP(C$2,convert!$A$1:$B$4,2,0),"@@@",C678))</f>
        <v>95</v>
      </c>
      <c r="S678" s="4" t="str">
        <f>IF(D678="",IF(ISNUMBER(SEARCH("NOT NULL",UPPER(D$3))),"''","null"),SUBSTITUTE(VLOOKUP(D$2,convert!$A$1:$B$4,2,0),"@@@",D678))</f>
        <v>117</v>
      </c>
      <c r="T678" s="4" t="str">
        <f>IF(E678="",IF(ISNUMBER(SEARCH("NOT NULL",UPPER(E$3))),"''","null"),SUBSTITUTE(VLOOKUP(E$2,convert!$A$1:$B$4,2,0),"@@@",E678))</f>
        <v>80</v>
      </c>
      <c r="U678" s="4" t="str">
        <f>IF(F678="",IF(ISNUMBER(SEARCH("NOT NULL",UPPER(F$3))),"''","null"),SUBSTITUTE(VLOOKUP(F$2,convert!$A$1:$B$4,2,0),"@@@",F678))</f>
        <v>65</v>
      </c>
      <c r="V678" s="4" t="str">
        <f>IF(G678="",IF(ISNUMBER(SEARCH("NOT NULL",UPPER(G$3))),"''","null"),SUBSTITUTE(VLOOKUP(G$2,convert!$A$1:$B$4,2,0),"@@@",G678))</f>
        <v>70</v>
      </c>
      <c r="W678" s="4" t="str">
        <f>IF(H678="",IF(ISNUMBER(SEARCH("NOT NULL",UPPER(H$3))),"''","null"),SUBSTITUTE(VLOOKUP(H$2,convert!$A$1:$B$4,2,0),"@@@",H678))</f>
        <v>92</v>
      </c>
      <c r="X678" s="4" t="str">
        <f>IF(I678="",IF(ISNUMBER(SEARCH("NOT NULL",UPPER(I$3))),"''","null"),SUBSTITUTE(VLOOKUP(I$2,convert!$A$1:$B$4,2,0),"@@@",I678))</f>
        <v>''</v>
      </c>
      <c r="Y678" s="4" t="str">
        <f>IF(J678="",IF(ISNUMBER(SEARCH("NOT NULL",UPPER(J$3))),"''","null"),SUBSTITUTE(VLOOKUP(J$2,convert!$A$1:$B$4,2,0),"@@@",J678))</f>
        <v>'ground'</v>
      </c>
      <c r="Z678" s="4" t="str">
        <f>IF(K678="",IF(ISNUMBER(SEARCH("NOT NULL",UPPER(K$3))),"''","null"),SUBSTITUTE(VLOOKUP(K$2,convert!$A$1:$B$4,2,0),"@@@",K678))</f>
        <v>'dark'</v>
      </c>
      <c r="AA678" s="4" t="str">
        <f>IF(L678="",IF(ISNUMBER(SEARCH("NOT NULL",UPPER(L$3))),"''","null"),SUBSTITUTE(VLOOKUP(L$2,convert!$A$1:$B$4,2,0),"@@@",L678))</f>
        <v>'g5'</v>
      </c>
      <c r="AB678" s="4" t="str">
        <f>IF(M678="",IF(ISNUMBER(SEARCH("NOT NULL",UPPER(M$3))),"''","null"),SUBSTITUTE(VLOOKUP(M$2,convert!$A$1:$B$4,2,0),"@@@",M678))</f>
        <v>null</v>
      </c>
      <c r="AC678" s="4" t="str">
        <f>IF(N678="",IF(ISNUMBER(SEARCH("NOT NULL",UPPER(N$3))),"''","null"),SUBSTITUTE(VLOOKUP(N$2,convert!$A$1:$B$4,2,0),"@@@",N678))</f>
        <v>null</v>
      </c>
      <c r="AD678" s="4" t="str">
        <f>IF(O678="",IF(ISNUMBER(SEARCH("NOT NULL",UPPER(O$3))),"''","null"),SUBSTITUTE(VLOOKUP(O$2,convert!$A$1:$B$4,2,0),"@@@",O678))</f>
        <v>TRUE</v>
      </c>
      <c r="AE678" s="4" t="str">
        <f t="shared" si="10"/>
        <v>    ('0553N01', 'ワルビアル', 95, 117, 80, 65, 70, 92, '', 'ground', 'dark', 'g5', null, null, TRUE),</v>
      </c>
    </row>
    <row r="679" spans="1:31">
      <c r="A679" s="4" t="s">
        <v>1371</v>
      </c>
      <c r="B679" s="4" t="s">
        <v>1372</v>
      </c>
      <c r="C679" s="5">
        <v>70</v>
      </c>
      <c r="D679" s="5">
        <v>90</v>
      </c>
      <c r="E679" s="5">
        <v>45</v>
      </c>
      <c r="F679" s="5">
        <v>15</v>
      </c>
      <c r="G679" s="5">
        <v>45</v>
      </c>
      <c r="H679" s="5">
        <v>50</v>
      </c>
      <c r="I679" s="5"/>
      <c r="J679" s="4" t="s">
        <v>42</v>
      </c>
      <c r="K679" s="5"/>
      <c r="L679" s="4" t="s">
        <v>1243</v>
      </c>
      <c r="M679" s="5"/>
      <c r="N679" s="5"/>
      <c r="O679" s="5" t="b">
        <v>1</v>
      </c>
      <c r="P679" s="4" t="str">
        <f>IF(A679="",IF(ISNUMBER(SEARCH("NOT NULL",UPPER(A$3))),"''","null"),SUBSTITUTE(VLOOKUP(A$2,convert!$A$1:$B$4,2,0),"@@@",A679))</f>
        <v>'0554N01'</v>
      </c>
      <c r="Q679" s="4" t="str">
        <f>IF(B679="",IF(ISNUMBER(SEARCH("NOT NULL",UPPER(B$3))),"''","null"),SUBSTITUTE(VLOOKUP(B$2,convert!$A$1:$B$4,2,0),"@@@",B679))</f>
        <v>'ダルマッカ'</v>
      </c>
      <c r="R679" s="4" t="str">
        <f>IF(C679="",IF(ISNUMBER(SEARCH("NOT NULL",UPPER(C$3))),"''","null"),SUBSTITUTE(VLOOKUP(C$2,convert!$A$1:$B$4,2,0),"@@@",C679))</f>
        <v>70</v>
      </c>
      <c r="S679" s="4" t="str">
        <f>IF(D679="",IF(ISNUMBER(SEARCH("NOT NULL",UPPER(D$3))),"''","null"),SUBSTITUTE(VLOOKUP(D$2,convert!$A$1:$B$4,2,0),"@@@",D679))</f>
        <v>90</v>
      </c>
      <c r="T679" s="4" t="str">
        <f>IF(E679="",IF(ISNUMBER(SEARCH("NOT NULL",UPPER(E$3))),"''","null"),SUBSTITUTE(VLOOKUP(E$2,convert!$A$1:$B$4,2,0),"@@@",E679))</f>
        <v>45</v>
      </c>
      <c r="U679" s="4" t="str">
        <f>IF(F679="",IF(ISNUMBER(SEARCH("NOT NULL",UPPER(F$3))),"''","null"),SUBSTITUTE(VLOOKUP(F$2,convert!$A$1:$B$4,2,0),"@@@",F679))</f>
        <v>15</v>
      </c>
      <c r="V679" s="4" t="str">
        <f>IF(G679="",IF(ISNUMBER(SEARCH("NOT NULL",UPPER(G$3))),"''","null"),SUBSTITUTE(VLOOKUP(G$2,convert!$A$1:$B$4,2,0),"@@@",G679))</f>
        <v>45</v>
      </c>
      <c r="W679" s="4" t="str">
        <f>IF(H679="",IF(ISNUMBER(SEARCH("NOT NULL",UPPER(H$3))),"''","null"),SUBSTITUTE(VLOOKUP(H$2,convert!$A$1:$B$4,2,0),"@@@",H679))</f>
        <v>50</v>
      </c>
      <c r="X679" s="4" t="str">
        <f>IF(I679="",IF(ISNUMBER(SEARCH("NOT NULL",UPPER(I$3))),"''","null"),SUBSTITUTE(VLOOKUP(I$2,convert!$A$1:$B$4,2,0),"@@@",I679))</f>
        <v>''</v>
      </c>
      <c r="Y679" s="4" t="str">
        <f>IF(J679="",IF(ISNUMBER(SEARCH("NOT NULL",UPPER(J$3))),"''","null"),SUBSTITUTE(VLOOKUP(J$2,convert!$A$1:$B$4,2,0),"@@@",J679))</f>
        <v>'fire'</v>
      </c>
      <c r="Z679" s="4" t="str">
        <f>IF(K679="",IF(ISNUMBER(SEARCH("NOT NULL",UPPER(K$3))),"''","null"),SUBSTITUTE(VLOOKUP(K$2,convert!$A$1:$B$4,2,0),"@@@",K679))</f>
        <v>null</v>
      </c>
      <c r="AA679" s="4" t="str">
        <f>IF(L679="",IF(ISNUMBER(SEARCH("NOT NULL",UPPER(L$3))),"''","null"),SUBSTITUTE(VLOOKUP(L$2,convert!$A$1:$B$4,2,0),"@@@",L679))</f>
        <v>'g5'</v>
      </c>
      <c r="AB679" s="4" t="str">
        <f>IF(M679="",IF(ISNUMBER(SEARCH("NOT NULL",UPPER(M$3))),"''","null"),SUBSTITUTE(VLOOKUP(M$2,convert!$A$1:$B$4,2,0),"@@@",M679))</f>
        <v>null</v>
      </c>
      <c r="AC679" s="4" t="str">
        <f>IF(N679="",IF(ISNUMBER(SEARCH("NOT NULL",UPPER(N$3))),"''","null"),SUBSTITUTE(VLOOKUP(N$2,convert!$A$1:$B$4,2,0),"@@@",N679))</f>
        <v>null</v>
      </c>
      <c r="AD679" s="4" t="str">
        <f>IF(O679="",IF(ISNUMBER(SEARCH("NOT NULL",UPPER(O$3))),"''","null"),SUBSTITUTE(VLOOKUP(O$2,convert!$A$1:$B$4,2,0),"@@@",O679))</f>
        <v>TRUE</v>
      </c>
      <c r="AE679" s="4" t="str">
        <f t="shared" si="10"/>
        <v>    ('0554N01', 'ダルマッカ', 70, 90, 45, 15, 45, 50, '', 'fire', null, 'g5', null, null, TRUE),</v>
      </c>
    </row>
    <row r="680" spans="1:31">
      <c r="A680" s="4" t="s">
        <v>1373</v>
      </c>
      <c r="B680" s="4" t="s">
        <v>1372</v>
      </c>
      <c r="C680" s="5">
        <v>70</v>
      </c>
      <c r="D680" s="5">
        <v>90</v>
      </c>
      <c r="E680" s="5">
        <v>45</v>
      </c>
      <c r="F680" s="5">
        <v>15</v>
      </c>
      <c r="G680" s="5">
        <v>45</v>
      </c>
      <c r="H680" s="5">
        <v>50</v>
      </c>
      <c r="I680" s="4" t="s">
        <v>178</v>
      </c>
      <c r="J680" s="4" t="s">
        <v>118</v>
      </c>
      <c r="K680" s="5"/>
      <c r="L680" s="4" t="s">
        <v>179</v>
      </c>
      <c r="M680" s="5"/>
      <c r="N680" s="5"/>
      <c r="O680" s="5" t="b">
        <v>1</v>
      </c>
      <c r="P680" s="4" t="str">
        <f>IF(A680="",IF(ISNUMBER(SEARCH("NOT NULL",UPPER(A$3))),"''","null"),SUBSTITUTE(VLOOKUP(A$2,convert!$A$1:$B$4,2,0),"@@@",A680))</f>
        <v>'0554G01'</v>
      </c>
      <c r="Q680" s="4" t="str">
        <f>IF(B680="",IF(ISNUMBER(SEARCH("NOT NULL",UPPER(B$3))),"''","null"),SUBSTITUTE(VLOOKUP(B$2,convert!$A$1:$B$4,2,0),"@@@",B680))</f>
        <v>'ダルマッカ'</v>
      </c>
      <c r="R680" s="4" t="str">
        <f>IF(C680="",IF(ISNUMBER(SEARCH("NOT NULL",UPPER(C$3))),"''","null"),SUBSTITUTE(VLOOKUP(C$2,convert!$A$1:$B$4,2,0),"@@@",C680))</f>
        <v>70</v>
      </c>
      <c r="S680" s="4" t="str">
        <f>IF(D680="",IF(ISNUMBER(SEARCH("NOT NULL",UPPER(D$3))),"''","null"),SUBSTITUTE(VLOOKUP(D$2,convert!$A$1:$B$4,2,0),"@@@",D680))</f>
        <v>90</v>
      </c>
      <c r="T680" s="4" t="str">
        <f>IF(E680="",IF(ISNUMBER(SEARCH("NOT NULL",UPPER(E$3))),"''","null"),SUBSTITUTE(VLOOKUP(E$2,convert!$A$1:$B$4,2,0),"@@@",E680))</f>
        <v>45</v>
      </c>
      <c r="U680" s="4" t="str">
        <f>IF(F680="",IF(ISNUMBER(SEARCH("NOT NULL",UPPER(F$3))),"''","null"),SUBSTITUTE(VLOOKUP(F$2,convert!$A$1:$B$4,2,0),"@@@",F680))</f>
        <v>15</v>
      </c>
      <c r="V680" s="4" t="str">
        <f>IF(G680="",IF(ISNUMBER(SEARCH("NOT NULL",UPPER(G$3))),"''","null"),SUBSTITUTE(VLOOKUP(G$2,convert!$A$1:$B$4,2,0),"@@@",G680))</f>
        <v>45</v>
      </c>
      <c r="W680" s="4" t="str">
        <f>IF(H680="",IF(ISNUMBER(SEARCH("NOT NULL",UPPER(H$3))),"''","null"),SUBSTITUTE(VLOOKUP(H$2,convert!$A$1:$B$4,2,0),"@@@",H680))</f>
        <v>50</v>
      </c>
      <c r="X680" s="4" t="str">
        <f>IF(I680="",IF(ISNUMBER(SEARCH("NOT NULL",UPPER(I$3))),"''","null"),SUBSTITUTE(VLOOKUP(I$2,convert!$A$1:$B$4,2,0),"@@@",I680))</f>
        <v>'ガラルのすがた'</v>
      </c>
      <c r="Y680" s="4" t="str">
        <f>IF(J680="",IF(ISNUMBER(SEARCH("NOT NULL",UPPER(J$3))),"''","null"),SUBSTITUTE(VLOOKUP(J$2,convert!$A$1:$B$4,2,0),"@@@",J680))</f>
        <v>'ice'</v>
      </c>
      <c r="Z680" s="4" t="str">
        <f>IF(K680="",IF(ISNUMBER(SEARCH("NOT NULL",UPPER(K$3))),"''","null"),SUBSTITUTE(VLOOKUP(K$2,convert!$A$1:$B$4,2,0),"@@@",K680))</f>
        <v>null</v>
      </c>
      <c r="AA680" s="4" t="str">
        <f>IF(L680="",IF(ISNUMBER(SEARCH("NOT NULL",UPPER(L$3))),"''","null"),SUBSTITUTE(VLOOKUP(L$2,convert!$A$1:$B$4,2,0),"@@@",L680))</f>
        <v>'g8'</v>
      </c>
      <c r="AB680" s="4" t="str">
        <f>IF(M680="",IF(ISNUMBER(SEARCH("NOT NULL",UPPER(M$3))),"''","null"),SUBSTITUTE(VLOOKUP(M$2,convert!$A$1:$B$4,2,0),"@@@",M680))</f>
        <v>null</v>
      </c>
      <c r="AC680" s="4" t="str">
        <f>IF(N680="",IF(ISNUMBER(SEARCH("NOT NULL",UPPER(N$3))),"''","null"),SUBSTITUTE(VLOOKUP(N$2,convert!$A$1:$B$4,2,0),"@@@",N680))</f>
        <v>null</v>
      </c>
      <c r="AD680" s="4" t="str">
        <f>IF(O680="",IF(ISNUMBER(SEARCH("NOT NULL",UPPER(O$3))),"''","null"),SUBSTITUTE(VLOOKUP(O$2,convert!$A$1:$B$4,2,0),"@@@",O680))</f>
        <v>TRUE</v>
      </c>
      <c r="AE680" s="4" t="str">
        <f t="shared" si="10"/>
        <v>    ('0554G01', 'ダルマッカ', 70, 90, 45, 15, 45, 50, 'ガラルのすがた', 'ice', null, 'g8', null, null, TRUE),</v>
      </c>
    </row>
    <row r="681" spans="1:31">
      <c r="A681" s="4" t="s">
        <v>1374</v>
      </c>
      <c r="B681" s="4" t="s">
        <v>1375</v>
      </c>
      <c r="C681" s="5">
        <v>105</v>
      </c>
      <c r="D681" s="5">
        <v>140</v>
      </c>
      <c r="E681" s="5">
        <v>55</v>
      </c>
      <c r="F681" s="5">
        <v>30</v>
      </c>
      <c r="G681" s="5">
        <v>55</v>
      </c>
      <c r="H681" s="5">
        <v>95</v>
      </c>
      <c r="I681" s="5"/>
      <c r="J681" s="4" t="s">
        <v>42</v>
      </c>
      <c r="K681" s="5"/>
      <c r="L681" s="4" t="s">
        <v>1243</v>
      </c>
      <c r="M681" s="5"/>
      <c r="N681" s="5"/>
      <c r="O681" s="5" t="b">
        <v>1</v>
      </c>
      <c r="P681" s="4" t="str">
        <f>IF(A681="",IF(ISNUMBER(SEARCH("NOT NULL",UPPER(A$3))),"''","null"),SUBSTITUTE(VLOOKUP(A$2,convert!$A$1:$B$4,2,0),"@@@",A681))</f>
        <v>'0555N01'</v>
      </c>
      <c r="Q681" s="4" t="str">
        <f>IF(B681="",IF(ISNUMBER(SEARCH("NOT NULL",UPPER(B$3))),"''","null"),SUBSTITUTE(VLOOKUP(B$2,convert!$A$1:$B$4,2,0),"@@@",B681))</f>
        <v>'ヒヒダルマ'</v>
      </c>
      <c r="R681" s="4" t="str">
        <f>IF(C681="",IF(ISNUMBER(SEARCH("NOT NULL",UPPER(C$3))),"''","null"),SUBSTITUTE(VLOOKUP(C$2,convert!$A$1:$B$4,2,0),"@@@",C681))</f>
        <v>105</v>
      </c>
      <c r="S681" s="4" t="str">
        <f>IF(D681="",IF(ISNUMBER(SEARCH("NOT NULL",UPPER(D$3))),"''","null"),SUBSTITUTE(VLOOKUP(D$2,convert!$A$1:$B$4,2,0),"@@@",D681))</f>
        <v>140</v>
      </c>
      <c r="T681" s="4" t="str">
        <f>IF(E681="",IF(ISNUMBER(SEARCH("NOT NULL",UPPER(E$3))),"''","null"),SUBSTITUTE(VLOOKUP(E$2,convert!$A$1:$B$4,2,0),"@@@",E681))</f>
        <v>55</v>
      </c>
      <c r="U681" s="4" t="str">
        <f>IF(F681="",IF(ISNUMBER(SEARCH("NOT NULL",UPPER(F$3))),"''","null"),SUBSTITUTE(VLOOKUP(F$2,convert!$A$1:$B$4,2,0),"@@@",F681))</f>
        <v>30</v>
      </c>
      <c r="V681" s="4" t="str">
        <f>IF(G681="",IF(ISNUMBER(SEARCH("NOT NULL",UPPER(G$3))),"''","null"),SUBSTITUTE(VLOOKUP(G$2,convert!$A$1:$B$4,2,0),"@@@",G681))</f>
        <v>55</v>
      </c>
      <c r="W681" s="4" t="str">
        <f>IF(H681="",IF(ISNUMBER(SEARCH("NOT NULL",UPPER(H$3))),"''","null"),SUBSTITUTE(VLOOKUP(H$2,convert!$A$1:$B$4,2,0),"@@@",H681))</f>
        <v>95</v>
      </c>
      <c r="X681" s="4" t="str">
        <f>IF(I681="",IF(ISNUMBER(SEARCH("NOT NULL",UPPER(I$3))),"''","null"),SUBSTITUTE(VLOOKUP(I$2,convert!$A$1:$B$4,2,0),"@@@",I681))</f>
        <v>''</v>
      </c>
      <c r="Y681" s="4" t="str">
        <f>IF(J681="",IF(ISNUMBER(SEARCH("NOT NULL",UPPER(J$3))),"''","null"),SUBSTITUTE(VLOOKUP(J$2,convert!$A$1:$B$4,2,0),"@@@",J681))</f>
        <v>'fire'</v>
      </c>
      <c r="Z681" s="4" t="str">
        <f>IF(K681="",IF(ISNUMBER(SEARCH("NOT NULL",UPPER(K$3))),"''","null"),SUBSTITUTE(VLOOKUP(K$2,convert!$A$1:$B$4,2,0),"@@@",K681))</f>
        <v>null</v>
      </c>
      <c r="AA681" s="4" t="str">
        <f>IF(L681="",IF(ISNUMBER(SEARCH("NOT NULL",UPPER(L$3))),"''","null"),SUBSTITUTE(VLOOKUP(L$2,convert!$A$1:$B$4,2,0),"@@@",L681))</f>
        <v>'g5'</v>
      </c>
      <c r="AB681" s="4" t="str">
        <f>IF(M681="",IF(ISNUMBER(SEARCH("NOT NULL",UPPER(M$3))),"''","null"),SUBSTITUTE(VLOOKUP(M$2,convert!$A$1:$B$4,2,0),"@@@",M681))</f>
        <v>null</v>
      </c>
      <c r="AC681" s="4" t="str">
        <f>IF(N681="",IF(ISNUMBER(SEARCH("NOT NULL",UPPER(N$3))),"''","null"),SUBSTITUTE(VLOOKUP(N$2,convert!$A$1:$B$4,2,0),"@@@",N681))</f>
        <v>null</v>
      </c>
      <c r="AD681" s="4" t="str">
        <f>IF(O681="",IF(ISNUMBER(SEARCH("NOT NULL",UPPER(O$3))),"''","null"),SUBSTITUTE(VLOOKUP(O$2,convert!$A$1:$B$4,2,0),"@@@",O681))</f>
        <v>TRUE</v>
      </c>
      <c r="AE681" s="4" t="str">
        <f t="shared" si="10"/>
        <v>    ('0555N01', 'ヒヒダルマ', 105, 140, 55, 30, 55, 95, '', 'fire', null, 'g5', null, null, TRUE),</v>
      </c>
    </row>
    <row r="682" spans="1:31">
      <c r="A682" s="4" t="s">
        <v>1376</v>
      </c>
      <c r="B682" s="4" t="s">
        <v>1375</v>
      </c>
      <c r="C682" s="5">
        <v>105</v>
      </c>
      <c r="D682" s="5">
        <v>30</v>
      </c>
      <c r="E682" s="5">
        <v>105</v>
      </c>
      <c r="F682" s="5">
        <v>140</v>
      </c>
      <c r="G682" s="5">
        <v>105</v>
      </c>
      <c r="H682" s="5">
        <v>55</v>
      </c>
      <c r="I682" s="4" t="s">
        <v>1377</v>
      </c>
      <c r="J682" s="4" t="s">
        <v>118</v>
      </c>
      <c r="K682" s="4" t="s">
        <v>42</v>
      </c>
      <c r="L682" s="4" t="s">
        <v>1243</v>
      </c>
      <c r="M682" s="5"/>
      <c r="N682" s="5"/>
      <c r="O682" s="5" t="b">
        <v>0</v>
      </c>
      <c r="P682" s="4" t="str">
        <f>IF(A682="",IF(ISNUMBER(SEARCH("NOT NULL",UPPER(A$3))),"''","null"),SUBSTITUTE(VLOOKUP(A$2,convert!$A$1:$B$4,2,0),"@@@",A682))</f>
        <v>'0555N02'</v>
      </c>
      <c r="Q682" s="4" t="str">
        <f>IF(B682="",IF(ISNUMBER(SEARCH("NOT NULL",UPPER(B$3))),"''","null"),SUBSTITUTE(VLOOKUP(B$2,convert!$A$1:$B$4,2,0),"@@@",B682))</f>
        <v>'ヒヒダルマ'</v>
      </c>
      <c r="R682" s="4" t="str">
        <f>IF(C682="",IF(ISNUMBER(SEARCH("NOT NULL",UPPER(C$3))),"''","null"),SUBSTITUTE(VLOOKUP(C$2,convert!$A$1:$B$4,2,0),"@@@",C682))</f>
        <v>105</v>
      </c>
      <c r="S682" s="4" t="str">
        <f>IF(D682="",IF(ISNUMBER(SEARCH("NOT NULL",UPPER(D$3))),"''","null"),SUBSTITUTE(VLOOKUP(D$2,convert!$A$1:$B$4,2,0),"@@@",D682))</f>
        <v>30</v>
      </c>
      <c r="T682" s="4" t="str">
        <f>IF(E682="",IF(ISNUMBER(SEARCH("NOT NULL",UPPER(E$3))),"''","null"),SUBSTITUTE(VLOOKUP(E$2,convert!$A$1:$B$4,2,0),"@@@",E682))</f>
        <v>105</v>
      </c>
      <c r="U682" s="4" t="str">
        <f>IF(F682="",IF(ISNUMBER(SEARCH("NOT NULL",UPPER(F$3))),"''","null"),SUBSTITUTE(VLOOKUP(F$2,convert!$A$1:$B$4,2,0),"@@@",F682))</f>
        <v>140</v>
      </c>
      <c r="V682" s="4" t="str">
        <f>IF(G682="",IF(ISNUMBER(SEARCH("NOT NULL",UPPER(G$3))),"''","null"),SUBSTITUTE(VLOOKUP(G$2,convert!$A$1:$B$4,2,0),"@@@",G682))</f>
        <v>105</v>
      </c>
      <c r="W682" s="4" t="str">
        <f>IF(H682="",IF(ISNUMBER(SEARCH("NOT NULL",UPPER(H$3))),"''","null"),SUBSTITUTE(VLOOKUP(H$2,convert!$A$1:$B$4,2,0),"@@@",H682))</f>
        <v>55</v>
      </c>
      <c r="X682" s="4" t="str">
        <f>IF(I682="",IF(ISNUMBER(SEARCH("NOT NULL",UPPER(I$3))),"''","null"),SUBSTITUTE(VLOOKUP(I$2,convert!$A$1:$B$4,2,0),"@@@",I682))</f>
        <v>'ダルマモード'</v>
      </c>
      <c r="Y682" s="4" t="str">
        <f>IF(J682="",IF(ISNUMBER(SEARCH("NOT NULL",UPPER(J$3))),"''","null"),SUBSTITUTE(VLOOKUP(J$2,convert!$A$1:$B$4,2,0),"@@@",J682))</f>
        <v>'ice'</v>
      </c>
      <c r="Z682" s="4" t="str">
        <f>IF(K682="",IF(ISNUMBER(SEARCH("NOT NULL",UPPER(K$3))),"''","null"),SUBSTITUTE(VLOOKUP(K$2,convert!$A$1:$B$4,2,0),"@@@",K682))</f>
        <v>'fire'</v>
      </c>
      <c r="AA682" s="4" t="str">
        <f>IF(L682="",IF(ISNUMBER(SEARCH("NOT NULL",UPPER(L$3))),"''","null"),SUBSTITUTE(VLOOKUP(L$2,convert!$A$1:$B$4,2,0),"@@@",L682))</f>
        <v>'g5'</v>
      </c>
      <c r="AB682" s="4" t="str">
        <f>IF(M682="",IF(ISNUMBER(SEARCH("NOT NULL",UPPER(M$3))),"''","null"),SUBSTITUTE(VLOOKUP(M$2,convert!$A$1:$B$4,2,0),"@@@",M682))</f>
        <v>null</v>
      </c>
      <c r="AC682" s="4" t="str">
        <f>IF(N682="",IF(ISNUMBER(SEARCH("NOT NULL",UPPER(N$3))),"''","null"),SUBSTITUTE(VLOOKUP(N$2,convert!$A$1:$B$4,2,0),"@@@",N682))</f>
        <v>null</v>
      </c>
      <c r="AD682" s="4" t="str">
        <f>IF(O682="",IF(ISNUMBER(SEARCH("NOT NULL",UPPER(O$3))),"''","null"),SUBSTITUTE(VLOOKUP(O$2,convert!$A$1:$B$4,2,0),"@@@",O682))</f>
        <v>FALSE</v>
      </c>
      <c r="AE682" s="4" t="str">
        <f t="shared" si="10"/>
        <v>    ('0555N02', 'ヒヒダルマ', 105, 30, 105, 140, 105, 55, 'ダルマモード', 'ice', 'fire', 'g5', null, null, FALSE),</v>
      </c>
    </row>
    <row r="683" spans="1:31">
      <c r="A683" s="4" t="s">
        <v>1378</v>
      </c>
      <c r="B683" s="4" t="s">
        <v>1375</v>
      </c>
      <c r="C683" s="5">
        <v>105</v>
      </c>
      <c r="D683" s="5">
        <v>140</v>
      </c>
      <c r="E683" s="5">
        <v>55</v>
      </c>
      <c r="F683" s="5">
        <v>30</v>
      </c>
      <c r="G683" s="5">
        <v>55</v>
      </c>
      <c r="H683" s="5">
        <v>95</v>
      </c>
      <c r="I683" s="4" t="s">
        <v>178</v>
      </c>
      <c r="J683" s="4" t="s">
        <v>118</v>
      </c>
      <c r="K683" s="5"/>
      <c r="L683" s="4" t="s">
        <v>179</v>
      </c>
      <c r="M683" s="5"/>
      <c r="N683" s="5"/>
      <c r="O683" s="5" t="b">
        <v>1</v>
      </c>
      <c r="P683" s="4" t="str">
        <f>IF(A683="",IF(ISNUMBER(SEARCH("NOT NULL",UPPER(A$3))),"''","null"),SUBSTITUTE(VLOOKUP(A$2,convert!$A$1:$B$4,2,0),"@@@",A683))</f>
        <v>'0555G01'</v>
      </c>
      <c r="Q683" s="4" t="str">
        <f>IF(B683="",IF(ISNUMBER(SEARCH("NOT NULL",UPPER(B$3))),"''","null"),SUBSTITUTE(VLOOKUP(B$2,convert!$A$1:$B$4,2,0),"@@@",B683))</f>
        <v>'ヒヒダルマ'</v>
      </c>
      <c r="R683" s="4" t="str">
        <f>IF(C683="",IF(ISNUMBER(SEARCH("NOT NULL",UPPER(C$3))),"''","null"),SUBSTITUTE(VLOOKUP(C$2,convert!$A$1:$B$4,2,0),"@@@",C683))</f>
        <v>105</v>
      </c>
      <c r="S683" s="4" t="str">
        <f>IF(D683="",IF(ISNUMBER(SEARCH("NOT NULL",UPPER(D$3))),"''","null"),SUBSTITUTE(VLOOKUP(D$2,convert!$A$1:$B$4,2,0),"@@@",D683))</f>
        <v>140</v>
      </c>
      <c r="T683" s="4" t="str">
        <f>IF(E683="",IF(ISNUMBER(SEARCH("NOT NULL",UPPER(E$3))),"''","null"),SUBSTITUTE(VLOOKUP(E$2,convert!$A$1:$B$4,2,0),"@@@",E683))</f>
        <v>55</v>
      </c>
      <c r="U683" s="4" t="str">
        <f>IF(F683="",IF(ISNUMBER(SEARCH("NOT NULL",UPPER(F$3))),"''","null"),SUBSTITUTE(VLOOKUP(F$2,convert!$A$1:$B$4,2,0),"@@@",F683))</f>
        <v>30</v>
      </c>
      <c r="V683" s="4" t="str">
        <f>IF(G683="",IF(ISNUMBER(SEARCH("NOT NULL",UPPER(G$3))),"''","null"),SUBSTITUTE(VLOOKUP(G$2,convert!$A$1:$B$4,2,0),"@@@",G683))</f>
        <v>55</v>
      </c>
      <c r="W683" s="4" t="str">
        <f>IF(H683="",IF(ISNUMBER(SEARCH("NOT NULL",UPPER(H$3))),"''","null"),SUBSTITUTE(VLOOKUP(H$2,convert!$A$1:$B$4,2,0),"@@@",H683))</f>
        <v>95</v>
      </c>
      <c r="X683" s="4" t="str">
        <f>IF(I683="",IF(ISNUMBER(SEARCH("NOT NULL",UPPER(I$3))),"''","null"),SUBSTITUTE(VLOOKUP(I$2,convert!$A$1:$B$4,2,0),"@@@",I683))</f>
        <v>'ガラルのすがた'</v>
      </c>
      <c r="Y683" s="4" t="str">
        <f>IF(J683="",IF(ISNUMBER(SEARCH("NOT NULL",UPPER(J$3))),"''","null"),SUBSTITUTE(VLOOKUP(J$2,convert!$A$1:$B$4,2,0),"@@@",J683))</f>
        <v>'ice'</v>
      </c>
      <c r="Z683" s="4" t="str">
        <f>IF(K683="",IF(ISNUMBER(SEARCH("NOT NULL",UPPER(K$3))),"''","null"),SUBSTITUTE(VLOOKUP(K$2,convert!$A$1:$B$4,2,0),"@@@",K683))</f>
        <v>null</v>
      </c>
      <c r="AA683" s="4" t="str">
        <f>IF(L683="",IF(ISNUMBER(SEARCH("NOT NULL",UPPER(L$3))),"''","null"),SUBSTITUTE(VLOOKUP(L$2,convert!$A$1:$B$4,2,0),"@@@",L683))</f>
        <v>'g8'</v>
      </c>
      <c r="AB683" s="4" t="str">
        <f>IF(M683="",IF(ISNUMBER(SEARCH("NOT NULL",UPPER(M$3))),"''","null"),SUBSTITUTE(VLOOKUP(M$2,convert!$A$1:$B$4,2,0),"@@@",M683))</f>
        <v>null</v>
      </c>
      <c r="AC683" s="4" t="str">
        <f>IF(N683="",IF(ISNUMBER(SEARCH("NOT NULL",UPPER(N$3))),"''","null"),SUBSTITUTE(VLOOKUP(N$2,convert!$A$1:$B$4,2,0),"@@@",N683))</f>
        <v>null</v>
      </c>
      <c r="AD683" s="4" t="str">
        <f>IF(O683="",IF(ISNUMBER(SEARCH("NOT NULL",UPPER(O$3))),"''","null"),SUBSTITUTE(VLOOKUP(O$2,convert!$A$1:$B$4,2,0),"@@@",O683))</f>
        <v>TRUE</v>
      </c>
      <c r="AE683" s="4" t="str">
        <f t="shared" si="10"/>
        <v>    ('0555G01', 'ヒヒダルマ', 105, 140, 55, 30, 55, 95, 'ガラルのすがた', 'ice', null, 'g8', null, null, TRUE),</v>
      </c>
    </row>
    <row r="684" spans="1:31">
      <c r="A684" s="4" t="s">
        <v>1379</v>
      </c>
      <c r="B684" s="4" t="s">
        <v>1375</v>
      </c>
      <c r="C684" s="5">
        <v>105</v>
      </c>
      <c r="D684" s="5">
        <v>160</v>
      </c>
      <c r="E684" s="5">
        <v>55</v>
      </c>
      <c r="F684" s="5">
        <v>30</v>
      </c>
      <c r="G684" s="5">
        <v>55</v>
      </c>
      <c r="H684" s="5">
        <v>135</v>
      </c>
      <c r="I684" s="4" t="s">
        <v>1380</v>
      </c>
      <c r="J684" s="4" t="s">
        <v>42</v>
      </c>
      <c r="K684" s="4" t="s">
        <v>113</v>
      </c>
      <c r="L684" s="4" t="s">
        <v>179</v>
      </c>
      <c r="M684" s="5"/>
      <c r="N684" s="5"/>
      <c r="O684" s="5" t="b">
        <v>0</v>
      </c>
      <c r="P684" s="4" t="str">
        <f>IF(A684="",IF(ISNUMBER(SEARCH("NOT NULL",UPPER(A$3))),"''","null"),SUBSTITUTE(VLOOKUP(A$2,convert!$A$1:$B$4,2,0),"@@@",A684))</f>
        <v>'0555G02'</v>
      </c>
      <c r="Q684" s="4" t="str">
        <f>IF(B684="",IF(ISNUMBER(SEARCH("NOT NULL",UPPER(B$3))),"''","null"),SUBSTITUTE(VLOOKUP(B$2,convert!$A$1:$B$4,2,0),"@@@",B684))</f>
        <v>'ヒヒダルマ'</v>
      </c>
      <c r="R684" s="4" t="str">
        <f>IF(C684="",IF(ISNUMBER(SEARCH("NOT NULL",UPPER(C$3))),"''","null"),SUBSTITUTE(VLOOKUP(C$2,convert!$A$1:$B$4,2,0),"@@@",C684))</f>
        <v>105</v>
      </c>
      <c r="S684" s="4" t="str">
        <f>IF(D684="",IF(ISNUMBER(SEARCH("NOT NULL",UPPER(D$3))),"''","null"),SUBSTITUTE(VLOOKUP(D$2,convert!$A$1:$B$4,2,0),"@@@",D684))</f>
        <v>160</v>
      </c>
      <c r="T684" s="4" t="str">
        <f>IF(E684="",IF(ISNUMBER(SEARCH("NOT NULL",UPPER(E$3))),"''","null"),SUBSTITUTE(VLOOKUP(E$2,convert!$A$1:$B$4,2,0),"@@@",E684))</f>
        <v>55</v>
      </c>
      <c r="U684" s="4" t="str">
        <f>IF(F684="",IF(ISNUMBER(SEARCH("NOT NULL",UPPER(F$3))),"''","null"),SUBSTITUTE(VLOOKUP(F$2,convert!$A$1:$B$4,2,0),"@@@",F684))</f>
        <v>30</v>
      </c>
      <c r="V684" s="4" t="str">
        <f>IF(G684="",IF(ISNUMBER(SEARCH("NOT NULL",UPPER(G$3))),"''","null"),SUBSTITUTE(VLOOKUP(G$2,convert!$A$1:$B$4,2,0),"@@@",G684))</f>
        <v>55</v>
      </c>
      <c r="W684" s="4" t="str">
        <f>IF(H684="",IF(ISNUMBER(SEARCH("NOT NULL",UPPER(H$3))),"''","null"),SUBSTITUTE(VLOOKUP(H$2,convert!$A$1:$B$4,2,0),"@@@",H684))</f>
        <v>135</v>
      </c>
      <c r="X684" s="4" t="str">
        <f>IF(I684="",IF(ISNUMBER(SEARCH("NOT NULL",UPPER(I$3))),"''","null"),SUBSTITUTE(VLOOKUP(I$2,convert!$A$1:$B$4,2,0),"@@@",I684))</f>
        <v>'ダルマモード(ガラルのすがた)'</v>
      </c>
      <c r="Y684" s="4" t="str">
        <f>IF(J684="",IF(ISNUMBER(SEARCH("NOT NULL",UPPER(J$3))),"''","null"),SUBSTITUTE(VLOOKUP(J$2,convert!$A$1:$B$4,2,0),"@@@",J684))</f>
        <v>'fire'</v>
      </c>
      <c r="Z684" s="4" t="str">
        <f>IF(K684="",IF(ISNUMBER(SEARCH("NOT NULL",UPPER(K$3))),"''","null"),SUBSTITUTE(VLOOKUP(K$2,convert!$A$1:$B$4,2,0),"@@@",K684))</f>
        <v>'psychic'</v>
      </c>
      <c r="AA684" s="4" t="str">
        <f>IF(L684="",IF(ISNUMBER(SEARCH("NOT NULL",UPPER(L$3))),"''","null"),SUBSTITUTE(VLOOKUP(L$2,convert!$A$1:$B$4,2,0),"@@@",L684))</f>
        <v>'g8'</v>
      </c>
      <c r="AB684" s="4" t="str">
        <f>IF(M684="",IF(ISNUMBER(SEARCH("NOT NULL",UPPER(M$3))),"''","null"),SUBSTITUTE(VLOOKUP(M$2,convert!$A$1:$B$4,2,0),"@@@",M684))</f>
        <v>null</v>
      </c>
      <c r="AC684" s="4" t="str">
        <f>IF(N684="",IF(ISNUMBER(SEARCH("NOT NULL",UPPER(N$3))),"''","null"),SUBSTITUTE(VLOOKUP(N$2,convert!$A$1:$B$4,2,0),"@@@",N684))</f>
        <v>null</v>
      </c>
      <c r="AD684" s="4" t="str">
        <f>IF(O684="",IF(ISNUMBER(SEARCH("NOT NULL",UPPER(O$3))),"''","null"),SUBSTITUTE(VLOOKUP(O$2,convert!$A$1:$B$4,2,0),"@@@",O684))</f>
        <v>FALSE</v>
      </c>
      <c r="AE684" s="4" t="str">
        <f t="shared" si="10"/>
        <v>    ('0555G02', 'ヒヒダルマ', 105, 160, 55, 30, 55, 135, 'ダルマモード(ガラルのすがた)', 'fire', 'psychic', 'g8', null, null, FALSE),</v>
      </c>
    </row>
    <row r="685" spans="1:31">
      <c r="A685" s="4" t="s">
        <v>1381</v>
      </c>
      <c r="B685" s="4" t="s">
        <v>1382</v>
      </c>
      <c r="C685" s="5">
        <v>75</v>
      </c>
      <c r="D685" s="5">
        <v>86</v>
      </c>
      <c r="E685" s="5">
        <v>67</v>
      </c>
      <c r="F685" s="5">
        <v>106</v>
      </c>
      <c r="G685" s="5">
        <v>67</v>
      </c>
      <c r="H685" s="5">
        <v>60</v>
      </c>
      <c r="I685" s="5"/>
      <c r="J685" s="4" t="s">
        <v>30</v>
      </c>
      <c r="K685" s="5"/>
      <c r="L685" s="4" t="s">
        <v>1243</v>
      </c>
      <c r="M685" s="5"/>
      <c r="N685" s="5"/>
      <c r="O685" s="5" t="b">
        <v>1</v>
      </c>
      <c r="P685" s="4" t="str">
        <f>IF(A685="",IF(ISNUMBER(SEARCH("NOT NULL",UPPER(A$3))),"''","null"),SUBSTITUTE(VLOOKUP(A$2,convert!$A$1:$B$4,2,0),"@@@",A685))</f>
        <v>'0556N01'</v>
      </c>
      <c r="Q685" s="4" t="str">
        <f>IF(B685="",IF(ISNUMBER(SEARCH("NOT NULL",UPPER(B$3))),"''","null"),SUBSTITUTE(VLOOKUP(B$2,convert!$A$1:$B$4,2,0),"@@@",B685))</f>
        <v>'マラカッチ'</v>
      </c>
      <c r="R685" s="4" t="str">
        <f>IF(C685="",IF(ISNUMBER(SEARCH("NOT NULL",UPPER(C$3))),"''","null"),SUBSTITUTE(VLOOKUP(C$2,convert!$A$1:$B$4,2,0),"@@@",C685))</f>
        <v>75</v>
      </c>
      <c r="S685" s="4" t="str">
        <f>IF(D685="",IF(ISNUMBER(SEARCH("NOT NULL",UPPER(D$3))),"''","null"),SUBSTITUTE(VLOOKUP(D$2,convert!$A$1:$B$4,2,0),"@@@",D685))</f>
        <v>86</v>
      </c>
      <c r="T685" s="4" t="str">
        <f>IF(E685="",IF(ISNUMBER(SEARCH("NOT NULL",UPPER(E$3))),"''","null"),SUBSTITUTE(VLOOKUP(E$2,convert!$A$1:$B$4,2,0),"@@@",E685))</f>
        <v>67</v>
      </c>
      <c r="U685" s="4" t="str">
        <f>IF(F685="",IF(ISNUMBER(SEARCH("NOT NULL",UPPER(F$3))),"''","null"),SUBSTITUTE(VLOOKUP(F$2,convert!$A$1:$B$4,2,0),"@@@",F685))</f>
        <v>106</v>
      </c>
      <c r="V685" s="4" t="str">
        <f>IF(G685="",IF(ISNUMBER(SEARCH("NOT NULL",UPPER(G$3))),"''","null"),SUBSTITUTE(VLOOKUP(G$2,convert!$A$1:$B$4,2,0),"@@@",G685))</f>
        <v>67</v>
      </c>
      <c r="W685" s="4" t="str">
        <f>IF(H685="",IF(ISNUMBER(SEARCH("NOT NULL",UPPER(H$3))),"''","null"),SUBSTITUTE(VLOOKUP(H$2,convert!$A$1:$B$4,2,0),"@@@",H685))</f>
        <v>60</v>
      </c>
      <c r="X685" s="4" t="str">
        <f>IF(I685="",IF(ISNUMBER(SEARCH("NOT NULL",UPPER(I$3))),"''","null"),SUBSTITUTE(VLOOKUP(I$2,convert!$A$1:$B$4,2,0),"@@@",I685))</f>
        <v>''</v>
      </c>
      <c r="Y685" s="4" t="str">
        <f>IF(J685="",IF(ISNUMBER(SEARCH("NOT NULL",UPPER(J$3))),"''","null"),SUBSTITUTE(VLOOKUP(J$2,convert!$A$1:$B$4,2,0),"@@@",J685))</f>
        <v>'grass'</v>
      </c>
      <c r="Z685" s="4" t="str">
        <f>IF(K685="",IF(ISNUMBER(SEARCH("NOT NULL",UPPER(K$3))),"''","null"),SUBSTITUTE(VLOOKUP(K$2,convert!$A$1:$B$4,2,0),"@@@",K685))</f>
        <v>null</v>
      </c>
      <c r="AA685" s="4" t="str">
        <f>IF(L685="",IF(ISNUMBER(SEARCH("NOT NULL",UPPER(L$3))),"''","null"),SUBSTITUTE(VLOOKUP(L$2,convert!$A$1:$B$4,2,0),"@@@",L685))</f>
        <v>'g5'</v>
      </c>
      <c r="AB685" s="4" t="str">
        <f>IF(M685="",IF(ISNUMBER(SEARCH("NOT NULL",UPPER(M$3))),"''","null"),SUBSTITUTE(VLOOKUP(M$2,convert!$A$1:$B$4,2,0),"@@@",M685))</f>
        <v>null</v>
      </c>
      <c r="AC685" s="4" t="str">
        <f>IF(N685="",IF(ISNUMBER(SEARCH("NOT NULL",UPPER(N$3))),"''","null"),SUBSTITUTE(VLOOKUP(N$2,convert!$A$1:$B$4,2,0),"@@@",N685))</f>
        <v>null</v>
      </c>
      <c r="AD685" s="4" t="str">
        <f>IF(O685="",IF(ISNUMBER(SEARCH("NOT NULL",UPPER(O$3))),"''","null"),SUBSTITUTE(VLOOKUP(O$2,convert!$A$1:$B$4,2,0),"@@@",O685))</f>
        <v>TRUE</v>
      </c>
      <c r="AE685" s="4" t="str">
        <f t="shared" si="10"/>
        <v>    ('0556N01', 'マラカッチ', 75, 86, 67, 106, 67, 60, '', 'grass', null, 'g5', null, null, TRUE),</v>
      </c>
    </row>
    <row r="686" spans="1:31">
      <c r="A686" s="4" t="s">
        <v>1383</v>
      </c>
      <c r="B686" s="4" t="s">
        <v>1384</v>
      </c>
      <c r="C686" s="5">
        <v>50</v>
      </c>
      <c r="D686" s="5">
        <v>65</v>
      </c>
      <c r="E686" s="5">
        <v>85</v>
      </c>
      <c r="F686" s="5">
        <v>35</v>
      </c>
      <c r="G686" s="5">
        <v>35</v>
      </c>
      <c r="H686" s="5">
        <v>55</v>
      </c>
      <c r="I686" s="5"/>
      <c r="J686" s="4" t="s">
        <v>64</v>
      </c>
      <c r="K686" s="4" t="s">
        <v>196</v>
      </c>
      <c r="L686" s="4" t="s">
        <v>1243</v>
      </c>
      <c r="M686" s="5"/>
      <c r="N686" s="5"/>
      <c r="O686" s="5" t="b">
        <v>1</v>
      </c>
      <c r="P686" s="4" t="str">
        <f>IF(A686="",IF(ISNUMBER(SEARCH("NOT NULL",UPPER(A$3))),"''","null"),SUBSTITUTE(VLOOKUP(A$2,convert!$A$1:$B$4,2,0),"@@@",A686))</f>
        <v>'0557N01'</v>
      </c>
      <c r="Q686" s="4" t="str">
        <f>IF(B686="",IF(ISNUMBER(SEARCH("NOT NULL",UPPER(B$3))),"''","null"),SUBSTITUTE(VLOOKUP(B$2,convert!$A$1:$B$4,2,0),"@@@",B686))</f>
        <v>'イシズマイ'</v>
      </c>
      <c r="R686" s="4" t="str">
        <f>IF(C686="",IF(ISNUMBER(SEARCH("NOT NULL",UPPER(C$3))),"''","null"),SUBSTITUTE(VLOOKUP(C$2,convert!$A$1:$B$4,2,0),"@@@",C686))</f>
        <v>50</v>
      </c>
      <c r="S686" s="4" t="str">
        <f>IF(D686="",IF(ISNUMBER(SEARCH("NOT NULL",UPPER(D$3))),"''","null"),SUBSTITUTE(VLOOKUP(D$2,convert!$A$1:$B$4,2,0),"@@@",D686))</f>
        <v>65</v>
      </c>
      <c r="T686" s="4" t="str">
        <f>IF(E686="",IF(ISNUMBER(SEARCH("NOT NULL",UPPER(E$3))),"''","null"),SUBSTITUTE(VLOOKUP(E$2,convert!$A$1:$B$4,2,0),"@@@",E686))</f>
        <v>85</v>
      </c>
      <c r="U686" s="4" t="str">
        <f>IF(F686="",IF(ISNUMBER(SEARCH("NOT NULL",UPPER(F$3))),"''","null"),SUBSTITUTE(VLOOKUP(F$2,convert!$A$1:$B$4,2,0),"@@@",F686))</f>
        <v>35</v>
      </c>
      <c r="V686" s="4" t="str">
        <f>IF(G686="",IF(ISNUMBER(SEARCH("NOT NULL",UPPER(G$3))),"''","null"),SUBSTITUTE(VLOOKUP(G$2,convert!$A$1:$B$4,2,0),"@@@",G686))</f>
        <v>35</v>
      </c>
      <c r="W686" s="4" t="str">
        <f>IF(H686="",IF(ISNUMBER(SEARCH("NOT NULL",UPPER(H$3))),"''","null"),SUBSTITUTE(VLOOKUP(H$2,convert!$A$1:$B$4,2,0),"@@@",H686))</f>
        <v>55</v>
      </c>
      <c r="X686" s="4" t="str">
        <f>IF(I686="",IF(ISNUMBER(SEARCH("NOT NULL",UPPER(I$3))),"''","null"),SUBSTITUTE(VLOOKUP(I$2,convert!$A$1:$B$4,2,0),"@@@",I686))</f>
        <v>''</v>
      </c>
      <c r="Y686" s="4" t="str">
        <f>IF(J686="",IF(ISNUMBER(SEARCH("NOT NULL",UPPER(J$3))),"''","null"),SUBSTITUTE(VLOOKUP(J$2,convert!$A$1:$B$4,2,0),"@@@",J686))</f>
        <v>'bug'</v>
      </c>
      <c r="Z686" s="4" t="str">
        <f>IF(K686="",IF(ISNUMBER(SEARCH("NOT NULL",UPPER(K$3))),"''","null"),SUBSTITUTE(VLOOKUP(K$2,convert!$A$1:$B$4,2,0),"@@@",K686))</f>
        <v>'rock'</v>
      </c>
      <c r="AA686" s="4" t="str">
        <f>IF(L686="",IF(ISNUMBER(SEARCH("NOT NULL",UPPER(L$3))),"''","null"),SUBSTITUTE(VLOOKUP(L$2,convert!$A$1:$B$4,2,0),"@@@",L686))</f>
        <v>'g5'</v>
      </c>
      <c r="AB686" s="4" t="str">
        <f>IF(M686="",IF(ISNUMBER(SEARCH("NOT NULL",UPPER(M$3))),"''","null"),SUBSTITUTE(VLOOKUP(M$2,convert!$A$1:$B$4,2,0),"@@@",M686))</f>
        <v>null</v>
      </c>
      <c r="AC686" s="4" t="str">
        <f>IF(N686="",IF(ISNUMBER(SEARCH("NOT NULL",UPPER(N$3))),"''","null"),SUBSTITUTE(VLOOKUP(N$2,convert!$A$1:$B$4,2,0),"@@@",N686))</f>
        <v>null</v>
      </c>
      <c r="AD686" s="4" t="str">
        <f>IF(O686="",IF(ISNUMBER(SEARCH("NOT NULL",UPPER(O$3))),"''","null"),SUBSTITUTE(VLOOKUP(O$2,convert!$A$1:$B$4,2,0),"@@@",O686))</f>
        <v>TRUE</v>
      </c>
      <c r="AE686" s="4" t="str">
        <f t="shared" si="10"/>
        <v>    ('0557N01', 'イシズマイ', 50, 65, 85, 35, 35, 55, '', 'bug', 'rock', 'g5', null, null, TRUE),</v>
      </c>
    </row>
    <row r="687" spans="1:31">
      <c r="A687" s="4" t="s">
        <v>1385</v>
      </c>
      <c r="B687" s="4" t="s">
        <v>1386</v>
      </c>
      <c r="C687" s="5">
        <v>70</v>
      </c>
      <c r="D687" s="5">
        <v>105</v>
      </c>
      <c r="E687" s="5">
        <v>125</v>
      </c>
      <c r="F687" s="5">
        <v>65</v>
      </c>
      <c r="G687" s="5">
        <v>75</v>
      </c>
      <c r="H687" s="5">
        <v>45</v>
      </c>
      <c r="I687" s="5"/>
      <c r="J687" s="4" t="s">
        <v>64</v>
      </c>
      <c r="K687" s="4" t="s">
        <v>196</v>
      </c>
      <c r="L687" s="4" t="s">
        <v>1243</v>
      </c>
      <c r="M687" s="5"/>
      <c r="N687" s="5"/>
      <c r="O687" s="5" t="b">
        <v>1</v>
      </c>
      <c r="P687" s="4" t="str">
        <f>IF(A687="",IF(ISNUMBER(SEARCH("NOT NULL",UPPER(A$3))),"''","null"),SUBSTITUTE(VLOOKUP(A$2,convert!$A$1:$B$4,2,0),"@@@",A687))</f>
        <v>'0558N01'</v>
      </c>
      <c r="Q687" s="4" t="str">
        <f>IF(B687="",IF(ISNUMBER(SEARCH("NOT NULL",UPPER(B$3))),"''","null"),SUBSTITUTE(VLOOKUP(B$2,convert!$A$1:$B$4,2,0),"@@@",B687))</f>
        <v>'イワパレス'</v>
      </c>
      <c r="R687" s="4" t="str">
        <f>IF(C687="",IF(ISNUMBER(SEARCH("NOT NULL",UPPER(C$3))),"''","null"),SUBSTITUTE(VLOOKUP(C$2,convert!$A$1:$B$4,2,0),"@@@",C687))</f>
        <v>70</v>
      </c>
      <c r="S687" s="4" t="str">
        <f>IF(D687="",IF(ISNUMBER(SEARCH("NOT NULL",UPPER(D$3))),"''","null"),SUBSTITUTE(VLOOKUP(D$2,convert!$A$1:$B$4,2,0),"@@@",D687))</f>
        <v>105</v>
      </c>
      <c r="T687" s="4" t="str">
        <f>IF(E687="",IF(ISNUMBER(SEARCH("NOT NULL",UPPER(E$3))),"''","null"),SUBSTITUTE(VLOOKUP(E$2,convert!$A$1:$B$4,2,0),"@@@",E687))</f>
        <v>125</v>
      </c>
      <c r="U687" s="4" t="str">
        <f>IF(F687="",IF(ISNUMBER(SEARCH("NOT NULL",UPPER(F$3))),"''","null"),SUBSTITUTE(VLOOKUP(F$2,convert!$A$1:$B$4,2,0),"@@@",F687))</f>
        <v>65</v>
      </c>
      <c r="V687" s="4" t="str">
        <f>IF(G687="",IF(ISNUMBER(SEARCH("NOT NULL",UPPER(G$3))),"''","null"),SUBSTITUTE(VLOOKUP(G$2,convert!$A$1:$B$4,2,0),"@@@",G687))</f>
        <v>75</v>
      </c>
      <c r="W687" s="4" t="str">
        <f>IF(H687="",IF(ISNUMBER(SEARCH("NOT NULL",UPPER(H$3))),"''","null"),SUBSTITUTE(VLOOKUP(H$2,convert!$A$1:$B$4,2,0),"@@@",H687))</f>
        <v>45</v>
      </c>
      <c r="X687" s="4" t="str">
        <f>IF(I687="",IF(ISNUMBER(SEARCH("NOT NULL",UPPER(I$3))),"''","null"),SUBSTITUTE(VLOOKUP(I$2,convert!$A$1:$B$4,2,0),"@@@",I687))</f>
        <v>''</v>
      </c>
      <c r="Y687" s="4" t="str">
        <f>IF(J687="",IF(ISNUMBER(SEARCH("NOT NULL",UPPER(J$3))),"''","null"),SUBSTITUTE(VLOOKUP(J$2,convert!$A$1:$B$4,2,0),"@@@",J687))</f>
        <v>'bug'</v>
      </c>
      <c r="Z687" s="4" t="str">
        <f>IF(K687="",IF(ISNUMBER(SEARCH("NOT NULL",UPPER(K$3))),"''","null"),SUBSTITUTE(VLOOKUP(K$2,convert!$A$1:$B$4,2,0),"@@@",K687))</f>
        <v>'rock'</v>
      </c>
      <c r="AA687" s="4" t="str">
        <f>IF(L687="",IF(ISNUMBER(SEARCH("NOT NULL",UPPER(L$3))),"''","null"),SUBSTITUTE(VLOOKUP(L$2,convert!$A$1:$B$4,2,0),"@@@",L687))</f>
        <v>'g5'</v>
      </c>
      <c r="AB687" s="4" t="str">
        <f>IF(M687="",IF(ISNUMBER(SEARCH("NOT NULL",UPPER(M$3))),"''","null"),SUBSTITUTE(VLOOKUP(M$2,convert!$A$1:$B$4,2,0),"@@@",M687))</f>
        <v>null</v>
      </c>
      <c r="AC687" s="4" t="str">
        <f>IF(N687="",IF(ISNUMBER(SEARCH("NOT NULL",UPPER(N$3))),"''","null"),SUBSTITUTE(VLOOKUP(N$2,convert!$A$1:$B$4,2,0),"@@@",N687))</f>
        <v>null</v>
      </c>
      <c r="AD687" s="4" t="str">
        <f>IF(O687="",IF(ISNUMBER(SEARCH("NOT NULL",UPPER(O$3))),"''","null"),SUBSTITUTE(VLOOKUP(O$2,convert!$A$1:$B$4,2,0),"@@@",O687))</f>
        <v>TRUE</v>
      </c>
      <c r="AE687" s="4" t="str">
        <f t="shared" si="10"/>
        <v>    ('0558N01', 'イワパレス', 70, 105, 125, 65, 75, 45, '', 'bug', 'rock', 'g5', null, null, TRUE),</v>
      </c>
    </row>
    <row r="688" spans="1:31">
      <c r="A688" s="4" t="s">
        <v>1387</v>
      </c>
      <c r="B688" s="4" t="s">
        <v>1388</v>
      </c>
      <c r="C688" s="5">
        <v>50</v>
      </c>
      <c r="D688" s="5">
        <v>75</v>
      </c>
      <c r="E688" s="5">
        <v>70</v>
      </c>
      <c r="F688" s="5">
        <v>35</v>
      </c>
      <c r="G688" s="5">
        <v>70</v>
      </c>
      <c r="H688" s="5">
        <v>48</v>
      </c>
      <c r="I688" s="5"/>
      <c r="J688" s="4" t="s">
        <v>91</v>
      </c>
      <c r="K688" s="4" t="s">
        <v>189</v>
      </c>
      <c r="L688" s="4" t="s">
        <v>1243</v>
      </c>
      <c r="M688" s="5"/>
      <c r="N688" s="5"/>
      <c r="O688" s="5" t="b">
        <v>1</v>
      </c>
      <c r="P688" s="4" t="str">
        <f>IF(A688="",IF(ISNUMBER(SEARCH("NOT NULL",UPPER(A$3))),"''","null"),SUBSTITUTE(VLOOKUP(A$2,convert!$A$1:$B$4,2,0),"@@@",A688))</f>
        <v>'0559N01'</v>
      </c>
      <c r="Q688" s="4" t="str">
        <f>IF(B688="",IF(ISNUMBER(SEARCH("NOT NULL",UPPER(B$3))),"''","null"),SUBSTITUTE(VLOOKUP(B$2,convert!$A$1:$B$4,2,0),"@@@",B688))</f>
        <v>'ズルッグ'</v>
      </c>
      <c r="R688" s="4" t="str">
        <f>IF(C688="",IF(ISNUMBER(SEARCH("NOT NULL",UPPER(C$3))),"''","null"),SUBSTITUTE(VLOOKUP(C$2,convert!$A$1:$B$4,2,0),"@@@",C688))</f>
        <v>50</v>
      </c>
      <c r="S688" s="4" t="str">
        <f>IF(D688="",IF(ISNUMBER(SEARCH("NOT NULL",UPPER(D$3))),"''","null"),SUBSTITUTE(VLOOKUP(D$2,convert!$A$1:$B$4,2,0),"@@@",D688))</f>
        <v>75</v>
      </c>
      <c r="T688" s="4" t="str">
        <f>IF(E688="",IF(ISNUMBER(SEARCH("NOT NULL",UPPER(E$3))),"''","null"),SUBSTITUTE(VLOOKUP(E$2,convert!$A$1:$B$4,2,0),"@@@",E688))</f>
        <v>70</v>
      </c>
      <c r="U688" s="4" t="str">
        <f>IF(F688="",IF(ISNUMBER(SEARCH("NOT NULL",UPPER(F$3))),"''","null"),SUBSTITUTE(VLOOKUP(F$2,convert!$A$1:$B$4,2,0),"@@@",F688))</f>
        <v>35</v>
      </c>
      <c r="V688" s="4" t="str">
        <f>IF(G688="",IF(ISNUMBER(SEARCH("NOT NULL",UPPER(G$3))),"''","null"),SUBSTITUTE(VLOOKUP(G$2,convert!$A$1:$B$4,2,0),"@@@",G688))</f>
        <v>70</v>
      </c>
      <c r="W688" s="4" t="str">
        <f>IF(H688="",IF(ISNUMBER(SEARCH("NOT NULL",UPPER(H$3))),"''","null"),SUBSTITUTE(VLOOKUP(H$2,convert!$A$1:$B$4,2,0),"@@@",H688))</f>
        <v>48</v>
      </c>
      <c r="X688" s="4" t="str">
        <f>IF(I688="",IF(ISNUMBER(SEARCH("NOT NULL",UPPER(I$3))),"''","null"),SUBSTITUTE(VLOOKUP(I$2,convert!$A$1:$B$4,2,0),"@@@",I688))</f>
        <v>''</v>
      </c>
      <c r="Y688" s="4" t="str">
        <f>IF(J688="",IF(ISNUMBER(SEARCH("NOT NULL",UPPER(J$3))),"''","null"),SUBSTITUTE(VLOOKUP(J$2,convert!$A$1:$B$4,2,0),"@@@",J688))</f>
        <v>'dark'</v>
      </c>
      <c r="Z688" s="4" t="str">
        <f>IF(K688="",IF(ISNUMBER(SEARCH("NOT NULL",UPPER(K$3))),"''","null"),SUBSTITUTE(VLOOKUP(K$2,convert!$A$1:$B$4,2,0),"@@@",K688))</f>
        <v>'fighting'</v>
      </c>
      <c r="AA688" s="4" t="str">
        <f>IF(L688="",IF(ISNUMBER(SEARCH("NOT NULL",UPPER(L$3))),"''","null"),SUBSTITUTE(VLOOKUP(L$2,convert!$A$1:$B$4,2,0),"@@@",L688))</f>
        <v>'g5'</v>
      </c>
      <c r="AB688" s="4" t="str">
        <f>IF(M688="",IF(ISNUMBER(SEARCH("NOT NULL",UPPER(M$3))),"''","null"),SUBSTITUTE(VLOOKUP(M$2,convert!$A$1:$B$4,2,0),"@@@",M688))</f>
        <v>null</v>
      </c>
      <c r="AC688" s="4" t="str">
        <f>IF(N688="",IF(ISNUMBER(SEARCH("NOT NULL",UPPER(N$3))),"''","null"),SUBSTITUTE(VLOOKUP(N$2,convert!$A$1:$B$4,2,0),"@@@",N688))</f>
        <v>null</v>
      </c>
      <c r="AD688" s="4" t="str">
        <f>IF(O688="",IF(ISNUMBER(SEARCH("NOT NULL",UPPER(O$3))),"''","null"),SUBSTITUTE(VLOOKUP(O$2,convert!$A$1:$B$4,2,0),"@@@",O688))</f>
        <v>TRUE</v>
      </c>
      <c r="AE688" s="4" t="str">
        <f t="shared" si="10"/>
        <v>    ('0559N01', 'ズルッグ', 50, 75, 70, 35, 70, 48, '', 'dark', 'fighting', 'g5', null, null, TRUE),</v>
      </c>
    </row>
    <row r="689" spans="1:31">
      <c r="A689" s="4" t="s">
        <v>1389</v>
      </c>
      <c r="B689" s="4" t="s">
        <v>1390</v>
      </c>
      <c r="C689" s="5">
        <v>65</v>
      </c>
      <c r="D689" s="5">
        <v>90</v>
      </c>
      <c r="E689" s="5">
        <v>115</v>
      </c>
      <c r="F689" s="5">
        <v>45</v>
      </c>
      <c r="G689" s="5">
        <v>115</v>
      </c>
      <c r="H689" s="5">
        <v>58</v>
      </c>
      <c r="I689" s="5"/>
      <c r="J689" s="4" t="s">
        <v>91</v>
      </c>
      <c r="K689" s="4" t="s">
        <v>189</v>
      </c>
      <c r="L689" s="4" t="s">
        <v>1243</v>
      </c>
      <c r="M689" s="5"/>
      <c r="N689" s="5"/>
      <c r="O689" s="5" t="b">
        <v>1</v>
      </c>
      <c r="P689" s="4" t="str">
        <f>IF(A689="",IF(ISNUMBER(SEARCH("NOT NULL",UPPER(A$3))),"''","null"),SUBSTITUTE(VLOOKUP(A$2,convert!$A$1:$B$4,2,0),"@@@",A689))</f>
        <v>'0560N01'</v>
      </c>
      <c r="Q689" s="4" t="str">
        <f>IF(B689="",IF(ISNUMBER(SEARCH("NOT NULL",UPPER(B$3))),"''","null"),SUBSTITUTE(VLOOKUP(B$2,convert!$A$1:$B$4,2,0),"@@@",B689))</f>
        <v>'ズルズキン'</v>
      </c>
      <c r="R689" s="4" t="str">
        <f>IF(C689="",IF(ISNUMBER(SEARCH("NOT NULL",UPPER(C$3))),"''","null"),SUBSTITUTE(VLOOKUP(C$2,convert!$A$1:$B$4,2,0),"@@@",C689))</f>
        <v>65</v>
      </c>
      <c r="S689" s="4" t="str">
        <f>IF(D689="",IF(ISNUMBER(SEARCH("NOT NULL",UPPER(D$3))),"''","null"),SUBSTITUTE(VLOOKUP(D$2,convert!$A$1:$B$4,2,0),"@@@",D689))</f>
        <v>90</v>
      </c>
      <c r="T689" s="4" t="str">
        <f>IF(E689="",IF(ISNUMBER(SEARCH("NOT NULL",UPPER(E$3))),"''","null"),SUBSTITUTE(VLOOKUP(E$2,convert!$A$1:$B$4,2,0),"@@@",E689))</f>
        <v>115</v>
      </c>
      <c r="U689" s="4" t="str">
        <f>IF(F689="",IF(ISNUMBER(SEARCH("NOT NULL",UPPER(F$3))),"''","null"),SUBSTITUTE(VLOOKUP(F$2,convert!$A$1:$B$4,2,0),"@@@",F689))</f>
        <v>45</v>
      </c>
      <c r="V689" s="4" t="str">
        <f>IF(G689="",IF(ISNUMBER(SEARCH("NOT NULL",UPPER(G$3))),"''","null"),SUBSTITUTE(VLOOKUP(G$2,convert!$A$1:$B$4,2,0),"@@@",G689))</f>
        <v>115</v>
      </c>
      <c r="W689" s="4" t="str">
        <f>IF(H689="",IF(ISNUMBER(SEARCH("NOT NULL",UPPER(H$3))),"''","null"),SUBSTITUTE(VLOOKUP(H$2,convert!$A$1:$B$4,2,0),"@@@",H689))</f>
        <v>58</v>
      </c>
      <c r="X689" s="4" t="str">
        <f>IF(I689="",IF(ISNUMBER(SEARCH("NOT NULL",UPPER(I$3))),"''","null"),SUBSTITUTE(VLOOKUP(I$2,convert!$A$1:$B$4,2,0),"@@@",I689))</f>
        <v>''</v>
      </c>
      <c r="Y689" s="4" t="str">
        <f>IF(J689="",IF(ISNUMBER(SEARCH("NOT NULL",UPPER(J$3))),"''","null"),SUBSTITUTE(VLOOKUP(J$2,convert!$A$1:$B$4,2,0),"@@@",J689))</f>
        <v>'dark'</v>
      </c>
      <c r="Z689" s="4" t="str">
        <f>IF(K689="",IF(ISNUMBER(SEARCH("NOT NULL",UPPER(K$3))),"''","null"),SUBSTITUTE(VLOOKUP(K$2,convert!$A$1:$B$4,2,0),"@@@",K689))</f>
        <v>'fighting'</v>
      </c>
      <c r="AA689" s="4" t="str">
        <f>IF(L689="",IF(ISNUMBER(SEARCH("NOT NULL",UPPER(L$3))),"''","null"),SUBSTITUTE(VLOOKUP(L$2,convert!$A$1:$B$4,2,0),"@@@",L689))</f>
        <v>'g5'</v>
      </c>
      <c r="AB689" s="4" t="str">
        <f>IF(M689="",IF(ISNUMBER(SEARCH("NOT NULL",UPPER(M$3))),"''","null"),SUBSTITUTE(VLOOKUP(M$2,convert!$A$1:$B$4,2,0),"@@@",M689))</f>
        <v>null</v>
      </c>
      <c r="AC689" s="4" t="str">
        <f>IF(N689="",IF(ISNUMBER(SEARCH("NOT NULL",UPPER(N$3))),"''","null"),SUBSTITUTE(VLOOKUP(N$2,convert!$A$1:$B$4,2,0),"@@@",N689))</f>
        <v>null</v>
      </c>
      <c r="AD689" s="4" t="str">
        <f>IF(O689="",IF(ISNUMBER(SEARCH("NOT NULL",UPPER(O$3))),"''","null"),SUBSTITUTE(VLOOKUP(O$2,convert!$A$1:$B$4,2,0),"@@@",O689))</f>
        <v>TRUE</v>
      </c>
      <c r="AE689" s="4" t="str">
        <f t="shared" si="10"/>
        <v>    ('0560N01', 'ズルズキン', 65, 90, 115, 45, 115, 58, '', 'dark', 'fighting', 'g5', null, null, TRUE),</v>
      </c>
    </row>
    <row r="690" spans="1:31">
      <c r="A690" s="4" t="s">
        <v>1391</v>
      </c>
      <c r="B690" s="4" t="s">
        <v>1392</v>
      </c>
      <c r="C690" s="5">
        <v>72</v>
      </c>
      <c r="D690" s="5">
        <v>58</v>
      </c>
      <c r="E690" s="5">
        <v>80</v>
      </c>
      <c r="F690" s="5">
        <v>103</v>
      </c>
      <c r="G690" s="5">
        <v>80</v>
      </c>
      <c r="H690" s="5">
        <v>97</v>
      </c>
      <c r="I690" s="5"/>
      <c r="J690" s="4" t="s">
        <v>113</v>
      </c>
      <c r="K690" s="4" t="s">
        <v>47</v>
      </c>
      <c r="L690" s="4" t="s">
        <v>1243</v>
      </c>
      <c r="M690" s="5"/>
      <c r="N690" s="5"/>
      <c r="O690" s="5" t="b">
        <v>1</v>
      </c>
      <c r="P690" s="4" t="str">
        <f>IF(A690="",IF(ISNUMBER(SEARCH("NOT NULL",UPPER(A$3))),"''","null"),SUBSTITUTE(VLOOKUP(A$2,convert!$A$1:$B$4,2,0),"@@@",A690))</f>
        <v>'0561N01'</v>
      </c>
      <c r="Q690" s="4" t="str">
        <f>IF(B690="",IF(ISNUMBER(SEARCH("NOT NULL",UPPER(B$3))),"''","null"),SUBSTITUTE(VLOOKUP(B$2,convert!$A$1:$B$4,2,0),"@@@",B690))</f>
        <v>'シンボラー'</v>
      </c>
      <c r="R690" s="4" t="str">
        <f>IF(C690="",IF(ISNUMBER(SEARCH("NOT NULL",UPPER(C$3))),"''","null"),SUBSTITUTE(VLOOKUP(C$2,convert!$A$1:$B$4,2,0),"@@@",C690))</f>
        <v>72</v>
      </c>
      <c r="S690" s="4" t="str">
        <f>IF(D690="",IF(ISNUMBER(SEARCH("NOT NULL",UPPER(D$3))),"''","null"),SUBSTITUTE(VLOOKUP(D$2,convert!$A$1:$B$4,2,0),"@@@",D690))</f>
        <v>58</v>
      </c>
      <c r="T690" s="4" t="str">
        <f>IF(E690="",IF(ISNUMBER(SEARCH("NOT NULL",UPPER(E$3))),"''","null"),SUBSTITUTE(VLOOKUP(E$2,convert!$A$1:$B$4,2,0),"@@@",E690))</f>
        <v>80</v>
      </c>
      <c r="U690" s="4" t="str">
        <f>IF(F690="",IF(ISNUMBER(SEARCH("NOT NULL",UPPER(F$3))),"''","null"),SUBSTITUTE(VLOOKUP(F$2,convert!$A$1:$B$4,2,0),"@@@",F690))</f>
        <v>103</v>
      </c>
      <c r="V690" s="4" t="str">
        <f>IF(G690="",IF(ISNUMBER(SEARCH("NOT NULL",UPPER(G$3))),"''","null"),SUBSTITUTE(VLOOKUP(G$2,convert!$A$1:$B$4,2,0),"@@@",G690))</f>
        <v>80</v>
      </c>
      <c r="W690" s="4" t="str">
        <f>IF(H690="",IF(ISNUMBER(SEARCH("NOT NULL",UPPER(H$3))),"''","null"),SUBSTITUTE(VLOOKUP(H$2,convert!$A$1:$B$4,2,0),"@@@",H690))</f>
        <v>97</v>
      </c>
      <c r="X690" s="4" t="str">
        <f>IF(I690="",IF(ISNUMBER(SEARCH("NOT NULL",UPPER(I$3))),"''","null"),SUBSTITUTE(VLOOKUP(I$2,convert!$A$1:$B$4,2,0),"@@@",I690))</f>
        <v>''</v>
      </c>
      <c r="Y690" s="4" t="str">
        <f>IF(J690="",IF(ISNUMBER(SEARCH("NOT NULL",UPPER(J$3))),"''","null"),SUBSTITUTE(VLOOKUP(J$2,convert!$A$1:$B$4,2,0),"@@@",J690))</f>
        <v>'psychic'</v>
      </c>
      <c r="Z690" s="4" t="str">
        <f>IF(K690="",IF(ISNUMBER(SEARCH("NOT NULL",UPPER(K$3))),"''","null"),SUBSTITUTE(VLOOKUP(K$2,convert!$A$1:$B$4,2,0),"@@@",K690))</f>
        <v>'flying'</v>
      </c>
      <c r="AA690" s="4" t="str">
        <f>IF(L690="",IF(ISNUMBER(SEARCH("NOT NULL",UPPER(L$3))),"''","null"),SUBSTITUTE(VLOOKUP(L$2,convert!$A$1:$B$4,2,0),"@@@",L690))</f>
        <v>'g5'</v>
      </c>
      <c r="AB690" s="4" t="str">
        <f>IF(M690="",IF(ISNUMBER(SEARCH("NOT NULL",UPPER(M$3))),"''","null"),SUBSTITUTE(VLOOKUP(M$2,convert!$A$1:$B$4,2,0),"@@@",M690))</f>
        <v>null</v>
      </c>
      <c r="AC690" s="4" t="str">
        <f>IF(N690="",IF(ISNUMBER(SEARCH("NOT NULL",UPPER(N$3))),"''","null"),SUBSTITUTE(VLOOKUP(N$2,convert!$A$1:$B$4,2,0),"@@@",N690))</f>
        <v>null</v>
      </c>
      <c r="AD690" s="4" t="str">
        <f>IF(O690="",IF(ISNUMBER(SEARCH("NOT NULL",UPPER(O$3))),"''","null"),SUBSTITUTE(VLOOKUP(O$2,convert!$A$1:$B$4,2,0),"@@@",O690))</f>
        <v>TRUE</v>
      </c>
      <c r="AE690" s="4" t="str">
        <f t="shared" si="10"/>
        <v>    ('0561N01', 'シンボラー', 72, 58, 80, 103, 80, 97, '', 'psychic', 'flying', 'g5', null, null, TRUE),</v>
      </c>
    </row>
    <row r="691" spans="1:31">
      <c r="A691" s="4" t="s">
        <v>1393</v>
      </c>
      <c r="B691" s="4" t="s">
        <v>1394</v>
      </c>
      <c r="C691" s="5">
        <v>38</v>
      </c>
      <c r="D691" s="5">
        <v>30</v>
      </c>
      <c r="E691" s="5">
        <v>85</v>
      </c>
      <c r="F691" s="5">
        <v>55</v>
      </c>
      <c r="G691" s="5">
        <v>65</v>
      </c>
      <c r="H691" s="5">
        <v>30</v>
      </c>
      <c r="I691" s="5"/>
      <c r="J691" s="4" t="s">
        <v>281</v>
      </c>
      <c r="K691" s="5"/>
      <c r="L691" s="4" t="s">
        <v>1243</v>
      </c>
      <c r="M691" s="5"/>
      <c r="N691" s="5"/>
      <c r="O691" s="5" t="b">
        <v>1</v>
      </c>
      <c r="P691" s="4" t="str">
        <f>IF(A691="",IF(ISNUMBER(SEARCH("NOT NULL",UPPER(A$3))),"''","null"),SUBSTITUTE(VLOOKUP(A$2,convert!$A$1:$B$4,2,0),"@@@",A691))</f>
        <v>'0562N01'</v>
      </c>
      <c r="Q691" s="4" t="str">
        <f>IF(B691="",IF(ISNUMBER(SEARCH("NOT NULL",UPPER(B$3))),"''","null"),SUBSTITUTE(VLOOKUP(B$2,convert!$A$1:$B$4,2,0),"@@@",B691))</f>
        <v>'デスマス'</v>
      </c>
      <c r="R691" s="4" t="str">
        <f>IF(C691="",IF(ISNUMBER(SEARCH("NOT NULL",UPPER(C$3))),"''","null"),SUBSTITUTE(VLOOKUP(C$2,convert!$A$1:$B$4,2,0),"@@@",C691))</f>
        <v>38</v>
      </c>
      <c r="S691" s="4" t="str">
        <f>IF(D691="",IF(ISNUMBER(SEARCH("NOT NULL",UPPER(D$3))),"''","null"),SUBSTITUTE(VLOOKUP(D$2,convert!$A$1:$B$4,2,0),"@@@",D691))</f>
        <v>30</v>
      </c>
      <c r="T691" s="4" t="str">
        <f>IF(E691="",IF(ISNUMBER(SEARCH("NOT NULL",UPPER(E$3))),"''","null"),SUBSTITUTE(VLOOKUP(E$2,convert!$A$1:$B$4,2,0),"@@@",E691))</f>
        <v>85</v>
      </c>
      <c r="U691" s="4" t="str">
        <f>IF(F691="",IF(ISNUMBER(SEARCH("NOT NULL",UPPER(F$3))),"''","null"),SUBSTITUTE(VLOOKUP(F$2,convert!$A$1:$B$4,2,0),"@@@",F691))</f>
        <v>55</v>
      </c>
      <c r="V691" s="4" t="str">
        <f>IF(G691="",IF(ISNUMBER(SEARCH("NOT NULL",UPPER(G$3))),"''","null"),SUBSTITUTE(VLOOKUP(G$2,convert!$A$1:$B$4,2,0),"@@@",G691))</f>
        <v>65</v>
      </c>
      <c r="W691" s="4" t="str">
        <f>IF(H691="",IF(ISNUMBER(SEARCH("NOT NULL",UPPER(H$3))),"''","null"),SUBSTITUTE(VLOOKUP(H$2,convert!$A$1:$B$4,2,0),"@@@",H691))</f>
        <v>30</v>
      </c>
      <c r="X691" s="4" t="str">
        <f>IF(I691="",IF(ISNUMBER(SEARCH("NOT NULL",UPPER(I$3))),"''","null"),SUBSTITUTE(VLOOKUP(I$2,convert!$A$1:$B$4,2,0),"@@@",I691))</f>
        <v>''</v>
      </c>
      <c r="Y691" s="4" t="str">
        <f>IF(J691="",IF(ISNUMBER(SEARCH("NOT NULL",UPPER(J$3))),"''","null"),SUBSTITUTE(VLOOKUP(J$2,convert!$A$1:$B$4,2,0),"@@@",J691))</f>
        <v>'ghost'</v>
      </c>
      <c r="Z691" s="4" t="str">
        <f>IF(K691="",IF(ISNUMBER(SEARCH("NOT NULL",UPPER(K$3))),"''","null"),SUBSTITUTE(VLOOKUP(K$2,convert!$A$1:$B$4,2,0),"@@@",K691))</f>
        <v>null</v>
      </c>
      <c r="AA691" s="4" t="str">
        <f>IF(L691="",IF(ISNUMBER(SEARCH("NOT NULL",UPPER(L$3))),"''","null"),SUBSTITUTE(VLOOKUP(L$2,convert!$A$1:$B$4,2,0),"@@@",L691))</f>
        <v>'g5'</v>
      </c>
      <c r="AB691" s="4" t="str">
        <f>IF(M691="",IF(ISNUMBER(SEARCH("NOT NULL",UPPER(M$3))),"''","null"),SUBSTITUTE(VLOOKUP(M$2,convert!$A$1:$B$4,2,0),"@@@",M691))</f>
        <v>null</v>
      </c>
      <c r="AC691" s="4" t="str">
        <f>IF(N691="",IF(ISNUMBER(SEARCH("NOT NULL",UPPER(N$3))),"''","null"),SUBSTITUTE(VLOOKUP(N$2,convert!$A$1:$B$4,2,0),"@@@",N691))</f>
        <v>null</v>
      </c>
      <c r="AD691" s="4" t="str">
        <f>IF(O691="",IF(ISNUMBER(SEARCH("NOT NULL",UPPER(O$3))),"''","null"),SUBSTITUTE(VLOOKUP(O$2,convert!$A$1:$B$4,2,0),"@@@",O691))</f>
        <v>TRUE</v>
      </c>
      <c r="AE691" s="4" t="str">
        <f t="shared" si="10"/>
        <v>    ('0562N01', 'デスマス', 38, 30, 85, 55, 65, 30, '', 'ghost', null, 'g5', null, null, TRUE),</v>
      </c>
    </row>
    <row r="692" spans="1:31">
      <c r="A692" s="4" t="s">
        <v>1395</v>
      </c>
      <c r="B692" s="4" t="s">
        <v>1394</v>
      </c>
      <c r="C692" s="5">
        <v>38</v>
      </c>
      <c r="D692" s="5">
        <v>55</v>
      </c>
      <c r="E692" s="5">
        <v>85</v>
      </c>
      <c r="F692" s="5">
        <v>30</v>
      </c>
      <c r="G692" s="5">
        <v>65</v>
      </c>
      <c r="H692" s="5">
        <v>30</v>
      </c>
      <c r="I692" s="4" t="s">
        <v>178</v>
      </c>
      <c r="J692" s="4" t="s">
        <v>116</v>
      </c>
      <c r="K692" s="4" t="s">
        <v>281</v>
      </c>
      <c r="L692" s="4" t="s">
        <v>179</v>
      </c>
      <c r="M692" s="5"/>
      <c r="N692" s="5"/>
      <c r="O692" s="5" t="b">
        <v>1</v>
      </c>
      <c r="P692" s="4" t="str">
        <f>IF(A692="",IF(ISNUMBER(SEARCH("NOT NULL",UPPER(A$3))),"''","null"),SUBSTITUTE(VLOOKUP(A$2,convert!$A$1:$B$4,2,0),"@@@",A692))</f>
        <v>'0562G01'</v>
      </c>
      <c r="Q692" s="4" t="str">
        <f>IF(B692="",IF(ISNUMBER(SEARCH("NOT NULL",UPPER(B$3))),"''","null"),SUBSTITUTE(VLOOKUP(B$2,convert!$A$1:$B$4,2,0),"@@@",B692))</f>
        <v>'デスマス'</v>
      </c>
      <c r="R692" s="4" t="str">
        <f>IF(C692="",IF(ISNUMBER(SEARCH("NOT NULL",UPPER(C$3))),"''","null"),SUBSTITUTE(VLOOKUP(C$2,convert!$A$1:$B$4,2,0),"@@@",C692))</f>
        <v>38</v>
      </c>
      <c r="S692" s="4" t="str">
        <f>IF(D692="",IF(ISNUMBER(SEARCH("NOT NULL",UPPER(D$3))),"''","null"),SUBSTITUTE(VLOOKUP(D$2,convert!$A$1:$B$4,2,0),"@@@",D692))</f>
        <v>55</v>
      </c>
      <c r="T692" s="4" t="str">
        <f>IF(E692="",IF(ISNUMBER(SEARCH("NOT NULL",UPPER(E$3))),"''","null"),SUBSTITUTE(VLOOKUP(E$2,convert!$A$1:$B$4,2,0),"@@@",E692))</f>
        <v>85</v>
      </c>
      <c r="U692" s="4" t="str">
        <f>IF(F692="",IF(ISNUMBER(SEARCH("NOT NULL",UPPER(F$3))),"''","null"),SUBSTITUTE(VLOOKUP(F$2,convert!$A$1:$B$4,2,0),"@@@",F692))</f>
        <v>30</v>
      </c>
      <c r="V692" s="4" t="str">
        <f>IF(G692="",IF(ISNUMBER(SEARCH("NOT NULL",UPPER(G$3))),"''","null"),SUBSTITUTE(VLOOKUP(G$2,convert!$A$1:$B$4,2,0),"@@@",G692))</f>
        <v>65</v>
      </c>
      <c r="W692" s="4" t="str">
        <f>IF(H692="",IF(ISNUMBER(SEARCH("NOT NULL",UPPER(H$3))),"''","null"),SUBSTITUTE(VLOOKUP(H$2,convert!$A$1:$B$4,2,0),"@@@",H692))</f>
        <v>30</v>
      </c>
      <c r="X692" s="4" t="str">
        <f>IF(I692="",IF(ISNUMBER(SEARCH("NOT NULL",UPPER(I$3))),"''","null"),SUBSTITUTE(VLOOKUP(I$2,convert!$A$1:$B$4,2,0),"@@@",I692))</f>
        <v>'ガラルのすがた'</v>
      </c>
      <c r="Y692" s="4" t="str">
        <f>IF(J692="",IF(ISNUMBER(SEARCH("NOT NULL",UPPER(J$3))),"''","null"),SUBSTITUTE(VLOOKUP(J$2,convert!$A$1:$B$4,2,0),"@@@",J692))</f>
        <v>'ground'</v>
      </c>
      <c r="Z692" s="4" t="str">
        <f>IF(K692="",IF(ISNUMBER(SEARCH("NOT NULL",UPPER(K$3))),"''","null"),SUBSTITUTE(VLOOKUP(K$2,convert!$A$1:$B$4,2,0),"@@@",K692))</f>
        <v>'ghost'</v>
      </c>
      <c r="AA692" s="4" t="str">
        <f>IF(L692="",IF(ISNUMBER(SEARCH("NOT NULL",UPPER(L$3))),"''","null"),SUBSTITUTE(VLOOKUP(L$2,convert!$A$1:$B$4,2,0),"@@@",L692))</f>
        <v>'g8'</v>
      </c>
      <c r="AB692" s="4" t="str">
        <f>IF(M692="",IF(ISNUMBER(SEARCH("NOT NULL",UPPER(M$3))),"''","null"),SUBSTITUTE(VLOOKUP(M$2,convert!$A$1:$B$4,2,0),"@@@",M692))</f>
        <v>null</v>
      </c>
      <c r="AC692" s="4" t="str">
        <f>IF(N692="",IF(ISNUMBER(SEARCH("NOT NULL",UPPER(N$3))),"''","null"),SUBSTITUTE(VLOOKUP(N$2,convert!$A$1:$B$4,2,0),"@@@",N692))</f>
        <v>null</v>
      </c>
      <c r="AD692" s="4" t="str">
        <f>IF(O692="",IF(ISNUMBER(SEARCH("NOT NULL",UPPER(O$3))),"''","null"),SUBSTITUTE(VLOOKUP(O$2,convert!$A$1:$B$4,2,0),"@@@",O692))</f>
        <v>TRUE</v>
      </c>
      <c r="AE692" s="4" t="str">
        <f t="shared" si="10"/>
        <v>    ('0562G01', 'デスマス', 38, 55, 85, 30, 65, 30, 'ガラルのすがた', 'ground', 'ghost', 'g8', null, null, TRUE),</v>
      </c>
    </row>
    <row r="693" spans="1:31">
      <c r="A693" s="4" t="s">
        <v>1396</v>
      </c>
      <c r="B693" s="4" t="s">
        <v>1397</v>
      </c>
      <c r="C693" s="5">
        <v>58</v>
      </c>
      <c r="D693" s="5">
        <v>50</v>
      </c>
      <c r="E693" s="5">
        <v>145</v>
      </c>
      <c r="F693" s="5">
        <v>95</v>
      </c>
      <c r="G693" s="5">
        <v>105</v>
      </c>
      <c r="H693" s="5">
        <v>30</v>
      </c>
      <c r="I693" s="5"/>
      <c r="J693" s="4" t="s">
        <v>281</v>
      </c>
      <c r="K693" s="5"/>
      <c r="L693" s="4" t="s">
        <v>1243</v>
      </c>
      <c r="M693" s="5"/>
      <c r="N693" s="5"/>
      <c r="O693" s="5" t="b">
        <v>1</v>
      </c>
      <c r="P693" s="4" t="str">
        <f>IF(A693="",IF(ISNUMBER(SEARCH("NOT NULL",UPPER(A$3))),"''","null"),SUBSTITUTE(VLOOKUP(A$2,convert!$A$1:$B$4,2,0),"@@@",A693))</f>
        <v>'0563N01'</v>
      </c>
      <c r="Q693" s="4" t="str">
        <f>IF(B693="",IF(ISNUMBER(SEARCH("NOT NULL",UPPER(B$3))),"''","null"),SUBSTITUTE(VLOOKUP(B$2,convert!$A$1:$B$4,2,0),"@@@",B693))</f>
        <v>'デスカーン'</v>
      </c>
      <c r="R693" s="4" t="str">
        <f>IF(C693="",IF(ISNUMBER(SEARCH("NOT NULL",UPPER(C$3))),"''","null"),SUBSTITUTE(VLOOKUP(C$2,convert!$A$1:$B$4,2,0),"@@@",C693))</f>
        <v>58</v>
      </c>
      <c r="S693" s="4" t="str">
        <f>IF(D693="",IF(ISNUMBER(SEARCH("NOT NULL",UPPER(D$3))),"''","null"),SUBSTITUTE(VLOOKUP(D$2,convert!$A$1:$B$4,2,0),"@@@",D693))</f>
        <v>50</v>
      </c>
      <c r="T693" s="4" t="str">
        <f>IF(E693="",IF(ISNUMBER(SEARCH("NOT NULL",UPPER(E$3))),"''","null"),SUBSTITUTE(VLOOKUP(E$2,convert!$A$1:$B$4,2,0),"@@@",E693))</f>
        <v>145</v>
      </c>
      <c r="U693" s="4" t="str">
        <f>IF(F693="",IF(ISNUMBER(SEARCH("NOT NULL",UPPER(F$3))),"''","null"),SUBSTITUTE(VLOOKUP(F$2,convert!$A$1:$B$4,2,0),"@@@",F693))</f>
        <v>95</v>
      </c>
      <c r="V693" s="4" t="str">
        <f>IF(G693="",IF(ISNUMBER(SEARCH("NOT NULL",UPPER(G$3))),"''","null"),SUBSTITUTE(VLOOKUP(G$2,convert!$A$1:$B$4,2,0),"@@@",G693))</f>
        <v>105</v>
      </c>
      <c r="W693" s="4" t="str">
        <f>IF(H693="",IF(ISNUMBER(SEARCH("NOT NULL",UPPER(H$3))),"''","null"),SUBSTITUTE(VLOOKUP(H$2,convert!$A$1:$B$4,2,0),"@@@",H693))</f>
        <v>30</v>
      </c>
      <c r="X693" s="4" t="str">
        <f>IF(I693="",IF(ISNUMBER(SEARCH("NOT NULL",UPPER(I$3))),"''","null"),SUBSTITUTE(VLOOKUP(I$2,convert!$A$1:$B$4,2,0),"@@@",I693))</f>
        <v>''</v>
      </c>
      <c r="Y693" s="4" t="str">
        <f>IF(J693="",IF(ISNUMBER(SEARCH("NOT NULL",UPPER(J$3))),"''","null"),SUBSTITUTE(VLOOKUP(J$2,convert!$A$1:$B$4,2,0),"@@@",J693))</f>
        <v>'ghost'</v>
      </c>
      <c r="Z693" s="4" t="str">
        <f>IF(K693="",IF(ISNUMBER(SEARCH("NOT NULL",UPPER(K$3))),"''","null"),SUBSTITUTE(VLOOKUP(K$2,convert!$A$1:$B$4,2,0),"@@@",K693))</f>
        <v>null</v>
      </c>
      <c r="AA693" s="4" t="str">
        <f>IF(L693="",IF(ISNUMBER(SEARCH("NOT NULL",UPPER(L$3))),"''","null"),SUBSTITUTE(VLOOKUP(L$2,convert!$A$1:$B$4,2,0),"@@@",L693))</f>
        <v>'g5'</v>
      </c>
      <c r="AB693" s="4" t="str">
        <f>IF(M693="",IF(ISNUMBER(SEARCH("NOT NULL",UPPER(M$3))),"''","null"),SUBSTITUTE(VLOOKUP(M$2,convert!$A$1:$B$4,2,0),"@@@",M693))</f>
        <v>null</v>
      </c>
      <c r="AC693" s="4" t="str">
        <f>IF(N693="",IF(ISNUMBER(SEARCH("NOT NULL",UPPER(N$3))),"''","null"),SUBSTITUTE(VLOOKUP(N$2,convert!$A$1:$B$4,2,0),"@@@",N693))</f>
        <v>null</v>
      </c>
      <c r="AD693" s="4" t="str">
        <f>IF(O693="",IF(ISNUMBER(SEARCH("NOT NULL",UPPER(O$3))),"''","null"),SUBSTITUTE(VLOOKUP(O$2,convert!$A$1:$B$4,2,0),"@@@",O693))</f>
        <v>TRUE</v>
      </c>
      <c r="AE693" s="4" t="str">
        <f t="shared" si="10"/>
        <v>    ('0563N01', 'デスカーン', 58, 50, 145, 95, 105, 30, '', 'ghost', null, 'g5', null, null, TRUE),</v>
      </c>
    </row>
    <row r="694" spans="1:31">
      <c r="A694" s="4" t="s">
        <v>1398</v>
      </c>
      <c r="B694" s="4" t="s">
        <v>1399</v>
      </c>
      <c r="C694" s="5">
        <v>54</v>
      </c>
      <c r="D694" s="5">
        <v>78</v>
      </c>
      <c r="E694" s="5">
        <v>103</v>
      </c>
      <c r="F694" s="5">
        <v>53</v>
      </c>
      <c r="G694" s="5">
        <v>45</v>
      </c>
      <c r="H694" s="5">
        <v>22</v>
      </c>
      <c r="I694" s="5"/>
      <c r="J694" s="4" t="s">
        <v>55</v>
      </c>
      <c r="K694" s="4" t="s">
        <v>196</v>
      </c>
      <c r="L694" s="4" t="s">
        <v>1243</v>
      </c>
      <c r="M694" s="5"/>
      <c r="N694" s="5"/>
      <c r="O694" s="5" t="b">
        <v>1</v>
      </c>
      <c r="P694" s="4" t="str">
        <f>IF(A694="",IF(ISNUMBER(SEARCH("NOT NULL",UPPER(A$3))),"''","null"),SUBSTITUTE(VLOOKUP(A$2,convert!$A$1:$B$4,2,0),"@@@",A694))</f>
        <v>'0564N01'</v>
      </c>
      <c r="Q694" s="4" t="str">
        <f>IF(B694="",IF(ISNUMBER(SEARCH("NOT NULL",UPPER(B$3))),"''","null"),SUBSTITUTE(VLOOKUP(B$2,convert!$A$1:$B$4,2,0),"@@@",B694))</f>
        <v>'プロトーガ'</v>
      </c>
      <c r="R694" s="4" t="str">
        <f>IF(C694="",IF(ISNUMBER(SEARCH("NOT NULL",UPPER(C$3))),"''","null"),SUBSTITUTE(VLOOKUP(C$2,convert!$A$1:$B$4,2,0),"@@@",C694))</f>
        <v>54</v>
      </c>
      <c r="S694" s="4" t="str">
        <f>IF(D694="",IF(ISNUMBER(SEARCH("NOT NULL",UPPER(D$3))),"''","null"),SUBSTITUTE(VLOOKUP(D$2,convert!$A$1:$B$4,2,0),"@@@",D694))</f>
        <v>78</v>
      </c>
      <c r="T694" s="4" t="str">
        <f>IF(E694="",IF(ISNUMBER(SEARCH("NOT NULL",UPPER(E$3))),"''","null"),SUBSTITUTE(VLOOKUP(E$2,convert!$A$1:$B$4,2,0),"@@@",E694))</f>
        <v>103</v>
      </c>
      <c r="U694" s="4" t="str">
        <f>IF(F694="",IF(ISNUMBER(SEARCH("NOT NULL",UPPER(F$3))),"''","null"),SUBSTITUTE(VLOOKUP(F$2,convert!$A$1:$B$4,2,0),"@@@",F694))</f>
        <v>53</v>
      </c>
      <c r="V694" s="4" t="str">
        <f>IF(G694="",IF(ISNUMBER(SEARCH("NOT NULL",UPPER(G$3))),"''","null"),SUBSTITUTE(VLOOKUP(G$2,convert!$A$1:$B$4,2,0),"@@@",G694))</f>
        <v>45</v>
      </c>
      <c r="W694" s="4" t="str">
        <f>IF(H694="",IF(ISNUMBER(SEARCH("NOT NULL",UPPER(H$3))),"''","null"),SUBSTITUTE(VLOOKUP(H$2,convert!$A$1:$B$4,2,0),"@@@",H694))</f>
        <v>22</v>
      </c>
      <c r="X694" s="4" t="str">
        <f>IF(I694="",IF(ISNUMBER(SEARCH("NOT NULL",UPPER(I$3))),"''","null"),SUBSTITUTE(VLOOKUP(I$2,convert!$A$1:$B$4,2,0),"@@@",I694))</f>
        <v>''</v>
      </c>
      <c r="Y694" s="4" t="str">
        <f>IF(J694="",IF(ISNUMBER(SEARCH("NOT NULL",UPPER(J$3))),"''","null"),SUBSTITUTE(VLOOKUP(J$2,convert!$A$1:$B$4,2,0),"@@@",J694))</f>
        <v>'water'</v>
      </c>
      <c r="Z694" s="4" t="str">
        <f>IF(K694="",IF(ISNUMBER(SEARCH("NOT NULL",UPPER(K$3))),"''","null"),SUBSTITUTE(VLOOKUP(K$2,convert!$A$1:$B$4,2,0),"@@@",K694))</f>
        <v>'rock'</v>
      </c>
      <c r="AA694" s="4" t="str">
        <f>IF(L694="",IF(ISNUMBER(SEARCH("NOT NULL",UPPER(L$3))),"''","null"),SUBSTITUTE(VLOOKUP(L$2,convert!$A$1:$B$4,2,0),"@@@",L694))</f>
        <v>'g5'</v>
      </c>
      <c r="AB694" s="4" t="str">
        <f>IF(M694="",IF(ISNUMBER(SEARCH("NOT NULL",UPPER(M$3))),"''","null"),SUBSTITUTE(VLOOKUP(M$2,convert!$A$1:$B$4,2,0),"@@@",M694))</f>
        <v>null</v>
      </c>
      <c r="AC694" s="4" t="str">
        <f>IF(N694="",IF(ISNUMBER(SEARCH("NOT NULL",UPPER(N$3))),"''","null"),SUBSTITUTE(VLOOKUP(N$2,convert!$A$1:$B$4,2,0),"@@@",N694))</f>
        <v>null</v>
      </c>
      <c r="AD694" s="4" t="str">
        <f>IF(O694="",IF(ISNUMBER(SEARCH("NOT NULL",UPPER(O$3))),"''","null"),SUBSTITUTE(VLOOKUP(O$2,convert!$A$1:$B$4,2,0),"@@@",O694))</f>
        <v>TRUE</v>
      </c>
      <c r="AE694" s="4" t="str">
        <f t="shared" si="10"/>
        <v>    ('0564N01', 'プロトーガ', 54, 78, 103, 53, 45, 22, '', 'water', 'rock', 'g5', null, null, TRUE),</v>
      </c>
    </row>
    <row r="695" spans="1:31">
      <c r="A695" s="4" t="s">
        <v>1400</v>
      </c>
      <c r="B695" s="4" t="s">
        <v>1401</v>
      </c>
      <c r="C695" s="5">
        <v>74</v>
      </c>
      <c r="D695" s="5">
        <v>108</v>
      </c>
      <c r="E695" s="5">
        <v>133</v>
      </c>
      <c r="F695" s="5">
        <v>83</v>
      </c>
      <c r="G695" s="5">
        <v>65</v>
      </c>
      <c r="H695" s="5">
        <v>32</v>
      </c>
      <c r="I695" s="5"/>
      <c r="J695" s="4" t="s">
        <v>55</v>
      </c>
      <c r="K695" s="4" t="s">
        <v>196</v>
      </c>
      <c r="L695" s="4" t="s">
        <v>1243</v>
      </c>
      <c r="M695" s="5"/>
      <c r="N695" s="5"/>
      <c r="O695" s="5" t="b">
        <v>1</v>
      </c>
      <c r="P695" s="4" t="str">
        <f>IF(A695="",IF(ISNUMBER(SEARCH("NOT NULL",UPPER(A$3))),"''","null"),SUBSTITUTE(VLOOKUP(A$2,convert!$A$1:$B$4,2,0),"@@@",A695))</f>
        <v>'0565N01'</v>
      </c>
      <c r="Q695" s="4" t="str">
        <f>IF(B695="",IF(ISNUMBER(SEARCH("NOT NULL",UPPER(B$3))),"''","null"),SUBSTITUTE(VLOOKUP(B$2,convert!$A$1:$B$4,2,0),"@@@",B695))</f>
        <v>'アバゴーラ'</v>
      </c>
      <c r="R695" s="4" t="str">
        <f>IF(C695="",IF(ISNUMBER(SEARCH("NOT NULL",UPPER(C$3))),"''","null"),SUBSTITUTE(VLOOKUP(C$2,convert!$A$1:$B$4,2,0),"@@@",C695))</f>
        <v>74</v>
      </c>
      <c r="S695" s="4" t="str">
        <f>IF(D695="",IF(ISNUMBER(SEARCH("NOT NULL",UPPER(D$3))),"''","null"),SUBSTITUTE(VLOOKUP(D$2,convert!$A$1:$B$4,2,0),"@@@",D695))</f>
        <v>108</v>
      </c>
      <c r="T695" s="4" t="str">
        <f>IF(E695="",IF(ISNUMBER(SEARCH("NOT NULL",UPPER(E$3))),"''","null"),SUBSTITUTE(VLOOKUP(E$2,convert!$A$1:$B$4,2,0),"@@@",E695))</f>
        <v>133</v>
      </c>
      <c r="U695" s="4" t="str">
        <f>IF(F695="",IF(ISNUMBER(SEARCH("NOT NULL",UPPER(F$3))),"''","null"),SUBSTITUTE(VLOOKUP(F$2,convert!$A$1:$B$4,2,0),"@@@",F695))</f>
        <v>83</v>
      </c>
      <c r="V695" s="4" t="str">
        <f>IF(G695="",IF(ISNUMBER(SEARCH("NOT NULL",UPPER(G$3))),"''","null"),SUBSTITUTE(VLOOKUP(G$2,convert!$A$1:$B$4,2,0),"@@@",G695))</f>
        <v>65</v>
      </c>
      <c r="W695" s="4" t="str">
        <f>IF(H695="",IF(ISNUMBER(SEARCH("NOT NULL",UPPER(H$3))),"''","null"),SUBSTITUTE(VLOOKUP(H$2,convert!$A$1:$B$4,2,0),"@@@",H695))</f>
        <v>32</v>
      </c>
      <c r="X695" s="4" t="str">
        <f>IF(I695="",IF(ISNUMBER(SEARCH("NOT NULL",UPPER(I$3))),"''","null"),SUBSTITUTE(VLOOKUP(I$2,convert!$A$1:$B$4,2,0),"@@@",I695))</f>
        <v>''</v>
      </c>
      <c r="Y695" s="4" t="str">
        <f>IF(J695="",IF(ISNUMBER(SEARCH("NOT NULL",UPPER(J$3))),"''","null"),SUBSTITUTE(VLOOKUP(J$2,convert!$A$1:$B$4,2,0),"@@@",J695))</f>
        <v>'water'</v>
      </c>
      <c r="Z695" s="4" t="str">
        <f>IF(K695="",IF(ISNUMBER(SEARCH("NOT NULL",UPPER(K$3))),"''","null"),SUBSTITUTE(VLOOKUP(K$2,convert!$A$1:$B$4,2,0),"@@@",K695))</f>
        <v>'rock'</v>
      </c>
      <c r="AA695" s="4" t="str">
        <f>IF(L695="",IF(ISNUMBER(SEARCH("NOT NULL",UPPER(L$3))),"''","null"),SUBSTITUTE(VLOOKUP(L$2,convert!$A$1:$B$4,2,0),"@@@",L695))</f>
        <v>'g5'</v>
      </c>
      <c r="AB695" s="4" t="str">
        <f>IF(M695="",IF(ISNUMBER(SEARCH("NOT NULL",UPPER(M$3))),"''","null"),SUBSTITUTE(VLOOKUP(M$2,convert!$A$1:$B$4,2,0),"@@@",M695))</f>
        <v>null</v>
      </c>
      <c r="AC695" s="4" t="str">
        <f>IF(N695="",IF(ISNUMBER(SEARCH("NOT NULL",UPPER(N$3))),"''","null"),SUBSTITUTE(VLOOKUP(N$2,convert!$A$1:$B$4,2,0),"@@@",N695))</f>
        <v>null</v>
      </c>
      <c r="AD695" s="4" t="str">
        <f>IF(O695="",IF(ISNUMBER(SEARCH("NOT NULL",UPPER(O$3))),"''","null"),SUBSTITUTE(VLOOKUP(O$2,convert!$A$1:$B$4,2,0),"@@@",O695))</f>
        <v>TRUE</v>
      </c>
      <c r="AE695" s="4" t="str">
        <f t="shared" si="10"/>
        <v>    ('0565N01', 'アバゴーラ', 74, 108, 133, 83, 65, 32, '', 'water', 'rock', 'g5', null, null, TRUE),</v>
      </c>
    </row>
    <row r="696" spans="1:31">
      <c r="A696" s="4" t="s">
        <v>1402</v>
      </c>
      <c r="B696" s="4" t="s">
        <v>1403</v>
      </c>
      <c r="C696" s="5">
        <v>55</v>
      </c>
      <c r="D696" s="5">
        <v>112</v>
      </c>
      <c r="E696" s="5">
        <v>45</v>
      </c>
      <c r="F696" s="5">
        <v>74</v>
      </c>
      <c r="G696" s="5">
        <v>45</v>
      </c>
      <c r="H696" s="5">
        <v>70</v>
      </c>
      <c r="I696" s="5"/>
      <c r="J696" s="4" t="s">
        <v>196</v>
      </c>
      <c r="K696" s="4" t="s">
        <v>47</v>
      </c>
      <c r="L696" s="4" t="s">
        <v>1243</v>
      </c>
      <c r="M696" s="5"/>
      <c r="N696" s="5"/>
      <c r="O696" s="5" t="b">
        <v>1</v>
      </c>
      <c r="P696" s="4" t="str">
        <f>IF(A696="",IF(ISNUMBER(SEARCH("NOT NULL",UPPER(A$3))),"''","null"),SUBSTITUTE(VLOOKUP(A$2,convert!$A$1:$B$4,2,0),"@@@",A696))</f>
        <v>'0566N01'</v>
      </c>
      <c r="Q696" s="4" t="str">
        <f>IF(B696="",IF(ISNUMBER(SEARCH("NOT NULL",UPPER(B$3))),"''","null"),SUBSTITUTE(VLOOKUP(B$2,convert!$A$1:$B$4,2,0),"@@@",B696))</f>
        <v>'アーケン'</v>
      </c>
      <c r="R696" s="4" t="str">
        <f>IF(C696="",IF(ISNUMBER(SEARCH("NOT NULL",UPPER(C$3))),"''","null"),SUBSTITUTE(VLOOKUP(C$2,convert!$A$1:$B$4,2,0),"@@@",C696))</f>
        <v>55</v>
      </c>
      <c r="S696" s="4" t="str">
        <f>IF(D696="",IF(ISNUMBER(SEARCH("NOT NULL",UPPER(D$3))),"''","null"),SUBSTITUTE(VLOOKUP(D$2,convert!$A$1:$B$4,2,0),"@@@",D696))</f>
        <v>112</v>
      </c>
      <c r="T696" s="4" t="str">
        <f>IF(E696="",IF(ISNUMBER(SEARCH("NOT NULL",UPPER(E$3))),"''","null"),SUBSTITUTE(VLOOKUP(E$2,convert!$A$1:$B$4,2,0),"@@@",E696))</f>
        <v>45</v>
      </c>
      <c r="U696" s="4" t="str">
        <f>IF(F696="",IF(ISNUMBER(SEARCH("NOT NULL",UPPER(F$3))),"''","null"),SUBSTITUTE(VLOOKUP(F$2,convert!$A$1:$B$4,2,0),"@@@",F696))</f>
        <v>74</v>
      </c>
      <c r="V696" s="4" t="str">
        <f>IF(G696="",IF(ISNUMBER(SEARCH("NOT NULL",UPPER(G$3))),"''","null"),SUBSTITUTE(VLOOKUP(G$2,convert!$A$1:$B$4,2,0),"@@@",G696))</f>
        <v>45</v>
      </c>
      <c r="W696" s="4" t="str">
        <f>IF(H696="",IF(ISNUMBER(SEARCH("NOT NULL",UPPER(H$3))),"''","null"),SUBSTITUTE(VLOOKUP(H$2,convert!$A$1:$B$4,2,0),"@@@",H696))</f>
        <v>70</v>
      </c>
      <c r="X696" s="4" t="str">
        <f>IF(I696="",IF(ISNUMBER(SEARCH("NOT NULL",UPPER(I$3))),"''","null"),SUBSTITUTE(VLOOKUP(I$2,convert!$A$1:$B$4,2,0),"@@@",I696))</f>
        <v>''</v>
      </c>
      <c r="Y696" s="4" t="str">
        <f>IF(J696="",IF(ISNUMBER(SEARCH("NOT NULL",UPPER(J$3))),"''","null"),SUBSTITUTE(VLOOKUP(J$2,convert!$A$1:$B$4,2,0),"@@@",J696))</f>
        <v>'rock'</v>
      </c>
      <c r="Z696" s="4" t="str">
        <f>IF(K696="",IF(ISNUMBER(SEARCH("NOT NULL",UPPER(K$3))),"''","null"),SUBSTITUTE(VLOOKUP(K$2,convert!$A$1:$B$4,2,0),"@@@",K696))</f>
        <v>'flying'</v>
      </c>
      <c r="AA696" s="4" t="str">
        <f>IF(L696="",IF(ISNUMBER(SEARCH("NOT NULL",UPPER(L$3))),"''","null"),SUBSTITUTE(VLOOKUP(L$2,convert!$A$1:$B$4,2,0),"@@@",L696))</f>
        <v>'g5'</v>
      </c>
      <c r="AB696" s="4" t="str">
        <f>IF(M696="",IF(ISNUMBER(SEARCH("NOT NULL",UPPER(M$3))),"''","null"),SUBSTITUTE(VLOOKUP(M$2,convert!$A$1:$B$4,2,0),"@@@",M696))</f>
        <v>null</v>
      </c>
      <c r="AC696" s="4" t="str">
        <f>IF(N696="",IF(ISNUMBER(SEARCH("NOT NULL",UPPER(N$3))),"''","null"),SUBSTITUTE(VLOOKUP(N$2,convert!$A$1:$B$4,2,0),"@@@",N696))</f>
        <v>null</v>
      </c>
      <c r="AD696" s="4" t="str">
        <f>IF(O696="",IF(ISNUMBER(SEARCH("NOT NULL",UPPER(O$3))),"''","null"),SUBSTITUTE(VLOOKUP(O$2,convert!$A$1:$B$4,2,0),"@@@",O696))</f>
        <v>TRUE</v>
      </c>
      <c r="AE696" s="4" t="str">
        <f t="shared" si="10"/>
        <v>    ('0566N01', 'アーケン', 55, 112, 45, 74, 45, 70, '', 'rock', 'flying', 'g5', null, null, TRUE),</v>
      </c>
    </row>
    <row r="697" spans="1:31">
      <c r="A697" s="4" t="s">
        <v>1404</v>
      </c>
      <c r="B697" s="4" t="s">
        <v>1405</v>
      </c>
      <c r="C697" s="5">
        <v>75</v>
      </c>
      <c r="D697" s="5">
        <v>140</v>
      </c>
      <c r="E697" s="5">
        <v>65</v>
      </c>
      <c r="F697" s="5">
        <v>112</v>
      </c>
      <c r="G697" s="5">
        <v>65</v>
      </c>
      <c r="H697" s="5">
        <v>110</v>
      </c>
      <c r="I697" s="5"/>
      <c r="J697" s="4" t="s">
        <v>196</v>
      </c>
      <c r="K697" s="4" t="s">
        <v>47</v>
      </c>
      <c r="L697" s="4" t="s">
        <v>1243</v>
      </c>
      <c r="M697" s="5"/>
      <c r="N697" s="5"/>
      <c r="O697" s="5" t="b">
        <v>1</v>
      </c>
      <c r="P697" s="4" t="str">
        <f>IF(A697="",IF(ISNUMBER(SEARCH("NOT NULL",UPPER(A$3))),"''","null"),SUBSTITUTE(VLOOKUP(A$2,convert!$A$1:$B$4,2,0),"@@@",A697))</f>
        <v>'0567N01'</v>
      </c>
      <c r="Q697" s="4" t="str">
        <f>IF(B697="",IF(ISNUMBER(SEARCH("NOT NULL",UPPER(B$3))),"''","null"),SUBSTITUTE(VLOOKUP(B$2,convert!$A$1:$B$4,2,0),"@@@",B697))</f>
        <v>'アーケオス'</v>
      </c>
      <c r="R697" s="4" t="str">
        <f>IF(C697="",IF(ISNUMBER(SEARCH("NOT NULL",UPPER(C$3))),"''","null"),SUBSTITUTE(VLOOKUP(C$2,convert!$A$1:$B$4,2,0),"@@@",C697))</f>
        <v>75</v>
      </c>
      <c r="S697" s="4" t="str">
        <f>IF(D697="",IF(ISNUMBER(SEARCH("NOT NULL",UPPER(D$3))),"''","null"),SUBSTITUTE(VLOOKUP(D$2,convert!$A$1:$B$4,2,0),"@@@",D697))</f>
        <v>140</v>
      </c>
      <c r="T697" s="4" t="str">
        <f>IF(E697="",IF(ISNUMBER(SEARCH("NOT NULL",UPPER(E$3))),"''","null"),SUBSTITUTE(VLOOKUP(E$2,convert!$A$1:$B$4,2,0),"@@@",E697))</f>
        <v>65</v>
      </c>
      <c r="U697" s="4" t="str">
        <f>IF(F697="",IF(ISNUMBER(SEARCH("NOT NULL",UPPER(F$3))),"''","null"),SUBSTITUTE(VLOOKUP(F$2,convert!$A$1:$B$4,2,0),"@@@",F697))</f>
        <v>112</v>
      </c>
      <c r="V697" s="4" t="str">
        <f>IF(G697="",IF(ISNUMBER(SEARCH("NOT NULL",UPPER(G$3))),"''","null"),SUBSTITUTE(VLOOKUP(G$2,convert!$A$1:$B$4,2,0),"@@@",G697))</f>
        <v>65</v>
      </c>
      <c r="W697" s="4" t="str">
        <f>IF(H697="",IF(ISNUMBER(SEARCH("NOT NULL",UPPER(H$3))),"''","null"),SUBSTITUTE(VLOOKUP(H$2,convert!$A$1:$B$4,2,0),"@@@",H697))</f>
        <v>110</v>
      </c>
      <c r="X697" s="4" t="str">
        <f>IF(I697="",IF(ISNUMBER(SEARCH("NOT NULL",UPPER(I$3))),"''","null"),SUBSTITUTE(VLOOKUP(I$2,convert!$A$1:$B$4,2,0),"@@@",I697))</f>
        <v>''</v>
      </c>
      <c r="Y697" s="4" t="str">
        <f>IF(J697="",IF(ISNUMBER(SEARCH("NOT NULL",UPPER(J$3))),"''","null"),SUBSTITUTE(VLOOKUP(J$2,convert!$A$1:$B$4,2,0),"@@@",J697))</f>
        <v>'rock'</v>
      </c>
      <c r="Z697" s="4" t="str">
        <f>IF(K697="",IF(ISNUMBER(SEARCH("NOT NULL",UPPER(K$3))),"''","null"),SUBSTITUTE(VLOOKUP(K$2,convert!$A$1:$B$4,2,0),"@@@",K697))</f>
        <v>'flying'</v>
      </c>
      <c r="AA697" s="4" t="str">
        <f>IF(L697="",IF(ISNUMBER(SEARCH("NOT NULL",UPPER(L$3))),"''","null"),SUBSTITUTE(VLOOKUP(L$2,convert!$A$1:$B$4,2,0),"@@@",L697))</f>
        <v>'g5'</v>
      </c>
      <c r="AB697" s="4" t="str">
        <f>IF(M697="",IF(ISNUMBER(SEARCH("NOT NULL",UPPER(M$3))),"''","null"),SUBSTITUTE(VLOOKUP(M$2,convert!$A$1:$B$4,2,0),"@@@",M697))</f>
        <v>null</v>
      </c>
      <c r="AC697" s="4" t="str">
        <f>IF(N697="",IF(ISNUMBER(SEARCH("NOT NULL",UPPER(N$3))),"''","null"),SUBSTITUTE(VLOOKUP(N$2,convert!$A$1:$B$4,2,0),"@@@",N697))</f>
        <v>null</v>
      </c>
      <c r="AD697" s="4" t="str">
        <f>IF(O697="",IF(ISNUMBER(SEARCH("NOT NULL",UPPER(O$3))),"''","null"),SUBSTITUTE(VLOOKUP(O$2,convert!$A$1:$B$4,2,0),"@@@",O697))</f>
        <v>TRUE</v>
      </c>
      <c r="AE697" s="4" t="str">
        <f t="shared" si="10"/>
        <v>    ('0567N01', 'アーケオス', 75, 140, 65, 112, 65, 110, '', 'rock', 'flying', 'g5', null, null, TRUE),</v>
      </c>
    </row>
    <row r="698" spans="1:31">
      <c r="A698" s="4" t="s">
        <v>1406</v>
      </c>
      <c r="B698" s="4" t="s">
        <v>1407</v>
      </c>
      <c r="C698" s="5">
        <v>50</v>
      </c>
      <c r="D698" s="5">
        <v>50</v>
      </c>
      <c r="E698" s="5">
        <v>62</v>
      </c>
      <c r="F698" s="5">
        <v>40</v>
      </c>
      <c r="G698" s="5">
        <v>62</v>
      </c>
      <c r="H698" s="5">
        <v>65</v>
      </c>
      <c r="I698" s="5"/>
      <c r="J698" s="4" t="s">
        <v>31</v>
      </c>
      <c r="K698" s="5"/>
      <c r="L698" s="4" t="s">
        <v>1243</v>
      </c>
      <c r="M698" s="5"/>
      <c r="N698" s="5"/>
      <c r="O698" s="5" t="b">
        <v>1</v>
      </c>
      <c r="P698" s="4" t="str">
        <f>IF(A698="",IF(ISNUMBER(SEARCH("NOT NULL",UPPER(A$3))),"''","null"),SUBSTITUTE(VLOOKUP(A$2,convert!$A$1:$B$4,2,0),"@@@",A698))</f>
        <v>'0568N01'</v>
      </c>
      <c r="Q698" s="4" t="str">
        <f>IF(B698="",IF(ISNUMBER(SEARCH("NOT NULL",UPPER(B$3))),"''","null"),SUBSTITUTE(VLOOKUP(B$2,convert!$A$1:$B$4,2,0),"@@@",B698))</f>
        <v>'ヤブクロン'</v>
      </c>
      <c r="R698" s="4" t="str">
        <f>IF(C698="",IF(ISNUMBER(SEARCH("NOT NULL",UPPER(C$3))),"''","null"),SUBSTITUTE(VLOOKUP(C$2,convert!$A$1:$B$4,2,0),"@@@",C698))</f>
        <v>50</v>
      </c>
      <c r="S698" s="4" t="str">
        <f>IF(D698="",IF(ISNUMBER(SEARCH("NOT NULL",UPPER(D$3))),"''","null"),SUBSTITUTE(VLOOKUP(D$2,convert!$A$1:$B$4,2,0),"@@@",D698))</f>
        <v>50</v>
      </c>
      <c r="T698" s="4" t="str">
        <f>IF(E698="",IF(ISNUMBER(SEARCH("NOT NULL",UPPER(E$3))),"''","null"),SUBSTITUTE(VLOOKUP(E$2,convert!$A$1:$B$4,2,0),"@@@",E698))</f>
        <v>62</v>
      </c>
      <c r="U698" s="4" t="str">
        <f>IF(F698="",IF(ISNUMBER(SEARCH("NOT NULL",UPPER(F$3))),"''","null"),SUBSTITUTE(VLOOKUP(F$2,convert!$A$1:$B$4,2,0),"@@@",F698))</f>
        <v>40</v>
      </c>
      <c r="V698" s="4" t="str">
        <f>IF(G698="",IF(ISNUMBER(SEARCH("NOT NULL",UPPER(G$3))),"''","null"),SUBSTITUTE(VLOOKUP(G$2,convert!$A$1:$B$4,2,0),"@@@",G698))</f>
        <v>62</v>
      </c>
      <c r="W698" s="4" t="str">
        <f>IF(H698="",IF(ISNUMBER(SEARCH("NOT NULL",UPPER(H$3))),"''","null"),SUBSTITUTE(VLOOKUP(H$2,convert!$A$1:$B$4,2,0),"@@@",H698))</f>
        <v>65</v>
      </c>
      <c r="X698" s="4" t="str">
        <f>IF(I698="",IF(ISNUMBER(SEARCH("NOT NULL",UPPER(I$3))),"''","null"),SUBSTITUTE(VLOOKUP(I$2,convert!$A$1:$B$4,2,0),"@@@",I698))</f>
        <v>''</v>
      </c>
      <c r="Y698" s="4" t="str">
        <f>IF(J698="",IF(ISNUMBER(SEARCH("NOT NULL",UPPER(J$3))),"''","null"),SUBSTITUTE(VLOOKUP(J$2,convert!$A$1:$B$4,2,0),"@@@",J698))</f>
        <v>'poison'</v>
      </c>
      <c r="Z698" s="4" t="str">
        <f>IF(K698="",IF(ISNUMBER(SEARCH("NOT NULL",UPPER(K$3))),"''","null"),SUBSTITUTE(VLOOKUP(K$2,convert!$A$1:$B$4,2,0),"@@@",K698))</f>
        <v>null</v>
      </c>
      <c r="AA698" s="4" t="str">
        <f>IF(L698="",IF(ISNUMBER(SEARCH("NOT NULL",UPPER(L$3))),"''","null"),SUBSTITUTE(VLOOKUP(L$2,convert!$A$1:$B$4,2,0),"@@@",L698))</f>
        <v>'g5'</v>
      </c>
      <c r="AB698" s="4" t="str">
        <f>IF(M698="",IF(ISNUMBER(SEARCH("NOT NULL",UPPER(M$3))),"''","null"),SUBSTITUTE(VLOOKUP(M$2,convert!$A$1:$B$4,2,0),"@@@",M698))</f>
        <v>null</v>
      </c>
      <c r="AC698" s="4" t="str">
        <f>IF(N698="",IF(ISNUMBER(SEARCH("NOT NULL",UPPER(N$3))),"''","null"),SUBSTITUTE(VLOOKUP(N$2,convert!$A$1:$B$4,2,0),"@@@",N698))</f>
        <v>null</v>
      </c>
      <c r="AD698" s="4" t="str">
        <f>IF(O698="",IF(ISNUMBER(SEARCH("NOT NULL",UPPER(O$3))),"''","null"),SUBSTITUTE(VLOOKUP(O$2,convert!$A$1:$B$4,2,0),"@@@",O698))</f>
        <v>TRUE</v>
      </c>
      <c r="AE698" s="4" t="str">
        <f t="shared" si="10"/>
        <v>    ('0568N01', 'ヤブクロン', 50, 50, 62, 40, 62, 65, '', 'poison', null, 'g5', null, null, TRUE),</v>
      </c>
    </row>
    <row r="699" spans="1:31">
      <c r="A699" s="4" t="s">
        <v>1408</v>
      </c>
      <c r="B699" s="4" t="s">
        <v>1409</v>
      </c>
      <c r="C699" s="5">
        <v>80</v>
      </c>
      <c r="D699" s="5">
        <v>95</v>
      </c>
      <c r="E699" s="5">
        <v>82</v>
      </c>
      <c r="F699" s="5">
        <v>60</v>
      </c>
      <c r="G699" s="5">
        <v>82</v>
      </c>
      <c r="H699" s="5">
        <v>75</v>
      </c>
      <c r="I699" s="5"/>
      <c r="J699" s="4" t="s">
        <v>31</v>
      </c>
      <c r="K699" s="5"/>
      <c r="L699" s="4" t="s">
        <v>1243</v>
      </c>
      <c r="M699" s="5"/>
      <c r="N699" s="5"/>
      <c r="O699" s="5" t="b">
        <v>1</v>
      </c>
      <c r="P699" s="4" t="str">
        <f>IF(A699="",IF(ISNUMBER(SEARCH("NOT NULL",UPPER(A$3))),"''","null"),SUBSTITUTE(VLOOKUP(A$2,convert!$A$1:$B$4,2,0),"@@@",A699))</f>
        <v>'0569N01'</v>
      </c>
      <c r="Q699" s="4" t="str">
        <f>IF(B699="",IF(ISNUMBER(SEARCH("NOT NULL",UPPER(B$3))),"''","null"),SUBSTITUTE(VLOOKUP(B$2,convert!$A$1:$B$4,2,0),"@@@",B699))</f>
        <v>'ダストダス'</v>
      </c>
      <c r="R699" s="4" t="str">
        <f>IF(C699="",IF(ISNUMBER(SEARCH("NOT NULL",UPPER(C$3))),"''","null"),SUBSTITUTE(VLOOKUP(C$2,convert!$A$1:$B$4,2,0),"@@@",C699))</f>
        <v>80</v>
      </c>
      <c r="S699" s="4" t="str">
        <f>IF(D699="",IF(ISNUMBER(SEARCH("NOT NULL",UPPER(D$3))),"''","null"),SUBSTITUTE(VLOOKUP(D$2,convert!$A$1:$B$4,2,0),"@@@",D699))</f>
        <v>95</v>
      </c>
      <c r="T699" s="4" t="str">
        <f>IF(E699="",IF(ISNUMBER(SEARCH("NOT NULL",UPPER(E$3))),"''","null"),SUBSTITUTE(VLOOKUP(E$2,convert!$A$1:$B$4,2,0),"@@@",E699))</f>
        <v>82</v>
      </c>
      <c r="U699" s="4" t="str">
        <f>IF(F699="",IF(ISNUMBER(SEARCH("NOT NULL",UPPER(F$3))),"''","null"),SUBSTITUTE(VLOOKUP(F$2,convert!$A$1:$B$4,2,0),"@@@",F699))</f>
        <v>60</v>
      </c>
      <c r="V699" s="4" t="str">
        <f>IF(G699="",IF(ISNUMBER(SEARCH("NOT NULL",UPPER(G$3))),"''","null"),SUBSTITUTE(VLOOKUP(G$2,convert!$A$1:$B$4,2,0),"@@@",G699))</f>
        <v>82</v>
      </c>
      <c r="W699" s="4" t="str">
        <f>IF(H699="",IF(ISNUMBER(SEARCH("NOT NULL",UPPER(H$3))),"''","null"),SUBSTITUTE(VLOOKUP(H$2,convert!$A$1:$B$4,2,0),"@@@",H699))</f>
        <v>75</v>
      </c>
      <c r="X699" s="4" t="str">
        <f>IF(I699="",IF(ISNUMBER(SEARCH("NOT NULL",UPPER(I$3))),"''","null"),SUBSTITUTE(VLOOKUP(I$2,convert!$A$1:$B$4,2,0),"@@@",I699))</f>
        <v>''</v>
      </c>
      <c r="Y699" s="4" t="str">
        <f>IF(J699="",IF(ISNUMBER(SEARCH("NOT NULL",UPPER(J$3))),"''","null"),SUBSTITUTE(VLOOKUP(J$2,convert!$A$1:$B$4,2,0),"@@@",J699))</f>
        <v>'poison'</v>
      </c>
      <c r="Z699" s="4" t="str">
        <f>IF(K699="",IF(ISNUMBER(SEARCH("NOT NULL",UPPER(K$3))),"''","null"),SUBSTITUTE(VLOOKUP(K$2,convert!$A$1:$B$4,2,0),"@@@",K699))</f>
        <v>null</v>
      </c>
      <c r="AA699" s="4" t="str">
        <f>IF(L699="",IF(ISNUMBER(SEARCH("NOT NULL",UPPER(L$3))),"''","null"),SUBSTITUTE(VLOOKUP(L$2,convert!$A$1:$B$4,2,0),"@@@",L699))</f>
        <v>'g5'</v>
      </c>
      <c r="AB699" s="4" t="str">
        <f>IF(M699="",IF(ISNUMBER(SEARCH("NOT NULL",UPPER(M$3))),"''","null"),SUBSTITUTE(VLOOKUP(M$2,convert!$A$1:$B$4,2,0),"@@@",M699))</f>
        <v>null</v>
      </c>
      <c r="AC699" s="4" t="str">
        <f>IF(N699="",IF(ISNUMBER(SEARCH("NOT NULL",UPPER(N$3))),"''","null"),SUBSTITUTE(VLOOKUP(N$2,convert!$A$1:$B$4,2,0),"@@@",N699))</f>
        <v>null</v>
      </c>
      <c r="AD699" s="4" t="str">
        <f>IF(O699="",IF(ISNUMBER(SEARCH("NOT NULL",UPPER(O$3))),"''","null"),SUBSTITUTE(VLOOKUP(O$2,convert!$A$1:$B$4,2,0),"@@@",O699))</f>
        <v>TRUE</v>
      </c>
      <c r="AE699" s="4" t="str">
        <f t="shared" si="10"/>
        <v>    ('0569N01', 'ダストダス', 80, 95, 82, 60, 82, 75, '', 'poison', null, 'g5', null, null, TRUE),</v>
      </c>
    </row>
    <row r="700" spans="1:31">
      <c r="A700" s="4" t="s">
        <v>1410</v>
      </c>
      <c r="B700" s="4" t="s">
        <v>1411</v>
      </c>
      <c r="C700" s="5">
        <v>40</v>
      </c>
      <c r="D700" s="5">
        <v>65</v>
      </c>
      <c r="E700" s="5">
        <v>40</v>
      </c>
      <c r="F700" s="5">
        <v>80</v>
      </c>
      <c r="G700" s="5">
        <v>40</v>
      </c>
      <c r="H700" s="5">
        <v>65</v>
      </c>
      <c r="I700" s="5"/>
      <c r="J700" s="4" t="s">
        <v>91</v>
      </c>
      <c r="K700" s="5"/>
      <c r="L700" s="4" t="s">
        <v>1243</v>
      </c>
      <c r="M700" s="5"/>
      <c r="N700" s="5"/>
      <c r="O700" s="5" t="b">
        <v>1</v>
      </c>
      <c r="P700" s="4" t="str">
        <f>IF(A700="",IF(ISNUMBER(SEARCH("NOT NULL",UPPER(A$3))),"''","null"),SUBSTITUTE(VLOOKUP(A$2,convert!$A$1:$B$4,2,0),"@@@",A700))</f>
        <v>'0570N01'</v>
      </c>
      <c r="Q700" s="4" t="str">
        <f>IF(B700="",IF(ISNUMBER(SEARCH("NOT NULL",UPPER(B$3))),"''","null"),SUBSTITUTE(VLOOKUP(B$2,convert!$A$1:$B$4,2,0),"@@@",B700))</f>
        <v>'ゾロア'</v>
      </c>
      <c r="R700" s="4" t="str">
        <f>IF(C700="",IF(ISNUMBER(SEARCH("NOT NULL",UPPER(C$3))),"''","null"),SUBSTITUTE(VLOOKUP(C$2,convert!$A$1:$B$4,2,0),"@@@",C700))</f>
        <v>40</v>
      </c>
      <c r="S700" s="4" t="str">
        <f>IF(D700="",IF(ISNUMBER(SEARCH("NOT NULL",UPPER(D$3))),"''","null"),SUBSTITUTE(VLOOKUP(D$2,convert!$A$1:$B$4,2,0),"@@@",D700))</f>
        <v>65</v>
      </c>
      <c r="T700" s="4" t="str">
        <f>IF(E700="",IF(ISNUMBER(SEARCH("NOT NULL",UPPER(E$3))),"''","null"),SUBSTITUTE(VLOOKUP(E$2,convert!$A$1:$B$4,2,0),"@@@",E700))</f>
        <v>40</v>
      </c>
      <c r="U700" s="4" t="str">
        <f>IF(F700="",IF(ISNUMBER(SEARCH("NOT NULL",UPPER(F$3))),"''","null"),SUBSTITUTE(VLOOKUP(F$2,convert!$A$1:$B$4,2,0),"@@@",F700))</f>
        <v>80</v>
      </c>
      <c r="V700" s="4" t="str">
        <f>IF(G700="",IF(ISNUMBER(SEARCH("NOT NULL",UPPER(G$3))),"''","null"),SUBSTITUTE(VLOOKUP(G$2,convert!$A$1:$B$4,2,0),"@@@",G700))</f>
        <v>40</v>
      </c>
      <c r="W700" s="4" t="str">
        <f>IF(H700="",IF(ISNUMBER(SEARCH("NOT NULL",UPPER(H$3))),"''","null"),SUBSTITUTE(VLOOKUP(H$2,convert!$A$1:$B$4,2,0),"@@@",H700))</f>
        <v>65</v>
      </c>
      <c r="X700" s="4" t="str">
        <f>IF(I700="",IF(ISNUMBER(SEARCH("NOT NULL",UPPER(I$3))),"''","null"),SUBSTITUTE(VLOOKUP(I$2,convert!$A$1:$B$4,2,0),"@@@",I700))</f>
        <v>''</v>
      </c>
      <c r="Y700" s="4" t="str">
        <f>IF(J700="",IF(ISNUMBER(SEARCH("NOT NULL",UPPER(J$3))),"''","null"),SUBSTITUTE(VLOOKUP(J$2,convert!$A$1:$B$4,2,0),"@@@",J700))</f>
        <v>'dark'</v>
      </c>
      <c r="Z700" s="4" t="str">
        <f>IF(K700="",IF(ISNUMBER(SEARCH("NOT NULL",UPPER(K$3))),"''","null"),SUBSTITUTE(VLOOKUP(K$2,convert!$A$1:$B$4,2,0),"@@@",K700))</f>
        <v>null</v>
      </c>
      <c r="AA700" s="4" t="str">
        <f>IF(L700="",IF(ISNUMBER(SEARCH("NOT NULL",UPPER(L$3))),"''","null"),SUBSTITUTE(VLOOKUP(L$2,convert!$A$1:$B$4,2,0),"@@@",L700))</f>
        <v>'g5'</v>
      </c>
      <c r="AB700" s="4" t="str">
        <f>IF(M700="",IF(ISNUMBER(SEARCH("NOT NULL",UPPER(M$3))),"''","null"),SUBSTITUTE(VLOOKUP(M$2,convert!$A$1:$B$4,2,0),"@@@",M700))</f>
        <v>null</v>
      </c>
      <c r="AC700" s="4" t="str">
        <f>IF(N700="",IF(ISNUMBER(SEARCH("NOT NULL",UPPER(N$3))),"''","null"),SUBSTITUTE(VLOOKUP(N$2,convert!$A$1:$B$4,2,0),"@@@",N700))</f>
        <v>null</v>
      </c>
      <c r="AD700" s="4" t="str">
        <f>IF(O700="",IF(ISNUMBER(SEARCH("NOT NULL",UPPER(O$3))),"''","null"),SUBSTITUTE(VLOOKUP(O$2,convert!$A$1:$B$4,2,0),"@@@",O700))</f>
        <v>TRUE</v>
      </c>
      <c r="AE700" s="4" t="str">
        <f t="shared" si="10"/>
        <v>    ('0570N01', 'ゾロア', 40, 65, 40, 80, 40, 65, '', 'dark', null, 'g5', null, null, TRUE),</v>
      </c>
    </row>
    <row r="701" spans="1:31">
      <c r="A701" s="4" t="s">
        <v>1412</v>
      </c>
      <c r="B701" s="4" t="s">
        <v>1411</v>
      </c>
      <c r="C701" s="5">
        <v>35</v>
      </c>
      <c r="D701" s="5">
        <v>60</v>
      </c>
      <c r="E701" s="5">
        <v>40</v>
      </c>
      <c r="F701" s="5">
        <v>85</v>
      </c>
      <c r="G701" s="5">
        <v>40</v>
      </c>
      <c r="H701" s="5">
        <v>70</v>
      </c>
      <c r="I701" s="4" t="s">
        <v>195</v>
      </c>
      <c r="J701" s="4" t="s">
        <v>80</v>
      </c>
      <c r="K701" s="4" t="s">
        <v>281</v>
      </c>
      <c r="L701" s="4" t="s">
        <v>197</v>
      </c>
      <c r="M701" s="5"/>
      <c r="N701" s="5"/>
      <c r="O701" s="5" t="b">
        <v>1</v>
      </c>
      <c r="P701" s="4" t="str">
        <f>IF(A701="",IF(ISNUMBER(SEARCH("NOT NULL",UPPER(A$3))),"''","null"),SUBSTITUTE(VLOOKUP(A$2,convert!$A$1:$B$4,2,0),"@@@",A701))</f>
        <v>'0570H01'</v>
      </c>
      <c r="Q701" s="4" t="str">
        <f>IF(B701="",IF(ISNUMBER(SEARCH("NOT NULL",UPPER(B$3))),"''","null"),SUBSTITUTE(VLOOKUP(B$2,convert!$A$1:$B$4,2,0),"@@@",B701))</f>
        <v>'ゾロア'</v>
      </c>
      <c r="R701" s="4" t="str">
        <f>IF(C701="",IF(ISNUMBER(SEARCH("NOT NULL",UPPER(C$3))),"''","null"),SUBSTITUTE(VLOOKUP(C$2,convert!$A$1:$B$4,2,0),"@@@",C701))</f>
        <v>35</v>
      </c>
      <c r="S701" s="4" t="str">
        <f>IF(D701="",IF(ISNUMBER(SEARCH("NOT NULL",UPPER(D$3))),"''","null"),SUBSTITUTE(VLOOKUP(D$2,convert!$A$1:$B$4,2,0),"@@@",D701))</f>
        <v>60</v>
      </c>
      <c r="T701" s="4" t="str">
        <f>IF(E701="",IF(ISNUMBER(SEARCH("NOT NULL",UPPER(E$3))),"''","null"),SUBSTITUTE(VLOOKUP(E$2,convert!$A$1:$B$4,2,0),"@@@",E701))</f>
        <v>40</v>
      </c>
      <c r="U701" s="4" t="str">
        <f>IF(F701="",IF(ISNUMBER(SEARCH("NOT NULL",UPPER(F$3))),"''","null"),SUBSTITUTE(VLOOKUP(F$2,convert!$A$1:$B$4,2,0),"@@@",F701))</f>
        <v>85</v>
      </c>
      <c r="V701" s="4" t="str">
        <f>IF(G701="",IF(ISNUMBER(SEARCH("NOT NULL",UPPER(G$3))),"''","null"),SUBSTITUTE(VLOOKUP(G$2,convert!$A$1:$B$4,2,0),"@@@",G701))</f>
        <v>40</v>
      </c>
      <c r="W701" s="4" t="str">
        <f>IF(H701="",IF(ISNUMBER(SEARCH("NOT NULL",UPPER(H$3))),"''","null"),SUBSTITUTE(VLOOKUP(H$2,convert!$A$1:$B$4,2,0),"@@@",H701))</f>
        <v>70</v>
      </c>
      <c r="X701" s="4" t="str">
        <f>IF(I701="",IF(ISNUMBER(SEARCH("NOT NULL",UPPER(I$3))),"''","null"),SUBSTITUTE(VLOOKUP(I$2,convert!$A$1:$B$4,2,0),"@@@",I701))</f>
        <v>'ヒスイのすがた'</v>
      </c>
      <c r="Y701" s="4" t="str">
        <f>IF(J701="",IF(ISNUMBER(SEARCH("NOT NULL",UPPER(J$3))),"''","null"),SUBSTITUTE(VLOOKUP(J$2,convert!$A$1:$B$4,2,0),"@@@",J701))</f>
        <v>'normal'</v>
      </c>
      <c r="Z701" s="4" t="str">
        <f>IF(K701="",IF(ISNUMBER(SEARCH("NOT NULL",UPPER(K$3))),"''","null"),SUBSTITUTE(VLOOKUP(K$2,convert!$A$1:$B$4,2,0),"@@@",K701))</f>
        <v>'ghost'</v>
      </c>
      <c r="AA701" s="4" t="str">
        <f>IF(L701="",IF(ISNUMBER(SEARCH("NOT NULL",UPPER(L$3))),"''","null"),SUBSTITUTE(VLOOKUP(L$2,convert!$A$1:$B$4,2,0),"@@@",L701))</f>
        <v>'g8arceus'</v>
      </c>
      <c r="AB701" s="4" t="str">
        <f>IF(M701="",IF(ISNUMBER(SEARCH("NOT NULL",UPPER(M$3))),"''","null"),SUBSTITUTE(VLOOKUP(M$2,convert!$A$1:$B$4,2,0),"@@@",M701))</f>
        <v>null</v>
      </c>
      <c r="AC701" s="4" t="str">
        <f>IF(N701="",IF(ISNUMBER(SEARCH("NOT NULL",UPPER(N$3))),"''","null"),SUBSTITUTE(VLOOKUP(N$2,convert!$A$1:$B$4,2,0),"@@@",N701))</f>
        <v>null</v>
      </c>
      <c r="AD701" s="4" t="str">
        <f>IF(O701="",IF(ISNUMBER(SEARCH("NOT NULL",UPPER(O$3))),"''","null"),SUBSTITUTE(VLOOKUP(O$2,convert!$A$1:$B$4,2,0),"@@@",O701))</f>
        <v>TRUE</v>
      </c>
      <c r="AE701" s="4" t="str">
        <f t="shared" si="10"/>
        <v>    ('0570H01', 'ゾロア', 35, 60, 40, 85, 40, 70, 'ヒスイのすがた', 'normal', 'ghost', 'g8arceus', null, null, TRUE),</v>
      </c>
    </row>
    <row r="702" spans="1:31">
      <c r="A702" s="4" t="s">
        <v>1413</v>
      </c>
      <c r="B702" s="4" t="s">
        <v>1414</v>
      </c>
      <c r="C702" s="5">
        <v>60</v>
      </c>
      <c r="D702" s="5">
        <v>105</v>
      </c>
      <c r="E702" s="5">
        <v>60</v>
      </c>
      <c r="F702" s="5">
        <v>120</v>
      </c>
      <c r="G702" s="5">
        <v>60</v>
      </c>
      <c r="H702" s="5">
        <v>105</v>
      </c>
      <c r="I702" s="5"/>
      <c r="J702" s="4" t="s">
        <v>91</v>
      </c>
      <c r="K702" s="5"/>
      <c r="L702" s="4" t="s">
        <v>1243</v>
      </c>
      <c r="M702" s="5"/>
      <c r="N702" s="5"/>
      <c r="O702" s="5" t="b">
        <v>1</v>
      </c>
      <c r="P702" s="4" t="str">
        <f>IF(A702="",IF(ISNUMBER(SEARCH("NOT NULL",UPPER(A$3))),"''","null"),SUBSTITUTE(VLOOKUP(A$2,convert!$A$1:$B$4,2,0),"@@@",A702))</f>
        <v>'0571N01'</v>
      </c>
      <c r="Q702" s="4" t="str">
        <f>IF(B702="",IF(ISNUMBER(SEARCH("NOT NULL",UPPER(B$3))),"''","null"),SUBSTITUTE(VLOOKUP(B$2,convert!$A$1:$B$4,2,0),"@@@",B702))</f>
        <v>'ゾロアーク'</v>
      </c>
      <c r="R702" s="4" t="str">
        <f>IF(C702="",IF(ISNUMBER(SEARCH("NOT NULL",UPPER(C$3))),"''","null"),SUBSTITUTE(VLOOKUP(C$2,convert!$A$1:$B$4,2,0),"@@@",C702))</f>
        <v>60</v>
      </c>
      <c r="S702" s="4" t="str">
        <f>IF(D702="",IF(ISNUMBER(SEARCH("NOT NULL",UPPER(D$3))),"''","null"),SUBSTITUTE(VLOOKUP(D$2,convert!$A$1:$B$4,2,0),"@@@",D702))</f>
        <v>105</v>
      </c>
      <c r="T702" s="4" t="str">
        <f>IF(E702="",IF(ISNUMBER(SEARCH("NOT NULL",UPPER(E$3))),"''","null"),SUBSTITUTE(VLOOKUP(E$2,convert!$A$1:$B$4,2,0),"@@@",E702))</f>
        <v>60</v>
      </c>
      <c r="U702" s="4" t="str">
        <f>IF(F702="",IF(ISNUMBER(SEARCH("NOT NULL",UPPER(F$3))),"''","null"),SUBSTITUTE(VLOOKUP(F$2,convert!$A$1:$B$4,2,0),"@@@",F702))</f>
        <v>120</v>
      </c>
      <c r="V702" s="4" t="str">
        <f>IF(G702="",IF(ISNUMBER(SEARCH("NOT NULL",UPPER(G$3))),"''","null"),SUBSTITUTE(VLOOKUP(G$2,convert!$A$1:$B$4,2,0),"@@@",G702))</f>
        <v>60</v>
      </c>
      <c r="W702" s="4" t="str">
        <f>IF(H702="",IF(ISNUMBER(SEARCH("NOT NULL",UPPER(H$3))),"''","null"),SUBSTITUTE(VLOOKUP(H$2,convert!$A$1:$B$4,2,0),"@@@",H702))</f>
        <v>105</v>
      </c>
      <c r="X702" s="4" t="str">
        <f>IF(I702="",IF(ISNUMBER(SEARCH("NOT NULL",UPPER(I$3))),"''","null"),SUBSTITUTE(VLOOKUP(I$2,convert!$A$1:$B$4,2,0),"@@@",I702))</f>
        <v>''</v>
      </c>
      <c r="Y702" s="4" t="str">
        <f>IF(J702="",IF(ISNUMBER(SEARCH("NOT NULL",UPPER(J$3))),"''","null"),SUBSTITUTE(VLOOKUP(J$2,convert!$A$1:$B$4,2,0),"@@@",J702))</f>
        <v>'dark'</v>
      </c>
      <c r="Z702" s="4" t="str">
        <f>IF(K702="",IF(ISNUMBER(SEARCH("NOT NULL",UPPER(K$3))),"''","null"),SUBSTITUTE(VLOOKUP(K$2,convert!$A$1:$B$4,2,0),"@@@",K702))</f>
        <v>null</v>
      </c>
      <c r="AA702" s="4" t="str">
        <f>IF(L702="",IF(ISNUMBER(SEARCH("NOT NULL",UPPER(L$3))),"''","null"),SUBSTITUTE(VLOOKUP(L$2,convert!$A$1:$B$4,2,0),"@@@",L702))</f>
        <v>'g5'</v>
      </c>
      <c r="AB702" s="4" t="str">
        <f>IF(M702="",IF(ISNUMBER(SEARCH("NOT NULL",UPPER(M$3))),"''","null"),SUBSTITUTE(VLOOKUP(M$2,convert!$A$1:$B$4,2,0),"@@@",M702))</f>
        <v>null</v>
      </c>
      <c r="AC702" s="4" t="str">
        <f>IF(N702="",IF(ISNUMBER(SEARCH("NOT NULL",UPPER(N$3))),"''","null"),SUBSTITUTE(VLOOKUP(N$2,convert!$A$1:$B$4,2,0),"@@@",N702))</f>
        <v>null</v>
      </c>
      <c r="AD702" s="4" t="str">
        <f>IF(O702="",IF(ISNUMBER(SEARCH("NOT NULL",UPPER(O$3))),"''","null"),SUBSTITUTE(VLOOKUP(O$2,convert!$A$1:$B$4,2,0),"@@@",O702))</f>
        <v>TRUE</v>
      </c>
      <c r="AE702" s="4" t="str">
        <f t="shared" si="10"/>
        <v>    ('0571N01', 'ゾロアーク', 60, 105, 60, 120, 60, 105, '', 'dark', null, 'g5', null, null, TRUE),</v>
      </c>
    </row>
    <row r="703" spans="1:31">
      <c r="A703" s="4" t="s">
        <v>1415</v>
      </c>
      <c r="B703" s="4" t="s">
        <v>1414</v>
      </c>
      <c r="C703" s="5">
        <v>55</v>
      </c>
      <c r="D703" s="5">
        <v>100</v>
      </c>
      <c r="E703" s="5">
        <v>60</v>
      </c>
      <c r="F703" s="5">
        <v>125</v>
      </c>
      <c r="G703" s="5">
        <v>60</v>
      </c>
      <c r="H703" s="5">
        <v>110</v>
      </c>
      <c r="I703" s="4" t="s">
        <v>195</v>
      </c>
      <c r="J703" s="4" t="s">
        <v>80</v>
      </c>
      <c r="K703" s="4" t="s">
        <v>281</v>
      </c>
      <c r="L703" s="4" t="s">
        <v>197</v>
      </c>
      <c r="M703" s="5"/>
      <c r="N703" s="5"/>
      <c r="O703" s="5" t="b">
        <v>1</v>
      </c>
      <c r="P703" s="4" t="str">
        <f>IF(A703="",IF(ISNUMBER(SEARCH("NOT NULL",UPPER(A$3))),"''","null"),SUBSTITUTE(VLOOKUP(A$2,convert!$A$1:$B$4,2,0),"@@@",A703))</f>
        <v>'0571H01'</v>
      </c>
      <c r="Q703" s="4" t="str">
        <f>IF(B703="",IF(ISNUMBER(SEARCH("NOT NULL",UPPER(B$3))),"''","null"),SUBSTITUTE(VLOOKUP(B$2,convert!$A$1:$B$4,2,0),"@@@",B703))</f>
        <v>'ゾロアーク'</v>
      </c>
      <c r="R703" s="4" t="str">
        <f>IF(C703="",IF(ISNUMBER(SEARCH("NOT NULL",UPPER(C$3))),"''","null"),SUBSTITUTE(VLOOKUP(C$2,convert!$A$1:$B$4,2,0),"@@@",C703))</f>
        <v>55</v>
      </c>
      <c r="S703" s="4" t="str">
        <f>IF(D703="",IF(ISNUMBER(SEARCH("NOT NULL",UPPER(D$3))),"''","null"),SUBSTITUTE(VLOOKUP(D$2,convert!$A$1:$B$4,2,0),"@@@",D703))</f>
        <v>100</v>
      </c>
      <c r="T703" s="4" t="str">
        <f>IF(E703="",IF(ISNUMBER(SEARCH("NOT NULL",UPPER(E$3))),"''","null"),SUBSTITUTE(VLOOKUP(E$2,convert!$A$1:$B$4,2,0),"@@@",E703))</f>
        <v>60</v>
      </c>
      <c r="U703" s="4" t="str">
        <f>IF(F703="",IF(ISNUMBER(SEARCH("NOT NULL",UPPER(F$3))),"''","null"),SUBSTITUTE(VLOOKUP(F$2,convert!$A$1:$B$4,2,0),"@@@",F703))</f>
        <v>125</v>
      </c>
      <c r="V703" s="4" t="str">
        <f>IF(G703="",IF(ISNUMBER(SEARCH("NOT NULL",UPPER(G$3))),"''","null"),SUBSTITUTE(VLOOKUP(G$2,convert!$A$1:$B$4,2,0),"@@@",G703))</f>
        <v>60</v>
      </c>
      <c r="W703" s="4" t="str">
        <f>IF(H703="",IF(ISNUMBER(SEARCH("NOT NULL",UPPER(H$3))),"''","null"),SUBSTITUTE(VLOOKUP(H$2,convert!$A$1:$B$4,2,0),"@@@",H703))</f>
        <v>110</v>
      </c>
      <c r="X703" s="4" t="str">
        <f>IF(I703="",IF(ISNUMBER(SEARCH("NOT NULL",UPPER(I$3))),"''","null"),SUBSTITUTE(VLOOKUP(I$2,convert!$A$1:$B$4,2,0),"@@@",I703))</f>
        <v>'ヒスイのすがた'</v>
      </c>
      <c r="Y703" s="4" t="str">
        <f>IF(J703="",IF(ISNUMBER(SEARCH("NOT NULL",UPPER(J$3))),"''","null"),SUBSTITUTE(VLOOKUP(J$2,convert!$A$1:$B$4,2,0),"@@@",J703))</f>
        <v>'normal'</v>
      </c>
      <c r="Z703" s="4" t="str">
        <f>IF(K703="",IF(ISNUMBER(SEARCH("NOT NULL",UPPER(K$3))),"''","null"),SUBSTITUTE(VLOOKUP(K$2,convert!$A$1:$B$4,2,0),"@@@",K703))</f>
        <v>'ghost'</v>
      </c>
      <c r="AA703" s="4" t="str">
        <f>IF(L703="",IF(ISNUMBER(SEARCH("NOT NULL",UPPER(L$3))),"''","null"),SUBSTITUTE(VLOOKUP(L$2,convert!$A$1:$B$4,2,0),"@@@",L703))</f>
        <v>'g8arceus'</v>
      </c>
      <c r="AB703" s="4" t="str">
        <f>IF(M703="",IF(ISNUMBER(SEARCH("NOT NULL",UPPER(M$3))),"''","null"),SUBSTITUTE(VLOOKUP(M$2,convert!$A$1:$B$4,2,0),"@@@",M703))</f>
        <v>null</v>
      </c>
      <c r="AC703" s="4" t="str">
        <f>IF(N703="",IF(ISNUMBER(SEARCH("NOT NULL",UPPER(N$3))),"''","null"),SUBSTITUTE(VLOOKUP(N$2,convert!$A$1:$B$4,2,0),"@@@",N703))</f>
        <v>null</v>
      </c>
      <c r="AD703" s="4" t="str">
        <f>IF(O703="",IF(ISNUMBER(SEARCH("NOT NULL",UPPER(O$3))),"''","null"),SUBSTITUTE(VLOOKUP(O$2,convert!$A$1:$B$4,2,0),"@@@",O703))</f>
        <v>TRUE</v>
      </c>
      <c r="AE703" s="4" t="str">
        <f t="shared" si="10"/>
        <v>    ('0571H01', 'ゾロアーク', 55, 100, 60, 125, 60, 110, 'ヒスイのすがた', 'normal', 'ghost', 'g8arceus', null, null, TRUE),</v>
      </c>
    </row>
    <row r="704" spans="1:31">
      <c r="A704" s="4" t="s">
        <v>1416</v>
      </c>
      <c r="B704" s="4" t="s">
        <v>1417</v>
      </c>
      <c r="C704" s="5">
        <v>55</v>
      </c>
      <c r="D704" s="5">
        <v>50</v>
      </c>
      <c r="E704" s="5">
        <v>40</v>
      </c>
      <c r="F704" s="5">
        <v>40</v>
      </c>
      <c r="G704" s="5">
        <v>40</v>
      </c>
      <c r="H704" s="5">
        <v>75</v>
      </c>
      <c r="I704" s="5"/>
      <c r="J704" s="4" t="s">
        <v>80</v>
      </c>
      <c r="K704" s="5"/>
      <c r="L704" s="4" t="s">
        <v>1243</v>
      </c>
      <c r="M704" s="5"/>
      <c r="N704" s="5"/>
      <c r="O704" s="5" t="b">
        <v>1</v>
      </c>
      <c r="P704" s="4" t="str">
        <f>IF(A704="",IF(ISNUMBER(SEARCH("NOT NULL",UPPER(A$3))),"''","null"),SUBSTITUTE(VLOOKUP(A$2,convert!$A$1:$B$4,2,0),"@@@",A704))</f>
        <v>'0572N01'</v>
      </c>
      <c r="Q704" s="4" t="str">
        <f>IF(B704="",IF(ISNUMBER(SEARCH("NOT NULL",UPPER(B$3))),"''","null"),SUBSTITUTE(VLOOKUP(B$2,convert!$A$1:$B$4,2,0),"@@@",B704))</f>
        <v>'チラーミィ'</v>
      </c>
      <c r="R704" s="4" t="str">
        <f>IF(C704="",IF(ISNUMBER(SEARCH("NOT NULL",UPPER(C$3))),"''","null"),SUBSTITUTE(VLOOKUP(C$2,convert!$A$1:$B$4,2,0),"@@@",C704))</f>
        <v>55</v>
      </c>
      <c r="S704" s="4" t="str">
        <f>IF(D704="",IF(ISNUMBER(SEARCH("NOT NULL",UPPER(D$3))),"''","null"),SUBSTITUTE(VLOOKUP(D$2,convert!$A$1:$B$4,2,0),"@@@",D704))</f>
        <v>50</v>
      </c>
      <c r="T704" s="4" t="str">
        <f>IF(E704="",IF(ISNUMBER(SEARCH("NOT NULL",UPPER(E$3))),"''","null"),SUBSTITUTE(VLOOKUP(E$2,convert!$A$1:$B$4,2,0),"@@@",E704))</f>
        <v>40</v>
      </c>
      <c r="U704" s="4" t="str">
        <f>IF(F704="",IF(ISNUMBER(SEARCH("NOT NULL",UPPER(F$3))),"''","null"),SUBSTITUTE(VLOOKUP(F$2,convert!$A$1:$B$4,2,0),"@@@",F704))</f>
        <v>40</v>
      </c>
      <c r="V704" s="4" t="str">
        <f>IF(G704="",IF(ISNUMBER(SEARCH("NOT NULL",UPPER(G$3))),"''","null"),SUBSTITUTE(VLOOKUP(G$2,convert!$A$1:$B$4,2,0),"@@@",G704))</f>
        <v>40</v>
      </c>
      <c r="W704" s="4" t="str">
        <f>IF(H704="",IF(ISNUMBER(SEARCH("NOT NULL",UPPER(H$3))),"''","null"),SUBSTITUTE(VLOOKUP(H$2,convert!$A$1:$B$4,2,0),"@@@",H704))</f>
        <v>75</v>
      </c>
      <c r="X704" s="4" t="str">
        <f>IF(I704="",IF(ISNUMBER(SEARCH("NOT NULL",UPPER(I$3))),"''","null"),SUBSTITUTE(VLOOKUP(I$2,convert!$A$1:$B$4,2,0),"@@@",I704))</f>
        <v>''</v>
      </c>
      <c r="Y704" s="4" t="str">
        <f>IF(J704="",IF(ISNUMBER(SEARCH("NOT NULL",UPPER(J$3))),"''","null"),SUBSTITUTE(VLOOKUP(J$2,convert!$A$1:$B$4,2,0),"@@@",J704))</f>
        <v>'normal'</v>
      </c>
      <c r="Z704" s="4" t="str">
        <f>IF(K704="",IF(ISNUMBER(SEARCH("NOT NULL",UPPER(K$3))),"''","null"),SUBSTITUTE(VLOOKUP(K$2,convert!$A$1:$B$4,2,0),"@@@",K704))</f>
        <v>null</v>
      </c>
      <c r="AA704" s="4" t="str">
        <f>IF(L704="",IF(ISNUMBER(SEARCH("NOT NULL",UPPER(L$3))),"''","null"),SUBSTITUTE(VLOOKUP(L$2,convert!$A$1:$B$4,2,0),"@@@",L704))</f>
        <v>'g5'</v>
      </c>
      <c r="AB704" s="4" t="str">
        <f>IF(M704="",IF(ISNUMBER(SEARCH("NOT NULL",UPPER(M$3))),"''","null"),SUBSTITUTE(VLOOKUP(M$2,convert!$A$1:$B$4,2,0),"@@@",M704))</f>
        <v>null</v>
      </c>
      <c r="AC704" s="4" t="str">
        <f>IF(N704="",IF(ISNUMBER(SEARCH("NOT NULL",UPPER(N$3))),"''","null"),SUBSTITUTE(VLOOKUP(N$2,convert!$A$1:$B$4,2,0),"@@@",N704))</f>
        <v>null</v>
      </c>
      <c r="AD704" s="4" t="str">
        <f>IF(O704="",IF(ISNUMBER(SEARCH("NOT NULL",UPPER(O$3))),"''","null"),SUBSTITUTE(VLOOKUP(O$2,convert!$A$1:$B$4,2,0),"@@@",O704))</f>
        <v>TRUE</v>
      </c>
      <c r="AE704" s="4" t="str">
        <f t="shared" si="10"/>
        <v>    ('0572N01', 'チラーミィ', 55, 50, 40, 40, 40, 75, '', 'normal', null, 'g5', null, null, TRUE),</v>
      </c>
    </row>
    <row r="705" spans="1:31">
      <c r="A705" s="4" t="s">
        <v>1418</v>
      </c>
      <c r="B705" s="4" t="s">
        <v>1419</v>
      </c>
      <c r="C705" s="5">
        <v>75</v>
      </c>
      <c r="D705" s="5">
        <v>95</v>
      </c>
      <c r="E705" s="5">
        <v>60</v>
      </c>
      <c r="F705" s="5">
        <v>65</v>
      </c>
      <c r="G705" s="5">
        <v>60</v>
      </c>
      <c r="H705" s="5">
        <v>115</v>
      </c>
      <c r="I705" s="5"/>
      <c r="J705" s="4" t="s">
        <v>80</v>
      </c>
      <c r="K705" s="5"/>
      <c r="L705" s="4" t="s">
        <v>1243</v>
      </c>
      <c r="M705" s="5"/>
      <c r="N705" s="5"/>
      <c r="O705" s="5" t="b">
        <v>1</v>
      </c>
      <c r="P705" s="4" t="str">
        <f>IF(A705="",IF(ISNUMBER(SEARCH("NOT NULL",UPPER(A$3))),"''","null"),SUBSTITUTE(VLOOKUP(A$2,convert!$A$1:$B$4,2,0),"@@@",A705))</f>
        <v>'0573N01'</v>
      </c>
      <c r="Q705" s="4" t="str">
        <f>IF(B705="",IF(ISNUMBER(SEARCH("NOT NULL",UPPER(B$3))),"''","null"),SUBSTITUTE(VLOOKUP(B$2,convert!$A$1:$B$4,2,0),"@@@",B705))</f>
        <v>'チラチーノ'</v>
      </c>
      <c r="R705" s="4" t="str">
        <f>IF(C705="",IF(ISNUMBER(SEARCH("NOT NULL",UPPER(C$3))),"''","null"),SUBSTITUTE(VLOOKUP(C$2,convert!$A$1:$B$4,2,0),"@@@",C705))</f>
        <v>75</v>
      </c>
      <c r="S705" s="4" t="str">
        <f>IF(D705="",IF(ISNUMBER(SEARCH("NOT NULL",UPPER(D$3))),"''","null"),SUBSTITUTE(VLOOKUP(D$2,convert!$A$1:$B$4,2,0),"@@@",D705))</f>
        <v>95</v>
      </c>
      <c r="T705" s="4" t="str">
        <f>IF(E705="",IF(ISNUMBER(SEARCH("NOT NULL",UPPER(E$3))),"''","null"),SUBSTITUTE(VLOOKUP(E$2,convert!$A$1:$B$4,2,0),"@@@",E705))</f>
        <v>60</v>
      </c>
      <c r="U705" s="4" t="str">
        <f>IF(F705="",IF(ISNUMBER(SEARCH("NOT NULL",UPPER(F$3))),"''","null"),SUBSTITUTE(VLOOKUP(F$2,convert!$A$1:$B$4,2,0),"@@@",F705))</f>
        <v>65</v>
      </c>
      <c r="V705" s="4" t="str">
        <f>IF(G705="",IF(ISNUMBER(SEARCH("NOT NULL",UPPER(G$3))),"''","null"),SUBSTITUTE(VLOOKUP(G$2,convert!$A$1:$B$4,2,0),"@@@",G705))</f>
        <v>60</v>
      </c>
      <c r="W705" s="4" t="str">
        <f>IF(H705="",IF(ISNUMBER(SEARCH("NOT NULL",UPPER(H$3))),"''","null"),SUBSTITUTE(VLOOKUP(H$2,convert!$A$1:$B$4,2,0),"@@@",H705))</f>
        <v>115</v>
      </c>
      <c r="X705" s="4" t="str">
        <f>IF(I705="",IF(ISNUMBER(SEARCH("NOT NULL",UPPER(I$3))),"''","null"),SUBSTITUTE(VLOOKUP(I$2,convert!$A$1:$B$4,2,0),"@@@",I705))</f>
        <v>''</v>
      </c>
      <c r="Y705" s="4" t="str">
        <f>IF(J705="",IF(ISNUMBER(SEARCH("NOT NULL",UPPER(J$3))),"''","null"),SUBSTITUTE(VLOOKUP(J$2,convert!$A$1:$B$4,2,0),"@@@",J705))</f>
        <v>'normal'</v>
      </c>
      <c r="Z705" s="4" t="str">
        <f>IF(K705="",IF(ISNUMBER(SEARCH("NOT NULL",UPPER(K$3))),"''","null"),SUBSTITUTE(VLOOKUP(K$2,convert!$A$1:$B$4,2,0),"@@@",K705))</f>
        <v>null</v>
      </c>
      <c r="AA705" s="4" t="str">
        <f>IF(L705="",IF(ISNUMBER(SEARCH("NOT NULL",UPPER(L$3))),"''","null"),SUBSTITUTE(VLOOKUP(L$2,convert!$A$1:$B$4,2,0),"@@@",L705))</f>
        <v>'g5'</v>
      </c>
      <c r="AB705" s="4" t="str">
        <f>IF(M705="",IF(ISNUMBER(SEARCH("NOT NULL",UPPER(M$3))),"''","null"),SUBSTITUTE(VLOOKUP(M$2,convert!$A$1:$B$4,2,0),"@@@",M705))</f>
        <v>null</v>
      </c>
      <c r="AC705" s="4" t="str">
        <f>IF(N705="",IF(ISNUMBER(SEARCH("NOT NULL",UPPER(N$3))),"''","null"),SUBSTITUTE(VLOOKUP(N$2,convert!$A$1:$B$4,2,0),"@@@",N705))</f>
        <v>null</v>
      </c>
      <c r="AD705" s="4" t="str">
        <f>IF(O705="",IF(ISNUMBER(SEARCH("NOT NULL",UPPER(O$3))),"''","null"),SUBSTITUTE(VLOOKUP(O$2,convert!$A$1:$B$4,2,0),"@@@",O705))</f>
        <v>TRUE</v>
      </c>
      <c r="AE705" s="4" t="str">
        <f t="shared" si="10"/>
        <v>    ('0573N01', 'チラチーノ', 75, 95, 60, 65, 60, 115, '', 'normal', null, 'g5', null, null, TRUE),</v>
      </c>
    </row>
    <row r="706" spans="1:31">
      <c r="A706" s="4" t="s">
        <v>1420</v>
      </c>
      <c r="B706" s="4" t="s">
        <v>1421</v>
      </c>
      <c r="C706" s="5">
        <v>45</v>
      </c>
      <c r="D706" s="5">
        <v>30</v>
      </c>
      <c r="E706" s="5">
        <v>50</v>
      </c>
      <c r="F706" s="5">
        <v>55</v>
      </c>
      <c r="G706" s="5">
        <v>65</v>
      </c>
      <c r="H706" s="5">
        <v>45</v>
      </c>
      <c r="I706" s="5"/>
      <c r="J706" s="4" t="s">
        <v>113</v>
      </c>
      <c r="K706" s="5"/>
      <c r="L706" s="4" t="s">
        <v>1243</v>
      </c>
      <c r="M706" s="5"/>
      <c r="N706" s="5"/>
      <c r="O706" s="5" t="b">
        <v>1</v>
      </c>
      <c r="P706" s="4" t="str">
        <f>IF(A706="",IF(ISNUMBER(SEARCH("NOT NULL",UPPER(A$3))),"''","null"),SUBSTITUTE(VLOOKUP(A$2,convert!$A$1:$B$4,2,0),"@@@",A706))</f>
        <v>'0574N01'</v>
      </c>
      <c r="Q706" s="4" t="str">
        <f>IF(B706="",IF(ISNUMBER(SEARCH("NOT NULL",UPPER(B$3))),"''","null"),SUBSTITUTE(VLOOKUP(B$2,convert!$A$1:$B$4,2,0),"@@@",B706))</f>
        <v>'ゴチム'</v>
      </c>
      <c r="R706" s="4" t="str">
        <f>IF(C706="",IF(ISNUMBER(SEARCH("NOT NULL",UPPER(C$3))),"''","null"),SUBSTITUTE(VLOOKUP(C$2,convert!$A$1:$B$4,2,0),"@@@",C706))</f>
        <v>45</v>
      </c>
      <c r="S706" s="4" t="str">
        <f>IF(D706="",IF(ISNUMBER(SEARCH("NOT NULL",UPPER(D$3))),"''","null"),SUBSTITUTE(VLOOKUP(D$2,convert!$A$1:$B$4,2,0),"@@@",D706))</f>
        <v>30</v>
      </c>
      <c r="T706" s="4" t="str">
        <f>IF(E706="",IF(ISNUMBER(SEARCH("NOT NULL",UPPER(E$3))),"''","null"),SUBSTITUTE(VLOOKUP(E$2,convert!$A$1:$B$4,2,0),"@@@",E706))</f>
        <v>50</v>
      </c>
      <c r="U706" s="4" t="str">
        <f>IF(F706="",IF(ISNUMBER(SEARCH("NOT NULL",UPPER(F$3))),"''","null"),SUBSTITUTE(VLOOKUP(F$2,convert!$A$1:$B$4,2,0),"@@@",F706))</f>
        <v>55</v>
      </c>
      <c r="V706" s="4" t="str">
        <f>IF(G706="",IF(ISNUMBER(SEARCH("NOT NULL",UPPER(G$3))),"''","null"),SUBSTITUTE(VLOOKUP(G$2,convert!$A$1:$B$4,2,0),"@@@",G706))</f>
        <v>65</v>
      </c>
      <c r="W706" s="4" t="str">
        <f>IF(H706="",IF(ISNUMBER(SEARCH("NOT NULL",UPPER(H$3))),"''","null"),SUBSTITUTE(VLOOKUP(H$2,convert!$A$1:$B$4,2,0),"@@@",H706))</f>
        <v>45</v>
      </c>
      <c r="X706" s="4" t="str">
        <f>IF(I706="",IF(ISNUMBER(SEARCH("NOT NULL",UPPER(I$3))),"''","null"),SUBSTITUTE(VLOOKUP(I$2,convert!$A$1:$B$4,2,0),"@@@",I706))</f>
        <v>''</v>
      </c>
      <c r="Y706" s="4" t="str">
        <f>IF(J706="",IF(ISNUMBER(SEARCH("NOT NULL",UPPER(J$3))),"''","null"),SUBSTITUTE(VLOOKUP(J$2,convert!$A$1:$B$4,2,0),"@@@",J706))</f>
        <v>'psychic'</v>
      </c>
      <c r="Z706" s="4" t="str">
        <f>IF(K706="",IF(ISNUMBER(SEARCH("NOT NULL",UPPER(K$3))),"''","null"),SUBSTITUTE(VLOOKUP(K$2,convert!$A$1:$B$4,2,0),"@@@",K706))</f>
        <v>null</v>
      </c>
      <c r="AA706" s="4" t="str">
        <f>IF(L706="",IF(ISNUMBER(SEARCH("NOT NULL",UPPER(L$3))),"''","null"),SUBSTITUTE(VLOOKUP(L$2,convert!$A$1:$B$4,2,0),"@@@",L706))</f>
        <v>'g5'</v>
      </c>
      <c r="AB706" s="4" t="str">
        <f>IF(M706="",IF(ISNUMBER(SEARCH("NOT NULL",UPPER(M$3))),"''","null"),SUBSTITUTE(VLOOKUP(M$2,convert!$A$1:$B$4,2,0),"@@@",M706))</f>
        <v>null</v>
      </c>
      <c r="AC706" s="4" t="str">
        <f>IF(N706="",IF(ISNUMBER(SEARCH("NOT NULL",UPPER(N$3))),"''","null"),SUBSTITUTE(VLOOKUP(N$2,convert!$A$1:$B$4,2,0),"@@@",N706))</f>
        <v>null</v>
      </c>
      <c r="AD706" s="4" t="str">
        <f>IF(O706="",IF(ISNUMBER(SEARCH("NOT NULL",UPPER(O$3))),"''","null"),SUBSTITUTE(VLOOKUP(O$2,convert!$A$1:$B$4,2,0),"@@@",O706))</f>
        <v>TRUE</v>
      </c>
      <c r="AE706" s="4" t="str">
        <f t="shared" si="10"/>
        <v>    ('0574N01', 'ゴチム', 45, 30, 50, 55, 65, 45, '', 'psychic', null, 'g5', null, null, TRUE),</v>
      </c>
    </row>
    <row r="707" spans="1:31">
      <c r="A707" s="4" t="s">
        <v>1422</v>
      </c>
      <c r="B707" s="4" t="s">
        <v>1423</v>
      </c>
      <c r="C707" s="5">
        <v>60</v>
      </c>
      <c r="D707" s="5">
        <v>45</v>
      </c>
      <c r="E707" s="5">
        <v>70</v>
      </c>
      <c r="F707" s="5">
        <v>75</v>
      </c>
      <c r="G707" s="5">
        <v>85</v>
      </c>
      <c r="H707" s="5">
        <v>55</v>
      </c>
      <c r="I707" s="5"/>
      <c r="J707" s="4" t="s">
        <v>113</v>
      </c>
      <c r="K707" s="5"/>
      <c r="L707" s="4" t="s">
        <v>1243</v>
      </c>
      <c r="M707" s="5"/>
      <c r="N707" s="5"/>
      <c r="O707" s="5" t="b">
        <v>1</v>
      </c>
      <c r="P707" s="4" t="str">
        <f>IF(A707="",IF(ISNUMBER(SEARCH("NOT NULL",UPPER(A$3))),"''","null"),SUBSTITUTE(VLOOKUP(A$2,convert!$A$1:$B$4,2,0),"@@@",A707))</f>
        <v>'0575N01'</v>
      </c>
      <c r="Q707" s="4" t="str">
        <f>IF(B707="",IF(ISNUMBER(SEARCH("NOT NULL",UPPER(B$3))),"''","null"),SUBSTITUTE(VLOOKUP(B$2,convert!$A$1:$B$4,2,0),"@@@",B707))</f>
        <v>'ゴチミル'</v>
      </c>
      <c r="R707" s="4" t="str">
        <f>IF(C707="",IF(ISNUMBER(SEARCH("NOT NULL",UPPER(C$3))),"''","null"),SUBSTITUTE(VLOOKUP(C$2,convert!$A$1:$B$4,2,0),"@@@",C707))</f>
        <v>60</v>
      </c>
      <c r="S707" s="4" t="str">
        <f>IF(D707="",IF(ISNUMBER(SEARCH("NOT NULL",UPPER(D$3))),"''","null"),SUBSTITUTE(VLOOKUP(D$2,convert!$A$1:$B$4,2,0),"@@@",D707))</f>
        <v>45</v>
      </c>
      <c r="T707" s="4" t="str">
        <f>IF(E707="",IF(ISNUMBER(SEARCH("NOT NULL",UPPER(E$3))),"''","null"),SUBSTITUTE(VLOOKUP(E$2,convert!$A$1:$B$4,2,0),"@@@",E707))</f>
        <v>70</v>
      </c>
      <c r="U707" s="4" t="str">
        <f>IF(F707="",IF(ISNUMBER(SEARCH("NOT NULL",UPPER(F$3))),"''","null"),SUBSTITUTE(VLOOKUP(F$2,convert!$A$1:$B$4,2,0),"@@@",F707))</f>
        <v>75</v>
      </c>
      <c r="V707" s="4" t="str">
        <f>IF(G707="",IF(ISNUMBER(SEARCH("NOT NULL",UPPER(G$3))),"''","null"),SUBSTITUTE(VLOOKUP(G$2,convert!$A$1:$B$4,2,0),"@@@",G707))</f>
        <v>85</v>
      </c>
      <c r="W707" s="4" t="str">
        <f>IF(H707="",IF(ISNUMBER(SEARCH("NOT NULL",UPPER(H$3))),"''","null"),SUBSTITUTE(VLOOKUP(H$2,convert!$A$1:$B$4,2,0),"@@@",H707))</f>
        <v>55</v>
      </c>
      <c r="X707" s="4" t="str">
        <f>IF(I707="",IF(ISNUMBER(SEARCH("NOT NULL",UPPER(I$3))),"''","null"),SUBSTITUTE(VLOOKUP(I$2,convert!$A$1:$B$4,2,0),"@@@",I707))</f>
        <v>''</v>
      </c>
      <c r="Y707" s="4" t="str">
        <f>IF(J707="",IF(ISNUMBER(SEARCH("NOT NULL",UPPER(J$3))),"''","null"),SUBSTITUTE(VLOOKUP(J$2,convert!$A$1:$B$4,2,0),"@@@",J707))</f>
        <v>'psychic'</v>
      </c>
      <c r="Z707" s="4" t="str">
        <f>IF(K707="",IF(ISNUMBER(SEARCH("NOT NULL",UPPER(K$3))),"''","null"),SUBSTITUTE(VLOOKUP(K$2,convert!$A$1:$B$4,2,0),"@@@",K707))</f>
        <v>null</v>
      </c>
      <c r="AA707" s="4" t="str">
        <f>IF(L707="",IF(ISNUMBER(SEARCH("NOT NULL",UPPER(L$3))),"''","null"),SUBSTITUTE(VLOOKUP(L$2,convert!$A$1:$B$4,2,0),"@@@",L707))</f>
        <v>'g5'</v>
      </c>
      <c r="AB707" s="4" t="str">
        <f>IF(M707="",IF(ISNUMBER(SEARCH("NOT NULL",UPPER(M$3))),"''","null"),SUBSTITUTE(VLOOKUP(M$2,convert!$A$1:$B$4,2,0),"@@@",M707))</f>
        <v>null</v>
      </c>
      <c r="AC707" s="4" t="str">
        <f>IF(N707="",IF(ISNUMBER(SEARCH("NOT NULL",UPPER(N$3))),"''","null"),SUBSTITUTE(VLOOKUP(N$2,convert!$A$1:$B$4,2,0),"@@@",N707))</f>
        <v>null</v>
      </c>
      <c r="AD707" s="4" t="str">
        <f>IF(O707="",IF(ISNUMBER(SEARCH("NOT NULL",UPPER(O$3))),"''","null"),SUBSTITUTE(VLOOKUP(O$2,convert!$A$1:$B$4,2,0),"@@@",O707))</f>
        <v>TRUE</v>
      </c>
      <c r="AE707" s="4" t="str">
        <f t="shared" si="10"/>
        <v>    ('0575N01', 'ゴチミル', 60, 45, 70, 75, 85, 55, '', 'psychic', null, 'g5', null, null, TRUE),</v>
      </c>
    </row>
    <row r="708" spans="1:31">
      <c r="A708" s="4" t="s">
        <v>1424</v>
      </c>
      <c r="B708" s="4" t="s">
        <v>1425</v>
      </c>
      <c r="C708" s="5">
        <v>70</v>
      </c>
      <c r="D708" s="5">
        <v>55</v>
      </c>
      <c r="E708" s="5">
        <v>95</v>
      </c>
      <c r="F708" s="5">
        <v>95</v>
      </c>
      <c r="G708" s="5">
        <v>110</v>
      </c>
      <c r="H708" s="5">
        <v>65</v>
      </c>
      <c r="I708" s="5"/>
      <c r="J708" s="4" t="s">
        <v>113</v>
      </c>
      <c r="K708" s="5"/>
      <c r="L708" s="4" t="s">
        <v>1243</v>
      </c>
      <c r="M708" s="5"/>
      <c r="N708" s="5"/>
      <c r="O708" s="5" t="b">
        <v>1</v>
      </c>
      <c r="P708" s="4" t="str">
        <f>IF(A708="",IF(ISNUMBER(SEARCH("NOT NULL",UPPER(A$3))),"''","null"),SUBSTITUTE(VLOOKUP(A$2,convert!$A$1:$B$4,2,0),"@@@",A708))</f>
        <v>'0576N01'</v>
      </c>
      <c r="Q708" s="4" t="str">
        <f>IF(B708="",IF(ISNUMBER(SEARCH("NOT NULL",UPPER(B$3))),"''","null"),SUBSTITUTE(VLOOKUP(B$2,convert!$A$1:$B$4,2,0),"@@@",B708))</f>
        <v>'ゴチルゼル'</v>
      </c>
      <c r="R708" s="4" t="str">
        <f>IF(C708="",IF(ISNUMBER(SEARCH("NOT NULL",UPPER(C$3))),"''","null"),SUBSTITUTE(VLOOKUP(C$2,convert!$A$1:$B$4,2,0),"@@@",C708))</f>
        <v>70</v>
      </c>
      <c r="S708" s="4" t="str">
        <f>IF(D708="",IF(ISNUMBER(SEARCH("NOT NULL",UPPER(D$3))),"''","null"),SUBSTITUTE(VLOOKUP(D$2,convert!$A$1:$B$4,2,0),"@@@",D708))</f>
        <v>55</v>
      </c>
      <c r="T708" s="4" t="str">
        <f>IF(E708="",IF(ISNUMBER(SEARCH("NOT NULL",UPPER(E$3))),"''","null"),SUBSTITUTE(VLOOKUP(E$2,convert!$A$1:$B$4,2,0),"@@@",E708))</f>
        <v>95</v>
      </c>
      <c r="U708" s="4" t="str">
        <f>IF(F708="",IF(ISNUMBER(SEARCH("NOT NULL",UPPER(F$3))),"''","null"),SUBSTITUTE(VLOOKUP(F$2,convert!$A$1:$B$4,2,0),"@@@",F708))</f>
        <v>95</v>
      </c>
      <c r="V708" s="4" t="str">
        <f>IF(G708="",IF(ISNUMBER(SEARCH("NOT NULL",UPPER(G$3))),"''","null"),SUBSTITUTE(VLOOKUP(G$2,convert!$A$1:$B$4,2,0),"@@@",G708))</f>
        <v>110</v>
      </c>
      <c r="W708" s="4" t="str">
        <f>IF(H708="",IF(ISNUMBER(SEARCH("NOT NULL",UPPER(H$3))),"''","null"),SUBSTITUTE(VLOOKUP(H$2,convert!$A$1:$B$4,2,0),"@@@",H708))</f>
        <v>65</v>
      </c>
      <c r="X708" s="4" t="str">
        <f>IF(I708="",IF(ISNUMBER(SEARCH("NOT NULL",UPPER(I$3))),"''","null"),SUBSTITUTE(VLOOKUP(I$2,convert!$A$1:$B$4,2,0),"@@@",I708))</f>
        <v>''</v>
      </c>
      <c r="Y708" s="4" t="str">
        <f>IF(J708="",IF(ISNUMBER(SEARCH("NOT NULL",UPPER(J$3))),"''","null"),SUBSTITUTE(VLOOKUP(J$2,convert!$A$1:$B$4,2,0),"@@@",J708))</f>
        <v>'psychic'</v>
      </c>
      <c r="Z708" s="4" t="str">
        <f>IF(K708="",IF(ISNUMBER(SEARCH("NOT NULL",UPPER(K$3))),"''","null"),SUBSTITUTE(VLOOKUP(K$2,convert!$A$1:$B$4,2,0),"@@@",K708))</f>
        <v>null</v>
      </c>
      <c r="AA708" s="4" t="str">
        <f>IF(L708="",IF(ISNUMBER(SEARCH("NOT NULL",UPPER(L$3))),"''","null"),SUBSTITUTE(VLOOKUP(L$2,convert!$A$1:$B$4,2,0),"@@@",L708))</f>
        <v>'g5'</v>
      </c>
      <c r="AB708" s="4" t="str">
        <f>IF(M708="",IF(ISNUMBER(SEARCH("NOT NULL",UPPER(M$3))),"''","null"),SUBSTITUTE(VLOOKUP(M$2,convert!$A$1:$B$4,2,0),"@@@",M708))</f>
        <v>null</v>
      </c>
      <c r="AC708" s="4" t="str">
        <f>IF(N708="",IF(ISNUMBER(SEARCH("NOT NULL",UPPER(N$3))),"''","null"),SUBSTITUTE(VLOOKUP(N$2,convert!$A$1:$B$4,2,0),"@@@",N708))</f>
        <v>null</v>
      </c>
      <c r="AD708" s="4" t="str">
        <f>IF(O708="",IF(ISNUMBER(SEARCH("NOT NULL",UPPER(O$3))),"''","null"),SUBSTITUTE(VLOOKUP(O$2,convert!$A$1:$B$4,2,0),"@@@",O708))</f>
        <v>TRUE</v>
      </c>
      <c r="AE708" s="4" t="str">
        <f t="shared" si="10"/>
        <v>    ('0576N01', 'ゴチルゼル', 70, 55, 95, 95, 110, 65, '', 'psychic', null, 'g5', null, null, TRUE),</v>
      </c>
    </row>
    <row r="709" spans="1:31">
      <c r="A709" s="4" t="s">
        <v>1426</v>
      </c>
      <c r="B709" s="4" t="s">
        <v>1427</v>
      </c>
      <c r="C709" s="5">
        <v>45</v>
      </c>
      <c r="D709" s="5">
        <v>30</v>
      </c>
      <c r="E709" s="5">
        <v>40</v>
      </c>
      <c r="F709" s="5">
        <v>105</v>
      </c>
      <c r="G709" s="5">
        <v>50</v>
      </c>
      <c r="H709" s="5">
        <v>20</v>
      </c>
      <c r="I709" s="5"/>
      <c r="J709" s="4" t="s">
        <v>113</v>
      </c>
      <c r="K709" s="5"/>
      <c r="L709" s="4" t="s">
        <v>1243</v>
      </c>
      <c r="M709" s="5"/>
      <c r="N709" s="5"/>
      <c r="O709" s="5" t="b">
        <v>1</v>
      </c>
      <c r="P709" s="4" t="str">
        <f>IF(A709="",IF(ISNUMBER(SEARCH("NOT NULL",UPPER(A$3))),"''","null"),SUBSTITUTE(VLOOKUP(A$2,convert!$A$1:$B$4,2,0),"@@@",A709))</f>
        <v>'0577N01'</v>
      </c>
      <c r="Q709" s="4" t="str">
        <f>IF(B709="",IF(ISNUMBER(SEARCH("NOT NULL",UPPER(B$3))),"''","null"),SUBSTITUTE(VLOOKUP(B$2,convert!$A$1:$B$4,2,0),"@@@",B709))</f>
        <v>'ユニラン'</v>
      </c>
      <c r="R709" s="4" t="str">
        <f>IF(C709="",IF(ISNUMBER(SEARCH("NOT NULL",UPPER(C$3))),"''","null"),SUBSTITUTE(VLOOKUP(C$2,convert!$A$1:$B$4,2,0),"@@@",C709))</f>
        <v>45</v>
      </c>
      <c r="S709" s="4" t="str">
        <f>IF(D709="",IF(ISNUMBER(SEARCH("NOT NULL",UPPER(D$3))),"''","null"),SUBSTITUTE(VLOOKUP(D$2,convert!$A$1:$B$4,2,0),"@@@",D709))</f>
        <v>30</v>
      </c>
      <c r="T709" s="4" t="str">
        <f>IF(E709="",IF(ISNUMBER(SEARCH("NOT NULL",UPPER(E$3))),"''","null"),SUBSTITUTE(VLOOKUP(E$2,convert!$A$1:$B$4,2,0),"@@@",E709))</f>
        <v>40</v>
      </c>
      <c r="U709" s="4" t="str">
        <f>IF(F709="",IF(ISNUMBER(SEARCH("NOT NULL",UPPER(F$3))),"''","null"),SUBSTITUTE(VLOOKUP(F$2,convert!$A$1:$B$4,2,0),"@@@",F709))</f>
        <v>105</v>
      </c>
      <c r="V709" s="4" t="str">
        <f>IF(G709="",IF(ISNUMBER(SEARCH("NOT NULL",UPPER(G$3))),"''","null"),SUBSTITUTE(VLOOKUP(G$2,convert!$A$1:$B$4,2,0),"@@@",G709))</f>
        <v>50</v>
      </c>
      <c r="W709" s="4" t="str">
        <f>IF(H709="",IF(ISNUMBER(SEARCH("NOT NULL",UPPER(H$3))),"''","null"),SUBSTITUTE(VLOOKUP(H$2,convert!$A$1:$B$4,2,0),"@@@",H709))</f>
        <v>20</v>
      </c>
      <c r="X709" s="4" t="str">
        <f>IF(I709="",IF(ISNUMBER(SEARCH("NOT NULL",UPPER(I$3))),"''","null"),SUBSTITUTE(VLOOKUP(I$2,convert!$A$1:$B$4,2,0),"@@@",I709))</f>
        <v>''</v>
      </c>
      <c r="Y709" s="4" t="str">
        <f>IF(J709="",IF(ISNUMBER(SEARCH("NOT NULL",UPPER(J$3))),"''","null"),SUBSTITUTE(VLOOKUP(J$2,convert!$A$1:$B$4,2,0),"@@@",J709))</f>
        <v>'psychic'</v>
      </c>
      <c r="Z709" s="4" t="str">
        <f>IF(K709="",IF(ISNUMBER(SEARCH("NOT NULL",UPPER(K$3))),"''","null"),SUBSTITUTE(VLOOKUP(K$2,convert!$A$1:$B$4,2,0),"@@@",K709))</f>
        <v>null</v>
      </c>
      <c r="AA709" s="4" t="str">
        <f>IF(L709="",IF(ISNUMBER(SEARCH("NOT NULL",UPPER(L$3))),"''","null"),SUBSTITUTE(VLOOKUP(L$2,convert!$A$1:$B$4,2,0),"@@@",L709))</f>
        <v>'g5'</v>
      </c>
      <c r="AB709" s="4" t="str">
        <f>IF(M709="",IF(ISNUMBER(SEARCH("NOT NULL",UPPER(M$3))),"''","null"),SUBSTITUTE(VLOOKUP(M$2,convert!$A$1:$B$4,2,0),"@@@",M709))</f>
        <v>null</v>
      </c>
      <c r="AC709" s="4" t="str">
        <f>IF(N709="",IF(ISNUMBER(SEARCH("NOT NULL",UPPER(N$3))),"''","null"),SUBSTITUTE(VLOOKUP(N$2,convert!$A$1:$B$4,2,0),"@@@",N709))</f>
        <v>null</v>
      </c>
      <c r="AD709" s="4" t="str">
        <f>IF(O709="",IF(ISNUMBER(SEARCH("NOT NULL",UPPER(O$3))),"''","null"),SUBSTITUTE(VLOOKUP(O$2,convert!$A$1:$B$4,2,0),"@@@",O709))</f>
        <v>TRUE</v>
      </c>
      <c r="AE709" s="4" t="str">
        <f t="shared" ref="AE709:AE772" si="11">"    ("&amp;_xlfn.TEXTJOIN(", ",FALSE,P709:AD709)&amp;"),"</f>
        <v>    ('0577N01', 'ユニラン', 45, 30, 40, 105, 50, 20, '', 'psychic', null, 'g5', null, null, TRUE),</v>
      </c>
    </row>
    <row r="710" spans="1:31">
      <c r="A710" s="4" t="s">
        <v>1428</v>
      </c>
      <c r="B710" s="4" t="s">
        <v>1429</v>
      </c>
      <c r="C710" s="5">
        <v>65</v>
      </c>
      <c r="D710" s="5">
        <v>40</v>
      </c>
      <c r="E710" s="5">
        <v>50</v>
      </c>
      <c r="F710" s="5">
        <v>125</v>
      </c>
      <c r="G710" s="5">
        <v>60</v>
      </c>
      <c r="H710" s="5">
        <v>30</v>
      </c>
      <c r="I710" s="5"/>
      <c r="J710" s="4" t="s">
        <v>113</v>
      </c>
      <c r="K710" s="5"/>
      <c r="L710" s="4" t="s">
        <v>1243</v>
      </c>
      <c r="M710" s="5"/>
      <c r="N710" s="5"/>
      <c r="O710" s="5" t="b">
        <v>1</v>
      </c>
      <c r="P710" s="4" t="str">
        <f>IF(A710="",IF(ISNUMBER(SEARCH("NOT NULL",UPPER(A$3))),"''","null"),SUBSTITUTE(VLOOKUP(A$2,convert!$A$1:$B$4,2,0),"@@@",A710))</f>
        <v>'0578N01'</v>
      </c>
      <c r="Q710" s="4" t="str">
        <f>IF(B710="",IF(ISNUMBER(SEARCH("NOT NULL",UPPER(B$3))),"''","null"),SUBSTITUTE(VLOOKUP(B$2,convert!$A$1:$B$4,2,0),"@@@",B710))</f>
        <v>'ダブラン'</v>
      </c>
      <c r="R710" s="4" t="str">
        <f>IF(C710="",IF(ISNUMBER(SEARCH("NOT NULL",UPPER(C$3))),"''","null"),SUBSTITUTE(VLOOKUP(C$2,convert!$A$1:$B$4,2,0),"@@@",C710))</f>
        <v>65</v>
      </c>
      <c r="S710" s="4" t="str">
        <f>IF(D710="",IF(ISNUMBER(SEARCH("NOT NULL",UPPER(D$3))),"''","null"),SUBSTITUTE(VLOOKUP(D$2,convert!$A$1:$B$4,2,0),"@@@",D710))</f>
        <v>40</v>
      </c>
      <c r="T710" s="4" t="str">
        <f>IF(E710="",IF(ISNUMBER(SEARCH("NOT NULL",UPPER(E$3))),"''","null"),SUBSTITUTE(VLOOKUP(E$2,convert!$A$1:$B$4,2,0),"@@@",E710))</f>
        <v>50</v>
      </c>
      <c r="U710" s="4" t="str">
        <f>IF(F710="",IF(ISNUMBER(SEARCH("NOT NULL",UPPER(F$3))),"''","null"),SUBSTITUTE(VLOOKUP(F$2,convert!$A$1:$B$4,2,0),"@@@",F710))</f>
        <v>125</v>
      </c>
      <c r="V710" s="4" t="str">
        <f>IF(G710="",IF(ISNUMBER(SEARCH("NOT NULL",UPPER(G$3))),"''","null"),SUBSTITUTE(VLOOKUP(G$2,convert!$A$1:$B$4,2,0),"@@@",G710))</f>
        <v>60</v>
      </c>
      <c r="W710" s="4" t="str">
        <f>IF(H710="",IF(ISNUMBER(SEARCH("NOT NULL",UPPER(H$3))),"''","null"),SUBSTITUTE(VLOOKUP(H$2,convert!$A$1:$B$4,2,0),"@@@",H710))</f>
        <v>30</v>
      </c>
      <c r="X710" s="4" t="str">
        <f>IF(I710="",IF(ISNUMBER(SEARCH("NOT NULL",UPPER(I$3))),"''","null"),SUBSTITUTE(VLOOKUP(I$2,convert!$A$1:$B$4,2,0),"@@@",I710))</f>
        <v>''</v>
      </c>
      <c r="Y710" s="4" t="str">
        <f>IF(J710="",IF(ISNUMBER(SEARCH("NOT NULL",UPPER(J$3))),"''","null"),SUBSTITUTE(VLOOKUP(J$2,convert!$A$1:$B$4,2,0),"@@@",J710))</f>
        <v>'psychic'</v>
      </c>
      <c r="Z710" s="4" t="str">
        <f>IF(K710="",IF(ISNUMBER(SEARCH("NOT NULL",UPPER(K$3))),"''","null"),SUBSTITUTE(VLOOKUP(K$2,convert!$A$1:$B$4,2,0),"@@@",K710))</f>
        <v>null</v>
      </c>
      <c r="AA710" s="4" t="str">
        <f>IF(L710="",IF(ISNUMBER(SEARCH("NOT NULL",UPPER(L$3))),"''","null"),SUBSTITUTE(VLOOKUP(L$2,convert!$A$1:$B$4,2,0),"@@@",L710))</f>
        <v>'g5'</v>
      </c>
      <c r="AB710" s="4" t="str">
        <f>IF(M710="",IF(ISNUMBER(SEARCH("NOT NULL",UPPER(M$3))),"''","null"),SUBSTITUTE(VLOOKUP(M$2,convert!$A$1:$B$4,2,0),"@@@",M710))</f>
        <v>null</v>
      </c>
      <c r="AC710" s="4" t="str">
        <f>IF(N710="",IF(ISNUMBER(SEARCH("NOT NULL",UPPER(N$3))),"''","null"),SUBSTITUTE(VLOOKUP(N$2,convert!$A$1:$B$4,2,0),"@@@",N710))</f>
        <v>null</v>
      </c>
      <c r="AD710" s="4" t="str">
        <f>IF(O710="",IF(ISNUMBER(SEARCH("NOT NULL",UPPER(O$3))),"''","null"),SUBSTITUTE(VLOOKUP(O$2,convert!$A$1:$B$4,2,0),"@@@",O710))</f>
        <v>TRUE</v>
      </c>
      <c r="AE710" s="4" t="str">
        <f t="shared" si="11"/>
        <v>    ('0578N01', 'ダブラン', 65, 40, 50, 125, 60, 30, '', 'psychic', null, 'g5', null, null, TRUE),</v>
      </c>
    </row>
    <row r="711" spans="1:31">
      <c r="A711" s="4" t="s">
        <v>1430</v>
      </c>
      <c r="B711" s="4" t="s">
        <v>1431</v>
      </c>
      <c r="C711" s="5">
        <v>110</v>
      </c>
      <c r="D711" s="5">
        <v>65</v>
      </c>
      <c r="E711" s="5">
        <v>75</v>
      </c>
      <c r="F711" s="5">
        <v>125</v>
      </c>
      <c r="G711" s="5">
        <v>85</v>
      </c>
      <c r="H711" s="5">
        <v>30</v>
      </c>
      <c r="I711" s="5"/>
      <c r="J711" s="4" t="s">
        <v>113</v>
      </c>
      <c r="K711" s="5"/>
      <c r="L711" s="4" t="s">
        <v>1243</v>
      </c>
      <c r="M711" s="5"/>
      <c r="N711" s="5"/>
      <c r="O711" s="5" t="b">
        <v>1</v>
      </c>
      <c r="P711" s="4" t="str">
        <f>IF(A711="",IF(ISNUMBER(SEARCH("NOT NULL",UPPER(A$3))),"''","null"),SUBSTITUTE(VLOOKUP(A$2,convert!$A$1:$B$4,2,0),"@@@",A711))</f>
        <v>'0579N01'</v>
      </c>
      <c r="Q711" s="4" t="str">
        <f>IF(B711="",IF(ISNUMBER(SEARCH("NOT NULL",UPPER(B$3))),"''","null"),SUBSTITUTE(VLOOKUP(B$2,convert!$A$1:$B$4,2,0),"@@@",B711))</f>
        <v>'ランクルス'</v>
      </c>
      <c r="R711" s="4" t="str">
        <f>IF(C711="",IF(ISNUMBER(SEARCH("NOT NULL",UPPER(C$3))),"''","null"),SUBSTITUTE(VLOOKUP(C$2,convert!$A$1:$B$4,2,0),"@@@",C711))</f>
        <v>110</v>
      </c>
      <c r="S711" s="4" t="str">
        <f>IF(D711="",IF(ISNUMBER(SEARCH("NOT NULL",UPPER(D$3))),"''","null"),SUBSTITUTE(VLOOKUP(D$2,convert!$A$1:$B$4,2,0),"@@@",D711))</f>
        <v>65</v>
      </c>
      <c r="T711" s="4" t="str">
        <f>IF(E711="",IF(ISNUMBER(SEARCH("NOT NULL",UPPER(E$3))),"''","null"),SUBSTITUTE(VLOOKUP(E$2,convert!$A$1:$B$4,2,0),"@@@",E711))</f>
        <v>75</v>
      </c>
      <c r="U711" s="4" t="str">
        <f>IF(F711="",IF(ISNUMBER(SEARCH("NOT NULL",UPPER(F$3))),"''","null"),SUBSTITUTE(VLOOKUP(F$2,convert!$A$1:$B$4,2,0),"@@@",F711))</f>
        <v>125</v>
      </c>
      <c r="V711" s="4" t="str">
        <f>IF(G711="",IF(ISNUMBER(SEARCH("NOT NULL",UPPER(G$3))),"''","null"),SUBSTITUTE(VLOOKUP(G$2,convert!$A$1:$B$4,2,0),"@@@",G711))</f>
        <v>85</v>
      </c>
      <c r="W711" s="4" t="str">
        <f>IF(H711="",IF(ISNUMBER(SEARCH("NOT NULL",UPPER(H$3))),"''","null"),SUBSTITUTE(VLOOKUP(H$2,convert!$A$1:$B$4,2,0),"@@@",H711))</f>
        <v>30</v>
      </c>
      <c r="X711" s="4" t="str">
        <f>IF(I711="",IF(ISNUMBER(SEARCH("NOT NULL",UPPER(I$3))),"''","null"),SUBSTITUTE(VLOOKUP(I$2,convert!$A$1:$B$4,2,0),"@@@",I711))</f>
        <v>''</v>
      </c>
      <c r="Y711" s="4" t="str">
        <f>IF(J711="",IF(ISNUMBER(SEARCH("NOT NULL",UPPER(J$3))),"''","null"),SUBSTITUTE(VLOOKUP(J$2,convert!$A$1:$B$4,2,0),"@@@",J711))</f>
        <v>'psychic'</v>
      </c>
      <c r="Z711" s="4" t="str">
        <f>IF(K711="",IF(ISNUMBER(SEARCH("NOT NULL",UPPER(K$3))),"''","null"),SUBSTITUTE(VLOOKUP(K$2,convert!$A$1:$B$4,2,0),"@@@",K711))</f>
        <v>null</v>
      </c>
      <c r="AA711" s="4" t="str">
        <f>IF(L711="",IF(ISNUMBER(SEARCH("NOT NULL",UPPER(L$3))),"''","null"),SUBSTITUTE(VLOOKUP(L$2,convert!$A$1:$B$4,2,0),"@@@",L711))</f>
        <v>'g5'</v>
      </c>
      <c r="AB711" s="4" t="str">
        <f>IF(M711="",IF(ISNUMBER(SEARCH("NOT NULL",UPPER(M$3))),"''","null"),SUBSTITUTE(VLOOKUP(M$2,convert!$A$1:$B$4,2,0),"@@@",M711))</f>
        <v>null</v>
      </c>
      <c r="AC711" s="4" t="str">
        <f>IF(N711="",IF(ISNUMBER(SEARCH("NOT NULL",UPPER(N$3))),"''","null"),SUBSTITUTE(VLOOKUP(N$2,convert!$A$1:$B$4,2,0),"@@@",N711))</f>
        <v>null</v>
      </c>
      <c r="AD711" s="4" t="str">
        <f>IF(O711="",IF(ISNUMBER(SEARCH("NOT NULL",UPPER(O$3))),"''","null"),SUBSTITUTE(VLOOKUP(O$2,convert!$A$1:$B$4,2,0),"@@@",O711))</f>
        <v>TRUE</v>
      </c>
      <c r="AE711" s="4" t="str">
        <f t="shared" si="11"/>
        <v>    ('0579N01', 'ランクルス', 110, 65, 75, 125, 85, 30, '', 'psychic', null, 'g5', null, null, TRUE),</v>
      </c>
    </row>
    <row r="712" spans="1:31">
      <c r="A712" s="4" t="s">
        <v>1432</v>
      </c>
      <c r="B712" s="4" t="s">
        <v>1433</v>
      </c>
      <c r="C712" s="5">
        <v>62</v>
      </c>
      <c r="D712" s="5">
        <v>44</v>
      </c>
      <c r="E712" s="5">
        <v>50</v>
      </c>
      <c r="F712" s="5">
        <v>44</v>
      </c>
      <c r="G712" s="5">
        <v>50</v>
      </c>
      <c r="H712" s="5">
        <v>55</v>
      </c>
      <c r="I712" s="5"/>
      <c r="J712" s="4" t="s">
        <v>55</v>
      </c>
      <c r="K712" s="4" t="s">
        <v>47</v>
      </c>
      <c r="L712" s="4" t="s">
        <v>1243</v>
      </c>
      <c r="M712" s="5"/>
      <c r="N712" s="5"/>
      <c r="O712" s="5" t="b">
        <v>1</v>
      </c>
      <c r="P712" s="4" t="str">
        <f>IF(A712="",IF(ISNUMBER(SEARCH("NOT NULL",UPPER(A$3))),"''","null"),SUBSTITUTE(VLOOKUP(A$2,convert!$A$1:$B$4,2,0),"@@@",A712))</f>
        <v>'0580N01'</v>
      </c>
      <c r="Q712" s="4" t="str">
        <f>IF(B712="",IF(ISNUMBER(SEARCH("NOT NULL",UPPER(B$3))),"''","null"),SUBSTITUTE(VLOOKUP(B$2,convert!$A$1:$B$4,2,0),"@@@",B712))</f>
        <v>'コアルヒー'</v>
      </c>
      <c r="R712" s="4" t="str">
        <f>IF(C712="",IF(ISNUMBER(SEARCH("NOT NULL",UPPER(C$3))),"''","null"),SUBSTITUTE(VLOOKUP(C$2,convert!$A$1:$B$4,2,0),"@@@",C712))</f>
        <v>62</v>
      </c>
      <c r="S712" s="4" t="str">
        <f>IF(D712="",IF(ISNUMBER(SEARCH("NOT NULL",UPPER(D$3))),"''","null"),SUBSTITUTE(VLOOKUP(D$2,convert!$A$1:$B$4,2,0),"@@@",D712))</f>
        <v>44</v>
      </c>
      <c r="T712" s="4" t="str">
        <f>IF(E712="",IF(ISNUMBER(SEARCH("NOT NULL",UPPER(E$3))),"''","null"),SUBSTITUTE(VLOOKUP(E$2,convert!$A$1:$B$4,2,0),"@@@",E712))</f>
        <v>50</v>
      </c>
      <c r="U712" s="4" t="str">
        <f>IF(F712="",IF(ISNUMBER(SEARCH("NOT NULL",UPPER(F$3))),"''","null"),SUBSTITUTE(VLOOKUP(F$2,convert!$A$1:$B$4,2,0),"@@@",F712))</f>
        <v>44</v>
      </c>
      <c r="V712" s="4" t="str">
        <f>IF(G712="",IF(ISNUMBER(SEARCH("NOT NULL",UPPER(G$3))),"''","null"),SUBSTITUTE(VLOOKUP(G$2,convert!$A$1:$B$4,2,0),"@@@",G712))</f>
        <v>50</v>
      </c>
      <c r="W712" s="4" t="str">
        <f>IF(H712="",IF(ISNUMBER(SEARCH("NOT NULL",UPPER(H$3))),"''","null"),SUBSTITUTE(VLOOKUP(H$2,convert!$A$1:$B$4,2,0),"@@@",H712))</f>
        <v>55</v>
      </c>
      <c r="X712" s="4" t="str">
        <f>IF(I712="",IF(ISNUMBER(SEARCH("NOT NULL",UPPER(I$3))),"''","null"),SUBSTITUTE(VLOOKUP(I$2,convert!$A$1:$B$4,2,0),"@@@",I712))</f>
        <v>''</v>
      </c>
      <c r="Y712" s="4" t="str">
        <f>IF(J712="",IF(ISNUMBER(SEARCH("NOT NULL",UPPER(J$3))),"''","null"),SUBSTITUTE(VLOOKUP(J$2,convert!$A$1:$B$4,2,0),"@@@",J712))</f>
        <v>'water'</v>
      </c>
      <c r="Z712" s="4" t="str">
        <f>IF(K712="",IF(ISNUMBER(SEARCH("NOT NULL",UPPER(K$3))),"''","null"),SUBSTITUTE(VLOOKUP(K$2,convert!$A$1:$B$4,2,0),"@@@",K712))</f>
        <v>'flying'</v>
      </c>
      <c r="AA712" s="4" t="str">
        <f>IF(L712="",IF(ISNUMBER(SEARCH("NOT NULL",UPPER(L$3))),"''","null"),SUBSTITUTE(VLOOKUP(L$2,convert!$A$1:$B$4,2,0),"@@@",L712))</f>
        <v>'g5'</v>
      </c>
      <c r="AB712" s="4" t="str">
        <f>IF(M712="",IF(ISNUMBER(SEARCH("NOT NULL",UPPER(M$3))),"''","null"),SUBSTITUTE(VLOOKUP(M$2,convert!$A$1:$B$4,2,0),"@@@",M712))</f>
        <v>null</v>
      </c>
      <c r="AC712" s="4" t="str">
        <f>IF(N712="",IF(ISNUMBER(SEARCH("NOT NULL",UPPER(N$3))),"''","null"),SUBSTITUTE(VLOOKUP(N$2,convert!$A$1:$B$4,2,0),"@@@",N712))</f>
        <v>null</v>
      </c>
      <c r="AD712" s="4" t="str">
        <f>IF(O712="",IF(ISNUMBER(SEARCH("NOT NULL",UPPER(O$3))),"''","null"),SUBSTITUTE(VLOOKUP(O$2,convert!$A$1:$B$4,2,0),"@@@",O712))</f>
        <v>TRUE</v>
      </c>
      <c r="AE712" s="4" t="str">
        <f t="shared" si="11"/>
        <v>    ('0580N01', 'コアルヒー', 62, 44, 50, 44, 50, 55, '', 'water', 'flying', 'g5', null, null, TRUE),</v>
      </c>
    </row>
    <row r="713" spans="1:31">
      <c r="A713" s="4" t="s">
        <v>1434</v>
      </c>
      <c r="B713" s="4" t="s">
        <v>1435</v>
      </c>
      <c r="C713" s="5">
        <v>75</v>
      </c>
      <c r="D713" s="5">
        <v>87</v>
      </c>
      <c r="E713" s="5">
        <v>63</v>
      </c>
      <c r="F713" s="5">
        <v>87</v>
      </c>
      <c r="G713" s="5">
        <v>63</v>
      </c>
      <c r="H713" s="5">
        <v>98</v>
      </c>
      <c r="I713" s="5"/>
      <c r="J713" s="4" t="s">
        <v>55</v>
      </c>
      <c r="K713" s="4" t="s">
        <v>47</v>
      </c>
      <c r="L713" s="4" t="s">
        <v>1243</v>
      </c>
      <c r="M713" s="5"/>
      <c r="N713" s="5"/>
      <c r="O713" s="5" t="b">
        <v>1</v>
      </c>
      <c r="P713" s="4" t="str">
        <f>IF(A713="",IF(ISNUMBER(SEARCH("NOT NULL",UPPER(A$3))),"''","null"),SUBSTITUTE(VLOOKUP(A$2,convert!$A$1:$B$4,2,0),"@@@",A713))</f>
        <v>'0581N01'</v>
      </c>
      <c r="Q713" s="4" t="str">
        <f>IF(B713="",IF(ISNUMBER(SEARCH("NOT NULL",UPPER(B$3))),"''","null"),SUBSTITUTE(VLOOKUP(B$2,convert!$A$1:$B$4,2,0),"@@@",B713))</f>
        <v>'スワンナ'</v>
      </c>
      <c r="R713" s="4" t="str">
        <f>IF(C713="",IF(ISNUMBER(SEARCH("NOT NULL",UPPER(C$3))),"''","null"),SUBSTITUTE(VLOOKUP(C$2,convert!$A$1:$B$4,2,0),"@@@",C713))</f>
        <v>75</v>
      </c>
      <c r="S713" s="4" t="str">
        <f>IF(D713="",IF(ISNUMBER(SEARCH("NOT NULL",UPPER(D$3))),"''","null"),SUBSTITUTE(VLOOKUP(D$2,convert!$A$1:$B$4,2,0),"@@@",D713))</f>
        <v>87</v>
      </c>
      <c r="T713" s="4" t="str">
        <f>IF(E713="",IF(ISNUMBER(SEARCH("NOT NULL",UPPER(E$3))),"''","null"),SUBSTITUTE(VLOOKUP(E$2,convert!$A$1:$B$4,2,0),"@@@",E713))</f>
        <v>63</v>
      </c>
      <c r="U713" s="4" t="str">
        <f>IF(F713="",IF(ISNUMBER(SEARCH("NOT NULL",UPPER(F$3))),"''","null"),SUBSTITUTE(VLOOKUP(F$2,convert!$A$1:$B$4,2,0),"@@@",F713))</f>
        <v>87</v>
      </c>
      <c r="V713" s="4" t="str">
        <f>IF(G713="",IF(ISNUMBER(SEARCH("NOT NULL",UPPER(G$3))),"''","null"),SUBSTITUTE(VLOOKUP(G$2,convert!$A$1:$B$4,2,0),"@@@",G713))</f>
        <v>63</v>
      </c>
      <c r="W713" s="4" t="str">
        <f>IF(H713="",IF(ISNUMBER(SEARCH("NOT NULL",UPPER(H$3))),"''","null"),SUBSTITUTE(VLOOKUP(H$2,convert!$A$1:$B$4,2,0),"@@@",H713))</f>
        <v>98</v>
      </c>
      <c r="X713" s="4" t="str">
        <f>IF(I713="",IF(ISNUMBER(SEARCH("NOT NULL",UPPER(I$3))),"''","null"),SUBSTITUTE(VLOOKUP(I$2,convert!$A$1:$B$4,2,0),"@@@",I713))</f>
        <v>''</v>
      </c>
      <c r="Y713" s="4" t="str">
        <f>IF(J713="",IF(ISNUMBER(SEARCH("NOT NULL",UPPER(J$3))),"''","null"),SUBSTITUTE(VLOOKUP(J$2,convert!$A$1:$B$4,2,0),"@@@",J713))</f>
        <v>'water'</v>
      </c>
      <c r="Z713" s="4" t="str">
        <f>IF(K713="",IF(ISNUMBER(SEARCH("NOT NULL",UPPER(K$3))),"''","null"),SUBSTITUTE(VLOOKUP(K$2,convert!$A$1:$B$4,2,0),"@@@",K713))</f>
        <v>'flying'</v>
      </c>
      <c r="AA713" s="4" t="str">
        <f>IF(L713="",IF(ISNUMBER(SEARCH("NOT NULL",UPPER(L$3))),"''","null"),SUBSTITUTE(VLOOKUP(L$2,convert!$A$1:$B$4,2,0),"@@@",L713))</f>
        <v>'g5'</v>
      </c>
      <c r="AB713" s="4" t="str">
        <f>IF(M713="",IF(ISNUMBER(SEARCH("NOT NULL",UPPER(M$3))),"''","null"),SUBSTITUTE(VLOOKUP(M$2,convert!$A$1:$B$4,2,0),"@@@",M713))</f>
        <v>null</v>
      </c>
      <c r="AC713" s="4" t="str">
        <f>IF(N713="",IF(ISNUMBER(SEARCH("NOT NULL",UPPER(N$3))),"''","null"),SUBSTITUTE(VLOOKUP(N$2,convert!$A$1:$B$4,2,0),"@@@",N713))</f>
        <v>null</v>
      </c>
      <c r="AD713" s="4" t="str">
        <f>IF(O713="",IF(ISNUMBER(SEARCH("NOT NULL",UPPER(O$3))),"''","null"),SUBSTITUTE(VLOOKUP(O$2,convert!$A$1:$B$4,2,0),"@@@",O713))</f>
        <v>TRUE</v>
      </c>
      <c r="AE713" s="4" t="str">
        <f t="shared" si="11"/>
        <v>    ('0581N01', 'スワンナ', 75, 87, 63, 87, 63, 98, '', 'water', 'flying', 'g5', null, null, TRUE),</v>
      </c>
    </row>
    <row r="714" spans="1:31">
      <c r="A714" s="4" t="s">
        <v>1436</v>
      </c>
      <c r="B714" s="4" t="s">
        <v>1437</v>
      </c>
      <c r="C714" s="5">
        <v>36</v>
      </c>
      <c r="D714" s="5">
        <v>50</v>
      </c>
      <c r="E714" s="5">
        <v>50</v>
      </c>
      <c r="F714" s="5">
        <v>65</v>
      </c>
      <c r="G714" s="5">
        <v>60</v>
      </c>
      <c r="H714" s="5">
        <v>44</v>
      </c>
      <c r="I714" s="5"/>
      <c r="J714" s="4" t="s">
        <v>118</v>
      </c>
      <c r="K714" s="5"/>
      <c r="L714" s="4" t="s">
        <v>1243</v>
      </c>
      <c r="M714" s="5"/>
      <c r="N714" s="5"/>
      <c r="O714" s="5" t="b">
        <v>1</v>
      </c>
      <c r="P714" s="4" t="str">
        <f>IF(A714="",IF(ISNUMBER(SEARCH("NOT NULL",UPPER(A$3))),"''","null"),SUBSTITUTE(VLOOKUP(A$2,convert!$A$1:$B$4,2,0),"@@@",A714))</f>
        <v>'0582N01'</v>
      </c>
      <c r="Q714" s="4" t="str">
        <f>IF(B714="",IF(ISNUMBER(SEARCH("NOT NULL",UPPER(B$3))),"''","null"),SUBSTITUTE(VLOOKUP(B$2,convert!$A$1:$B$4,2,0),"@@@",B714))</f>
        <v>'バニプッチ'</v>
      </c>
      <c r="R714" s="4" t="str">
        <f>IF(C714="",IF(ISNUMBER(SEARCH("NOT NULL",UPPER(C$3))),"''","null"),SUBSTITUTE(VLOOKUP(C$2,convert!$A$1:$B$4,2,0),"@@@",C714))</f>
        <v>36</v>
      </c>
      <c r="S714" s="4" t="str">
        <f>IF(D714="",IF(ISNUMBER(SEARCH("NOT NULL",UPPER(D$3))),"''","null"),SUBSTITUTE(VLOOKUP(D$2,convert!$A$1:$B$4,2,0),"@@@",D714))</f>
        <v>50</v>
      </c>
      <c r="T714" s="4" t="str">
        <f>IF(E714="",IF(ISNUMBER(SEARCH("NOT NULL",UPPER(E$3))),"''","null"),SUBSTITUTE(VLOOKUP(E$2,convert!$A$1:$B$4,2,0),"@@@",E714))</f>
        <v>50</v>
      </c>
      <c r="U714" s="4" t="str">
        <f>IF(F714="",IF(ISNUMBER(SEARCH("NOT NULL",UPPER(F$3))),"''","null"),SUBSTITUTE(VLOOKUP(F$2,convert!$A$1:$B$4,2,0),"@@@",F714))</f>
        <v>65</v>
      </c>
      <c r="V714" s="4" t="str">
        <f>IF(G714="",IF(ISNUMBER(SEARCH("NOT NULL",UPPER(G$3))),"''","null"),SUBSTITUTE(VLOOKUP(G$2,convert!$A$1:$B$4,2,0),"@@@",G714))</f>
        <v>60</v>
      </c>
      <c r="W714" s="4" t="str">
        <f>IF(H714="",IF(ISNUMBER(SEARCH("NOT NULL",UPPER(H$3))),"''","null"),SUBSTITUTE(VLOOKUP(H$2,convert!$A$1:$B$4,2,0),"@@@",H714))</f>
        <v>44</v>
      </c>
      <c r="X714" s="4" t="str">
        <f>IF(I714="",IF(ISNUMBER(SEARCH("NOT NULL",UPPER(I$3))),"''","null"),SUBSTITUTE(VLOOKUP(I$2,convert!$A$1:$B$4,2,0),"@@@",I714))</f>
        <v>''</v>
      </c>
      <c r="Y714" s="4" t="str">
        <f>IF(J714="",IF(ISNUMBER(SEARCH("NOT NULL",UPPER(J$3))),"''","null"),SUBSTITUTE(VLOOKUP(J$2,convert!$A$1:$B$4,2,0),"@@@",J714))</f>
        <v>'ice'</v>
      </c>
      <c r="Z714" s="4" t="str">
        <f>IF(K714="",IF(ISNUMBER(SEARCH("NOT NULL",UPPER(K$3))),"''","null"),SUBSTITUTE(VLOOKUP(K$2,convert!$A$1:$B$4,2,0),"@@@",K714))</f>
        <v>null</v>
      </c>
      <c r="AA714" s="4" t="str">
        <f>IF(L714="",IF(ISNUMBER(SEARCH("NOT NULL",UPPER(L$3))),"''","null"),SUBSTITUTE(VLOOKUP(L$2,convert!$A$1:$B$4,2,0),"@@@",L714))</f>
        <v>'g5'</v>
      </c>
      <c r="AB714" s="4" t="str">
        <f>IF(M714="",IF(ISNUMBER(SEARCH("NOT NULL",UPPER(M$3))),"''","null"),SUBSTITUTE(VLOOKUP(M$2,convert!$A$1:$B$4,2,0),"@@@",M714))</f>
        <v>null</v>
      </c>
      <c r="AC714" s="4" t="str">
        <f>IF(N714="",IF(ISNUMBER(SEARCH("NOT NULL",UPPER(N$3))),"''","null"),SUBSTITUTE(VLOOKUP(N$2,convert!$A$1:$B$4,2,0),"@@@",N714))</f>
        <v>null</v>
      </c>
      <c r="AD714" s="4" t="str">
        <f>IF(O714="",IF(ISNUMBER(SEARCH("NOT NULL",UPPER(O$3))),"''","null"),SUBSTITUTE(VLOOKUP(O$2,convert!$A$1:$B$4,2,0),"@@@",O714))</f>
        <v>TRUE</v>
      </c>
      <c r="AE714" s="4" t="str">
        <f t="shared" si="11"/>
        <v>    ('0582N01', 'バニプッチ', 36, 50, 50, 65, 60, 44, '', 'ice', null, 'g5', null, null, TRUE),</v>
      </c>
    </row>
    <row r="715" spans="1:31">
      <c r="A715" s="4" t="s">
        <v>1438</v>
      </c>
      <c r="B715" s="4" t="s">
        <v>1439</v>
      </c>
      <c r="C715" s="5">
        <v>51</v>
      </c>
      <c r="D715" s="5">
        <v>65</v>
      </c>
      <c r="E715" s="5">
        <v>65</v>
      </c>
      <c r="F715" s="5">
        <v>80</v>
      </c>
      <c r="G715" s="5">
        <v>75</v>
      </c>
      <c r="H715" s="5">
        <v>59</v>
      </c>
      <c r="I715" s="5"/>
      <c r="J715" s="4" t="s">
        <v>118</v>
      </c>
      <c r="K715" s="5"/>
      <c r="L715" s="4" t="s">
        <v>1243</v>
      </c>
      <c r="M715" s="5"/>
      <c r="N715" s="5"/>
      <c r="O715" s="5" t="b">
        <v>1</v>
      </c>
      <c r="P715" s="4" t="str">
        <f>IF(A715="",IF(ISNUMBER(SEARCH("NOT NULL",UPPER(A$3))),"''","null"),SUBSTITUTE(VLOOKUP(A$2,convert!$A$1:$B$4,2,0),"@@@",A715))</f>
        <v>'0583N01'</v>
      </c>
      <c r="Q715" s="4" t="str">
        <f>IF(B715="",IF(ISNUMBER(SEARCH("NOT NULL",UPPER(B$3))),"''","null"),SUBSTITUTE(VLOOKUP(B$2,convert!$A$1:$B$4,2,0),"@@@",B715))</f>
        <v>'バニリッチ'</v>
      </c>
      <c r="R715" s="4" t="str">
        <f>IF(C715="",IF(ISNUMBER(SEARCH("NOT NULL",UPPER(C$3))),"''","null"),SUBSTITUTE(VLOOKUP(C$2,convert!$A$1:$B$4,2,0),"@@@",C715))</f>
        <v>51</v>
      </c>
      <c r="S715" s="4" t="str">
        <f>IF(D715="",IF(ISNUMBER(SEARCH("NOT NULL",UPPER(D$3))),"''","null"),SUBSTITUTE(VLOOKUP(D$2,convert!$A$1:$B$4,2,0),"@@@",D715))</f>
        <v>65</v>
      </c>
      <c r="T715" s="4" t="str">
        <f>IF(E715="",IF(ISNUMBER(SEARCH("NOT NULL",UPPER(E$3))),"''","null"),SUBSTITUTE(VLOOKUP(E$2,convert!$A$1:$B$4,2,0),"@@@",E715))</f>
        <v>65</v>
      </c>
      <c r="U715" s="4" t="str">
        <f>IF(F715="",IF(ISNUMBER(SEARCH("NOT NULL",UPPER(F$3))),"''","null"),SUBSTITUTE(VLOOKUP(F$2,convert!$A$1:$B$4,2,0),"@@@",F715))</f>
        <v>80</v>
      </c>
      <c r="V715" s="4" t="str">
        <f>IF(G715="",IF(ISNUMBER(SEARCH("NOT NULL",UPPER(G$3))),"''","null"),SUBSTITUTE(VLOOKUP(G$2,convert!$A$1:$B$4,2,0),"@@@",G715))</f>
        <v>75</v>
      </c>
      <c r="W715" s="4" t="str">
        <f>IF(H715="",IF(ISNUMBER(SEARCH("NOT NULL",UPPER(H$3))),"''","null"),SUBSTITUTE(VLOOKUP(H$2,convert!$A$1:$B$4,2,0),"@@@",H715))</f>
        <v>59</v>
      </c>
      <c r="X715" s="4" t="str">
        <f>IF(I715="",IF(ISNUMBER(SEARCH("NOT NULL",UPPER(I$3))),"''","null"),SUBSTITUTE(VLOOKUP(I$2,convert!$A$1:$B$4,2,0),"@@@",I715))</f>
        <v>''</v>
      </c>
      <c r="Y715" s="4" t="str">
        <f>IF(J715="",IF(ISNUMBER(SEARCH("NOT NULL",UPPER(J$3))),"''","null"),SUBSTITUTE(VLOOKUP(J$2,convert!$A$1:$B$4,2,0),"@@@",J715))</f>
        <v>'ice'</v>
      </c>
      <c r="Z715" s="4" t="str">
        <f>IF(K715="",IF(ISNUMBER(SEARCH("NOT NULL",UPPER(K$3))),"''","null"),SUBSTITUTE(VLOOKUP(K$2,convert!$A$1:$B$4,2,0),"@@@",K715))</f>
        <v>null</v>
      </c>
      <c r="AA715" s="4" t="str">
        <f>IF(L715="",IF(ISNUMBER(SEARCH("NOT NULL",UPPER(L$3))),"''","null"),SUBSTITUTE(VLOOKUP(L$2,convert!$A$1:$B$4,2,0),"@@@",L715))</f>
        <v>'g5'</v>
      </c>
      <c r="AB715" s="4" t="str">
        <f>IF(M715="",IF(ISNUMBER(SEARCH("NOT NULL",UPPER(M$3))),"''","null"),SUBSTITUTE(VLOOKUP(M$2,convert!$A$1:$B$4,2,0),"@@@",M715))</f>
        <v>null</v>
      </c>
      <c r="AC715" s="4" t="str">
        <f>IF(N715="",IF(ISNUMBER(SEARCH("NOT NULL",UPPER(N$3))),"''","null"),SUBSTITUTE(VLOOKUP(N$2,convert!$A$1:$B$4,2,0),"@@@",N715))</f>
        <v>null</v>
      </c>
      <c r="AD715" s="4" t="str">
        <f>IF(O715="",IF(ISNUMBER(SEARCH("NOT NULL",UPPER(O$3))),"''","null"),SUBSTITUTE(VLOOKUP(O$2,convert!$A$1:$B$4,2,0),"@@@",O715))</f>
        <v>TRUE</v>
      </c>
      <c r="AE715" s="4" t="str">
        <f t="shared" si="11"/>
        <v>    ('0583N01', 'バニリッチ', 51, 65, 65, 80, 75, 59, '', 'ice', null, 'g5', null, null, TRUE),</v>
      </c>
    </row>
    <row r="716" spans="1:31">
      <c r="A716" s="4" t="s">
        <v>1440</v>
      </c>
      <c r="B716" s="4" t="s">
        <v>1441</v>
      </c>
      <c r="C716" s="5">
        <v>71</v>
      </c>
      <c r="D716" s="5">
        <v>95</v>
      </c>
      <c r="E716" s="5">
        <v>85</v>
      </c>
      <c r="F716" s="5">
        <v>110</v>
      </c>
      <c r="G716" s="5">
        <v>95</v>
      </c>
      <c r="H716" s="5">
        <v>79</v>
      </c>
      <c r="I716" s="5"/>
      <c r="J716" s="4" t="s">
        <v>118</v>
      </c>
      <c r="K716" s="5"/>
      <c r="L716" s="4" t="s">
        <v>1243</v>
      </c>
      <c r="M716" s="5"/>
      <c r="N716" s="5"/>
      <c r="O716" s="5" t="b">
        <v>1</v>
      </c>
      <c r="P716" s="4" t="str">
        <f>IF(A716="",IF(ISNUMBER(SEARCH("NOT NULL",UPPER(A$3))),"''","null"),SUBSTITUTE(VLOOKUP(A$2,convert!$A$1:$B$4,2,0),"@@@",A716))</f>
        <v>'0584N01'</v>
      </c>
      <c r="Q716" s="4" t="str">
        <f>IF(B716="",IF(ISNUMBER(SEARCH("NOT NULL",UPPER(B$3))),"''","null"),SUBSTITUTE(VLOOKUP(B$2,convert!$A$1:$B$4,2,0),"@@@",B716))</f>
        <v>'バイバニラ'</v>
      </c>
      <c r="R716" s="4" t="str">
        <f>IF(C716="",IF(ISNUMBER(SEARCH("NOT NULL",UPPER(C$3))),"''","null"),SUBSTITUTE(VLOOKUP(C$2,convert!$A$1:$B$4,2,0),"@@@",C716))</f>
        <v>71</v>
      </c>
      <c r="S716" s="4" t="str">
        <f>IF(D716="",IF(ISNUMBER(SEARCH("NOT NULL",UPPER(D$3))),"''","null"),SUBSTITUTE(VLOOKUP(D$2,convert!$A$1:$B$4,2,0),"@@@",D716))</f>
        <v>95</v>
      </c>
      <c r="T716" s="4" t="str">
        <f>IF(E716="",IF(ISNUMBER(SEARCH("NOT NULL",UPPER(E$3))),"''","null"),SUBSTITUTE(VLOOKUP(E$2,convert!$A$1:$B$4,2,0),"@@@",E716))</f>
        <v>85</v>
      </c>
      <c r="U716" s="4" t="str">
        <f>IF(F716="",IF(ISNUMBER(SEARCH("NOT NULL",UPPER(F$3))),"''","null"),SUBSTITUTE(VLOOKUP(F$2,convert!$A$1:$B$4,2,0),"@@@",F716))</f>
        <v>110</v>
      </c>
      <c r="V716" s="4" t="str">
        <f>IF(G716="",IF(ISNUMBER(SEARCH("NOT NULL",UPPER(G$3))),"''","null"),SUBSTITUTE(VLOOKUP(G$2,convert!$A$1:$B$4,2,0),"@@@",G716))</f>
        <v>95</v>
      </c>
      <c r="W716" s="4" t="str">
        <f>IF(H716="",IF(ISNUMBER(SEARCH("NOT NULL",UPPER(H$3))),"''","null"),SUBSTITUTE(VLOOKUP(H$2,convert!$A$1:$B$4,2,0),"@@@",H716))</f>
        <v>79</v>
      </c>
      <c r="X716" s="4" t="str">
        <f>IF(I716="",IF(ISNUMBER(SEARCH("NOT NULL",UPPER(I$3))),"''","null"),SUBSTITUTE(VLOOKUP(I$2,convert!$A$1:$B$4,2,0),"@@@",I716))</f>
        <v>''</v>
      </c>
      <c r="Y716" s="4" t="str">
        <f>IF(J716="",IF(ISNUMBER(SEARCH("NOT NULL",UPPER(J$3))),"''","null"),SUBSTITUTE(VLOOKUP(J$2,convert!$A$1:$B$4,2,0),"@@@",J716))</f>
        <v>'ice'</v>
      </c>
      <c r="Z716" s="4" t="str">
        <f>IF(K716="",IF(ISNUMBER(SEARCH("NOT NULL",UPPER(K$3))),"''","null"),SUBSTITUTE(VLOOKUP(K$2,convert!$A$1:$B$4,2,0),"@@@",K716))</f>
        <v>null</v>
      </c>
      <c r="AA716" s="4" t="str">
        <f>IF(L716="",IF(ISNUMBER(SEARCH("NOT NULL",UPPER(L$3))),"''","null"),SUBSTITUTE(VLOOKUP(L$2,convert!$A$1:$B$4,2,0),"@@@",L716))</f>
        <v>'g5'</v>
      </c>
      <c r="AB716" s="4" t="str">
        <f>IF(M716="",IF(ISNUMBER(SEARCH("NOT NULL",UPPER(M$3))),"''","null"),SUBSTITUTE(VLOOKUP(M$2,convert!$A$1:$B$4,2,0),"@@@",M716))</f>
        <v>null</v>
      </c>
      <c r="AC716" s="4" t="str">
        <f>IF(N716="",IF(ISNUMBER(SEARCH("NOT NULL",UPPER(N$3))),"''","null"),SUBSTITUTE(VLOOKUP(N$2,convert!$A$1:$B$4,2,0),"@@@",N716))</f>
        <v>null</v>
      </c>
      <c r="AD716" s="4" t="str">
        <f>IF(O716="",IF(ISNUMBER(SEARCH("NOT NULL",UPPER(O$3))),"''","null"),SUBSTITUTE(VLOOKUP(O$2,convert!$A$1:$B$4,2,0),"@@@",O716))</f>
        <v>TRUE</v>
      </c>
      <c r="AE716" s="4" t="str">
        <f t="shared" si="11"/>
        <v>    ('0584N01', 'バイバニラ', 71, 95, 85, 110, 95, 79, '', 'ice', null, 'g5', null, null, TRUE),</v>
      </c>
    </row>
    <row r="717" spans="1:31">
      <c r="A717" s="4" t="s">
        <v>1442</v>
      </c>
      <c r="B717" s="4" t="s">
        <v>1443</v>
      </c>
      <c r="C717" s="5">
        <v>60</v>
      </c>
      <c r="D717" s="5">
        <v>60</v>
      </c>
      <c r="E717" s="5">
        <v>50</v>
      </c>
      <c r="F717" s="5">
        <v>40</v>
      </c>
      <c r="G717" s="5">
        <v>50</v>
      </c>
      <c r="H717" s="5">
        <v>75</v>
      </c>
      <c r="I717" s="4" t="s">
        <v>1444</v>
      </c>
      <c r="J717" s="4" t="s">
        <v>80</v>
      </c>
      <c r="K717" s="4" t="s">
        <v>30</v>
      </c>
      <c r="L717" s="4" t="s">
        <v>1243</v>
      </c>
      <c r="M717" s="5"/>
      <c r="N717" s="5"/>
      <c r="O717" s="5" t="b">
        <v>1</v>
      </c>
      <c r="P717" s="4" t="str">
        <f>IF(A717="",IF(ISNUMBER(SEARCH("NOT NULL",UPPER(A$3))),"''","null"),SUBSTITUTE(VLOOKUP(A$2,convert!$A$1:$B$4,2,0),"@@@",A717))</f>
        <v>'0585N01'</v>
      </c>
      <c r="Q717" s="4" t="str">
        <f>IF(B717="",IF(ISNUMBER(SEARCH("NOT NULL",UPPER(B$3))),"''","null"),SUBSTITUTE(VLOOKUP(B$2,convert!$A$1:$B$4,2,0),"@@@",B717))</f>
        <v>'シキジカ'</v>
      </c>
      <c r="R717" s="4" t="str">
        <f>IF(C717="",IF(ISNUMBER(SEARCH("NOT NULL",UPPER(C$3))),"''","null"),SUBSTITUTE(VLOOKUP(C$2,convert!$A$1:$B$4,2,0),"@@@",C717))</f>
        <v>60</v>
      </c>
      <c r="S717" s="4" t="str">
        <f>IF(D717="",IF(ISNUMBER(SEARCH("NOT NULL",UPPER(D$3))),"''","null"),SUBSTITUTE(VLOOKUP(D$2,convert!$A$1:$B$4,2,0),"@@@",D717))</f>
        <v>60</v>
      </c>
      <c r="T717" s="4" t="str">
        <f>IF(E717="",IF(ISNUMBER(SEARCH("NOT NULL",UPPER(E$3))),"''","null"),SUBSTITUTE(VLOOKUP(E$2,convert!$A$1:$B$4,2,0),"@@@",E717))</f>
        <v>50</v>
      </c>
      <c r="U717" s="4" t="str">
        <f>IF(F717="",IF(ISNUMBER(SEARCH("NOT NULL",UPPER(F$3))),"''","null"),SUBSTITUTE(VLOOKUP(F$2,convert!$A$1:$B$4,2,0),"@@@",F717))</f>
        <v>40</v>
      </c>
      <c r="V717" s="4" t="str">
        <f>IF(G717="",IF(ISNUMBER(SEARCH("NOT NULL",UPPER(G$3))),"''","null"),SUBSTITUTE(VLOOKUP(G$2,convert!$A$1:$B$4,2,0),"@@@",G717))</f>
        <v>50</v>
      </c>
      <c r="W717" s="4" t="str">
        <f>IF(H717="",IF(ISNUMBER(SEARCH("NOT NULL",UPPER(H$3))),"''","null"),SUBSTITUTE(VLOOKUP(H$2,convert!$A$1:$B$4,2,0),"@@@",H717))</f>
        <v>75</v>
      </c>
      <c r="X717" s="4" t="str">
        <f>IF(I717="",IF(ISNUMBER(SEARCH("NOT NULL",UPPER(I$3))),"''","null"),SUBSTITUTE(VLOOKUP(I$2,convert!$A$1:$B$4,2,0),"@@@",I717))</f>
        <v>'はるのすがた'</v>
      </c>
      <c r="Y717" s="4" t="str">
        <f>IF(J717="",IF(ISNUMBER(SEARCH("NOT NULL",UPPER(J$3))),"''","null"),SUBSTITUTE(VLOOKUP(J$2,convert!$A$1:$B$4,2,0),"@@@",J717))</f>
        <v>'normal'</v>
      </c>
      <c r="Z717" s="4" t="str">
        <f>IF(K717="",IF(ISNUMBER(SEARCH("NOT NULL",UPPER(K$3))),"''","null"),SUBSTITUTE(VLOOKUP(K$2,convert!$A$1:$B$4,2,0),"@@@",K717))</f>
        <v>'grass'</v>
      </c>
      <c r="AA717" s="4" t="str">
        <f>IF(L717="",IF(ISNUMBER(SEARCH("NOT NULL",UPPER(L$3))),"''","null"),SUBSTITUTE(VLOOKUP(L$2,convert!$A$1:$B$4,2,0),"@@@",L717))</f>
        <v>'g5'</v>
      </c>
      <c r="AB717" s="4" t="str">
        <f>IF(M717="",IF(ISNUMBER(SEARCH("NOT NULL",UPPER(M$3))),"''","null"),SUBSTITUTE(VLOOKUP(M$2,convert!$A$1:$B$4,2,0),"@@@",M717))</f>
        <v>null</v>
      </c>
      <c r="AC717" s="4" t="str">
        <f>IF(N717="",IF(ISNUMBER(SEARCH("NOT NULL",UPPER(N$3))),"''","null"),SUBSTITUTE(VLOOKUP(N$2,convert!$A$1:$B$4,2,0),"@@@",N717))</f>
        <v>null</v>
      </c>
      <c r="AD717" s="4" t="str">
        <f>IF(O717="",IF(ISNUMBER(SEARCH("NOT NULL",UPPER(O$3))),"''","null"),SUBSTITUTE(VLOOKUP(O$2,convert!$A$1:$B$4,2,0),"@@@",O717))</f>
        <v>TRUE</v>
      </c>
      <c r="AE717" s="4" t="str">
        <f t="shared" si="11"/>
        <v>    ('0585N01', 'シキジカ', 60, 60, 50, 40, 50, 75, 'はるのすがた', 'normal', 'grass', 'g5', null, null, TRUE),</v>
      </c>
    </row>
    <row r="718" spans="1:31">
      <c r="A718" s="4" t="s">
        <v>1445</v>
      </c>
      <c r="B718" s="4" t="s">
        <v>1443</v>
      </c>
      <c r="C718" s="5">
        <v>60</v>
      </c>
      <c r="D718" s="5">
        <v>60</v>
      </c>
      <c r="E718" s="5">
        <v>50</v>
      </c>
      <c r="F718" s="5">
        <v>40</v>
      </c>
      <c r="G718" s="5">
        <v>50</v>
      </c>
      <c r="H718" s="5">
        <v>75</v>
      </c>
      <c r="I718" s="4" t="s">
        <v>1446</v>
      </c>
      <c r="J718" s="4" t="s">
        <v>80</v>
      </c>
      <c r="K718" s="4" t="s">
        <v>30</v>
      </c>
      <c r="L718" s="4" t="s">
        <v>1243</v>
      </c>
      <c r="M718" s="5"/>
      <c r="N718" s="5"/>
      <c r="O718" s="5" t="b">
        <v>1</v>
      </c>
      <c r="P718" s="4" t="str">
        <f>IF(A718="",IF(ISNUMBER(SEARCH("NOT NULL",UPPER(A$3))),"''","null"),SUBSTITUTE(VLOOKUP(A$2,convert!$A$1:$B$4,2,0),"@@@",A718))</f>
        <v>'0585N02'</v>
      </c>
      <c r="Q718" s="4" t="str">
        <f>IF(B718="",IF(ISNUMBER(SEARCH("NOT NULL",UPPER(B$3))),"''","null"),SUBSTITUTE(VLOOKUP(B$2,convert!$A$1:$B$4,2,0),"@@@",B718))</f>
        <v>'シキジカ'</v>
      </c>
      <c r="R718" s="4" t="str">
        <f>IF(C718="",IF(ISNUMBER(SEARCH("NOT NULL",UPPER(C$3))),"''","null"),SUBSTITUTE(VLOOKUP(C$2,convert!$A$1:$B$4,2,0),"@@@",C718))</f>
        <v>60</v>
      </c>
      <c r="S718" s="4" t="str">
        <f>IF(D718="",IF(ISNUMBER(SEARCH("NOT NULL",UPPER(D$3))),"''","null"),SUBSTITUTE(VLOOKUP(D$2,convert!$A$1:$B$4,2,0),"@@@",D718))</f>
        <v>60</v>
      </c>
      <c r="T718" s="4" t="str">
        <f>IF(E718="",IF(ISNUMBER(SEARCH("NOT NULL",UPPER(E$3))),"''","null"),SUBSTITUTE(VLOOKUP(E$2,convert!$A$1:$B$4,2,0),"@@@",E718))</f>
        <v>50</v>
      </c>
      <c r="U718" s="4" t="str">
        <f>IF(F718="",IF(ISNUMBER(SEARCH("NOT NULL",UPPER(F$3))),"''","null"),SUBSTITUTE(VLOOKUP(F$2,convert!$A$1:$B$4,2,0),"@@@",F718))</f>
        <v>40</v>
      </c>
      <c r="V718" s="4" t="str">
        <f>IF(G718="",IF(ISNUMBER(SEARCH("NOT NULL",UPPER(G$3))),"''","null"),SUBSTITUTE(VLOOKUP(G$2,convert!$A$1:$B$4,2,0),"@@@",G718))</f>
        <v>50</v>
      </c>
      <c r="W718" s="4" t="str">
        <f>IF(H718="",IF(ISNUMBER(SEARCH("NOT NULL",UPPER(H$3))),"''","null"),SUBSTITUTE(VLOOKUP(H$2,convert!$A$1:$B$4,2,0),"@@@",H718))</f>
        <v>75</v>
      </c>
      <c r="X718" s="4" t="str">
        <f>IF(I718="",IF(ISNUMBER(SEARCH("NOT NULL",UPPER(I$3))),"''","null"),SUBSTITUTE(VLOOKUP(I$2,convert!$A$1:$B$4,2,0),"@@@",I718))</f>
        <v>'なつのすがた'</v>
      </c>
      <c r="Y718" s="4" t="str">
        <f>IF(J718="",IF(ISNUMBER(SEARCH("NOT NULL",UPPER(J$3))),"''","null"),SUBSTITUTE(VLOOKUP(J$2,convert!$A$1:$B$4,2,0),"@@@",J718))</f>
        <v>'normal'</v>
      </c>
      <c r="Z718" s="4" t="str">
        <f>IF(K718="",IF(ISNUMBER(SEARCH("NOT NULL",UPPER(K$3))),"''","null"),SUBSTITUTE(VLOOKUP(K$2,convert!$A$1:$B$4,2,0),"@@@",K718))</f>
        <v>'grass'</v>
      </c>
      <c r="AA718" s="4" t="str">
        <f>IF(L718="",IF(ISNUMBER(SEARCH("NOT NULL",UPPER(L$3))),"''","null"),SUBSTITUTE(VLOOKUP(L$2,convert!$A$1:$B$4,2,0),"@@@",L718))</f>
        <v>'g5'</v>
      </c>
      <c r="AB718" s="4" t="str">
        <f>IF(M718="",IF(ISNUMBER(SEARCH("NOT NULL",UPPER(M$3))),"''","null"),SUBSTITUTE(VLOOKUP(M$2,convert!$A$1:$B$4,2,0),"@@@",M718))</f>
        <v>null</v>
      </c>
      <c r="AC718" s="4" t="str">
        <f>IF(N718="",IF(ISNUMBER(SEARCH("NOT NULL",UPPER(N$3))),"''","null"),SUBSTITUTE(VLOOKUP(N$2,convert!$A$1:$B$4,2,0),"@@@",N718))</f>
        <v>null</v>
      </c>
      <c r="AD718" s="4" t="str">
        <f>IF(O718="",IF(ISNUMBER(SEARCH("NOT NULL",UPPER(O$3))),"''","null"),SUBSTITUTE(VLOOKUP(O$2,convert!$A$1:$B$4,2,0),"@@@",O718))</f>
        <v>TRUE</v>
      </c>
      <c r="AE718" s="4" t="str">
        <f t="shared" si="11"/>
        <v>    ('0585N02', 'シキジカ', 60, 60, 50, 40, 50, 75, 'なつのすがた', 'normal', 'grass', 'g5', null, null, TRUE),</v>
      </c>
    </row>
    <row r="719" spans="1:31">
      <c r="A719" s="4" t="s">
        <v>1447</v>
      </c>
      <c r="B719" s="4" t="s">
        <v>1443</v>
      </c>
      <c r="C719" s="5">
        <v>60</v>
      </c>
      <c r="D719" s="5">
        <v>60</v>
      </c>
      <c r="E719" s="5">
        <v>50</v>
      </c>
      <c r="F719" s="5">
        <v>40</v>
      </c>
      <c r="G719" s="5">
        <v>50</v>
      </c>
      <c r="H719" s="5">
        <v>75</v>
      </c>
      <c r="I719" s="4" t="s">
        <v>1448</v>
      </c>
      <c r="J719" s="4" t="s">
        <v>80</v>
      </c>
      <c r="K719" s="4" t="s">
        <v>30</v>
      </c>
      <c r="L719" s="4" t="s">
        <v>1243</v>
      </c>
      <c r="M719" s="5"/>
      <c r="N719" s="5"/>
      <c r="O719" s="5" t="b">
        <v>1</v>
      </c>
      <c r="P719" s="4" t="str">
        <f>IF(A719="",IF(ISNUMBER(SEARCH("NOT NULL",UPPER(A$3))),"''","null"),SUBSTITUTE(VLOOKUP(A$2,convert!$A$1:$B$4,2,0),"@@@",A719))</f>
        <v>'0585N03'</v>
      </c>
      <c r="Q719" s="4" t="str">
        <f>IF(B719="",IF(ISNUMBER(SEARCH("NOT NULL",UPPER(B$3))),"''","null"),SUBSTITUTE(VLOOKUP(B$2,convert!$A$1:$B$4,2,0),"@@@",B719))</f>
        <v>'シキジカ'</v>
      </c>
      <c r="R719" s="4" t="str">
        <f>IF(C719="",IF(ISNUMBER(SEARCH("NOT NULL",UPPER(C$3))),"''","null"),SUBSTITUTE(VLOOKUP(C$2,convert!$A$1:$B$4,2,0),"@@@",C719))</f>
        <v>60</v>
      </c>
      <c r="S719" s="4" t="str">
        <f>IF(D719="",IF(ISNUMBER(SEARCH("NOT NULL",UPPER(D$3))),"''","null"),SUBSTITUTE(VLOOKUP(D$2,convert!$A$1:$B$4,2,0),"@@@",D719))</f>
        <v>60</v>
      </c>
      <c r="T719" s="4" t="str">
        <f>IF(E719="",IF(ISNUMBER(SEARCH("NOT NULL",UPPER(E$3))),"''","null"),SUBSTITUTE(VLOOKUP(E$2,convert!$A$1:$B$4,2,0),"@@@",E719))</f>
        <v>50</v>
      </c>
      <c r="U719" s="4" t="str">
        <f>IF(F719="",IF(ISNUMBER(SEARCH("NOT NULL",UPPER(F$3))),"''","null"),SUBSTITUTE(VLOOKUP(F$2,convert!$A$1:$B$4,2,0),"@@@",F719))</f>
        <v>40</v>
      </c>
      <c r="V719" s="4" t="str">
        <f>IF(G719="",IF(ISNUMBER(SEARCH("NOT NULL",UPPER(G$3))),"''","null"),SUBSTITUTE(VLOOKUP(G$2,convert!$A$1:$B$4,2,0),"@@@",G719))</f>
        <v>50</v>
      </c>
      <c r="W719" s="4" t="str">
        <f>IF(H719="",IF(ISNUMBER(SEARCH("NOT NULL",UPPER(H$3))),"''","null"),SUBSTITUTE(VLOOKUP(H$2,convert!$A$1:$B$4,2,0),"@@@",H719))</f>
        <v>75</v>
      </c>
      <c r="X719" s="4" t="str">
        <f>IF(I719="",IF(ISNUMBER(SEARCH("NOT NULL",UPPER(I$3))),"''","null"),SUBSTITUTE(VLOOKUP(I$2,convert!$A$1:$B$4,2,0),"@@@",I719))</f>
        <v>'あきのすがた'</v>
      </c>
      <c r="Y719" s="4" t="str">
        <f>IF(J719="",IF(ISNUMBER(SEARCH("NOT NULL",UPPER(J$3))),"''","null"),SUBSTITUTE(VLOOKUP(J$2,convert!$A$1:$B$4,2,0),"@@@",J719))</f>
        <v>'normal'</v>
      </c>
      <c r="Z719" s="4" t="str">
        <f>IF(K719="",IF(ISNUMBER(SEARCH("NOT NULL",UPPER(K$3))),"''","null"),SUBSTITUTE(VLOOKUP(K$2,convert!$A$1:$B$4,2,0),"@@@",K719))</f>
        <v>'grass'</v>
      </c>
      <c r="AA719" s="4" t="str">
        <f>IF(L719="",IF(ISNUMBER(SEARCH("NOT NULL",UPPER(L$3))),"''","null"),SUBSTITUTE(VLOOKUP(L$2,convert!$A$1:$B$4,2,0),"@@@",L719))</f>
        <v>'g5'</v>
      </c>
      <c r="AB719" s="4" t="str">
        <f>IF(M719="",IF(ISNUMBER(SEARCH("NOT NULL",UPPER(M$3))),"''","null"),SUBSTITUTE(VLOOKUP(M$2,convert!$A$1:$B$4,2,0),"@@@",M719))</f>
        <v>null</v>
      </c>
      <c r="AC719" s="4" t="str">
        <f>IF(N719="",IF(ISNUMBER(SEARCH("NOT NULL",UPPER(N$3))),"''","null"),SUBSTITUTE(VLOOKUP(N$2,convert!$A$1:$B$4,2,0),"@@@",N719))</f>
        <v>null</v>
      </c>
      <c r="AD719" s="4" t="str">
        <f>IF(O719="",IF(ISNUMBER(SEARCH("NOT NULL",UPPER(O$3))),"''","null"),SUBSTITUTE(VLOOKUP(O$2,convert!$A$1:$B$4,2,0),"@@@",O719))</f>
        <v>TRUE</v>
      </c>
      <c r="AE719" s="4" t="str">
        <f t="shared" si="11"/>
        <v>    ('0585N03', 'シキジカ', 60, 60, 50, 40, 50, 75, 'あきのすがた', 'normal', 'grass', 'g5', null, null, TRUE),</v>
      </c>
    </row>
    <row r="720" spans="1:31">
      <c r="A720" s="4" t="s">
        <v>1449</v>
      </c>
      <c r="B720" s="4" t="s">
        <v>1443</v>
      </c>
      <c r="C720" s="5">
        <v>60</v>
      </c>
      <c r="D720" s="5">
        <v>60</v>
      </c>
      <c r="E720" s="5">
        <v>50</v>
      </c>
      <c r="F720" s="5">
        <v>40</v>
      </c>
      <c r="G720" s="5">
        <v>50</v>
      </c>
      <c r="H720" s="5">
        <v>75</v>
      </c>
      <c r="I720" s="4" t="s">
        <v>1450</v>
      </c>
      <c r="J720" s="4" t="s">
        <v>80</v>
      </c>
      <c r="K720" s="4" t="s">
        <v>30</v>
      </c>
      <c r="L720" s="4" t="s">
        <v>1243</v>
      </c>
      <c r="M720" s="5"/>
      <c r="N720" s="5"/>
      <c r="O720" s="5" t="b">
        <v>1</v>
      </c>
      <c r="P720" s="4" t="str">
        <f>IF(A720="",IF(ISNUMBER(SEARCH("NOT NULL",UPPER(A$3))),"''","null"),SUBSTITUTE(VLOOKUP(A$2,convert!$A$1:$B$4,2,0),"@@@",A720))</f>
        <v>'0585N04'</v>
      </c>
      <c r="Q720" s="4" t="str">
        <f>IF(B720="",IF(ISNUMBER(SEARCH("NOT NULL",UPPER(B$3))),"''","null"),SUBSTITUTE(VLOOKUP(B$2,convert!$A$1:$B$4,2,0),"@@@",B720))</f>
        <v>'シキジカ'</v>
      </c>
      <c r="R720" s="4" t="str">
        <f>IF(C720="",IF(ISNUMBER(SEARCH("NOT NULL",UPPER(C$3))),"''","null"),SUBSTITUTE(VLOOKUP(C$2,convert!$A$1:$B$4,2,0),"@@@",C720))</f>
        <v>60</v>
      </c>
      <c r="S720" s="4" t="str">
        <f>IF(D720="",IF(ISNUMBER(SEARCH("NOT NULL",UPPER(D$3))),"''","null"),SUBSTITUTE(VLOOKUP(D$2,convert!$A$1:$B$4,2,0),"@@@",D720))</f>
        <v>60</v>
      </c>
      <c r="T720" s="4" t="str">
        <f>IF(E720="",IF(ISNUMBER(SEARCH("NOT NULL",UPPER(E$3))),"''","null"),SUBSTITUTE(VLOOKUP(E$2,convert!$A$1:$B$4,2,0),"@@@",E720))</f>
        <v>50</v>
      </c>
      <c r="U720" s="4" t="str">
        <f>IF(F720="",IF(ISNUMBER(SEARCH("NOT NULL",UPPER(F$3))),"''","null"),SUBSTITUTE(VLOOKUP(F$2,convert!$A$1:$B$4,2,0),"@@@",F720))</f>
        <v>40</v>
      </c>
      <c r="V720" s="4" t="str">
        <f>IF(G720="",IF(ISNUMBER(SEARCH("NOT NULL",UPPER(G$3))),"''","null"),SUBSTITUTE(VLOOKUP(G$2,convert!$A$1:$B$4,2,0),"@@@",G720))</f>
        <v>50</v>
      </c>
      <c r="W720" s="4" t="str">
        <f>IF(H720="",IF(ISNUMBER(SEARCH("NOT NULL",UPPER(H$3))),"''","null"),SUBSTITUTE(VLOOKUP(H$2,convert!$A$1:$B$4,2,0),"@@@",H720))</f>
        <v>75</v>
      </c>
      <c r="X720" s="4" t="str">
        <f>IF(I720="",IF(ISNUMBER(SEARCH("NOT NULL",UPPER(I$3))),"''","null"),SUBSTITUTE(VLOOKUP(I$2,convert!$A$1:$B$4,2,0),"@@@",I720))</f>
        <v>'ふゆのすがた'</v>
      </c>
      <c r="Y720" s="4" t="str">
        <f>IF(J720="",IF(ISNUMBER(SEARCH("NOT NULL",UPPER(J$3))),"''","null"),SUBSTITUTE(VLOOKUP(J$2,convert!$A$1:$B$4,2,0),"@@@",J720))</f>
        <v>'normal'</v>
      </c>
      <c r="Z720" s="4" t="str">
        <f>IF(K720="",IF(ISNUMBER(SEARCH("NOT NULL",UPPER(K$3))),"''","null"),SUBSTITUTE(VLOOKUP(K$2,convert!$A$1:$B$4,2,0),"@@@",K720))</f>
        <v>'grass'</v>
      </c>
      <c r="AA720" s="4" t="str">
        <f>IF(L720="",IF(ISNUMBER(SEARCH("NOT NULL",UPPER(L$3))),"''","null"),SUBSTITUTE(VLOOKUP(L$2,convert!$A$1:$B$4,2,0),"@@@",L720))</f>
        <v>'g5'</v>
      </c>
      <c r="AB720" s="4" t="str">
        <f>IF(M720="",IF(ISNUMBER(SEARCH("NOT NULL",UPPER(M$3))),"''","null"),SUBSTITUTE(VLOOKUP(M$2,convert!$A$1:$B$4,2,0),"@@@",M720))</f>
        <v>null</v>
      </c>
      <c r="AC720" s="4" t="str">
        <f>IF(N720="",IF(ISNUMBER(SEARCH("NOT NULL",UPPER(N$3))),"''","null"),SUBSTITUTE(VLOOKUP(N$2,convert!$A$1:$B$4,2,0),"@@@",N720))</f>
        <v>null</v>
      </c>
      <c r="AD720" s="4" t="str">
        <f>IF(O720="",IF(ISNUMBER(SEARCH("NOT NULL",UPPER(O$3))),"''","null"),SUBSTITUTE(VLOOKUP(O$2,convert!$A$1:$B$4,2,0),"@@@",O720))</f>
        <v>TRUE</v>
      </c>
      <c r="AE720" s="4" t="str">
        <f t="shared" si="11"/>
        <v>    ('0585N04', 'シキジカ', 60, 60, 50, 40, 50, 75, 'ふゆのすがた', 'normal', 'grass', 'g5', null, null, TRUE),</v>
      </c>
    </row>
    <row r="721" spans="1:31">
      <c r="A721" s="4" t="s">
        <v>1451</v>
      </c>
      <c r="B721" s="4" t="s">
        <v>1452</v>
      </c>
      <c r="C721" s="5">
        <v>80</v>
      </c>
      <c r="D721" s="5">
        <v>100</v>
      </c>
      <c r="E721" s="5">
        <v>70</v>
      </c>
      <c r="F721" s="5">
        <v>60</v>
      </c>
      <c r="G721" s="5">
        <v>70</v>
      </c>
      <c r="H721" s="5">
        <v>95</v>
      </c>
      <c r="I721" s="4" t="s">
        <v>1444</v>
      </c>
      <c r="J721" s="4" t="s">
        <v>80</v>
      </c>
      <c r="K721" s="4" t="s">
        <v>30</v>
      </c>
      <c r="L721" s="4" t="s">
        <v>1243</v>
      </c>
      <c r="M721" s="5"/>
      <c r="N721" s="5"/>
      <c r="O721" s="5" t="b">
        <v>1</v>
      </c>
      <c r="P721" s="4" t="str">
        <f>IF(A721="",IF(ISNUMBER(SEARCH("NOT NULL",UPPER(A$3))),"''","null"),SUBSTITUTE(VLOOKUP(A$2,convert!$A$1:$B$4,2,0),"@@@",A721))</f>
        <v>'0586N01'</v>
      </c>
      <c r="Q721" s="4" t="str">
        <f>IF(B721="",IF(ISNUMBER(SEARCH("NOT NULL",UPPER(B$3))),"''","null"),SUBSTITUTE(VLOOKUP(B$2,convert!$A$1:$B$4,2,0),"@@@",B721))</f>
        <v>'メブキジカ'</v>
      </c>
      <c r="R721" s="4" t="str">
        <f>IF(C721="",IF(ISNUMBER(SEARCH("NOT NULL",UPPER(C$3))),"''","null"),SUBSTITUTE(VLOOKUP(C$2,convert!$A$1:$B$4,2,0),"@@@",C721))</f>
        <v>80</v>
      </c>
      <c r="S721" s="4" t="str">
        <f>IF(D721="",IF(ISNUMBER(SEARCH("NOT NULL",UPPER(D$3))),"''","null"),SUBSTITUTE(VLOOKUP(D$2,convert!$A$1:$B$4,2,0),"@@@",D721))</f>
        <v>100</v>
      </c>
      <c r="T721" s="4" t="str">
        <f>IF(E721="",IF(ISNUMBER(SEARCH("NOT NULL",UPPER(E$3))),"''","null"),SUBSTITUTE(VLOOKUP(E$2,convert!$A$1:$B$4,2,0),"@@@",E721))</f>
        <v>70</v>
      </c>
      <c r="U721" s="4" t="str">
        <f>IF(F721="",IF(ISNUMBER(SEARCH("NOT NULL",UPPER(F$3))),"''","null"),SUBSTITUTE(VLOOKUP(F$2,convert!$A$1:$B$4,2,0),"@@@",F721))</f>
        <v>60</v>
      </c>
      <c r="V721" s="4" t="str">
        <f>IF(G721="",IF(ISNUMBER(SEARCH("NOT NULL",UPPER(G$3))),"''","null"),SUBSTITUTE(VLOOKUP(G$2,convert!$A$1:$B$4,2,0),"@@@",G721))</f>
        <v>70</v>
      </c>
      <c r="W721" s="4" t="str">
        <f>IF(H721="",IF(ISNUMBER(SEARCH("NOT NULL",UPPER(H$3))),"''","null"),SUBSTITUTE(VLOOKUP(H$2,convert!$A$1:$B$4,2,0),"@@@",H721))</f>
        <v>95</v>
      </c>
      <c r="X721" s="4" t="str">
        <f>IF(I721="",IF(ISNUMBER(SEARCH("NOT NULL",UPPER(I$3))),"''","null"),SUBSTITUTE(VLOOKUP(I$2,convert!$A$1:$B$4,2,0),"@@@",I721))</f>
        <v>'はるのすがた'</v>
      </c>
      <c r="Y721" s="4" t="str">
        <f>IF(J721="",IF(ISNUMBER(SEARCH("NOT NULL",UPPER(J$3))),"''","null"),SUBSTITUTE(VLOOKUP(J$2,convert!$A$1:$B$4,2,0),"@@@",J721))</f>
        <v>'normal'</v>
      </c>
      <c r="Z721" s="4" t="str">
        <f>IF(K721="",IF(ISNUMBER(SEARCH("NOT NULL",UPPER(K$3))),"''","null"),SUBSTITUTE(VLOOKUP(K$2,convert!$A$1:$B$4,2,0),"@@@",K721))</f>
        <v>'grass'</v>
      </c>
      <c r="AA721" s="4" t="str">
        <f>IF(L721="",IF(ISNUMBER(SEARCH("NOT NULL",UPPER(L$3))),"''","null"),SUBSTITUTE(VLOOKUP(L$2,convert!$A$1:$B$4,2,0),"@@@",L721))</f>
        <v>'g5'</v>
      </c>
      <c r="AB721" s="4" t="str">
        <f>IF(M721="",IF(ISNUMBER(SEARCH("NOT NULL",UPPER(M$3))),"''","null"),SUBSTITUTE(VLOOKUP(M$2,convert!$A$1:$B$4,2,0),"@@@",M721))</f>
        <v>null</v>
      </c>
      <c r="AC721" s="4" t="str">
        <f>IF(N721="",IF(ISNUMBER(SEARCH("NOT NULL",UPPER(N$3))),"''","null"),SUBSTITUTE(VLOOKUP(N$2,convert!$A$1:$B$4,2,0),"@@@",N721))</f>
        <v>null</v>
      </c>
      <c r="AD721" s="4" t="str">
        <f>IF(O721="",IF(ISNUMBER(SEARCH("NOT NULL",UPPER(O$3))),"''","null"),SUBSTITUTE(VLOOKUP(O$2,convert!$A$1:$B$4,2,0),"@@@",O721))</f>
        <v>TRUE</v>
      </c>
      <c r="AE721" s="4" t="str">
        <f t="shared" si="11"/>
        <v>    ('0586N01', 'メブキジカ', 80, 100, 70, 60, 70, 95, 'はるのすがた', 'normal', 'grass', 'g5', null, null, TRUE),</v>
      </c>
    </row>
    <row r="722" spans="1:31">
      <c r="A722" s="4" t="s">
        <v>1453</v>
      </c>
      <c r="B722" s="4" t="s">
        <v>1452</v>
      </c>
      <c r="C722" s="5">
        <v>80</v>
      </c>
      <c r="D722" s="5">
        <v>100</v>
      </c>
      <c r="E722" s="5">
        <v>70</v>
      </c>
      <c r="F722" s="5">
        <v>60</v>
      </c>
      <c r="G722" s="5">
        <v>70</v>
      </c>
      <c r="H722" s="5">
        <v>95</v>
      </c>
      <c r="I722" s="4" t="s">
        <v>1446</v>
      </c>
      <c r="J722" s="4" t="s">
        <v>80</v>
      </c>
      <c r="K722" s="4" t="s">
        <v>30</v>
      </c>
      <c r="L722" s="4" t="s">
        <v>1243</v>
      </c>
      <c r="M722" s="5"/>
      <c r="N722" s="5"/>
      <c r="O722" s="5" t="b">
        <v>1</v>
      </c>
      <c r="P722" s="4" t="str">
        <f>IF(A722="",IF(ISNUMBER(SEARCH("NOT NULL",UPPER(A$3))),"''","null"),SUBSTITUTE(VLOOKUP(A$2,convert!$A$1:$B$4,2,0),"@@@",A722))</f>
        <v>'0586N02'</v>
      </c>
      <c r="Q722" s="4" t="str">
        <f>IF(B722="",IF(ISNUMBER(SEARCH("NOT NULL",UPPER(B$3))),"''","null"),SUBSTITUTE(VLOOKUP(B$2,convert!$A$1:$B$4,2,0),"@@@",B722))</f>
        <v>'メブキジカ'</v>
      </c>
      <c r="R722" s="4" t="str">
        <f>IF(C722="",IF(ISNUMBER(SEARCH("NOT NULL",UPPER(C$3))),"''","null"),SUBSTITUTE(VLOOKUP(C$2,convert!$A$1:$B$4,2,0),"@@@",C722))</f>
        <v>80</v>
      </c>
      <c r="S722" s="4" t="str">
        <f>IF(D722="",IF(ISNUMBER(SEARCH("NOT NULL",UPPER(D$3))),"''","null"),SUBSTITUTE(VLOOKUP(D$2,convert!$A$1:$B$4,2,0),"@@@",D722))</f>
        <v>100</v>
      </c>
      <c r="T722" s="4" t="str">
        <f>IF(E722="",IF(ISNUMBER(SEARCH("NOT NULL",UPPER(E$3))),"''","null"),SUBSTITUTE(VLOOKUP(E$2,convert!$A$1:$B$4,2,0),"@@@",E722))</f>
        <v>70</v>
      </c>
      <c r="U722" s="4" t="str">
        <f>IF(F722="",IF(ISNUMBER(SEARCH("NOT NULL",UPPER(F$3))),"''","null"),SUBSTITUTE(VLOOKUP(F$2,convert!$A$1:$B$4,2,0),"@@@",F722))</f>
        <v>60</v>
      </c>
      <c r="V722" s="4" t="str">
        <f>IF(G722="",IF(ISNUMBER(SEARCH("NOT NULL",UPPER(G$3))),"''","null"),SUBSTITUTE(VLOOKUP(G$2,convert!$A$1:$B$4,2,0),"@@@",G722))</f>
        <v>70</v>
      </c>
      <c r="W722" s="4" t="str">
        <f>IF(H722="",IF(ISNUMBER(SEARCH("NOT NULL",UPPER(H$3))),"''","null"),SUBSTITUTE(VLOOKUP(H$2,convert!$A$1:$B$4,2,0),"@@@",H722))</f>
        <v>95</v>
      </c>
      <c r="X722" s="4" t="str">
        <f>IF(I722="",IF(ISNUMBER(SEARCH("NOT NULL",UPPER(I$3))),"''","null"),SUBSTITUTE(VLOOKUP(I$2,convert!$A$1:$B$4,2,0),"@@@",I722))</f>
        <v>'なつのすがた'</v>
      </c>
      <c r="Y722" s="4" t="str">
        <f>IF(J722="",IF(ISNUMBER(SEARCH("NOT NULL",UPPER(J$3))),"''","null"),SUBSTITUTE(VLOOKUP(J$2,convert!$A$1:$B$4,2,0),"@@@",J722))</f>
        <v>'normal'</v>
      </c>
      <c r="Z722" s="4" t="str">
        <f>IF(K722="",IF(ISNUMBER(SEARCH("NOT NULL",UPPER(K$3))),"''","null"),SUBSTITUTE(VLOOKUP(K$2,convert!$A$1:$B$4,2,0),"@@@",K722))</f>
        <v>'grass'</v>
      </c>
      <c r="AA722" s="4" t="str">
        <f>IF(L722="",IF(ISNUMBER(SEARCH("NOT NULL",UPPER(L$3))),"''","null"),SUBSTITUTE(VLOOKUP(L$2,convert!$A$1:$B$4,2,0),"@@@",L722))</f>
        <v>'g5'</v>
      </c>
      <c r="AB722" s="4" t="str">
        <f>IF(M722="",IF(ISNUMBER(SEARCH("NOT NULL",UPPER(M$3))),"''","null"),SUBSTITUTE(VLOOKUP(M$2,convert!$A$1:$B$4,2,0),"@@@",M722))</f>
        <v>null</v>
      </c>
      <c r="AC722" s="4" t="str">
        <f>IF(N722="",IF(ISNUMBER(SEARCH("NOT NULL",UPPER(N$3))),"''","null"),SUBSTITUTE(VLOOKUP(N$2,convert!$A$1:$B$4,2,0),"@@@",N722))</f>
        <v>null</v>
      </c>
      <c r="AD722" s="4" t="str">
        <f>IF(O722="",IF(ISNUMBER(SEARCH("NOT NULL",UPPER(O$3))),"''","null"),SUBSTITUTE(VLOOKUP(O$2,convert!$A$1:$B$4,2,0),"@@@",O722))</f>
        <v>TRUE</v>
      </c>
      <c r="AE722" s="4" t="str">
        <f t="shared" si="11"/>
        <v>    ('0586N02', 'メブキジカ', 80, 100, 70, 60, 70, 95, 'なつのすがた', 'normal', 'grass', 'g5', null, null, TRUE),</v>
      </c>
    </row>
    <row r="723" spans="1:31">
      <c r="A723" s="4" t="s">
        <v>1454</v>
      </c>
      <c r="B723" s="4" t="s">
        <v>1452</v>
      </c>
      <c r="C723" s="5">
        <v>80</v>
      </c>
      <c r="D723" s="5">
        <v>100</v>
      </c>
      <c r="E723" s="5">
        <v>70</v>
      </c>
      <c r="F723" s="5">
        <v>60</v>
      </c>
      <c r="G723" s="5">
        <v>70</v>
      </c>
      <c r="H723" s="5">
        <v>95</v>
      </c>
      <c r="I723" s="4" t="s">
        <v>1448</v>
      </c>
      <c r="J723" s="4" t="s">
        <v>80</v>
      </c>
      <c r="K723" s="4" t="s">
        <v>30</v>
      </c>
      <c r="L723" s="4" t="s">
        <v>1243</v>
      </c>
      <c r="M723" s="5"/>
      <c r="N723" s="5"/>
      <c r="O723" s="5" t="b">
        <v>1</v>
      </c>
      <c r="P723" s="4" t="str">
        <f>IF(A723="",IF(ISNUMBER(SEARCH("NOT NULL",UPPER(A$3))),"''","null"),SUBSTITUTE(VLOOKUP(A$2,convert!$A$1:$B$4,2,0),"@@@",A723))</f>
        <v>'0586N03'</v>
      </c>
      <c r="Q723" s="4" t="str">
        <f>IF(B723="",IF(ISNUMBER(SEARCH("NOT NULL",UPPER(B$3))),"''","null"),SUBSTITUTE(VLOOKUP(B$2,convert!$A$1:$B$4,2,0),"@@@",B723))</f>
        <v>'メブキジカ'</v>
      </c>
      <c r="R723" s="4" t="str">
        <f>IF(C723="",IF(ISNUMBER(SEARCH("NOT NULL",UPPER(C$3))),"''","null"),SUBSTITUTE(VLOOKUP(C$2,convert!$A$1:$B$4,2,0),"@@@",C723))</f>
        <v>80</v>
      </c>
      <c r="S723" s="4" t="str">
        <f>IF(D723="",IF(ISNUMBER(SEARCH("NOT NULL",UPPER(D$3))),"''","null"),SUBSTITUTE(VLOOKUP(D$2,convert!$A$1:$B$4,2,0),"@@@",D723))</f>
        <v>100</v>
      </c>
      <c r="T723" s="4" t="str">
        <f>IF(E723="",IF(ISNUMBER(SEARCH("NOT NULL",UPPER(E$3))),"''","null"),SUBSTITUTE(VLOOKUP(E$2,convert!$A$1:$B$4,2,0),"@@@",E723))</f>
        <v>70</v>
      </c>
      <c r="U723" s="4" t="str">
        <f>IF(F723="",IF(ISNUMBER(SEARCH("NOT NULL",UPPER(F$3))),"''","null"),SUBSTITUTE(VLOOKUP(F$2,convert!$A$1:$B$4,2,0),"@@@",F723))</f>
        <v>60</v>
      </c>
      <c r="V723" s="4" t="str">
        <f>IF(G723="",IF(ISNUMBER(SEARCH("NOT NULL",UPPER(G$3))),"''","null"),SUBSTITUTE(VLOOKUP(G$2,convert!$A$1:$B$4,2,0),"@@@",G723))</f>
        <v>70</v>
      </c>
      <c r="W723" s="4" t="str">
        <f>IF(H723="",IF(ISNUMBER(SEARCH("NOT NULL",UPPER(H$3))),"''","null"),SUBSTITUTE(VLOOKUP(H$2,convert!$A$1:$B$4,2,0),"@@@",H723))</f>
        <v>95</v>
      </c>
      <c r="X723" s="4" t="str">
        <f>IF(I723="",IF(ISNUMBER(SEARCH("NOT NULL",UPPER(I$3))),"''","null"),SUBSTITUTE(VLOOKUP(I$2,convert!$A$1:$B$4,2,0),"@@@",I723))</f>
        <v>'あきのすがた'</v>
      </c>
      <c r="Y723" s="4" t="str">
        <f>IF(J723="",IF(ISNUMBER(SEARCH("NOT NULL",UPPER(J$3))),"''","null"),SUBSTITUTE(VLOOKUP(J$2,convert!$A$1:$B$4,2,0),"@@@",J723))</f>
        <v>'normal'</v>
      </c>
      <c r="Z723" s="4" t="str">
        <f>IF(K723="",IF(ISNUMBER(SEARCH("NOT NULL",UPPER(K$3))),"''","null"),SUBSTITUTE(VLOOKUP(K$2,convert!$A$1:$B$4,2,0),"@@@",K723))</f>
        <v>'grass'</v>
      </c>
      <c r="AA723" s="4" t="str">
        <f>IF(L723="",IF(ISNUMBER(SEARCH("NOT NULL",UPPER(L$3))),"''","null"),SUBSTITUTE(VLOOKUP(L$2,convert!$A$1:$B$4,2,0),"@@@",L723))</f>
        <v>'g5'</v>
      </c>
      <c r="AB723" s="4" t="str">
        <f>IF(M723="",IF(ISNUMBER(SEARCH("NOT NULL",UPPER(M$3))),"''","null"),SUBSTITUTE(VLOOKUP(M$2,convert!$A$1:$B$4,2,0),"@@@",M723))</f>
        <v>null</v>
      </c>
      <c r="AC723" s="4" t="str">
        <f>IF(N723="",IF(ISNUMBER(SEARCH("NOT NULL",UPPER(N$3))),"''","null"),SUBSTITUTE(VLOOKUP(N$2,convert!$A$1:$B$4,2,0),"@@@",N723))</f>
        <v>null</v>
      </c>
      <c r="AD723" s="4" t="str">
        <f>IF(O723="",IF(ISNUMBER(SEARCH("NOT NULL",UPPER(O$3))),"''","null"),SUBSTITUTE(VLOOKUP(O$2,convert!$A$1:$B$4,2,0),"@@@",O723))</f>
        <v>TRUE</v>
      </c>
      <c r="AE723" s="4" t="str">
        <f t="shared" si="11"/>
        <v>    ('0586N03', 'メブキジカ', 80, 100, 70, 60, 70, 95, 'あきのすがた', 'normal', 'grass', 'g5', null, null, TRUE),</v>
      </c>
    </row>
    <row r="724" spans="1:31">
      <c r="A724" s="4" t="s">
        <v>1455</v>
      </c>
      <c r="B724" s="4" t="s">
        <v>1452</v>
      </c>
      <c r="C724" s="5">
        <v>80</v>
      </c>
      <c r="D724" s="5">
        <v>100</v>
      </c>
      <c r="E724" s="5">
        <v>70</v>
      </c>
      <c r="F724" s="5">
        <v>60</v>
      </c>
      <c r="G724" s="5">
        <v>70</v>
      </c>
      <c r="H724" s="5">
        <v>95</v>
      </c>
      <c r="I724" s="4" t="s">
        <v>1450</v>
      </c>
      <c r="J724" s="4" t="s">
        <v>80</v>
      </c>
      <c r="K724" s="4" t="s">
        <v>30</v>
      </c>
      <c r="L724" s="4" t="s">
        <v>1243</v>
      </c>
      <c r="M724" s="5"/>
      <c r="N724" s="5"/>
      <c r="O724" s="5" t="b">
        <v>1</v>
      </c>
      <c r="P724" s="4" t="str">
        <f>IF(A724="",IF(ISNUMBER(SEARCH("NOT NULL",UPPER(A$3))),"''","null"),SUBSTITUTE(VLOOKUP(A$2,convert!$A$1:$B$4,2,0),"@@@",A724))</f>
        <v>'0586N04'</v>
      </c>
      <c r="Q724" s="4" t="str">
        <f>IF(B724="",IF(ISNUMBER(SEARCH("NOT NULL",UPPER(B$3))),"''","null"),SUBSTITUTE(VLOOKUP(B$2,convert!$A$1:$B$4,2,0),"@@@",B724))</f>
        <v>'メブキジカ'</v>
      </c>
      <c r="R724" s="4" t="str">
        <f>IF(C724="",IF(ISNUMBER(SEARCH("NOT NULL",UPPER(C$3))),"''","null"),SUBSTITUTE(VLOOKUP(C$2,convert!$A$1:$B$4,2,0),"@@@",C724))</f>
        <v>80</v>
      </c>
      <c r="S724" s="4" t="str">
        <f>IF(D724="",IF(ISNUMBER(SEARCH("NOT NULL",UPPER(D$3))),"''","null"),SUBSTITUTE(VLOOKUP(D$2,convert!$A$1:$B$4,2,0),"@@@",D724))</f>
        <v>100</v>
      </c>
      <c r="T724" s="4" t="str">
        <f>IF(E724="",IF(ISNUMBER(SEARCH("NOT NULL",UPPER(E$3))),"''","null"),SUBSTITUTE(VLOOKUP(E$2,convert!$A$1:$B$4,2,0),"@@@",E724))</f>
        <v>70</v>
      </c>
      <c r="U724" s="4" t="str">
        <f>IF(F724="",IF(ISNUMBER(SEARCH("NOT NULL",UPPER(F$3))),"''","null"),SUBSTITUTE(VLOOKUP(F$2,convert!$A$1:$B$4,2,0),"@@@",F724))</f>
        <v>60</v>
      </c>
      <c r="V724" s="4" t="str">
        <f>IF(G724="",IF(ISNUMBER(SEARCH("NOT NULL",UPPER(G$3))),"''","null"),SUBSTITUTE(VLOOKUP(G$2,convert!$A$1:$B$4,2,0),"@@@",G724))</f>
        <v>70</v>
      </c>
      <c r="W724" s="4" t="str">
        <f>IF(H724="",IF(ISNUMBER(SEARCH("NOT NULL",UPPER(H$3))),"''","null"),SUBSTITUTE(VLOOKUP(H$2,convert!$A$1:$B$4,2,0),"@@@",H724))</f>
        <v>95</v>
      </c>
      <c r="X724" s="4" t="str">
        <f>IF(I724="",IF(ISNUMBER(SEARCH("NOT NULL",UPPER(I$3))),"''","null"),SUBSTITUTE(VLOOKUP(I$2,convert!$A$1:$B$4,2,0),"@@@",I724))</f>
        <v>'ふゆのすがた'</v>
      </c>
      <c r="Y724" s="4" t="str">
        <f>IF(J724="",IF(ISNUMBER(SEARCH("NOT NULL",UPPER(J$3))),"''","null"),SUBSTITUTE(VLOOKUP(J$2,convert!$A$1:$B$4,2,0),"@@@",J724))</f>
        <v>'normal'</v>
      </c>
      <c r="Z724" s="4" t="str">
        <f>IF(K724="",IF(ISNUMBER(SEARCH("NOT NULL",UPPER(K$3))),"''","null"),SUBSTITUTE(VLOOKUP(K$2,convert!$A$1:$B$4,2,0),"@@@",K724))</f>
        <v>'grass'</v>
      </c>
      <c r="AA724" s="4" t="str">
        <f>IF(L724="",IF(ISNUMBER(SEARCH("NOT NULL",UPPER(L$3))),"''","null"),SUBSTITUTE(VLOOKUP(L$2,convert!$A$1:$B$4,2,0),"@@@",L724))</f>
        <v>'g5'</v>
      </c>
      <c r="AB724" s="4" t="str">
        <f>IF(M724="",IF(ISNUMBER(SEARCH("NOT NULL",UPPER(M$3))),"''","null"),SUBSTITUTE(VLOOKUP(M$2,convert!$A$1:$B$4,2,0),"@@@",M724))</f>
        <v>null</v>
      </c>
      <c r="AC724" s="4" t="str">
        <f>IF(N724="",IF(ISNUMBER(SEARCH("NOT NULL",UPPER(N$3))),"''","null"),SUBSTITUTE(VLOOKUP(N$2,convert!$A$1:$B$4,2,0),"@@@",N724))</f>
        <v>null</v>
      </c>
      <c r="AD724" s="4" t="str">
        <f>IF(O724="",IF(ISNUMBER(SEARCH("NOT NULL",UPPER(O$3))),"''","null"),SUBSTITUTE(VLOOKUP(O$2,convert!$A$1:$B$4,2,0),"@@@",O724))</f>
        <v>TRUE</v>
      </c>
      <c r="AE724" s="4" t="str">
        <f t="shared" si="11"/>
        <v>    ('0586N04', 'メブキジカ', 80, 100, 70, 60, 70, 95, 'ふゆのすがた', 'normal', 'grass', 'g5', null, null, TRUE),</v>
      </c>
    </row>
    <row r="725" spans="1:31">
      <c r="A725" s="4" t="s">
        <v>1456</v>
      </c>
      <c r="B725" s="4" t="s">
        <v>1457</v>
      </c>
      <c r="C725" s="5">
        <v>55</v>
      </c>
      <c r="D725" s="5">
        <v>75</v>
      </c>
      <c r="E725" s="5">
        <v>60</v>
      </c>
      <c r="F725" s="5">
        <v>75</v>
      </c>
      <c r="G725" s="5">
        <v>60</v>
      </c>
      <c r="H725" s="5">
        <v>103</v>
      </c>
      <c r="I725" s="5"/>
      <c r="J725" s="4" t="s">
        <v>106</v>
      </c>
      <c r="K725" s="4" t="s">
        <v>47</v>
      </c>
      <c r="L725" s="4" t="s">
        <v>1243</v>
      </c>
      <c r="M725" s="5"/>
      <c r="N725" s="5"/>
      <c r="O725" s="5" t="b">
        <v>1</v>
      </c>
      <c r="P725" s="4" t="str">
        <f>IF(A725="",IF(ISNUMBER(SEARCH("NOT NULL",UPPER(A$3))),"''","null"),SUBSTITUTE(VLOOKUP(A$2,convert!$A$1:$B$4,2,0),"@@@",A725))</f>
        <v>'0587N01'</v>
      </c>
      <c r="Q725" s="4" t="str">
        <f>IF(B725="",IF(ISNUMBER(SEARCH("NOT NULL",UPPER(B$3))),"''","null"),SUBSTITUTE(VLOOKUP(B$2,convert!$A$1:$B$4,2,0),"@@@",B725))</f>
        <v>'エモンガ'</v>
      </c>
      <c r="R725" s="4" t="str">
        <f>IF(C725="",IF(ISNUMBER(SEARCH("NOT NULL",UPPER(C$3))),"''","null"),SUBSTITUTE(VLOOKUP(C$2,convert!$A$1:$B$4,2,0),"@@@",C725))</f>
        <v>55</v>
      </c>
      <c r="S725" s="4" t="str">
        <f>IF(D725="",IF(ISNUMBER(SEARCH("NOT NULL",UPPER(D$3))),"''","null"),SUBSTITUTE(VLOOKUP(D$2,convert!$A$1:$B$4,2,0),"@@@",D725))</f>
        <v>75</v>
      </c>
      <c r="T725" s="4" t="str">
        <f>IF(E725="",IF(ISNUMBER(SEARCH("NOT NULL",UPPER(E$3))),"''","null"),SUBSTITUTE(VLOOKUP(E$2,convert!$A$1:$B$4,2,0),"@@@",E725))</f>
        <v>60</v>
      </c>
      <c r="U725" s="4" t="str">
        <f>IF(F725="",IF(ISNUMBER(SEARCH("NOT NULL",UPPER(F$3))),"''","null"),SUBSTITUTE(VLOOKUP(F$2,convert!$A$1:$B$4,2,0),"@@@",F725))</f>
        <v>75</v>
      </c>
      <c r="V725" s="4" t="str">
        <f>IF(G725="",IF(ISNUMBER(SEARCH("NOT NULL",UPPER(G$3))),"''","null"),SUBSTITUTE(VLOOKUP(G$2,convert!$A$1:$B$4,2,0),"@@@",G725))</f>
        <v>60</v>
      </c>
      <c r="W725" s="4" t="str">
        <f>IF(H725="",IF(ISNUMBER(SEARCH("NOT NULL",UPPER(H$3))),"''","null"),SUBSTITUTE(VLOOKUP(H$2,convert!$A$1:$B$4,2,0),"@@@",H725))</f>
        <v>103</v>
      </c>
      <c r="X725" s="4" t="str">
        <f>IF(I725="",IF(ISNUMBER(SEARCH("NOT NULL",UPPER(I$3))),"''","null"),SUBSTITUTE(VLOOKUP(I$2,convert!$A$1:$B$4,2,0),"@@@",I725))</f>
        <v>''</v>
      </c>
      <c r="Y725" s="4" t="str">
        <f>IF(J725="",IF(ISNUMBER(SEARCH("NOT NULL",UPPER(J$3))),"''","null"),SUBSTITUTE(VLOOKUP(J$2,convert!$A$1:$B$4,2,0),"@@@",J725))</f>
        <v>'electric'</v>
      </c>
      <c r="Z725" s="4" t="str">
        <f>IF(K725="",IF(ISNUMBER(SEARCH("NOT NULL",UPPER(K$3))),"''","null"),SUBSTITUTE(VLOOKUP(K$2,convert!$A$1:$B$4,2,0),"@@@",K725))</f>
        <v>'flying'</v>
      </c>
      <c r="AA725" s="4" t="str">
        <f>IF(L725="",IF(ISNUMBER(SEARCH("NOT NULL",UPPER(L$3))),"''","null"),SUBSTITUTE(VLOOKUP(L$2,convert!$A$1:$B$4,2,0),"@@@",L725))</f>
        <v>'g5'</v>
      </c>
      <c r="AB725" s="4" t="str">
        <f>IF(M725="",IF(ISNUMBER(SEARCH("NOT NULL",UPPER(M$3))),"''","null"),SUBSTITUTE(VLOOKUP(M$2,convert!$A$1:$B$4,2,0),"@@@",M725))</f>
        <v>null</v>
      </c>
      <c r="AC725" s="4" t="str">
        <f>IF(N725="",IF(ISNUMBER(SEARCH("NOT NULL",UPPER(N$3))),"''","null"),SUBSTITUTE(VLOOKUP(N$2,convert!$A$1:$B$4,2,0),"@@@",N725))</f>
        <v>null</v>
      </c>
      <c r="AD725" s="4" t="str">
        <f>IF(O725="",IF(ISNUMBER(SEARCH("NOT NULL",UPPER(O$3))),"''","null"),SUBSTITUTE(VLOOKUP(O$2,convert!$A$1:$B$4,2,0),"@@@",O725))</f>
        <v>TRUE</v>
      </c>
      <c r="AE725" s="4" t="str">
        <f t="shared" si="11"/>
        <v>    ('0587N01', 'エモンガ', 55, 75, 60, 75, 60, 103, '', 'electric', 'flying', 'g5', null, null, TRUE),</v>
      </c>
    </row>
    <row r="726" spans="1:31">
      <c r="A726" s="4" t="s">
        <v>1458</v>
      </c>
      <c r="B726" s="4" t="s">
        <v>1459</v>
      </c>
      <c r="C726" s="5">
        <v>50</v>
      </c>
      <c r="D726" s="5">
        <v>75</v>
      </c>
      <c r="E726" s="5">
        <v>45</v>
      </c>
      <c r="F726" s="5">
        <v>40</v>
      </c>
      <c r="G726" s="5">
        <v>45</v>
      </c>
      <c r="H726" s="5">
        <v>60</v>
      </c>
      <c r="I726" s="5"/>
      <c r="J726" s="4" t="s">
        <v>64</v>
      </c>
      <c r="K726" s="5"/>
      <c r="L726" s="4" t="s">
        <v>1243</v>
      </c>
      <c r="M726" s="5"/>
      <c r="N726" s="5"/>
      <c r="O726" s="5" t="b">
        <v>1</v>
      </c>
      <c r="P726" s="4" t="str">
        <f>IF(A726="",IF(ISNUMBER(SEARCH("NOT NULL",UPPER(A$3))),"''","null"),SUBSTITUTE(VLOOKUP(A$2,convert!$A$1:$B$4,2,0),"@@@",A726))</f>
        <v>'0588N01'</v>
      </c>
      <c r="Q726" s="4" t="str">
        <f>IF(B726="",IF(ISNUMBER(SEARCH("NOT NULL",UPPER(B$3))),"''","null"),SUBSTITUTE(VLOOKUP(B$2,convert!$A$1:$B$4,2,0),"@@@",B726))</f>
        <v>'カブルモ'</v>
      </c>
      <c r="R726" s="4" t="str">
        <f>IF(C726="",IF(ISNUMBER(SEARCH("NOT NULL",UPPER(C$3))),"''","null"),SUBSTITUTE(VLOOKUP(C$2,convert!$A$1:$B$4,2,0),"@@@",C726))</f>
        <v>50</v>
      </c>
      <c r="S726" s="4" t="str">
        <f>IF(D726="",IF(ISNUMBER(SEARCH("NOT NULL",UPPER(D$3))),"''","null"),SUBSTITUTE(VLOOKUP(D$2,convert!$A$1:$B$4,2,0),"@@@",D726))</f>
        <v>75</v>
      </c>
      <c r="T726" s="4" t="str">
        <f>IF(E726="",IF(ISNUMBER(SEARCH("NOT NULL",UPPER(E$3))),"''","null"),SUBSTITUTE(VLOOKUP(E$2,convert!$A$1:$B$4,2,0),"@@@",E726))</f>
        <v>45</v>
      </c>
      <c r="U726" s="4" t="str">
        <f>IF(F726="",IF(ISNUMBER(SEARCH("NOT NULL",UPPER(F$3))),"''","null"),SUBSTITUTE(VLOOKUP(F$2,convert!$A$1:$B$4,2,0),"@@@",F726))</f>
        <v>40</v>
      </c>
      <c r="V726" s="4" t="str">
        <f>IF(G726="",IF(ISNUMBER(SEARCH("NOT NULL",UPPER(G$3))),"''","null"),SUBSTITUTE(VLOOKUP(G$2,convert!$A$1:$B$4,2,0),"@@@",G726))</f>
        <v>45</v>
      </c>
      <c r="W726" s="4" t="str">
        <f>IF(H726="",IF(ISNUMBER(SEARCH("NOT NULL",UPPER(H$3))),"''","null"),SUBSTITUTE(VLOOKUP(H$2,convert!$A$1:$B$4,2,0),"@@@",H726))</f>
        <v>60</v>
      </c>
      <c r="X726" s="4" t="str">
        <f>IF(I726="",IF(ISNUMBER(SEARCH("NOT NULL",UPPER(I$3))),"''","null"),SUBSTITUTE(VLOOKUP(I$2,convert!$A$1:$B$4,2,0),"@@@",I726))</f>
        <v>''</v>
      </c>
      <c r="Y726" s="4" t="str">
        <f>IF(J726="",IF(ISNUMBER(SEARCH("NOT NULL",UPPER(J$3))),"''","null"),SUBSTITUTE(VLOOKUP(J$2,convert!$A$1:$B$4,2,0),"@@@",J726))</f>
        <v>'bug'</v>
      </c>
      <c r="Z726" s="4" t="str">
        <f>IF(K726="",IF(ISNUMBER(SEARCH("NOT NULL",UPPER(K$3))),"''","null"),SUBSTITUTE(VLOOKUP(K$2,convert!$A$1:$B$4,2,0),"@@@",K726))</f>
        <v>null</v>
      </c>
      <c r="AA726" s="4" t="str">
        <f>IF(L726="",IF(ISNUMBER(SEARCH("NOT NULL",UPPER(L$3))),"''","null"),SUBSTITUTE(VLOOKUP(L$2,convert!$A$1:$B$4,2,0),"@@@",L726))</f>
        <v>'g5'</v>
      </c>
      <c r="AB726" s="4" t="str">
        <f>IF(M726="",IF(ISNUMBER(SEARCH("NOT NULL",UPPER(M$3))),"''","null"),SUBSTITUTE(VLOOKUP(M$2,convert!$A$1:$B$4,2,0),"@@@",M726))</f>
        <v>null</v>
      </c>
      <c r="AC726" s="4" t="str">
        <f>IF(N726="",IF(ISNUMBER(SEARCH("NOT NULL",UPPER(N$3))),"''","null"),SUBSTITUTE(VLOOKUP(N$2,convert!$A$1:$B$4,2,0),"@@@",N726))</f>
        <v>null</v>
      </c>
      <c r="AD726" s="4" t="str">
        <f>IF(O726="",IF(ISNUMBER(SEARCH("NOT NULL",UPPER(O$3))),"''","null"),SUBSTITUTE(VLOOKUP(O$2,convert!$A$1:$B$4,2,0),"@@@",O726))</f>
        <v>TRUE</v>
      </c>
      <c r="AE726" s="4" t="str">
        <f t="shared" si="11"/>
        <v>    ('0588N01', 'カブルモ', 50, 75, 45, 40, 45, 60, '', 'bug', null, 'g5', null, null, TRUE),</v>
      </c>
    </row>
    <row r="727" spans="1:31">
      <c r="A727" s="4" t="s">
        <v>1460</v>
      </c>
      <c r="B727" s="4" t="s">
        <v>1461</v>
      </c>
      <c r="C727" s="5">
        <v>70</v>
      </c>
      <c r="D727" s="5">
        <v>135</v>
      </c>
      <c r="E727" s="5">
        <v>105</v>
      </c>
      <c r="F727" s="5">
        <v>60</v>
      </c>
      <c r="G727" s="5">
        <v>105</v>
      </c>
      <c r="H727" s="5">
        <v>20</v>
      </c>
      <c r="I727" s="5"/>
      <c r="J727" s="4" t="s">
        <v>64</v>
      </c>
      <c r="K727" s="4" t="s">
        <v>119</v>
      </c>
      <c r="L727" s="4" t="s">
        <v>1243</v>
      </c>
      <c r="M727" s="5"/>
      <c r="N727" s="5"/>
      <c r="O727" s="5" t="b">
        <v>1</v>
      </c>
      <c r="P727" s="4" t="str">
        <f>IF(A727="",IF(ISNUMBER(SEARCH("NOT NULL",UPPER(A$3))),"''","null"),SUBSTITUTE(VLOOKUP(A$2,convert!$A$1:$B$4,2,0),"@@@",A727))</f>
        <v>'0589N01'</v>
      </c>
      <c r="Q727" s="4" t="str">
        <f>IF(B727="",IF(ISNUMBER(SEARCH("NOT NULL",UPPER(B$3))),"''","null"),SUBSTITUTE(VLOOKUP(B$2,convert!$A$1:$B$4,2,0),"@@@",B727))</f>
        <v>'シュバルゴ'</v>
      </c>
      <c r="R727" s="4" t="str">
        <f>IF(C727="",IF(ISNUMBER(SEARCH("NOT NULL",UPPER(C$3))),"''","null"),SUBSTITUTE(VLOOKUP(C$2,convert!$A$1:$B$4,2,0),"@@@",C727))</f>
        <v>70</v>
      </c>
      <c r="S727" s="4" t="str">
        <f>IF(D727="",IF(ISNUMBER(SEARCH("NOT NULL",UPPER(D$3))),"''","null"),SUBSTITUTE(VLOOKUP(D$2,convert!$A$1:$B$4,2,0),"@@@",D727))</f>
        <v>135</v>
      </c>
      <c r="T727" s="4" t="str">
        <f>IF(E727="",IF(ISNUMBER(SEARCH("NOT NULL",UPPER(E$3))),"''","null"),SUBSTITUTE(VLOOKUP(E$2,convert!$A$1:$B$4,2,0),"@@@",E727))</f>
        <v>105</v>
      </c>
      <c r="U727" s="4" t="str">
        <f>IF(F727="",IF(ISNUMBER(SEARCH("NOT NULL",UPPER(F$3))),"''","null"),SUBSTITUTE(VLOOKUP(F$2,convert!$A$1:$B$4,2,0),"@@@",F727))</f>
        <v>60</v>
      </c>
      <c r="V727" s="4" t="str">
        <f>IF(G727="",IF(ISNUMBER(SEARCH("NOT NULL",UPPER(G$3))),"''","null"),SUBSTITUTE(VLOOKUP(G$2,convert!$A$1:$B$4,2,0),"@@@",G727))</f>
        <v>105</v>
      </c>
      <c r="W727" s="4" t="str">
        <f>IF(H727="",IF(ISNUMBER(SEARCH("NOT NULL",UPPER(H$3))),"''","null"),SUBSTITUTE(VLOOKUP(H$2,convert!$A$1:$B$4,2,0),"@@@",H727))</f>
        <v>20</v>
      </c>
      <c r="X727" s="4" t="str">
        <f>IF(I727="",IF(ISNUMBER(SEARCH("NOT NULL",UPPER(I$3))),"''","null"),SUBSTITUTE(VLOOKUP(I$2,convert!$A$1:$B$4,2,0),"@@@",I727))</f>
        <v>''</v>
      </c>
      <c r="Y727" s="4" t="str">
        <f>IF(J727="",IF(ISNUMBER(SEARCH("NOT NULL",UPPER(J$3))),"''","null"),SUBSTITUTE(VLOOKUP(J$2,convert!$A$1:$B$4,2,0),"@@@",J727))</f>
        <v>'bug'</v>
      </c>
      <c r="Z727" s="4" t="str">
        <f>IF(K727="",IF(ISNUMBER(SEARCH("NOT NULL",UPPER(K$3))),"''","null"),SUBSTITUTE(VLOOKUP(K$2,convert!$A$1:$B$4,2,0),"@@@",K727))</f>
        <v>'steel'</v>
      </c>
      <c r="AA727" s="4" t="str">
        <f>IF(L727="",IF(ISNUMBER(SEARCH("NOT NULL",UPPER(L$3))),"''","null"),SUBSTITUTE(VLOOKUP(L$2,convert!$A$1:$B$4,2,0),"@@@",L727))</f>
        <v>'g5'</v>
      </c>
      <c r="AB727" s="4" t="str">
        <f>IF(M727="",IF(ISNUMBER(SEARCH("NOT NULL",UPPER(M$3))),"''","null"),SUBSTITUTE(VLOOKUP(M$2,convert!$A$1:$B$4,2,0),"@@@",M727))</f>
        <v>null</v>
      </c>
      <c r="AC727" s="4" t="str">
        <f>IF(N727="",IF(ISNUMBER(SEARCH("NOT NULL",UPPER(N$3))),"''","null"),SUBSTITUTE(VLOOKUP(N$2,convert!$A$1:$B$4,2,0),"@@@",N727))</f>
        <v>null</v>
      </c>
      <c r="AD727" s="4" t="str">
        <f>IF(O727="",IF(ISNUMBER(SEARCH("NOT NULL",UPPER(O$3))),"''","null"),SUBSTITUTE(VLOOKUP(O$2,convert!$A$1:$B$4,2,0),"@@@",O727))</f>
        <v>TRUE</v>
      </c>
      <c r="AE727" s="4" t="str">
        <f t="shared" si="11"/>
        <v>    ('0589N01', 'シュバルゴ', 70, 135, 105, 60, 105, 20, '', 'bug', 'steel', 'g5', null, null, TRUE),</v>
      </c>
    </row>
    <row r="728" spans="1:31">
      <c r="A728" s="4" t="s">
        <v>1462</v>
      </c>
      <c r="B728" s="4" t="s">
        <v>1463</v>
      </c>
      <c r="C728" s="5">
        <v>69</v>
      </c>
      <c r="D728" s="5">
        <v>55</v>
      </c>
      <c r="E728" s="5">
        <v>45</v>
      </c>
      <c r="F728" s="5">
        <v>55</v>
      </c>
      <c r="G728" s="5">
        <v>55</v>
      </c>
      <c r="H728" s="5">
        <v>15</v>
      </c>
      <c r="I728" s="5"/>
      <c r="J728" s="4" t="s">
        <v>30</v>
      </c>
      <c r="K728" s="4" t="s">
        <v>31</v>
      </c>
      <c r="L728" s="4" t="s">
        <v>1243</v>
      </c>
      <c r="M728" s="5"/>
      <c r="N728" s="5"/>
      <c r="O728" s="5" t="b">
        <v>1</v>
      </c>
      <c r="P728" s="4" t="str">
        <f>IF(A728="",IF(ISNUMBER(SEARCH("NOT NULL",UPPER(A$3))),"''","null"),SUBSTITUTE(VLOOKUP(A$2,convert!$A$1:$B$4,2,0),"@@@",A728))</f>
        <v>'0590N01'</v>
      </c>
      <c r="Q728" s="4" t="str">
        <f>IF(B728="",IF(ISNUMBER(SEARCH("NOT NULL",UPPER(B$3))),"''","null"),SUBSTITUTE(VLOOKUP(B$2,convert!$A$1:$B$4,2,0),"@@@",B728))</f>
        <v>'タマゲタケ'</v>
      </c>
      <c r="R728" s="4" t="str">
        <f>IF(C728="",IF(ISNUMBER(SEARCH("NOT NULL",UPPER(C$3))),"''","null"),SUBSTITUTE(VLOOKUP(C$2,convert!$A$1:$B$4,2,0),"@@@",C728))</f>
        <v>69</v>
      </c>
      <c r="S728" s="4" t="str">
        <f>IF(D728="",IF(ISNUMBER(SEARCH("NOT NULL",UPPER(D$3))),"''","null"),SUBSTITUTE(VLOOKUP(D$2,convert!$A$1:$B$4,2,0),"@@@",D728))</f>
        <v>55</v>
      </c>
      <c r="T728" s="4" t="str">
        <f>IF(E728="",IF(ISNUMBER(SEARCH("NOT NULL",UPPER(E$3))),"''","null"),SUBSTITUTE(VLOOKUP(E$2,convert!$A$1:$B$4,2,0),"@@@",E728))</f>
        <v>45</v>
      </c>
      <c r="U728" s="4" t="str">
        <f>IF(F728="",IF(ISNUMBER(SEARCH("NOT NULL",UPPER(F$3))),"''","null"),SUBSTITUTE(VLOOKUP(F$2,convert!$A$1:$B$4,2,0),"@@@",F728))</f>
        <v>55</v>
      </c>
      <c r="V728" s="4" t="str">
        <f>IF(G728="",IF(ISNUMBER(SEARCH("NOT NULL",UPPER(G$3))),"''","null"),SUBSTITUTE(VLOOKUP(G$2,convert!$A$1:$B$4,2,0),"@@@",G728))</f>
        <v>55</v>
      </c>
      <c r="W728" s="4" t="str">
        <f>IF(H728="",IF(ISNUMBER(SEARCH("NOT NULL",UPPER(H$3))),"''","null"),SUBSTITUTE(VLOOKUP(H$2,convert!$A$1:$B$4,2,0),"@@@",H728))</f>
        <v>15</v>
      </c>
      <c r="X728" s="4" t="str">
        <f>IF(I728="",IF(ISNUMBER(SEARCH("NOT NULL",UPPER(I$3))),"''","null"),SUBSTITUTE(VLOOKUP(I$2,convert!$A$1:$B$4,2,0),"@@@",I728))</f>
        <v>''</v>
      </c>
      <c r="Y728" s="4" t="str">
        <f>IF(J728="",IF(ISNUMBER(SEARCH("NOT NULL",UPPER(J$3))),"''","null"),SUBSTITUTE(VLOOKUP(J$2,convert!$A$1:$B$4,2,0),"@@@",J728))</f>
        <v>'grass'</v>
      </c>
      <c r="Z728" s="4" t="str">
        <f>IF(K728="",IF(ISNUMBER(SEARCH("NOT NULL",UPPER(K$3))),"''","null"),SUBSTITUTE(VLOOKUP(K$2,convert!$A$1:$B$4,2,0),"@@@",K728))</f>
        <v>'poison'</v>
      </c>
      <c r="AA728" s="4" t="str">
        <f>IF(L728="",IF(ISNUMBER(SEARCH("NOT NULL",UPPER(L$3))),"''","null"),SUBSTITUTE(VLOOKUP(L$2,convert!$A$1:$B$4,2,0),"@@@",L728))</f>
        <v>'g5'</v>
      </c>
      <c r="AB728" s="4" t="str">
        <f>IF(M728="",IF(ISNUMBER(SEARCH("NOT NULL",UPPER(M$3))),"''","null"),SUBSTITUTE(VLOOKUP(M$2,convert!$A$1:$B$4,2,0),"@@@",M728))</f>
        <v>null</v>
      </c>
      <c r="AC728" s="4" t="str">
        <f>IF(N728="",IF(ISNUMBER(SEARCH("NOT NULL",UPPER(N$3))),"''","null"),SUBSTITUTE(VLOOKUP(N$2,convert!$A$1:$B$4,2,0),"@@@",N728))</f>
        <v>null</v>
      </c>
      <c r="AD728" s="4" t="str">
        <f>IF(O728="",IF(ISNUMBER(SEARCH("NOT NULL",UPPER(O$3))),"''","null"),SUBSTITUTE(VLOOKUP(O$2,convert!$A$1:$B$4,2,0),"@@@",O728))</f>
        <v>TRUE</v>
      </c>
      <c r="AE728" s="4" t="str">
        <f t="shared" si="11"/>
        <v>    ('0590N01', 'タマゲタケ', 69, 55, 45, 55, 55, 15, '', 'grass', 'poison', 'g5', null, null, TRUE),</v>
      </c>
    </row>
    <row r="729" spans="1:31">
      <c r="A729" s="4" t="s">
        <v>1464</v>
      </c>
      <c r="B729" s="4" t="s">
        <v>1465</v>
      </c>
      <c r="C729" s="5">
        <v>114</v>
      </c>
      <c r="D729" s="5">
        <v>85</v>
      </c>
      <c r="E729" s="5">
        <v>70</v>
      </c>
      <c r="F729" s="5">
        <v>85</v>
      </c>
      <c r="G729" s="5">
        <v>80</v>
      </c>
      <c r="H729" s="5">
        <v>30</v>
      </c>
      <c r="I729" s="5"/>
      <c r="J729" s="4" t="s">
        <v>30</v>
      </c>
      <c r="K729" s="4" t="s">
        <v>31</v>
      </c>
      <c r="L729" s="4" t="s">
        <v>1243</v>
      </c>
      <c r="M729" s="5"/>
      <c r="N729" s="5"/>
      <c r="O729" s="5" t="b">
        <v>1</v>
      </c>
      <c r="P729" s="4" t="str">
        <f>IF(A729="",IF(ISNUMBER(SEARCH("NOT NULL",UPPER(A$3))),"''","null"),SUBSTITUTE(VLOOKUP(A$2,convert!$A$1:$B$4,2,0),"@@@",A729))</f>
        <v>'0591N01'</v>
      </c>
      <c r="Q729" s="4" t="str">
        <f>IF(B729="",IF(ISNUMBER(SEARCH("NOT NULL",UPPER(B$3))),"''","null"),SUBSTITUTE(VLOOKUP(B$2,convert!$A$1:$B$4,2,0),"@@@",B729))</f>
        <v>'モロバレル'</v>
      </c>
      <c r="R729" s="4" t="str">
        <f>IF(C729="",IF(ISNUMBER(SEARCH("NOT NULL",UPPER(C$3))),"''","null"),SUBSTITUTE(VLOOKUP(C$2,convert!$A$1:$B$4,2,0),"@@@",C729))</f>
        <v>114</v>
      </c>
      <c r="S729" s="4" t="str">
        <f>IF(D729="",IF(ISNUMBER(SEARCH("NOT NULL",UPPER(D$3))),"''","null"),SUBSTITUTE(VLOOKUP(D$2,convert!$A$1:$B$4,2,0),"@@@",D729))</f>
        <v>85</v>
      </c>
      <c r="T729" s="4" t="str">
        <f>IF(E729="",IF(ISNUMBER(SEARCH("NOT NULL",UPPER(E$3))),"''","null"),SUBSTITUTE(VLOOKUP(E$2,convert!$A$1:$B$4,2,0),"@@@",E729))</f>
        <v>70</v>
      </c>
      <c r="U729" s="4" t="str">
        <f>IF(F729="",IF(ISNUMBER(SEARCH("NOT NULL",UPPER(F$3))),"''","null"),SUBSTITUTE(VLOOKUP(F$2,convert!$A$1:$B$4,2,0),"@@@",F729))</f>
        <v>85</v>
      </c>
      <c r="V729" s="4" t="str">
        <f>IF(G729="",IF(ISNUMBER(SEARCH("NOT NULL",UPPER(G$3))),"''","null"),SUBSTITUTE(VLOOKUP(G$2,convert!$A$1:$B$4,2,0),"@@@",G729))</f>
        <v>80</v>
      </c>
      <c r="W729" s="4" t="str">
        <f>IF(H729="",IF(ISNUMBER(SEARCH("NOT NULL",UPPER(H$3))),"''","null"),SUBSTITUTE(VLOOKUP(H$2,convert!$A$1:$B$4,2,0),"@@@",H729))</f>
        <v>30</v>
      </c>
      <c r="X729" s="4" t="str">
        <f>IF(I729="",IF(ISNUMBER(SEARCH("NOT NULL",UPPER(I$3))),"''","null"),SUBSTITUTE(VLOOKUP(I$2,convert!$A$1:$B$4,2,0),"@@@",I729))</f>
        <v>''</v>
      </c>
      <c r="Y729" s="4" t="str">
        <f>IF(J729="",IF(ISNUMBER(SEARCH("NOT NULL",UPPER(J$3))),"''","null"),SUBSTITUTE(VLOOKUP(J$2,convert!$A$1:$B$4,2,0),"@@@",J729))</f>
        <v>'grass'</v>
      </c>
      <c r="Z729" s="4" t="str">
        <f>IF(K729="",IF(ISNUMBER(SEARCH("NOT NULL",UPPER(K$3))),"''","null"),SUBSTITUTE(VLOOKUP(K$2,convert!$A$1:$B$4,2,0),"@@@",K729))</f>
        <v>'poison'</v>
      </c>
      <c r="AA729" s="4" t="str">
        <f>IF(L729="",IF(ISNUMBER(SEARCH("NOT NULL",UPPER(L$3))),"''","null"),SUBSTITUTE(VLOOKUP(L$2,convert!$A$1:$B$4,2,0),"@@@",L729))</f>
        <v>'g5'</v>
      </c>
      <c r="AB729" s="4" t="str">
        <f>IF(M729="",IF(ISNUMBER(SEARCH("NOT NULL",UPPER(M$3))),"''","null"),SUBSTITUTE(VLOOKUP(M$2,convert!$A$1:$B$4,2,0),"@@@",M729))</f>
        <v>null</v>
      </c>
      <c r="AC729" s="4" t="str">
        <f>IF(N729="",IF(ISNUMBER(SEARCH("NOT NULL",UPPER(N$3))),"''","null"),SUBSTITUTE(VLOOKUP(N$2,convert!$A$1:$B$4,2,0),"@@@",N729))</f>
        <v>null</v>
      </c>
      <c r="AD729" s="4" t="str">
        <f>IF(O729="",IF(ISNUMBER(SEARCH("NOT NULL",UPPER(O$3))),"''","null"),SUBSTITUTE(VLOOKUP(O$2,convert!$A$1:$B$4,2,0),"@@@",O729))</f>
        <v>TRUE</v>
      </c>
      <c r="AE729" s="4" t="str">
        <f t="shared" si="11"/>
        <v>    ('0591N01', 'モロバレル', 114, 85, 70, 85, 80, 30, '', 'grass', 'poison', 'g5', null, null, TRUE),</v>
      </c>
    </row>
    <row r="730" spans="1:31">
      <c r="A730" s="4" t="s">
        <v>1466</v>
      </c>
      <c r="B730" s="4" t="s">
        <v>1467</v>
      </c>
      <c r="C730" s="5">
        <v>55</v>
      </c>
      <c r="D730" s="5">
        <v>40</v>
      </c>
      <c r="E730" s="5">
        <v>50</v>
      </c>
      <c r="F730" s="5">
        <v>65</v>
      </c>
      <c r="G730" s="5">
        <v>85</v>
      </c>
      <c r="H730" s="5">
        <v>40</v>
      </c>
      <c r="I730" s="4" t="s">
        <v>1468</v>
      </c>
      <c r="J730" s="4" t="s">
        <v>55</v>
      </c>
      <c r="K730" s="4" t="s">
        <v>281</v>
      </c>
      <c r="L730" s="4" t="s">
        <v>1243</v>
      </c>
      <c r="M730" s="5"/>
      <c r="N730" s="5"/>
      <c r="O730" s="5" t="b">
        <v>1</v>
      </c>
      <c r="P730" s="4" t="str">
        <f>IF(A730="",IF(ISNUMBER(SEARCH("NOT NULL",UPPER(A$3))),"''","null"),SUBSTITUTE(VLOOKUP(A$2,convert!$A$1:$B$4,2,0),"@@@",A730))</f>
        <v>'0592N01'</v>
      </c>
      <c r="Q730" s="4" t="str">
        <f>IF(B730="",IF(ISNUMBER(SEARCH("NOT NULL",UPPER(B$3))),"''","null"),SUBSTITUTE(VLOOKUP(B$2,convert!$A$1:$B$4,2,0),"@@@",B730))</f>
        <v>'プルリル'</v>
      </c>
      <c r="R730" s="4" t="str">
        <f>IF(C730="",IF(ISNUMBER(SEARCH("NOT NULL",UPPER(C$3))),"''","null"),SUBSTITUTE(VLOOKUP(C$2,convert!$A$1:$B$4,2,0),"@@@",C730))</f>
        <v>55</v>
      </c>
      <c r="S730" s="4" t="str">
        <f>IF(D730="",IF(ISNUMBER(SEARCH("NOT NULL",UPPER(D$3))),"''","null"),SUBSTITUTE(VLOOKUP(D$2,convert!$A$1:$B$4,2,0),"@@@",D730))</f>
        <v>40</v>
      </c>
      <c r="T730" s="4" t="str">
        <f>IF(E730="",IF(ISNUMBER(SEARCH("NOT NULL",UPPER(E$3))),"''","null"),SUBSTITUTE(VLOOKUP(E$2,convert!$A$1:$B$4,2,0),"@@@",E730))</f>
        <v>50</v>
      </c>
      <c r="U730" s="4" t="str">
        <f>IF(F730="",IF(ISNUMBER(SEARCH("NOT NULL",UPPER(F$3))),"''","null"),SUBSTITUTE(VLOOKUP(F$2,convert!$A$1:$B$4,2,0),"@@@",F730))</f>
        <v>65</v>
      </c>
      <c r="V730" s="4" t="str">
        <f>IF(G730="",IF(ISNUMBER(SEARCH("NOT NULL",UPPER(G$3))),"''","null"),SUBSTITUTE(VLOOKUP(G$2,convert!$A$1:$B$4,2,0),"@@@",G730))</f>
        <v>85</v>
      </c>
      <c r="W730" s="4" t="str">
        <f>IF(H730="",IF(ISNUMBER(SEARCH("NOT NULL",UPPER(H$3))),"''","null"),SUBSTITUTE(VLOOKUP(H$2,convert!$A$1:$B$4,2,0),"@@@",H730))</f>
        <v>40</v>
      </c>
      <c r="X730" s="4" t="str">
        <f>IF(I730="",IF(ISNUMBER(SEARCH("NOT NULL",UPPER(I$3))),"''","null"),SUBSTITUTE(VLOOKUP(I$2,convert!$A$1:$B$4,2,0),"@@@",I730))</f>
        <v>'オスのすがた'</v>
      </c>
      <c r="Y730" s="4" t="str">
        <f>IF(J730="",IF(ISNUMBER(SEARCH("NOT NULL",UPPER(J$3))),"''","null"),SUBSTITUTE(VLOOKUP(J$2,convert!$A$1:$B$4,2,0),"@@@",J730))</f>
        <v>'water'</v>
      </c>
      <c r="Z730" s="4" t="str">
        <f>IF(K730="",IF(ISNUMBER(SEARCH("NOT NULL",UPPER(K$3))),"''","null"),SUBSTITUTE(VLOOKUP(K$2,convert!$A$1:$B$4,2,0),"@@@",K730))</f>
        <v>'ghost'</v>
      </c>
      <c r="AA730" s="4" t="str">
        <f>IF(L730="",IF(ISNUMBER(SEARCH("NOT NULL",UPPER(L$3))),"''","null"),SUBSTITUTE(VLOOKUP(L$2,convert!$A$1:$B$4,2,0),"@@@",L730))</f>
        <v>'g5'</v>
      </c>
      <c r="AB730" s="4" t="str">
        <f>IF(M730="",IF(ISNUMBER(SEARCH("NOT NULL",UPPER(M$3))),"''","null"),SUBSTITUTE(VLOOKUP(M$2,convert!$A$1:$B$4,2,0),"@@@",M730))</f>
        <v>null</v>
      </c>
      <c r="AC730" s="4" t="str">
        <f>IF(N730="",IF(ISNUMBER(SEARCH("NOT NULL",UPPER(N$3))),"''","null"),SUBSTITUTE(VLOOKUP(N$2,convert!$A$1:$B$4,2,0),"@@@",N730))</f>
        <v>null</v>
      </c>
      <c r="AD730" s="4" t="str">
        <f>IF(O730="",IF(ISNUMBER(SEARCH("NOT NULL",UPPER(O$3))),"''","null"),SUBSTITUTE(VLOOKUP(O$2,convert!$A$1:$B$4,2,0),"@@@",O730))</f>
        <v>TRUE</v>
      </c>
      <c r="AE730" s="4" t="str">
        <f t="shared" si="11"/>
        <v>    ('0592N01', 'プルリル', 55, 40, 50, 65, 85, 40, 'オスのすがた', 'water', 'ghost', 'g5', null, null, TRUE),</v>
      </c>
    </row>
    <row r="731" spans="1:31">
      <c r="A731" s="4" t="s">
        <v>1469</v>
      </c>
      <c r="B731" s="4" t="s">
        <v>1467</v>
      </c>
      <c r="C731" s="5">
        <v>55</v>
      </c>
      <c r="D731" s="5">
        <v>40</v>
      </c>
      <c r="E731" s="5">
        <v>50</v>
      </c>
      <c r="F731" s="5">
        <v>65</v>
      </c>
      <c r="G731" s="5">
        <v>85</v>
      </c>
      <c r="H731" s="5">
        <v>40</v>
      </c>
      <c r="I731" s="4" t="s">
        <v>1470</v>
      </c>
      <c r="J731" s="4" t="s">
        <v>55</v>
      </c>
      <c r="K731" s="4" t="s">
        <v>281</v>
      </c>
      <c r="L731" s="4" t="s">
        <v>1243</v>
      </c>
      <c r="M731" s="5"/>
      <c r="N731" s="5"/>
      <c r="O731" s="5" t="b">
        <v>1</v>
      </c>
      <c r="P731" s="4" t="str">
        <f>IF(A731="",IF(ISNUMBER(SEARCH("NOT NULL",UPPER(A$3))),"''","null"),SUBSTITUTE(VLOOKUP(A$2,convert!$A$1:$B$4,2,0),"@@@",A731))</f>
        <v>'0592N02'</v>
      </c>
      <c r="Q731" s="4" t="str">
        <f>IF(B731="",IF(ISNUMBER(SEARCH("NOT NULL",UPPER(B$3))),"''","null"),SUBSTITUTE(VLOOKUP(B$2,convert!$A$1:$B$4,2,0),"@@@",B731))</f>
        <v>'プルリル'</v>
      </c>
      <c r="R731" s="4" t="str">
        <f>IF(C731="",IF(ISNUMBER(SEARCH("NOT NULL",UPPER(C$3))),"''","null"),SUBSTITUTE(VLOOKUP(C$2,convert!$A$1:$B$4,2,0),"@@@",C731))</f>
        <v>55</v>
      </c>
      <c r="S731" s="4" t="str">
        <f>IF(D731="",IF(ISNUMBER(SEARCH("NOT NULL",UPPER(D$3))),"''","null"),SUBSTITUTE(VLOOKUP(D$2,convert!$A$1:$B$4,2,0),"@@@",D731))</f>
        <v>40</v>
      </c>
      <c r="T731" s="4" t="str">
        <f>IF(E731="",IF(ISNUMBER(SEARCH("NOT NULL",UPPER(E$3))),"''","null"),SUBSTITUTE(VLOOKUP(E$2,convert!$A$1:$B$4,2,0),"@@@",E731))</f>
        <v>50</v>
      </c>
      <c r="U731" s="4" t="str">
        <f>IF(F731="",IF(ISNUMBER(SEARCH("NOT NULL",UPPER(F$3))),"''","null"),SUBSTITUTE(VLOOKUP(F$2,convert!$A$1:$B$4,2,0),"@@@",F731))</f>
        <v>65</v>
      </c>
      <c r="V731" s="4" t="str">
        <f>IF(G731="",IF(ISNUMBER(SEARCH("NOT NULL",UPPER(G$3))),"''","null"),SUBSTITUTE(VLOOKUP(G$2,convert!$A$1:$B$4,2,0),"@@@",G731))</f>
        <v>85</v>
      </c>
      <c r="W731" s="4" t="str">
        <f>IF(H731="",IF(ISNUMBER(SEARCH("NOT NULL",UPPER(H$3))),"''","null"),SUBSTITUTE(VLOOKUP(H$2,convert!$A$1:$B$4,2,0),"@@@",H731))</f>
        <v>40</v>
      </c>
      <c r="X731" s="4" t="str">
        <f>IF(I731="",IF(ISNUMBER(SEARCH("NOT NULL",UPPER(I$3))),"''","null"),SUBSTITUTE(VLOOKUP(I$2,convert!$A$1:$B$4,2,0),"@@@",I731))</f>
        <v>'メスのすがた'</v>
      </c>
      <c r="Y731" s="4" t="str">
        <f>IF(J731="",IF(ISNUMBER(SEARCH("NOT NULL",UPPER(J$3))),"''","null"),SUBSTITUTE(VLOOKUP(J$2,convert!$A$1:$B$4,2,0),"@@@",J731))</f>
        <v>'water'</v>
      </c>
      <c r="Z731" s="4" t="str">
        <f>IF(K731="",IF(ISNUMBER(SEARCH("NOT NULL",UPPER(K$3))),"''","null"),SUBSTITUTE(VLOOKUP(K$2,convert!$A$1:$B$4,2,0),"@@@",K731))</f>
        <v>'ghost'</v>
      </c>
      <c r="AA731" s="4" t="str">
        <f>IF(L731="",IF(ISNUMBER(SEARCH("NOT NULL",UPPER(L$3))),"''","null"),SUBSTITUTE(VLOOKUP(L$2,convert!$A$1:$B$4,2,0),"@@@",L731))</f>
        <v>'g5'</v>
      </c>
      <c r="AB731" s="4" t="str">
        <f>IF(M731="",IF(ISNUMBER(SEARCH("NOT NULL",UPPER(M$3))),"''","null"),SUBSTITUTE(VLOOKUP(M$2,convert!$A$1:$B$4,2,0),"@@@",M731))</f>
        <v>null</v>
      </c>
      <c r="AC731" s="4" t="str">
        <f>IF(N731="",IF(ISNUMBER(SEARCH("NOT NULL",UPPER(N$3))),"''","null"),SUBSTITUTE(VLOOKUP(N$2,convert!$A$1:$B$4,2,0),"@@@",N731))</f>
        <v>null</v>
      </c>
      <c r="AD731" s="4" t="str">
        <f>IF(O731="",IF(ISNUMBER(SEARCH("NOT NULL",UPPER(O$3))),"''","null"),SUBSTITUTE(VLOOKUP(O$2,convert!$A$1:$B$4,2,0),"@@@",O731))</f>
        <v>TRUE</v>
      </c>
      <c r="AE731" s="4" t="str">
        <f t="shared" si="11"/>
        <v>    ('0592N02', 'プルリル', 55, 40, 50, 65, 85, 40, 'メスのすがた', 'water', 'ghost', 'g5', null, null, TRUE),</v>
      </c>
    </row>
    <row r="732" spans="1:31">
      <c r="A732" s="4" t="s">
        <v>1471</v>
      </c>
      <c r="B732" s="4" t="s">
        <v>1472</v>
      </c>
      <c r="C732" s="5">
        <v>100</v>
      </c>
      <c r="D732" s="5">
        <v>60</v>
      </c>
      <c r="E732" s="5">
        <v>70</v>
      </c>
      <c r="F732" s="5">
        <v>85</v>
      </c>
      <c r="G732" s="5">
        <v>105</v>
      </c>
      <c r="H732" s="5">
        <v>60</v>
      </c>
      <c r="I732" s="4" t="s">
        <v>1468</v>
      </c>
      <c r="J732" s="4" t="s">
        <v>55</v>
      </c>
      <c r="K732" s="4" t="s">
        <v>281</v>
      </c>
      <c r="L732" s="4" t="s">
        <v>1243</v>
      </c>
      <c r="M732" s="5"/>
      <c r="N732" s="5"/>
      <c r="O732" s="5" t="b">
        <v>1</v>
      </c>
      <c r="P732" s="4" t="str">
        <f>IF(A732="",IF(ISNUMBER(SEARCH("NOT NULL",UPPER(A$3))),"''","null"),SUBSTITUTE(VLOOKUP(A$2,convert!$A$1:$B$4,2,0),"@@@",A732))</f>
        <v>'0593N01'</v>
      </c>
      <c r="Q732" s="4" t="str">
        <f>IF(B732="",IF(ISNUMBER(SEARCH("NOT NULL",UPPER(B$3))),"''","null"),SUBSTITUTE(VLOOKUP(B$2,convert!$A$1:$B$4,2,0),"@@@",B732))</f>
        <v>'ブルンゲル'</v>
      </c>
      <c r="R732" s="4" t="str">
        <f>IF(C732="",IF(ISNUMBER(SEARCH("NOT NULL",UPPER(C$3))),"''","null"),SUBSTITUTE(VLOOKUP(C$2,convert!$A$1:$B$4,2,0),"@@@",C732))</f>
        <v>100</v>
      </c>
      <c r="S732" s="4" t="str">
        <f>IF(D732="",IF(ISNUMBER(SEARCH("NOT NULL",UPPER(D$3))),"''","null"),SUBSTITUTE(VLOOKUP(D$2,convert!$A$1:$B$4,2,0),"@@@",D732))</f>
        <v>60</v>
      </c>
      <c r="T732" s="4" t="str">
        <f>IF(E732="",IF(ISNUMBER(SEARCH("NOT NULL",UPPER(E$3))),"''","null"),SUBSTITUTE(VLOOKUP(E$2,convert!$A$1:$B$4,2,0),"@@@",E732))</f>
        <v>70</v>
      </c>
      <c r="U732" s="4" t="str">
        <f>IF(F732="",IF(ISNUMBER(SEARCH("NOT NULL",UPPER(F$3))),"''","null"),SUBSTITUTE(VLOOKUP(F$2,convert!$A$1:$B$4,2,0),"@@@",F732))</f>
        <v>85</v>
      </c>
      <c r="V732" s="4" t="str">
        <f>IF(G732="",IF(ISNUMBER(SEARCH("NOT NULL",UPPER(G$3))),"''","null"),SUBSTITUTE(VLOOKUP(G$2,convert!$A$1:$B$4,2,0),"@@@",G732))</f>
        <v>105</v>
      </c>
      <c r="W732" s="4" t="str">
        <f>IF(H732="",IF(ISNUMBER(SEARCH("NOT NULL",UPPER(H$3))),"''","null"),SUBSTITUTE(VLOOKUP(H$2,convert!$A$1:$B$4,2,0),"@@@",H732))</f>
        <v>60</v>
      </c>
      <c r="X732" s="4" t="str">
        <f>IF(I732="",IF(ISNUMBER(SEARCH("NOT NULL",UPPER(I$3))),"''","null"),SUBSTITUTE(VLOOKUP(I$2,convert!$A$1:$B$4,2,0),"@@@",I732))</f>
        <v>'オスのすがた'</v>
      </c>
      <c r="Y732" s="4" t="str">
        <f>IF(J732="",IF(ISNUMBER(SEARCH("NOT NULL",UPPER(J$3))),"''","null"),SUBSTITUTE(VLOOKUP(J$2,convert!$A$1:$B$4,2,0),"@@@",J732))</f>
        <v>'water'</v>
      </c>
      <c r="Z732" s="4" t="str">
        <f>IF(K732="",IF(ISNUMBER(SEARCH("NOT NULL",UPPER(K$3))),"''","null"),SUBSTITUTE(VLOOKUP(K$2,convert!$A$1:$B$4,2,0),"@@@",K732))</f>
        <v>'ghost'</v>
      </c>
      <c r="AA732" s="4" t="str">
        <f>IF(L732="",IF(ISNUMBER(SEARCH("NOT NULL",UPPER(L$3))),"''","null"),SUBSTITUTE(VLOOKUP(L$2,convert!$A$1:$B$4,2,0),"@@@",L732))</f>
        <v>'g5'</v>
      </c>
      <c r="AB732" s="4" t="str">
        <f>IF(M732="",IF(ISNUMBER(SEARCH("NOT NULL",UPPER(M$3))),"''","null"),SUBSTITUTE(VLOOKUP(M$2,convert!$A$1:$B$4,2,0),"@@@",M732))</f>
        <v>null</v>
      </c>
      <c r="AC732" s="4" t="str">
        <f>IF(N732="",IF(ISNUMBER(SEARCH("NOT NULL",UPPER(N$3))),"''","null"),SUBSTITUTE(VLOOKUP(N$2,convert!$A$1:$B$4,2,0),"@@@",N732))</f>
        <v>null</v>
      </c>
      <c r="AD732" s="4" t="str">
        <f>IF(O732="",IF(ISNUMBER(SEARCH("NOT NULL",UPPER(O$3))),"''","null"),SUBSTITUTE(VLOOKUP(O$2,convert!$A$1:$B$4,2,0),"@@@",O732))</f>
        <v>TRUE</v>
      </c>
      <c r="AE732" s="4" t="str">
        <f t="shared" si="11"/>
        <v>    ('0593N01', 'ブルンゲル', 100, 60, 70, 85, 105, 60, 'オスのすがた', 'water', 'ghost', 'g5', null, null, TRUE),</v>
      </c>
    </row>
    <row r="733" spans="1:31">
      <c r="A733" s="4" t="s">
        <v>1473</v>
      </c>
      <c r="B733" s="4" t="s">
        <v>1472</v>
      </c>
      <c r="C733" s="5">
        <v>100</v>
      </c>
      <c r="D733" s="5">
        <v>60</v>
      </c>
      <c r="E733" s="5">
        <v>70</v>
      </c>
      <c r="F733" s="5">
        <v>85</v>
      </c>
      <c r="G733" s="5">
        <v>105</v>
      </c>
      <c r="H733" s="5">
        <v>60</v>
      </c>
      <c r="I733" s="4" t="s">
        <v>1470</v>
      </c>
      <c r="J733" s="4" t="s">
        <v>55</v>
      </c>
      <c r="K733" s="4" t="s">
        <v>281</v>
      </c>
      <c r="L733" s="4" t="s">
        <v>1243</v>
      </c>
      <c r="M733" s="5"/>
      <c r="N733" s="5"/>
      <c r="O733" s="5" t="b">
        <v>1</v>
      </c>
      <c r="P733" s="4" t="str">
        <f>IF(A733="",IF(ISNUMBER(SEARCH("NOT NULL",UPPER(A$3))),"''","null"),SUBSTITUTE(VLOOKUP(A$2,convert!$A$1:$B$4,2,0),"@@@",A733))</f>
        <v>'0593N02'</v>
      </c>
      <c r="Q733" s="4" t="str">
        <f>IF(B733="",IF(ISNUMBER(SEARCH("NOT NULL",UPPER(B$3))),"''","null"),SUBSTITUTE(VLOOKUP(B$2,convert!$A$1:$B$4,2,0),"@@@",B733))</f>
        <v>'ブルンゲル'</v>
      </c>
      <c r="R733" s="4" t="str">
        <f>IF(C733="",IF(ISNUMBER(SEARCH("NOT NULL",UPPER(C$3))),"''","null"),SUBSTITUTE(VLOOKUP(C$2,convert!$A$1:$B$4,2,0),"@@@",C733))</f>
        <v>100</v>
      </c>
      <c r="S733" s="4" t="str">
        <f>IF(D733="",IF(ISNUMBER(SEARCH("NOT NULL",UPPER(D$3))),"''","null"),SUBSTITUTE(VLOOKUP(D$2,convert!$A$1:$B$4,2,0),"@@@",D733))</f>
        <v>60</v>
      </c>
      <c r="T733" s="4" t="str">
        <f>IF(E733="",IF(ISNUMBER(SEARCH("NOT NULL",UPPER(E$3))),"''","null"),SUBSTITUTE(VLOOKUP(E$2,convert!$A$1:$B$4,2,0),"@@@",E733))</f>
        <v>70</v>
      </c>
      <c r="U733" s="4" t="str">
        <f>IF(F733="",IF(ISNUMBER(SEARCH("NOT NULL",UPPER(F$3))),"''","null"),SUBSTITUTE(VLOOKUP(F$2,convert!$A$1:$B$4,2,0),"@@@",F733))</f>
        <v>85</v>
      </c>
      <c r="V733" s="4" t="str">
        <f>IF(G733="",IF(ISNUMBER(SEARCH("NOT NULL",UPPER(G$3))),"''","null"),SUBSTITUTE(VLOOKUP(G$2,convert!$A$1:$B$4,2,0),"@@@",G733))</f>
        <v>105</v>
      </c>
      <c r="W733" s="4" t="str">
        <f>IF(H733="",IF(ISNUMBER(SEARCH("NOT NULL",UPPER(H$3))),"''","null"),SUBSTITUTE(VLOOKUP(H$2,convert!$A$1:$B$4,2,0),"@@@",H733))</f>
        <v>60</v>
      </c>
      <c r="X733" s="4" t="str">
        <f>IF(I733="",IF(ISNUMBER(SEARCH("NOT NULL",UPPER(I$3))),"''","null"),SUBSTITUTE(VLOOKUP(I$2,convert!$A$1:$B$4,2,0),"@@@",I733))</f>
        <v>'メスのすがた'</v>
      </c>
      <c r="Y733" s="4" t="str">
        <f>IF(J733="",IF(ISNUMBER(SEARCH("NOT NULL",UPPER(J$3))),"''","null"),SUBSTITUTE(VLOOKUP(J$2,convert!$A$1:$B$4,2,0),"@@@",J733))</f>
        <v>'water'</v>
      </c>
      <c r="Z733" s="4" t="str">
        <f>IF(K733="",IF(ISNUMBER(SEARCH("NOT NULL",UPPER(K$3))),"''","null"),SUBSTITUTE(VLOOKUP(K$2,convert!$A$1:$B$4,2,0),"@@@",K733))</f>
        <v>'ghost'</v>
      </c>
      <c r="AA733" s="4" t="str">
        <f>IF(L733="",IF(ISNUMBER(SEARCH("NOT NULL",UPPER(L$3))),"''","null"),SUBSTITUTE(VLOOKUP(L$2,convert!$A$1:$B$4,2,0),"@@@",L733))</f>
        <v>'g5'</v>
      </c>
      <c r="AB733" s="4" t="str">
        <f>IF(M733="",IF(ISNUMBER(SEARCH("NOT NULL",UPPER(M$3))),"''","null"),SUBSTITUTE(VLOOKUP(M$2,convert!$A$1:$B$4,2,0),"@@@",M733))</f>
        <v>null</v>
      </c>
      <c r="AC733" s="4" t="str">
        <f>IF(N733="",IF(ISNUMBER(SEARCH("NOT NULL",UPPER(N$3))),"''","null"),SUBSTITUTE(VLOOKUP(N$2,convert!$A$1:$B$4,2,0),"@@@",N733))</f>
        <v>null</v>
      </c>
      <c r="AD733" s="4" t="str">
        <f>IF(O733="",IF(ISNUMBER(SEARCH("NOT NULL",UPPER(O$3))),"''","null"),SUBSTITUTE(VLOOKUP(O$2,convert!$A$1:$B$4,2,0),"@@@",O733))</f>
        <v>TRUE</v>
      </c>
      <c r="AE733" s="4" t="str">
        <f t="shared" si="11"/>
        <v>    ('0593N02', 'ブルンゲル', 100, 60, 70, 85, 105, 60, 'メスのすがた', 'water', 'ghost', 'g5', null, null, TRUE),</v>
      </c>
    </row>
    <row r="734" spans="1:31">
      <c r="A734" s="4" t="s">
        <v>1474</v>
      </c>
      <c r="B734" s="4" t="s">
        <v>1475</v>
      </c>
      <c r="C734" s="5">
        <v>165</v>
      </c>
      <c r="D734" s="5">
        <v>75</v>
      </c>
      <c r="E734" s="5">
        <v>80</v>
      </c>
      <c r="F734" s="5">
        <v>40</v>
      </c>
      <c r="G734" s="5">
        <v>45</v>
      </c>
      <c r="H734" s="5">
        <v>65</v>
      </c>
      <c r="I734" s="5"/>
      <c r="J734" s="4" t="s">
        <v>55</v>
      </c>
      <c r="K734" s="5"/>
      <c r="L734" s="4" t="s">
        <v>1243</v>
      </c>
      <c r="M734" s="5"/>
      <c r="N734" s="5"/>
      <c r="O734" s="5" t="b">
        <v>1</v>
      </c>
      <c r="P734" s="4" t="str">
        <f>IF(A734="",IF(ISNUMBER(SEARCH("NOT NULL",UPPER(A$3))),"''","null"),SUBSTITUTE(VLOOKUP(A$2,convert!$A$1:$B$4,2,0),"@@@",A734))</f>
        <v>'0594N01'</v>
      </c>
      <c r="Q734" s="4" t="str">
        <f>IF(B734="",IF(ISNUMBER(SEARCH("NOT NULL",UPPER(B$3))),"''","null"),SUBSTITUTE(VLOOKUP(B$2,convert!$A$1:$B$4,2,0),"@@@",B734))</f>
        <v>'ママンボウ'</v>
      </c>
      <c r="R734" s="4" t="str">
        <f>IF(C734="",IF(ISNUMBER(SEARCH("NOT NULL",UPPER(C$3))),"''","null"),SUBSTITUTE(VLOOKUP(C$2,convert!$A$1:$B$4,2,0),"@@@",C734))</f>
        <v>165</v>
      </c>
      <c r="S734" s="4" t="str">
        <f>IF(D734="",IF(ISNUMBER(SEARCH("NOT NULL",UPPER(D$3))),"''","null"),SUBSTITUTE(VLOOKUP(D$2,convert!$A$1:$B$4,2,0),"@@@",D734))</f>
        <v>75</v>
      </c>
      <c r="T734" s="4" t="str">
        <f>IF(E734="",IF(ISNUMBER(SEARCH("NOT NULL",UPPER(E$3))),"''","null"),SUBSTITUTE(VLOOKUP(E$2,convert!$A$1:$B$4,2,0),"@@@",E734))</f>
        <v>80</v>
      </c>
      <c r="U734" s="4" t="str">
        <f>IF(F734="",IF(ISNUMBER(SEARCH("NOT NULL",UPPER(F$3))),"''","null"),SUBSTITUTE(VLOOKUP(F$2,convert!$A$1:$B$4,2,0),"@@@",F734))</f>
        <v>40</v>
      </c>
      <c r="V734" s="4" t="str">
        <f>IF(G734="",IF(ISNUMBER(SEARCH("NOT NULL",UPPER(G$3))),"''","null"),SUBSTITUTE(VLOOKUP(G$2,convert!$A$1:$B$4,2,0),"@@@",G734))</f>
        <v>45</v>
      </c>
      <c r="W734" s="4" t="str">
        <f>IF(H734="",IF(ISNUMBER(SEARCH("NOT NULL",UPPER(H$3))),"''","null"),SUBSTITUTE(VLOOKUP(H$2,convert!$A$1:$B$4,2,0),"@@@",H734))</f>
        <v>65</v>
      </c>
      <c r="X734" s="4" t="str">
        <f>IF(I734="",IF(ISNUMBER(SEARCH("NOT NULL",UPPER(I$3))),"''","null"),SUBSTITUTE(VLOOKUP(I$2,convert!$A$1:$B$4,2,0),"@@@",I734))</f>
        <v>''</v>
      </c>
      <c r="Y734" s="4" t="str">
        <f>IF(J734="",IF(ISNUMBER(SEARCH("NOT NULL",UPPER(J$3))),"''","null"),SUBSTITUTE(VLOOKUP(J$2,convert!$A$1:$B$4,2,0),"@@@",J734))</f>
        <v>'water'</v>
      </c>
      <c r="Z734" s="4" t="str">
        <f>IF(K734="",IF(ISNUMBER(SEARCH("NOT NULL",UPPER(K$3))),"''","null"),SUBSTITUTE(VLOOKUP(K$2,convert!$A$1:$B$4,2,0),"@@@",K734))</f>
        <v>null</v>
      </c>
      <c r="AA734" s="4" t="str">
        <f>IF(L734="",IF(ISNUMBER(SEARCH("NOT NULL",UPPER(L$3))),"''","null"),SUBSTITUTE(VLOOKUP(L$2,convert!$A$1:$B$4,2,0),"@@@",L734))</f>
        <v>'g5'</v>
      </c>
      <c r="AB734" s="4" t="str">
        <f>IF(M734="",IF(ISNUMBER(SEARCH("NOT NULL",UPPER(M$3))),"''","null"),SUBSTITUTE(VLOOKUP(M$2,convert!$A$1:$B$4,2,0),"@@@",M734))</f>
        <v>null</v>
      </c>
      <c r="AC734" s="4" t="str">
        <f>IF(N734="",IF(ISNUMBER(SEARCH("NOT NULL",UPPER(N$3))),"''","null"),SUBSTITUTE(VLOOKUP(N$2,convert!$A$1:$B$4,2,0),"@@@",N734))</f>
        <v>null</v>
      </c>
      <c r="AD734" s="4" t="str">
        <f>IF(O734="",IF(ISNUMBER(SEARCH("NOT NULL",UPPER(O$3))),"''","null"),SUBSTITUTE(VLOOKUP(O$2,convert!$A$1:$B$4,2,0),"@@@",O734))</f>
        <v>TRUE</v>
      </c>
      <c r="AE734" s="4" t="str">
        <f t="shared" si="11"/>
        <v>    ('0594N01', 'ママンボウ', 165, 75, 80, 40, 45, 65, '', 'water', null, 'g5', null, null, TRUE),</v>
      </c>
    </row>
    <row r="735" spans="1:31">
      <c r="A735" s="4" t="s">
        <v>1476</v>
      </c>
      <c r="B735" s="4" t="s">
        <v>1477</v>
      </c>
      <c r="C735" s="5">
        <v>50</v>
      </c>
      <c r="D735" s="5">
        <v>47</v>
      </c>
      <c r="E735" s="5">
        <v>50</v>
      </c>
      <c r="F735" s="5">
        <v>57</v>
      </c>
      <c r="G735" s="5">
        <v>50</v>
      </c>
      <c r="H735" s="5">
        <v>65</v>
      </c>
      <c r="I735" s="5"/>
      <c r="J735" s="4" t="s">
        <v>64</v>
      </c>
      <c r="K735" s="4" t="s">
        <v>106</v>
      </c>
      <c r="L735" s="4" t="s">
        <v>1243</v>
      </c>
      <c r="M735" s="5"/>
      <c r="N735" s="5"/>
      <c r="O735" s="5" t="b">
        <v>1</v>
      </c>
      <c r="P735" s="4" t="str">
        <f>IF(A735="",IF(ISNUMBER(SEARCH("NOT NULL",UPPER(A$3))),"''","null"),SUBSTITUTE(VLOOKUP(A$2,convert!$A$1:$B$4,2,0),"@@@",A735))</f>
        <v>'0595N01'</v>
      </c>
      <c r="Q735" s="4" t="str">
        <f>IF(B735="",IF(ISNUMBER(SEARCH("NOT NULL",UPPER(B$3))),"''","null"),SUBSTITUTE(VLOOKUP(B$2,convert!$A$1:$B$4,2,0),"@@@",B735))</f>
        <v>'バチュル'</v>
      </c>
      <c r="R735" s="4" t="str">
        <f>IF(C735="",IF(ISNUMBER(SEARCH("NOT NULL",UPPER(C$3))),"''","null"),SUBSTITUTE(VLOOKUP(C$2,convert!$A$1:$B$4,2,0),"@@@",C735))</f>
        <v>50</v>
      </c>
      <c r="S735" s="4" t="str">
        <f>IF(D735="",IF(ISNUMBER(SEARCH("NOT NULL",UPPER(D$3))),"''","null"),SUBSTITUTE(VLOOKUP(D$2,convert!$A$1:$B$4,2,0),"@@@",D735))</f>
        <v>47</v>
      </c>
      <c r="T735" s="4" t="str">
        <f>IF(E735="",IF(ISNUMBER(SEARCH("NOT NULL",UPPER(E$3))),"''","null"),SUBSTITUTE(VLOOKUP(E$2,convert!$A$1:$B$4,2,0),"@@@",E735))</f>
        <v>50</v>
      </c>
      <c r="U735" s="4" t="str">
        <f>IF(F735="",IF(ISNUMBER(SEARCH("NOT NULL",UPPER(F$3))),"''","null"),SUBSTITUTE(VLOOKUP(F$2,convert!$A$1:$B$4,2,0),"@@@",F735))</f>
        <v>57</v>
      </c>
      <c r="V735" s="4" t="str">
        <f>IF(G735="",IF(ISNUMBER(SEARCH("NOT NULL",UPPER(G$3))),"''","null"),SUBSTITUTE(VLOOKUP(G$2,convert!$A$1:$B$4,2,0),"@@@",G735))</f>
        <v>50</v>
      </c>
      <c r="W735" s="4" t="str">
        <f>IF(H735="",IF(ISNUMBER(SEARCH("NOT NULL",UPPER(H$3))),"''","null"),SUBSTITUTE(VLOOKUP(H$2,convert!$A$1:$B$4,2,0),"@@@",H735))</f>
        <v>65</v>
      </c>
      <c r="X735" s="4" t="str">
        <f>IF(I735="",IF(ISNUMBER(SEARCH("NOT NULL",UPPER(I$3))),"''","null"),SUBSTITUTE(VLOOKUP(I$2,convert!$A$1:$B$4,2,0),"@@@",I735))</f>
        <v>''</v>
      </c>
      <c r="Y735" s="4" t="str">
        <f>IF(J735="",IF(ISNUMBER(SEARCH("NOT NULL",UPPER(J$3))),"''","null"),SUBSTITUTE(VLOOKUP(J$2,convert!$A$1:$B$4,2,0),"@@@",J735))</f>
        <v>'bug'</v>
      </c>
      <c r="Z735" s="4" t="str">
        <f>IF(K735="",IF(ISNUMBER(SEARCH("NOT NULL",UPPER(K$3))),"''","null"),SUBSTITUTE(VLOOKUP(K$2,convert!$A$1:$B$4,2,0),"@@@",K735))</f>
        <v>'electric'</v>
      </c>
      <c r="AA735" s="4" t="str">
        <f>IF(L735="",IF(ISNUMBER(SEARCH("NOT NULL",UPPER(L$3))),"''","null"),SUBSTITUTE(VLOOKUP(L$2,convert!$A$1:$B$4,2,0),"@@@",L735))</f>
        <v>'g5'</v>
      </c>
      <c r="AB735" s="4" t="str">
        <f>IF(M735="",IF(ISNUMBER(SEARCH("NOT NULL",UPPER(M$3))),"''","null"),SUBSTITUTE(VLOOKUP(M$2,convert!$A$1:$B$4,2,0),"@@@",M735))</f>
        <v>null</v>
      </c>
      <c r="AC735" s="4" t="str">
        <f>IF(N735="",IF(ISNUMBER(SEARCH("NOT NULL",UPPER(N$3))),"''","null"),SUBSTITUTE(VLOOKUP(N$2,convert!$A$1:$B$4,2,0),"@@@",N735))</f>
        <v>null</v>
      </c>
      <c r="AD735" s="4" t="str">
        <f>IF(O735="",IF(ISNUMBER(SEARCH("NOT NULL",UPPER(O$3))),"''","null"),SUBSTITUTE(VLOOKUP(O$2,convert!$A$1:$B$4,2,0),"@@@",O735))</f>
        <v>TRUE</v>
      </c>
      <c r="AE735" s="4" t="str">
        <f t="shared" si="11"/>
        <v>    ('0595N01', 'バチュル', 50, 47, 50, 57, 50, 65, '', 'bug', 'electric', 'g5', null, null, TRUE),</v>
      </c>
    </row>
    <row r="736" spans="1:31">
      <c r="A736" s="4" t="s">
        <v>1478</v>
      </c>
      <c r="B736" s="4" t="s">
        <v>1479</v>
      </c>
      <c r="C736" s="5">
        <v>70</v>
      </c>
      <c r="D736" s="5">
        <v>77</v>
      </c>
      <c r="E736" s="5">
        <v>60</v>
      </c>
      <c r="F736" s="5">
        <v>97</v>
      </c>
      <c r="G736" s="5">
        <v>60</v>
      </c>
      <c r="H736" s="5">
        <v>108</v>
      </c>
      <c r="I736" s="5"/>
      <c r="J736" s="4" t="s">
        <v>64</v>
      </c>
      <c r="K736" s="4" t="s">
        <v>106</v>
      </c>
      <c r="L736" s="4" t="s">
        <v>1243</v>
      </c>
      <c r="M736" s="5"/>
      <c r="N736" s="5"/>
      <c r="O736" s="5" t="b">
        <v>1</v>
      </c>
      <c r="P736" s="4" t="str">
        <f>IF(A736="",IF(ISNUMBER(SEARCH("NOT NULL",UPPER(A$3))),"''","null"),SUBSTITUTE(VLOOKUP(A$2,convert!$A$1:$B$4,2,0),"@@@",A736))</f>
        <v>'0596N01'</v>
      </c>
      <c r="Q736" s="4" t="str">
        <f>IF(B736="",IF(ISNUMBER(SEARCH("NOT NULL",UPPER(B$3))),"''","null"),SUBSTITUTE(VLOOKUP(B$2,convert!$A$1:$B$4,2,0),"@@@",B736))</f>
        <v>'デンチュラ'</v>
      </c>
      <c r="R736" s="4" t="str">
        <f>IF(C736="",IF(ISNUMBER(SEARCH("NOT NULL",UPPER(C$3))),"''","null"),SUBSTITUTE(VLOOKUP(C$2,convert!$A$1:$B$4,2,0),"@@@",C736))</f>
        <v>70</v>
      </c>
      <c r="S736" s="4" t="str">
        <f>IF(D736="",IF(ISNUMBER(SEARCH("NOT NULL",UPPER(D$3))),"''","null"),SUBSTITUTE(VLOOKUP(D$2,convert!$A$1:$B$4,2,0),"@@@",D736))</f>
        <v>77</v>
      </c>
      <c r="T736" s="4" t="str">
        <f>IF(E736="",IF(ISNUMBER(SEARCH("NOT NULL",UPPER(E$3))),"''","null"),SUBSTITUTE(VLOOKUP(E$2,convert!$A$1:$B$4,2,0),"@@@",E736))</f>
        <v>60</v>
      </c>
      <c r="U736" s="4" t="str">
        <f>IF(F736="",IF(ISNUMBER(SEARCH("NOT NULL",UPPER(F$3))),"''","null"),SUBSTITUTE(VLOOKUP(F$2,convert!$A$1:$B$4,2,0),"@@@",F736))</f>
        <v>97</v>
      </c>
      <c r="V736" s="4" t="str">
        <f>IF(G736="",IF(ISNUMBER(SEARCH("NOT NULL",UPPER(G$3))),"''","null"),SUBSTITUTE(VLOOKUP(G$2,convert!$A$1:$B$4,2,0),"@@@",G736))</f>
        <v>60</v>
      </c>
      <c r="W736" s="4" t="str">
        <f>IF(H736="",IF(ISNUMBER(SEARCH("NOT NULL",UPPER(H$3))),"''","null"),SUBSTITUTE(VLOOKUP(H$2,convert!$A$1:$B$4,2,0),"@@@",H736))</f>
        <v>108</v>
      </c>
      <c r="X736" s="4" t="str">
        <f>IF(I736="",IF(ISNUMBER(SEARCH("NOT NULL",UPPER(I$3))),"''","null"),SUBSTITUTE(VLOOKUP(I$2,convert!$A$1:$B$4,2,0),"@@@",I736))</f>
        <v>''</v>
      </c>
      <c r="Y736" s="4" t="str">
        <f>IF(J736="",IF(ISNUMBER(SEARCH("NOT NULL",UPPER(J$3))),"''","null"),SUBSTITUTE(VLOOKUP(J$2,convert!$A$1:$B$4,2,0),"@@@",J736))</f>
        <v>'bug'</v>
      </c>
      <c r="Z736" s="4" t="str">
        <f>IF(K736="",IF(ISNUMBER(SEARCH("NOT NULL",UPPER(K$3))),"''","null"),SUBSTITUTE(VLOOKUP(K$2,convert!$A$1:$B$4,2,0),"@@@",K736))</f>
        <v>'electric'</v>
      </c>
      <c r="AA736" s="4" t="str">
        <f>IF(L736="",IF(ISNUMBER(SEARCH("NOT NULL",UPPER(L$3))),"''","null"),SUBSTITUTE(VLOOKUP(L$2,convert!$A$1:$B$4,2,0),"@@@",L736))</f>
        <v>'g5'</v>
      </c>
      <c r="AB736" s="4" t="str">
        <f>IF(M736="",IF(ISNUMBER(SEARCH("NOT NULL",UPPER(M$3))),"''","null"),SUBSTITUTE(VLOOKUP(M$2,convert!$A$1:$B$4,2,0),"@@@",M736))</f>
        <v>null</v>
      </c>
      <c r="AC736" s="4" t="str">
        <f>IF(N736="",IF(ISNUMBER(SEARCH("NOT NULL",UPPER(N$3))),"''","null"),SUBSTITUTE(VLOOKUP(N$2,convert!$A$1:$B$4,2,0),"@@@",N736))</f>
        <v>null</v>
      </c>
      <c r="AD736" s="4" t="str">
        <f>IF(O736="",IF(ISNUMBER(SEARCH("NOT NULL",UPPER(O$3))),"''","null"),SUBSTITUTE(VLOOKUP(O$2,convert!$A$1:$B$4,2,0),"@@@",O736))</f>
        <v>TRUE</v>
      </c>
      <c r="AE736" s="4" t="str">
        <f t="shared" si="11"/>
        <v>    ('0596N01', 'デンチュラ', 70, 77, 60, 97, 60, 108, '', 'bug', 'electric', 'g5', null, null, TRUE),</v>
      </c>
    </row>
    <row r="737" spans="1:31">
      <c r="A737" s="4" t="s">
        <v>1480</v>
      </c>
      <c r="B737" s="4" t="s">
        <v>1481</v>
      </c>
      <c r="C737" s="5">
        <v>44</v>
      </c>
      <c r="D737" s="5">
        <v>50</v>
      </c>
      <c r="E737" s="5">
        <v>91</v>
      </c>
      <c r="F737" s="5">
        <v>24</v>
      </c>
      <c r="G737" s="5">
        <v>86</v>
      </c>
      <c r="H737" s="5">
        <v>10</v>
      </c>
      <c r="I737" s="5"/>
      <c r="J737" s="4" t="s">
        <v>30</v>
      </c>
      <c r="K737" s="4" t="s">
        <v>119</v>
      </c>
      <c r="L737" s="4" t="s">
        <v>1243</v>
      </c>
      <c r="M737" s="5"/>
      <c r="N737" s="5"/>
      <c r="O737" s="5" t="b">
        <v>1</v>
      </c>
      <c r="P737" s="4" t="str">
        <f>IF(A737="",IF(ISNUMBER(SEARCH("NOT NULL",UPPER(A$3))),"''","null"),SUBSTITUTE(VLOOKUP(A$2,convert!$A$1:$B$4,2,0),"@@@",A737))</f>
        <v>'0597N01'</v>
      </c>
      <c r="Q737" s="4" t="str">
        <f>IF(B737="",IF(ISNUMBER(SEARCH("NOT NULL",UPPER(B$3))),"''","null"),SUBSTITUTE(VLOOKUP(B$2,convert!$A$1:$B$4,2,0),"@@@",B737))</f>
        <v>'テッシード'</v>
      </c>
      <c r="R737" s="4" t="str">
        <f>IF(C737="",IF(ISNUMBER(SEARCH("NOT NULL",UPPER(C$3))),"''","null"),SUBSTITUTE(VLOOKUP(C$2,convert!$A$1:$B$4,2,0),"@@@",C737))</f>
        <v>44</v>
      </c>
      <c r="S737" s="4" t="str">
        <f>IF(D737="",IF(ISNUMBER(SEARCH("NOT NULL",UPPER(D$3))),"''","null"),SUBSTITUTE(VLOOKUP(D$2,convert!$A$1:$B$4,2,0),"@@@",D737))</f>
        <v>50</v>
      </c>
      <c r="T737" s="4" t="str">
        <f>IF(E737="",IF(ISNUMBER(SEARCH("NOT NULL",UPPER(E$3))),"''","null"),SUBSTITUTE(VLOOKUP(E$2,convert!$A$1:$B$4,2,0),"@@@",E737))</f>
        <v>91</v>
      </c>
      <c r="U737" s="4" t="str">
        <f>IF(F737="",IF(ISNUMBER(SEARCH("NOT NULL",UPPER(F$3))),"''","null"),SUBSTITUTE(VLOOKUP(F$2,convert!$A$1:$B$4,2,0),"@@@",F737))</f>
        <v>24</v>
      </c>
      <c r="V737" s="4" t="str">
        <f>IF(G737="",IF(ISNUMBER(SEARCH("NOT NULL",UPPER(G$3))),"''","null"),SUBSTITUTE(VLOOKUP(G$2,convert!$A$1:$B$4,2,0),"@@@",G737))</f>
        <v>86</v>
      </c>
      <c r="W737" s="4" t="str">
        <f>IF(H737="",IF(ISNUMBER(SEARCH("NOT NULL",UPPER(H$3))),"''","null"),SUBSTITUTE(VLOOKUP(H$2,convert!$A$1:$B$4,2,0),"@@@",H737))</f>
        <v>10</v>
      </c>
      <c r="X737" s="4" t="str">
        <f>IF(I737="",IF(ISNUMBER(SEARCH("NOT NULL",UPPER(I$3))),"''","null"),SUBSTITUTE(VLOOKUP(I$2,convert!$A$1:$B$4,2,0),"@@@",I737))</f>
        <v>''</v>
      </c>
      <c r="Y737" s="4" t="str">
        <f>IF(J737="",IF(ISNUMBER(SEARCH("NOT NULL",UPPER(J$3))),"''","null"),SUBSTITUTE(VLOOKUP(J$2,convert!$A$1:$B$4,2,0),"@@@",J737))</f>
        <v>'grass'</v>
      </c>
      <c r="Z737" s="4" t="str">
        <f>IF(K737="",IF(ISNUMBER(SEARCH("NOT NULL",UPPER(K$3))),"''","null"),SUBSTITUTE(VLOOKUP(K$2,convert!$A$1:$B$4,2,0),"@@@",K737))</f>
        <v>'steel'</v>
      </c>
      <c r="AA737" s="4" t="str">
        <f>IF(L737="",IF(ISNUMBER(SEARCH("NOT NULL",UPPER(L$3))),"''","null"),SUBSTITUTE(VLOOKUP(L$2,convert!$A$1:$B$4,2,0),"@@@",L737))</f>
        <v>'g5'</v>
      </c>
      <c r="AB737" s="4" t="str">
        <f>IF(M737="",IF(ISNUMBER(SEARCH("NOT NULL",UPPER(M$3))),"''","null"),SUBSTITUTE(VLOOKUP(M$2,convert!$A$1:$B$4,2,0),"@@@",M737))</f>
        <v>null</v>
      </c>
      <c r="AC737" s="4" t="str">
        <f>IF(N737="",IF(ISNUMBER(SEARCH("NOT NULL",UPPER(N$3))),"''","null"),SUBSTITUTE(VLOOKUP(N$2,convert!$A$1:$B$4,2,0),"@@@",N737))</f>
        <v>null</v>
      </c>
      <c r="AD737" s="4" t="str">
        <f>IF(O737="",IF(ISNUMBER(SEARCH("NOT NULL",UPPER(O$3))),"''","null"),SUBSTITUTE(VLOOKUP(O$2,convert!$A$1:$B$4,2,0),"@@@",O737))</f>
        <v>TRUE</v>
      </c>
      <c r="AE737" s="4" t="str">
        <f t="shared" si="11"/>
        <v>    ('0597N01', 'テッシード', 44, 50, 91, 24, 86, 10, '', 'grass', 'steel', 'g5', null, null, TRUE),</v>
      </c>
    </row>
    <row r="738" spans="1:31">
      <c r="A738" s="4" t="s">
        <v>1482</v>
      </c>
      <c r="B738" s="4" t="s">
        <v>1483</v>
      </c>
      <c r="C738" s="5">
        <v>74</v>
      </c>
      <c r="D738" s="5">
        <v>94</v>
      </c>
      <c r="E738" s="5">
        <v>131</v>
      </c>
      <c r="F738" s="5">
        <v>54</v>
      </c>
      <c r="G738" s="5">
        <v>116</v>
      </c>
      <c r="H738" s="5">
        <v>20</v>
      </c>
      <c r="I738" s="5"/>
      <c r="J738" s="4" t="s">
        <v>30</v>
      </c>
      <c r="K738" s="4" t="s">
        <v>119</v>
      </c>
      <c r="L738" s="4" t="s">
        <v>1243</v>
      </c>
      <c r="M738" s="5"/>
      <c r="N738" s="5"/>
      <c r="O738" s="5" t="b">
        <v>1</v>
      </c>
      <c r="P738" s="4" t="str">
        <f>IF(A738="",IF(ISNUMBER(SEARCH("NOT NULL",UPPER(A$3))),"''","null"),SUBSTITUTE(VLOOKUP(A$2,convert!$A$1:$B$4,2,0),"@@@",A738))</f>
        <v>'0598N01'</v>
      </c>
      <c r="Q738" s="4" t="str">
        <f>IF(B738="",IF(ISNUMBER(SEARCH("NOT NULL",UPPER(B$3))),"''","null"),SUBSTITUTE(VLOOKUP(B$2,convert!$A$1:$B$4,2,0),"@@@",B738))</f>
        <v>'ナットレイ'</v>
      </c>
      <c r="R738" s="4" t="str">
        <f>IF(C738="",IF(ISNUMBER(SEARCH("NOT NULL",UPPER(C$3))),"''","null"),SUBSTITUTE(VLOOKUP(C$2,convert!$A$1:$B$4,2,0),"@@@",C738))</f>
        <v>74</v>
      </c>
      <c r="S738" s="4" t="str">
        <f>IF(D738="",IF(ISNUMBER(SEARCH("NOT NULL",UPPER(D$3))),"''","null"),SUBSTITUTE(VLOOKUP(D$2,convert!$A$1:$B$4,2,0),"@@@",D738))</f>
        <v>94</v>
      </c>
      <c r="T738" s="4" t="str">
        <f>IF(E738="",IF(ISNUMBER(SEARCH("NOT NULL",UPPER(E$3))),"''","null"),SUBSTITUTE(VLOOKUP(E$2,convert!$A$1:$B$4,2,0),"@@@",E738))</f>
        <v>131</v>
      </c>
      <c r="U738" s="4" t="str">
        <f>IF(F738="",IF(ISNUMBER(SEARCH("NOT NULL",UPPER(F$3))),"''","null"),SUBSTITUTE(VLOOKUP(F$2,convert!$A$1:$B$4,2,0),"@@@",F738))</f>
        <v>54</v>
      </c>
      <c r="V738" s="4" t="str">
        <f>IF(G738="",IF(ISNUMBER(SEARCH("NOT NULL",UPPER(G$3))),"''","null"),SUBSTITUTE(VLOOKUP(G$2,convert!$A$1:$B$4,2,0),"@@@",G738))</f>
        <v>116</v>
      </c>
      <c r="W738" s="4" t="str">
        <f>IF(H738="",IF(ISNUMBER(SEARCH("NOT NULL",UPPER(H$3))),"''","null"),SUBSTITUTE(VLOOKUP(H$2,convert!$A$1:$B$4,2,0),"@@@",H738))</f>
        <v>20</v>
      </c>
      <c r="X738" s="4" t="str">
        <f>IF(I738="",IF(ISNUMBER(SEARCH("NOT NULL",UPPER(I$3))),"''","null"),SUBSTITUTE(VLOOKUP(I$2,convert!$A$1:$B$4,2,0),"@@@",I738))</f>
        <v>''</v>
      </c>
      <c r="Y738" s="4" t="str">
        <f>IF(J738="",IF(ISNUMBER(SEARCH("NOT NULL",UPPER(J$3))),"''","null"),SUBSTITUTE(VLOOKUP(J$2,convert!$A$1:$B$4,2,0),"@@@",J738))</f>
        <v>'grass'</v>
      </c>
      <c r="Z738" s="4" t="str">
        <f>IF(K738="",IF(ISNUMBER(SEARCH("NOT NULL",UPPER(K$3))),"''","null"),SUBSTITUTE(VLOOKUP(K$2,convert!$A$1:$B$4,2,0),"@@@",K738))</f>
        <v>'steel'</v>
      </c>
      <c r="AA738" s="4" t="str">
        <f>IF(L738="",IF(ISNUMBER(SEARCH("NOT NULL",UPPER(L$3))),"''","null"),SUBSTITUTE(VLOOKUP(L$2,convert!$A$1:$B$4,2,0),"@@@",L738))</f>
        <v>'g5'</v>
      </c>
      <c r="AB738" s="4" t="str">
        <f>IF(M738="",IF(ISNUMBER(SEARCH("NOT NULL",UPPER(M$3))),"''","null"),SUBSTITUTE(VLOOKUP(M$2,convert!$A$1:$B$4,2,0),"@@@",M738))</f>
        <v>null</v>
      </c>
      <c r="AC738" s="4" t="str">
        <f>IF(N738="",IF(ISNUMBER(SEARCH("NOT NULL",UPPER(N$3))),"''","null"),SUBSTITUTE(VLOOKUP(N$2,convert!$A$1:$B$4,2,0),"@@@",N738))</f>
        <v>null</v>
      </c>
      <c r="AD738" s="4" t="str">
        <f>IF(O738="",IF(ISNUMBER(SEARCH("NOT NULL",UPPER(O$3))),"''","null"),SUBSTITUTE(VLOOKUP(O$2,convert!$A$1:$B$4,2,0),"@@@",O738))</f>
        <v>TRUE</v>
      </c>
      <c r="AE738" s="4" t="str">
        <f t="shared" si="11"/>
        <v>    ('0598N01', 'ナットレイ', 74, 94, 131, 54, 116, 20, '', 'grass', 'steel', 'g5', null, null, TRUE),</v>
      </c>
    </row>
    <row r="739" spans="1:31">
      <c r="A739" s="4" t="s">
        <v>1484</v>
      </c>
      <c r="B739" s="4" t="s">
        <v>1485</v>
      </c>
      <c r="C739" s="5">
        <v>40</v>
      </c>
      <c r="D739" s="5">
        <v>55</v>
      </c>
      <c r="E739" s="5">
        <v>70</v>
      </c>
      <c r="F739" s="5">
        <v>45</v>
      </c>
      <c r="G739" s="5">
        <v>60</v>
      </c>
      <c r="H739" s="5">
        <v>30</v>
      </c>
      <c r="I739" s="5"/>
      <c r="J739" s="4" t="s">
        <v>119</v>
      </c>
      <c r="K739" s="5"/>
      <c r="L739" s="4" t="s">
        <v>1243</v>
      </c>
      <c r="M739" s="5"/>
      <c r="N739" s="5"/>
      <c r="O739" s="5" t="b">
        <v>1</v>
      </c>
      <c r="P739" s="4" t="str">
        <f>IF(A739="",IF(ISNUMBER(SEARCH("NOT NULL",UPPER(A$3))),"''","null"),SUBSTITUTE(VLOOKUP(A$2,convert!$A$1:$B$4,2,0),"@@@",A739))</f>
        <v>'0599N01'</v>
      </c>
      <c r="Q739" s="4" t="str">
        <f>IF(B739="",IF(ISNUMBER(SEARCH("NOT NULL",UPPER(B$3))),"''","null"),SUBSTITUTE(VLOOKUP(B$2,convert!$A$1:$B$4,2,0),"@@@",B739))</f>
        <v>'ギアル'</v>
      </c>
      <c r="R739" s="4" t="str">
        <f>IF(C739="",IF(ISNUMBER(SEARCH("NOT NULL",UPPER(C$3))),"''","null"),SUBSTITUTE(VLOOKUP(C$2,convert!$A$1:$B$4,2,0),"@@@",C739))</f>
        <v>40</v>
      </c>
      <c r="S739" s="4" t="str">
        <f>IF(D739="",IF(ISNUMBER(SEARCH("NOT NULL",UPPER(D$3))),"''","null"),SUBSTITUTE(VLOOKUP(D$2,convert!$A$1:$B$4,2,0),"@@@",D739))</f>
        <v>55</v>
      </c>
      <c r="T739" s="4" t="str">
        <f>IF(E739="",IF(ISNUMBER(SEARCH("NOT NULL",UPPER(E$3))),"''","null"),SUBSTITUTE(VLOOKUP(E$2,convert!$A$1:$B$4,2,0),"@@@",E739))</f>
        <v>70</v>
      </c>
      <c r="U739" s="4" t="str">
        <f>IF(F739="",IF(ISNUMBER(SEARCH("NOT NULL",UPPER(F$3))),"''","null"),SUBSTITUTE(VLOOKUP(F$2,convert!$A$1:$B$4,2,0),"@@@",F739))</f>
        <v>45</v>
      </c>
      <c r="V739" s="4" t="str">
        <f>IF(G739="",IF(ISNUMBER(SEARCH("NOT NULL",UPPER(G$3))),"''","null"),SUBSTITUTE(VLOOKUP(G$2,convert!$A$1:$B$4,2,0),"@@@",G739))</f>
        <v>60</v>
      </c>
      <c r="W739" s="4" t="str">
        <f>IF(H739="",IF(ISNUMBER(SEARCH("NOT NULL",UPPER(H$3))),"''","null"),SUBSTITUTE(VLOOKUP(H$2,convert!$A$1:$B$4,2,0),"@@@",H739))</f>
        <v>30</v>
      </c>
      <c r="X739" s="4" t="str">
        <f>IF(I739="",IF(ISNUMBER(SEARCH("NOT NULL",UPPER(I$3))),"''","null"),SUBSTITUTE(VLOOKUP(I$2,convert!$A$1:$B$4,2,0),"@@@",I739))</f>
        <v>''</v>
      </c>
      <c r="Y739" s="4" t="str">
        <f>IF(J739="",IF(ISNUMBER(SEARCH("NOT NULL",UPPER(J$3))),"''","null"),SUBSTITUTE(VLOOKUP(J$2,convert!$A$1:$B$4,2,0),"@@@",J739))</f>
        <v>'steel'</v>
      </c>
      <c r="Z739" s="4" t="str">
        <f>IF(K739="",IF(ISNUMBER(SEARCH("NOT NULL",UPPER(K$3))),"''","null"),SUBSTITUTE(VLOOKUP(K$2,convert!$A$1:$B$4,2,0),"@@@",K739))</f>
        <v>null</v>
      </c>
      <c r="AA739" s="4" t="str">
        <f>IF(L739="",IF(ISNUMBER(SEARCH("NOT NULL",UPPER(L$3))),"''","null"),SUBSTITUTE(VLOOKUP(L$2,convert!$A$1:$B$4,2,0),"@@@",L739))</f>
        <v>'g5'</v>
      </c>
      <c r="AB739" s="4" t="str">
        <f>IF(M739="",IF(ISNUMBER(SEARCH("NOT NULL",UPPER(M$3))),"''","null"),SUBSTITUTE(VLOOKUP(M$2,convert!$A$1:$B$4,2,0),"@@@",M739))</f>
        <v>null</v>
      </c>
      <c r="AC739" s="4" t="str">
        <f>IF(N739="",IF(ISNUMBER(SEARCH("NOT NULL",UPPER(N$3))),"''","null"),SUBSTITUTE(VLOOKUP(N$2,convert!$A$1:$B$4,2,0),"@@@",N739))</f>
        <v>null</v>
      </c>
      <c r="AD739" s="4" t="str">
        <f>IF(O739="",IF(ISNUMBER(SEARCH("NOT NULL",UPPER(O$3))),"''","null"),SUBSTITUTE(VLOOKUP(O$2,convert!$A$1:$B$4,2,0),"@@@",O739))</f>
        <v>TRUE</v>
      </c>
      <c r="AE739" s="4" t="str">
        <f t="shared" si="11"/>
        <v>    ('0599N01', 'ギアル', 40, 55, 70, 45, 60, 30, '', 'steel', null, 'g5', null, null, TRUE),</v>
      </c>
    </row>
    <row r="740" spans="1:31">
      <c r="A740" s="4" t="s">
        <v>1486</v>
      </c>
      <c r="B740" s="4" t="s">
        <v>1487</v>
      </c>
      <c r="C740" s="5">
        <v>60</v>
      </c>
      <c r="D740" s="5">
        <v>80</v>
      </c>
      <c r="E740" s="5">
        <v>95</v>
      </c>
      <c r="F740" s="5">
        <v>70</v>
      </c>
      <c r="G740" s="5">
        <v>85</v>
      </c>
      <c r="H740" s="5">
        <v>50</v>
      </c>
      <c r="I740" s="5"/>
      <c r="J740" s="4" t="s">
        <v>119</v>
      </c>
      <c r="K740" s="5"/>
      <c r="L740" s="4" t="s">
        <v>1243</v>
      </c>
      <c r="M740" s="5"/>
      <c r="N740" s="5"/>
      <c r="O740" s="5" t="b">
        <v>1</v>
      </c>
      <c r="P740" s="4" t="str">
        <f>IF(A740="",IF(ISNUMBER(SEARCH("NOT NULL",UPPER(A$3))),"''","null"),SUBSTITUTE(VLOOKUP(A$2,convert!$A$1:$B$4,2,0),"@@@",A740))</f>
        <v>'0600N01'</v>
      </c>
      <c r="Q740" s="4" t="str">
        <f>IF(B740="",IF(ISNUMBER(SEARCH("NOT NULL",UPPER(B$3))),"''","null"),SUBSTITUTE(VLOOKUP(B$2,convert!$A$1:$B$4,2,0),"@@@",B740))</f>
        <v>'ギギアル'</v>
      </c>
      <c r="R740" s="4" t="str">
        <f>IF(C740="",IF(ISNUMBER(SEARCH("NOT NULL",UPPER(C$3))),"''","null"),SUBSTITUTE(VLOOKUP(C$2,convert!$A$1:$B$4,2,0),"@@@",C740))</f>
        <v>60</v>
      </c>
      <c r="S740" s="4" t="str">
        <f>IF(D740="",IF(ISNUMBER(SEARCH("NOT NULL",UPPER(D$3))),"''","null"),SUBSTITUTE(VLOOKUP(D$2,convert!$A$1:$B$4,2,0),"@@@",D740))</f>
        <v>80</v>
      </c>
      <c r="T740" s="4" t="str">
        <f>IF(E740="",IF(ISNUMBER(SEARCH("NOT NULL",UPPER(E$3))),"''","null"),SUBSTITUTE(VLOOKUP(E$2,convert!$A$1:$B$4,2,0),"@@@",E740))</f>
        <v>95</v>
      </c>
      <c r="U740" s="4" t="str">
        <f>IF(F740="",IF(ISNUMBER(SEARCH("NOT NULL",UPPER(F$3))),"''","null"),SUBSTITUTE(VLOOKUP(F$2,convert!$A$1:$B$4,2,0),"@@@",F740))</f>
        <v>70</v>
      </c>
      <c r="V740" s="4" t="str">
        <f>IF(G740="",IF(ISNUMBER(SEARCH("NOT NULL",UPPER(G$3))),"''","null"),SUBSTITUTE(VLOOKUP(G$2,convert!$A$1:$B$4,2,0),"@@@",G740))</f>
        <v>85</v>
      </c>
      <c r="W740" s="4" t="str">
        <f>IF(H740="",IF(ISNUMBER(SEARCH("NOT NULL",UPPER(H$3))),"''","null"),SUBSTITUTE(VLOOKUP(H$2,convert!$A$1:$B$4,2,0),"@@@",H740))</f>
        <v>50</v>
      </c>
      <c r="X740" s="4" t="str">
        <f>IF(I740="",IF(ISNUMBER(SEARCH("NOT NULL",UPPER(I$3))),"''","null"),SUBSTITUTE(VLOOKUP(I$2,convert!$A$1:$B$4,2,0),"@@@",I740))</f>
        <v>''</v>
      </c>
      <c r="Y740" s="4" t="str">
        <f>IF(J740="",IF(ISNUMBER(SEARCH("NOT NULL",UPPER(J$3))),"''","null"),SUBSTITUTE(VLOOKUP(J$2,convert!$A$1:$B$4,2,0),"@@@",J740))</f>
        <v>'steel'</v>
      </c>
      <c r="Z740" s="4" t="str">
        <f>IF(K740="",IF(ISNUMBER(SEARCH("NOT NULL",UPPER(K$3))),"''","null"),SUBSTITUTE(VLOOKUP(K$2,convert!$A$1:$B$4,2,0),"@@@",K740))</f>
        <v>null</v>
      </c>
      <c r="AA740" s="4" t="str">
        <f>IF(L740="",IF(ISNUMBER(SEARCH("NOT NULL",UPPER(L$3))),"''","null"),SUBSTITUTE(VLOOKUP(L$2,convert!$A$1:$B$4,2,0),"@@@",L740))</f>
        <v>'g5'</v>
      </c>
      <c r="AB740" s="4" t="str">
        <f>IF(M740="",IF(ISNUMBER(SEARCH("NOT NULL",UPPER(M$3))),"''","null"),SUBSTITUTE(VLOOKUP(M$2,convert!$A$1:$B$4,2,0),"@@@",M740))</f>
        <v>null</v>
      </c>
      <c r="AC740" s="4" t="str">
        <f>IF(N740="",IF(ISNUMBER(SEARCH("NOT NULL",UPPER(N$3))),"''","null"),SUBSTITUTE(VLOOKUP(N$2,convert!$A$1:$B$4,2,0),"@@@",N740))</f>
        <v>null</v>
      </c>
      <c r="AD740" s="4" t="str">
        <f>IF(O740="",IF(ISNUMBER(SEARCH("NOT NULL",UPPER(O$3))),"''","null"),SUBSTITUTE(VLOOKUP(O$2,convert!$A$1:$B$4,2,0),"@@@",O740))</f>
        <v>TRUE</v>
      </c>
      <c r="AE740" s="4" t="str">
        <f t="shared" si="11"/>
        <v>    ('0600N01', 'ギギアル', 60, 80, 95, 70, 85, 50, '', 'steel', null, 'g5', null, null, TRUE),</v>
      </c>
    </row>
    <row r="741" spans="1:31">
      <c r="A741" s="4" t="s">
        <v>1488</v>
      </c>
      <c r="B741" s="4" t="s">
        <v>1489</v>
      </c>
      <c r="C741" s="5">
        <v>60</v>
      </c>
      <c r="D741" s="5">
        <v>100</v>
      </c>
      <c r="E741" s="5">
        <v>115</v>
      </c>
      <c r="F741" s="5">
        <v>70</v>
      </c>
      <c r="G741" s="5">
        <v>85</v>
      </c>
      <c r="H741" s="5">
        <v>90</v>
      </c>
      <c r="I741" s="5"/>
      <c r="J741" s="4" t="s">
        <v>119</v>
      </c>
      <c r="K741" s="5"/>
      <c r="L741" s="4" t="s">
        <v>1243</v>
      </c>
      <c r="M741" s="5"/>
      <c r="N741" s="5"/>
      <c r="O741" s="5" t="b">
        <v>1</v>
      </c>
      <c r="P741" s="4" t="str">
        <f>IF(A741="",IF(ISNUMBER(SEARCH("NOT NULL",UPPER(A$3))),"''","null"),SUBSTITUTE(VLOOKUP(A$2,convert!$A$1:$B$4,2,0),"@@@",A741))</f>
        <v>'0601N01'</v>
      </c>
      <c r="Q741" s="4" t="str">
        <f>IF(B741="",IF(ISNUMBER(SEARCH("NOT NULL",UPPER(B$3))),"''","null"),SUBSTITUTE(VLOOKUP(B$2,convert!$A$1:$B$4,2,0),"@@@",B741))</f>
        <v>'ギギギアル'</v>
      </c>
      <c r="R741" s="4" t="str">
        <f>IF(C741="",IF(ISNUMBER(SEARCH("NOT NULL",UPPER(C$3))),"''","null"),SUBSTITUTE(VLOOKUP(C$2,convert!$A$1:$B$4,2,0),"@@@",C741))</f>
        <v>60</v>
      </c>
      <c r="S741" s="4" t="str">
        <f>IF(D741="",IF(ISNUMBER(SEARCH("NOT NULL",UPPER(D$3))),"''","null"),SUBSTITUTE(VLOOKUP(D$2,convert!$A$1:$B$4,2,0),"@@@",D741))</f>
        <v>100</v>
      </c>
      <c r="T741" s="4" t="str">
        <f>IF(E741="",IF(ISNUMBER(SEARCH("NOT NULL",UPPER(E$3))),"''","null"),SUBSTITUTE(VLOOKUP(E$2,convert!$A$1:$B$4,2,0),"@@@",E741))</f>
        <v>115</v>
      </c>
      <c r="U741" s="4" t="str">
        <f>IF(F741="",IF(ISNUMBER(SEARCH("NOT NULL",UPPER(F$3))),"''","null"),SUBSTITUTE(VLOOKUP(F$2,convert!$A$1:$B$4,2,0),"@@@",F741))</f>
        <v>70</v>
      </c>
      <c r="V741" s="4" t="str">
        <f>IF(G741="",IF(ISNUMBER(SEARCH("NOT NULL",UPPER(G$3))),"''","null"),SUBSTITUTE(VLOOKUP(G$2,convert!$A$1:$B$4,2,0),"@@@",G741))</f>
        <v>85</v>
      </c>
      <c r="W741" s="4" t="str">
        <f>IF(H741="",IF(ISNUMBER(SEARCH("NOT NULL",UPPER(H$3))),"''","null"),SUBSTITUTE(VLOOKUP(H$2,convert!$A$1:$B$4,2,0),"@@@",H741))</f>
        <v>90</v>
      </c>
      <c r="X741" s="4" t="str">
        <f>IF(I741="",IF(ISNUMBER(SEARCH("NOT NULL",UPPER(I$3))),"''","null"),SUBSTITUTE(VLOOKUP(I$2,convert!$A$1:$B$4,2,0),"@@@",I741))</f>
        <v>''</v>
      </c>
      <c r="Y741" s="4" t="str">
        <f>IF(J741="",IF(ISNUMBER(SEARCH("NOT NULL",UPPER(J$3))),"''","null"),SUBSTITUTE(VLOOKUP(J$2,convert!$A$1:$B$4,2,0),"@@@",J741))</f>
        <v>'steel'</v>
      </c>
      <c r="Z741" s="4" t="str">
        <f>IF(K741="",IF(ISNUMBER(SEARCH("NOT NULL",UPPER(K$3))),"''","null"),SUBSTITUTE(VLOOKUP(K$2,convert!$A$1:$B$4,2,0),"@@@",K741))</f>
        <v>null</v>
      </c>
      <c r="AA741" s="4" t="str">
        <f>IF(L741="",IF(ISNUMBER(SEARCH("NOT NULL",UPPER(L$3))),"''","null"),SUBSTITUTE(VLOOKUP(L$2,convert!$A$1:$B$4,2,0),"@@@",L741))</f>
        <v>'g5'</v>
      </c>
      <c r="AB741" s="4" t="str">
        <f>IF(M741="",IF(ISNUMBER(SEARCH("NOT NULL",UPPER(M$3))),"''","null"),SUBSTITUTE(VLOOKUP(M$2,convert!$A$1:$B$4,2,0),"@@@",M741))</f>
        <v>null</v>
      </c>
      <c r="AC741" s="4" t="str">
        <f>IF(N741="",IF(ISNUMBER(SEARCH("NOT NULL",UPPER(N$3))),"''","null"),SUBSTITUTE(VLOOKUP(N$2,convert!$A$1:$B$4,2,0),"@@@",N741))</f>
        <v>null</v>
      </c>
      <c r="AD741" s="4" t="str">
        <f>IF(O741="",IF(ISNUMBER(SEARCH("NOT NULL",UPPER(O$3))),"''","null"),SUBSTITUTE(VLOOKUP(O$2,convert!$A$1:$B$4,2,0),"@@@",O741))</f>
        <v>TRUE</v>
      </c>
      <c r="AE741" s="4" t="str">
        <f t="shared" si="11"/>
        <v>    ('0601N01', 'ギギギアル', 60, 100, 115, 70, 85, 90, '', 'steel', null, 'g5', null, null, TRUE),</v>
      </c>
    </row>
    <row r="742" spans="1:31">
      <c r="A742" s="4" t="s">
        <v>1490</v>
      </c>
      <c r="B742" s="4" t="s">
        <v>1491</v>
      </c>
      <c r="C742" s="5">
        <v>35</v>
      </c>
      <c r="D742" s="5">
        <v>55</v>
      </c>
      <c r="E742" s="5">
        <v>40</v>
      </c>
      <c r="F742" s="5">
        <v>45</v>
      </c>
      <c r="G742" s="5">
        <v>40</v>
      </c>
      <c r="H742" s="5">
        <v>60</v>
      </c>
      <c r="I742" s="5"/>
      <c r="J742" s="4" t="s">
        <v>106</v>
      </c>
      <c r="K742" s="5"/>
      <c r="L742" s="4" t="s">
        <v>1243</v>
      </c>
      <c r="M742" s="5"/>
      <c r="N742" s="5"/>
      <c r="O742" s="5" t="b">
        <v>1</v>
      </c>
      <c r="P742" s="4" t="str">
        <f>IF(A742="",IF(ISNUMBER(SEARCH("NOT NULL",UPPER(A$3))),"''","null"),SUBSTITUTE(VLOOKUP(A$2,convert!$A$1:$B$4,2,0),"@@@",A742))</f>
        <v>'0602N01'</v>
      </c>
      <c r="Q742" s="4" t="str">
        <f>IF(B742="",IF(ISNUMBER(SEARCH("NOT NULL",UPPER(B$3))),"''","null"),SUBSTITUTE(VLOOKUP(B$2,convert!$A$1:$B$4,2,0),"@@@",B742))</f>
        <v>'シビシラス'</v>
      </c>
      <c r="R742" s="4" t="str">
        <f>IF(C742="",IF(ISNUMBER(SEARCH("NOT NULL",UPPER(C$3))),"''","null"),SUBSTITUTE(VLOOKUP(C$2,convert!$A$1:$B$4,2,0),"@@@",C742))</f>
        <v>35</v>
      </c>
      <c r="S742" s="4" t="str">
        <f>IF(D742="",IF(ISNUMBER(SEARCH("NOT NULL",UPPER(D$3))),"''","null"),SUBSTITUTE(VLOOKUP(D$2,convert!$A$1:$B$4,2,0),"@@@",D742))</f>
        <v>55</v>
      </c>
      <c r="T742" s="4" t="str">
        <f>IF(E742="",IF(ISNUMBER(SEARCH("NOT NULL",UPPER(E$3))),"''","null"),SUBSTITUTE(VLOOKUP(E$2,convert!$A$1:$B$4,2,0),"@@@",E742))</f>
        <v>40</v>
      </c>
      <c r="U742" s="4" t="str">
        <f>IF(F742="",IF(ISNUMBER(SEARCH("NOT NULL",UPPER(F$3))),"''","null"),SUBSTITUTE(VLOOKUP(F$2,convert!$A$1:$B$4,2,0),"@@@",F742))</f>
        <v>45</v>
      </c>
      <c r="V742" s="4" t="str">
        <f>IF(G742="",IF(ISNUMBER(SEARCH("NOT NULL",UPPER(G$3))),"''","null"),SUBSTITUTE(VLOOKUP(G$2,convert!$A$1:$B$4,2,0),"@@@",G742))</f>
        <v>40</v>
      </c>
      <c r="W742" s="4" t="str">
        <f>IF(H742="",IF(ISNUMBER(SEARCH("NOT NULL",UPPER(H$3))),"''","null"),SUBSTITUTE(VLOOKUP(H$2,convert!$A$1:$B$4,2,0),"@@@",H742))</f>
        <v>60</v>
      </c>
      <c r="X742" s="4" t="str">
        <f>IF(I742="",IF(ISNUMBER(SEARCH("NOT NULL",UPPER(I$3))),"''","null"),SUBSTITUTE(VLOOKUP(I$2,convert!$A$1:$B$4,2,0),"@@@",I742))</f>
        <v>''</v>
      </c>
      <c r="Y742" s="4" t="str">
        <f>IF(J742="",IF(ISNUMBER(SEARCH("NOT NULL",UPPER(J$3))),"''","null"),SUBSTITUTE(VLOOKUP(J$2,convert!$A$1:$B$4,2,0),"@@@",J742))</f>
        <v>'electric'</v>
      </c>
      <c r="Z742" s="4" t="str">
        <f>IF(K742="",IF(ISNUMBER(SEARCH("NOT NULL",UPPER(K$3))),"''","null"),SUBSTITUTE(VLOOKUP(K$2,convert!$A$1:$B$4,2,0),"@@@",K742))</f>
        <v>null</v>
      </c>
      <c r="AA742" s="4" t="str">
        <f>IF(L742="",IF(ISNUMBER(SEARCH("NOT NULL",UPPER(L$3))),"''","null"),SUBSTITUTE(VLOOKUP(L$2,convert!$A$1:$B$4,2,0),"@@@",L742))</f>
        <v>'g5'</v>
      </c>
      <c r="AB742" s="4" t="str">
        <f>IF(M742="",IF(ISNUMBER(SEARCH("NOT NULL",UPPER(M$3))),"''","null"),SUBSTITUTE(VLOOKUP(M$2,convert!$A$1:$B$4,2,0),"@@@",M742))</f>
        <v>null</v>
      </c>
      <c r="AC742" s="4" t="str">
        <f>IF(N742="",IF(ISNUMBER(SEARCH("NOT NULL",UPPER(N$3))),"''","null"),SUBSTITUTE(VLOOKUP(N$2,convert!$A$1:$B$4,2,0),"@@@",N742))</f>
        <v>null</v>
      </c>
      <c r="AD742" s="4" t="str">
        <f>IF(O742="",IF(ISNUMBER(SEARCH("NOT NULL",UPPER(O$3))),"''","null"),SUBSTITUTE(VLOOKUP(O$2,convert!$A$1:$B$4,2,0),"@@@",O742))</f>
        <v>TRUE</v>
      </c>
      <c r="AE742" s="4" t="str">
        <f t="shared" si="11"/>
        <v>    ('0602N01', 'シビシラス', 35, 55, 40, 45, 40, 60, '', 'electric', null, 'g5', null, null, TRUE),</v>
      </c>
    </row>
    <row r="743" spans="1:31">
      <c r="A743" s="4" t="s">
        <v>1492</v>
      </c>
      <c r="B743" s="4" t="s">
        <v>1493</v>
      </c>
      <c r="C743" s="5">
        <v>65</v>
      </c>
      <c r="D743" s="5">
        <v>85</v>
      </c>
      <c r="E743" s="5">
        <v>70</v>
      </c>
      <c r="F743" s="5">
        <v>75</v>
      </c>
      <c r="G743" s="5">
        <v>70</v>
      </c>
      <c r="H743" s="5">
        <v>40</v>
      </c>
      <c r="I743" s="5"/>
      <c r="J743" s="4" t="s">
        <v>106</v>
      </c>
      <c r="K743" s="5"/>
      <c r="L743" s="4" t="s">
        <v>1243</v>
      </c>
      <c r="M743" s="5"/>
      <c r="N743" s="5"/>
      <c r="O743" s="5" t="b">
        <v>1</v>
      </c>
      <c r="P743" s="4" t="str">
        <f>IF(A743="",IF(ISNUMBER(SEARCH("NOT NULL",UPPER(A$3))),"''","null"),SUBSTITUTE(VLOOKUP(A$2,convert!$A$1:$B$4,2,0),"@@@",A743))</f>
        <v>'0603N01'</v>
      </c>
      <c r="Q743" s="4" t="str">
        <f>IF(B743="",IF(ISNUMBER(SEARCH("NOT NULL",UPPER(B$3))),"''","null"),SUBSTITUTE(VLOOKUP(B$2,convert!$A$1:$B$4,2,0),"@@@",B743))</f>
        <v>'シビビール'</v>
      </c>
      <c r="R743" s="4" t="str">
        <f>IF(C743="",IF(ISNUMBER(SEARCH("NOT NULL",UPPER(C$3))),"''","null"),SUBSTITUTE(VLOOKUP(C$2,convert!$A$1:$B$4,2,0),"@@@",C743))</f>
        <v>65</v>
      </c>
      <c r="S743" s="4" t="str">
        <f>IF(D743="",IF(ISNUMBER(SEARCH("NOT NULL",UPPER(D$3))),"''","null"),SUBSTITUTE(VLOOKUP(D$2,convert!$A$1:$B$4,2,0),"@@@",D743))</f>
        <v>85</v>
      </c>
      <c r="T743" s="4" t="str">
        <f>IF(E743="",IF(ISNUMBER(SEARCH("NOT NULL",UPPER(E$3))),"''","null"),SUBSTITUTE(VLOOKUP(E$2,convert!$A$1:$B$4,2,0),"@@@",E743))</f>
        <v>70</v>
      </c>
      <c r="U743" s="4" t="str">
        <f>IF(F743="",IF(ISNUMBER(SEARCH("NOT NULL",UPPER(F$3))),"''","null"),SUBSTITUTE(VLOOKUP(F$2,convert!$A$1:$B$4,2,0),"@@@",F743))</f>
        <v>75</v>
      </c>
      <c r="V743" s="4" t="str">
        <f>IF(G743="",IF(ISNUMBER(SEARCH("NOT NULL",UPPER(G$3))),"''","null"),SUBSTITUTE(VLOOKUP(G$2,convert!$A$1:$B$4,2,0),"@@@",G743))</f>
        <v>70</v>
      </c>
      <c r="W743" s="4" t="str">
        <f>IF(H743="",IF(ISNUMBER(SEARCH("NOT NULL",UPPER(H$3))),"''","null"),SUBSTITUTE(VLOOKUP(H$2,convert!$A$1:$B$4,2,0),"@@@",H743))</f>
        <v>40</v>
      </c>
      <c r="X743" s="4" t="str">
        <f>IF(I743="",IF(ISNUMBER(SEARCH("NOT NULL",UPPER(I$3))),"''","null"),SUBSTITUTE(VLOOKUP(I$2,convert!$A$1:$B$4,2,0),"@@@",I743))</f>
        <v>''</v>
      </c>
      <c r="Y743" s="4" t="str">
        <f>IF(J743="",IF(ISNUMBER(SEARCH("NOT NULL",UPPER(J$3))),"''","null"),SUBSTITUTE(VLOOKUP(J$2,convert!$A$1:$B$4,2,0),"@@@",J743))</f>
        <v>'electric'</v>
      </c>
      <c r="Z743" s="4" t="str">
        <f>IF(K743="",IF(ISNUMBER(SEARCH("NOT NULL",UPPER(K$3))),"''","null"),SUBSTITUTE(VLOOKUP(K$2,convert!$A$1:$B$4,2,0),"@@@",K743))</f>
        <v>null</v>
      </c>
      <c r="AA743" s="4" t="str">
        <f>IF(L743="",IF(ISNUMBER(SEARCH("NOT NULL",UPPER(L$3))),"''","null"),SUBSTITUTE(VLOOKUP(L$2,convert!$A$1:$B$4,2,0),"@@@",L743))</f>
        <v>'g5'</v>
      </c>
      <c r="AB743" s="4" t="str">
        <f>IF(M743="",IF(ISNUMBER(SEARCH("NOT NULL",UPPER(M$3))),"''","null"),SUBSTITUTE(VLOOKUP(M$2,convert!$A$1:$B$4,2,0),"@@@",M743))</f>
        <v>null</v>
      </c>
      <c r="AC743" s="4" t="str">
        <f>IF(N743="",IF(ISNUMBER(SEARCH("NOT NULL",UPPER(N$3))),"''","null"),SUBSTITUTE(VLOOKUP(N$2,convert!$A$1:$B$4,2,0),"@@@",N743))</f>
        <v>null</v>
      </c>
      <c r="AD743" s="4" t="str">
        <f>IF(O743="",IF(ISNUMBER(SEARCH("NOT NULL",UPPER(O$3))),"''","null"),SUBSTITUTE(VLOOKUP(O$2,convert!$A$1:$B$4,2,0),"@@@",O743))</f>
        <v>TRUE</v>
      </c>
      <c r="AE743" s="4" t="str">
        <f t="shared" si="11"/>
        <v>    ('0603N01', 'シビビール', 65, 85, 70, 75, 70, 40, '', 'electric', null, 'g5', null, null, TRUE),</v>
      </c>
    </row>
    <row r="744" spans="1:31">
      <c r="A744" s="4" t="s">
        <v>1494</v>
      </c>
      <c r="B744" s="4" t="s">
        <v>1495</v>
      </c>
      <c r="C744" s="5">
        <v>85</v>
      </c>
      <c r="D744" s="5">
        <v>115</v>
      </c>
      <c r="E744" s="5">
        <v>80</v>
      </c>
      <c r="F744" s="5">
        <v>105</v>
      </c>
      <c r="G744" s="5">
        <v>80</v>
      </c>
      <c r="H744" s="5">
        <v>50</v>
      </c>
      <c r="I744" s="5"/>
      <c r="J744" s="4" t="s">
        <v>106</v>
      </c>
      <c r="K744" s="5"/>
      <c r="L744" s="4" t="s">
        <v>1243</v>
      </c>
      <c r="M744" s="5"/>
      <c r="N744" s="5"/>
      <c r="O744" s="5" t="b">
        <v>1</v>
      </c>
      <c r="P744" s="4" t="str">
        <f>IF(A744="",IF(ISNUMBER(SEARCH("NOT NULL",UPPER(A$3))),"''","null"),SUBSTITUTE(VLOOKUP(A$2,convert!$A$1:$B$4,2,0),"@@@",A744))</f>
        <v>'0604N01'</v>
      </c>
      <c r="Q744" s="4" t="str">
        <f>IF(B744="",IF(ISNUMBER(SEARCH("NOT NULL",UPPER(B$3))),"''","null"),SUBSTITUTE(VLOOKUP(B$2,convert!$A$1:$B$4,2,0),"@@@",B744))</f>
        <v>'シビルドン'</v>
      </c>
      <c r="R744" s="4" t="str">
        <f>IF(C744="",IF(ISNUMBER(SEARCH("NOT NULL",UPPER(C$3))),"''","null"),SUBSTITUTE(VLOOKUP(C$2,convert!$A$1:$B$4,2,0),"@@@",C744))</f>
        <v>85</v>
      </c>
      <c r="S744" s="4" t="str">
        <f>IF(D744="",IF(ISNUMBER(SEARCH("NOT NULL",UPPER(D$3))),"''","null"),SUBSTITUTE(VLOOKUP(D$2,convert!$A$1:$B$4,2,0),"@@@",D744))</f>
        <v>115</v>
      </c>
      <c r="T744" s="4" t="str">
        <f>IF(E744="",IF(ISNUMBER(SEARCH("NOT NULL",UPPER(E$3))),"''","null"),SUBSTITUTE(VLOOKUP(E$2,convert!$A$1:$B$4,2,0),"@@@",E744))</f>
        <v>80</v>
      </c>
      <c r="U744" s="4" t="str">
        <f>IF(F744="",IF(ISNUMBER(SEARCH("NOT NULL",UPPER(F$3))),"''","null"),SUBSTITUTE(VLOOKUP(F$2,convert!$A$1:$B$4,2,0),"@@@",F744))</f>
        <v>105</v>
      </c>
      <c r="V744" s="4" t="str">
        <f>IF(G744="",IF(ISNUMBER(SEARCH("NOT NULL",UPPER(G$3))),"''","null"),SUBSTITUTE(VLOOKUP(G$2,convert!$A$1:$B$4,2,0),"@@@",G744))</f>
        <v>80</v>
      </c>
      <c r="W744" s="4" t="str">
        <f>IF(H744="",IF(ISNUMBER(SEARCH("NOT NULL",UPPER(H$3))),"''","null"),SUBSTITUTE(VLOOKUP(H$2,convert!$A$1:$B$4,2,0),"@@@",H744))</f>
        <v>50</v>
      </c>
      <c r="X744" s="4" t="str">
        <f>IF(I744="",IF(ISNUMBER(SEARCH("NOT NULL",UPPER(I$3))),"''","null"),SUBSTITUTE(VLOOKUP(I$2,convert!$A$1:$B$4,2,0),"@@@",I744))</f>
        <v>''</v>
      </c>
      <c r="Y744" s="4" t="str">
        <f>IF(J744="",IF(ISNUMBER(SEARCH("NOT NULL",UPPER(J$3))),"''","null"),SUBSTITUTE(VLOOKUP(J$2,convert!$A$1:$B$4,2,0),"@@@",J744))</f>
        <v>'electric'</v>
      </c>
      <c r="Z744" s="4" t="str">
        <f>IF(K744="",IF(ISNUMBER(SEARCH("NOT NULL",UPPER(K$3))),"''","null"),SUBSTITUTE(VLOOKUP(K$2,convert!$A$1:$B$4,2,0),"@@@",K744))</f>
        <v>null</v>
      </c>
      <c r="AA744" s="4" t="str">
        <f>IF(L744="",IF(ISNUMBER(SEARCH("NOT NULL",UPPER(L$3))),"''","null"),SUBSTITUTE(VLOOKUP(L$2,convert!$A$1:$B$4,2,0),"@@@",L744))</f>
        <v>'g5'</v>
      </c>
      <c r="AB744" s="4" t="str">
        <f>IF(M744="",IF(ISNUMBER(SEARCH("NOT NULL",UPPER(M$3))),"''","null"),SUBSTITUTE(VLOOKUP(M$2,convert!$A$1:$B$4,2,0),"@@@",M744))</f>
        <v>null</v>
      </c>
      <c r="AC744" s="4" t="str">
        <f>IF(N744="",IF(ISNUMBER(SEARCH("NOT NULL",UPPER(N$3))),"''","null"),SUBSTITUTE(VLOOKUP(N$2,convert!$A$1:$B$4,2,0),"@@@",N744))</f>
        <v>null</v>
      </c>
      <c r="AD744" s="4" t="str">
        <f>IF(O744="",IF(ISNUMBER(SEARCH("NOT NULL",UPPER(O$3))),"''","null"),SUBSTITUTE(VLOOKUP(O$2,convert!$A$1:$B$4,2,0),"@@@",O744))</f>
        <v>TRUE</v>
      </c>
      <c r="AE744" s="4" t="str">
        <f t="shared" si="11"/>
        <v>    ('0604N01', 'シビルドン', 85, 115, 80, 105, 80, 50, '', 'electric', null, 'g5', null, null, TRUE),</v>
      </c>
    </row>
    <row r="745" spans="1:31">
      <c r="A745" s="4" t="s">
        <v>1496</v>
      </c>
      <c r="B745" s="4" t="s">
        <v>1497</v>
      </c>
      <c r="C745" s="5">
        <v>55</v>
      </c>
      <c r="D745" s="5">
        <v>55</v>
      </c>
      <c r="E745" s="5">
        <v>55</v>
      </c>
      <c r="F745" s="5">
        <v>85</v>
      </c>
      <c r="G745" s="5">
        <v>55</v>
      </c>
      <c r="H745" s="5">
        <v>30</v>
      </c>
      <c r="I745" s="5"/>
      <c r="J745" s="4" t="s">
        <v>113</v>
      </c>
      <c r="K745" s="5"/>
      <c r="L745" s="4" t="s">
        <v>1243</v>
      </c>
      <c r="M745" s="5"/>
      <c r="N745" s="5"/>
      <c r="O745" s="5" t="b">
        <v>1</v>
      </c>
      <c r="P745" s="4" t="str">
        <f>IF(A745="",IF(ISNUMBER(SEARCH("NOT NULL",UPPER(A$3))),"''","null"),SUBSTITUTE(VLOOKUP(A$2,convert!$A$1:$B$4,2,0),"@@@",A745))</f>
        <v>'0605N01'</v>
      </c>
      <c r="Q745" s="4" t="str">
        <f>IF(B745="",IF(ISNUMBER(SEARCH("NOT NULL",UPPER(B$3))),"''","null"),SUBSTITUTE(VLOOKUP(B$2,convert!$A$1:$B$4,2,0),"@@@",B745))</f>
        <v>'リグレー'</v>
      </c>
      <c r="R745" s="4" t="str">
        <f>IF(C745="",IF(ISNUMBER(SEARCH("NOT NULL",UPPER(C$3))),"''","null"),SUBSTITUTE(VLOOKUP(C$2,convert!$A$1:$B$4,2,0),"@@@",C745))</f>
        <v>55</v>
      </c>
      <c r="S745" s="4" t="str">
        <f>IF(D745="",IF(ISNUMBER(SEARCH("NOT NULL",UPPER(D$3))),"''","null"),SUBSTITUTE(VLOOKUP(D$2,convert!$A$1:$B$4,2,0),"@@@",D745))</f>
        <v>55</v>
      </c>
      <c r="T745" s="4" t="str">
        <f>IF(E745="",IF(ISNUMBER(SEARCH("NOT NULL",UPPER(E$3))),"''","null"),SUBSTITUTE(VLOOKUP(E$2,convert!$A$1:$B$4,2,0),"@@@",E745))</f>
        <v>55</v>
      </c>
      <c r="U745" s="4" t="str">
        <f>IF(F745="",IF(ISNUMBER(SEARCH("NOT NULL",UPPER(F$3))),"''","null"),SUBSTITUTE(VLOOKUP(F$2,convert!$A$1:$B$4,2,0),"@@@",F745))</f>
        <v>85</v>
      </c>
      <c r="V745" s="4" t="str">
        <f>IF(G745="",IF(ISNUMBER(SEARCH("NOT NULL",UPPER(G$3))),"''","null"),SUBSTITUTE(VLOOKUP(G$2,convert!$A$1:$B$4,2,0),"@@@",G745))</f>
        <v>55</v>
      </c>
      <c r="W745" s="4" t="str">
        <f>IF(H745="",IF(ISNUMBER(SEARCH("NOT NULL",UPPER(H$3))),"''","null"),SUBSTITUTE(VLOOKUP(H$2,convert!$A$1:$B$4,2,0),"@@@",H745))</f>
        <v>30</v>
      </c>
      <c r="X745" s="4" t="str">
        <f>IF(I745="",IF(ISNUMBER(SEARCH("NOT NULL",UPPER(I$3))),"''","null"),SUBSTITUTE(VLOOKUP(I$2,convert!$A$1:$B$4,2,0),"@@@",I745))</f>
        <v>''</v>
      </c>
      <c r="Y745" s="4" t="str">
        <f>IF(J745="",IF(ISNUMBER(SEARCH("NOT NULL",UPPER(J$3))),"''","null"),SUBSTITUTE(VLOOKUP(J$2,convert!$A$1:$B$4,2,0),"@@@",J745))</f>
        <v>'psychic'</v>
      </c>
      <c r="Z745" s="4" t="str">
        <f>IF(K745="",IF(ISNUMBER(SEARCH("NOT NULL",UPPER(K$3))),"''","null"),SUBSTITUTE(VLOOKUP(K$2,convert!$A$1:$B$4,2,0),"@@@",K745))</f>
        <v>null</v>
      </c>
      <c r="AA745" s="4" t="str">
        <f>IF(L745="",IF(ISNUMBER(SEARCH("NOT NULL",UPPER(L$3))),"''","null"),SUBSTITUTE(VLOOKUP(L$2,convert!$A$1:$B$4,2,0),"@@@",L745))</f>
        <v>'g5'</v>
      </c>
      <c r="AB745" s="4" t="str">
        <f>IF(M745="",IF(ISNUMBER(SEARCH("NOT NULL",UPPER(M$3))),"''","null"),SUBSTITUTE(VLOOKUP(M$2,convert!$A$1:$B$4,2,0),"@@@",M745))</f>
        <v>null</v>
      </c>
      <c r="AC745" s="4" t="str">
        <f>IF(N745="",IF(ISNUMBER(SEARCH("NOT NULL",UPPER(N$3))),"''","null"),SUBSTITUTE(VLOOKUP(N$2,convert!$A$1:$B$4,2,0),"@@@",N745))</f>
        <v>null</v>
      </c>
      <c r="AD745" s="4" t="str">
        <f>IF(O745="",IF(ISNUMBER(SEARCH("NOT NULL",UPPER(O$3))),"''","null"),SUBSTITUTE(VLOOKUP(O$2,convert!$A$1:$B$4,2,0),"@@@",O745))</f>
        <v>TRUE</v>
      </c>
      <c r="AE745" s="4" t="str">
        <f t="shared" si="11"/>
        <v>    ('0605N01', 'リグレー', 55, 55, 55, 85, 55, 30, '', 'psychic', null, 'g5', null, null, TRUE),</v>
      </c>
    </row>
    <row r="746" spans="1:31">
      <c r="A746" s="4" t="s">
        <v>1498</v>
      </c>
      <c r="B746" s="4" t="s">
        <v>1499</v>
      </c>
      <c r="C746" s="5">
        <v>75</v>
      </c>
      <c r="D746" s="5">
        <v>75</v>
      </c>
      <c r="E746" s="5">
        <v>75</v>
      </c>
      <c r="F746" s="5">
        <v>125</v>
      </c>
      <c r="G746" s="5">
        <v>95</v>
      </c>
      <c r="H746" s="5">
        <v>40</v>
      </c>
      <c r="I746" s="5"/>
      <c r="J746" s="4" t="s">
        <v>113</v>
      </c>
      <c r="K746" s="5"/>
      <c r="L746" s="4" t="s">
        <v>1243</v>
      </c>
      <c r="M746" s="5"/>
      <c r="N746" s="5"/>
      <c r="O746" s="5" t="b">
        <v>1</v>
      </c>
      <c r="P746" s="4" t="str">
        <f>IF(A746="",IF(ISNUMBER(SEARCH("NOT NULL",UPPER(A$3))),"''","null"),SUBSTITUTE(VLOOKUP(A$2,convert!$A$1:$B$4,2,0),"@@@",A746))</f>
        <v>'0606N01'</v>
      </c>
      <c r="Q746" s="4" t="str">
        <f>IF(B746="",IF(ISNUMBER(SEARCH("NOT NULL",UPPER(B$3))),"''","null"),SUBSTITUTE(VLOOKUP(B$2,convert!$A$1:$B$4,2,0),"@@@",B746))</f>
        <v>'オーベム'</v>
      </c>
      <c r="R746" s="4" t="str">
        <f>IF(C746="",IF(ISNUMBER(SEARCH("NOT NULL",UPPER(C$3))),"''","null"),SUBSTITUTE(VLOOKUP(C$2,convert!$A$1:$B$4,2,0),"@@@",C746))</f>
        <v>75</v>
      </c>
      <c r="S746" s="4" t="str">
        <f>IF(D746="",IF(ISNUMBER(SEARCH("NOT NULL",UPPER(D$3))),"''","null"),SUBSTITUTE(VLOOKUP(D$2,convert!$A$1:$B$4,2,0),"@@@",D746))</f>
        <v>75</v>
      </c>
      <c r="T746" s="4" t="str">
        <f>IF(E746="",IF(ISNUMBER(SEARCH("NOT NULL",UPPER(E$3))),"''","null"),SUBSTITUTE(VLOOKUP(E$2,convert!$A$1:$B$4,2,0),"@@@",E746))</f>
        <v>75</v>
      </c>
      <c r="U746" s="4" t="str">
        <f>IF(F746="",IF(ISNUMBER(SEARCH("NOT NULL",UPPER(F$3))),"''","null"),SUBSTITUTE(VLOOKUP(F$2,convert!$A$1:$B$4,2,0),"@@@",F746))</f>
        <v>125</v>
      </c>
      <c r="V746" s="4" t="str">
        <f>IF(G746="",IF(ISNUMBER(SEARCH("NOT NULL",UPPER(G$3))),"''","null"),SUBSTITUTE(VLOOKUP(G$2,convert!$A$1:$B$4,2,0),"@@@",G746))</f>
        <v>95</v>
      </c>
      <c r="W746" s="4" t="str">
        <f>IF(H746="",IF(ISNUMBER(SEARCH("NOT NULL",UPPER(H$3))),"''","null"),SUBSTITUTE(VLOOKUP(H$2,convert!$A$1:$B$4,2,0),"@@@",H746))</f>
        <v>40</v>
      </c>
      <c r="X746" s="4" t="str">
        <f>IF(I746="",IF(ISNUMBER(SEARCH("NOT NULL",UPPER(I$3))),"''","null"),SUBSTITUTE(VLOOKUP(I$2,convert!$A$1:$B$4,2,0),"@@@",I746))</f>
        <v>''</v>
      </c>
      <c r="Y746" s="4" t="str">
        <f>IF(J746="",IF(ISNUMBER(SEARCH("NOT NULL",UPPER(J$3))),"''","null"),SUBSTITUTE(VLOOKUP(J$2,convert!$A$1:$B$4,2,0),"@@@",J746))</f>
        <v>'psychic'</v>
      </c>
      <c r="Z746" s="4" t="str">
        <f>IF(K746="",IF(ISNUMBER(SEARCH("NOT NULL",UPPER(K$3))),"''","null"),SUBSTITUTE(VLOOKUP(K$2,convert!$A$1:$B$4,2,0),"@@@",K746))</f>
        <v>null</v>
      </c>
      <c r="AA746" s="4" t="str">
        <f>IF(L746="",IF(ISNUMBER(SEARCH("NOT NULL",UPPER(L$3))),"''","null"),SUBSTITUTE(VLOOKUP(L$2,convert!$A$1:$B$4,2,0),"@@@",L746))</f>
        <v>'g5'</v>
      </c>
      <c r="AB746" s="4" t="str">
        <f>IF(M746="",IF(ISNUMBER(SEARCH("NOT NULL",UPPER(M$3))),"''","null"),SUBSTITUTE(VLOOKUP(M$2,convert!$A$1:$B$4,2,0),"@@@",M746))</f>
        <v>null</v>
      </c>
      <c r="AC746" s="4" t="str">
        <f>IF(N746="",IF(ISNUMBER(SEARCH("NOT NULL",UPPER(N$3))),"''","null"),SUBSTITUTE(VLOOKUP(N$2,convert!$A$1:$B$4,2,0),"@@@",N746))</f>
        <v>null</v>
      </c>
      <c r="AD746" s="4" t="str">
        <f>IF(O746="",IF(ISNUMBER(SEARCH("NOT NULL",UPPER(O$3))),"''","null"),SUBSTITUTE(VLOOKUP(O$2,convert!$A$1:$B$4,2,0),"@@@",O746))</f>
        <v>TRUE</v>
      </c>
      <c r="AE746" s="4" t="str">
        <f t="shared" si="11"/>
        <v>    ('0606N01', 'オーベム', 75, 75, 75, 125, 95, 40, '', 'psychic', null, 'g5', null, null, TRUE),</v>
      </c>
    </row>
    <row r="747" spans="1:31">
      <c r="A747" s="4" t="s">
        <v>1500</v>
      </c>
      <c r="B747" s="4" t="s">
        <v>1501</v>
      </c>
      <c r="C747" s="5">
        <v>50</v>
      </c>
      <c r="D747" s="5">
        <v>30</v>
      </c>
      <c r="E747" s="5">
        <v>55</v>
      </c>
      <c r="F747" s="5">
        <v>65</v>
      </c>
      <c r="G747" s="5">
        <v>55</v>
      </c>
      <c r="H747" s="5">
        <v>20</v>
      </c>
      <c r="I747" s="5"/>
      <c r="J747" s="4" t="s">
        <v>281</v>
      </c>
      <c r="K747" s="4" t="s">
        <v>42</v>
      </c>
      <c r="L747" s="4" t="s">
        <v>1243</v>
      </c>
      <c r="M747" s="5"/>
      <c r="N747" s="5"/>
      <c r="O747" s="5" t="b">
        <v>1</v>
      </c>
      <c r="P747" s="4" t="str">
        <f>IF(A747="",IF(ISNUMBER(SEARCH("NOT NULL",UPPER(A$3))),"''","null"),SUBSTITUTE(VLOOKUP(A$2,convert!$A$1:$B$4,2,0),"@@@",A747))</f>
        <v>'0607N01'</v>
      </c>
      <c r="Q747" s="4" t="str">
        <f>IF(B747="",IF(ISNUMBER(SEARCH("NOT NULL",UPPER(B$3))),"''","null"),SUBSTITUTE(VLOOKUP(B$2,convert!$A$1:$B$4,2,0),"@@@",B747))</f>
        <v>'ヒトモシ'</v>
      </c>
      <c r="R747" s="4" t="str">
        <f>IF(C747="",IF(ISNUMBER(SEARCH("NOT NULL",UPPER(C$3))),"''","null"),SUBSTITUTE(VLOOKUP(C$2,convert!$A$1:$B$4,2,0),"@@@",C747))</f>
        <v>50</v>
      </c>
      <c r="S747" s="4" t="str">
        <f>IF(D747="",IF(ISNUMBER(SEARCH("NOT NULL",UPPER(D$3))),"''","null"),SUBSTITUTE(VLOOKUP(D$2,convert!$A$1:$B$4,2,0),"@@@",D747))</f>
        <v>30</v>
      </c>
      <c r="T747" s="4" t="str">
        <f>IF(E747="",IF(ISNUMBER(SEARCH("NOT NULL",UPPER(E$3))),"''","null"),SUBSTITUTE(VLOOKUP(E$2,convert!$A$1:$B$4,2,0),"@@@",E747))</f>
        <v>55</v>
      </c>
      <c r="U747" s="4" t="str">
        <f>IF(F747="",IF(ISNUMBER(SEARCH("NOT NULL",UPPER(F$3))),"''","null"),SUBSTITUTE(VLOOKUP(F$2,convert!$A$1:$B$4,2,0),"@@@",F747))</f>
        <v>65</v>
      </c>
      <c r="V747" s="4" t="str">
        <f>IF(G747="",IF(ISNUMBER(SEARCH("NOT NULL",UPPER(G$3))),"''","null"),SUBSTITUTE(VLOOKUP(G$2,convert!$A$1:$B$4,2,0),"@@@",G747))</f>
        <v>55</v>
      </c>
      <c r="W747" s="4" t="str">
        <f>IF(H747="",IF(ISNUMBER(SEARCH("NOT NULL",UPPER(H$3))),"''","null"),SUBSTITUTE(VLOOKUP(H$2,convert!$A$1:$B$4,2,0),"@@@",H747))</f>
        <v>20</v>
      </c>
      <c r="X747" s="4" t="str">
        <f>IF(I747="",IF(ISNUMBER(SEARCH("NOT NULL",UPPER(I$3))),"''","null"),SUBSTITUTE(VLOOKUP(I$2,convert!$A$1:$B$4,2,0),"@@@",I747))</f>
        <v>''</v>
      </c>
      <c r="Y747" s="4" t="str">
        <f>IF(J747="",IF(ISNUMBER(SEARCH("NOT NULL",UPPER(J$3))),"''","null"),SUBSTITUTE(VLOOKUP(J$2,convert!$A$1:$B$4,2,0),"@@@",J747))</f>
        <v>'ghost'</v>
      </c>
      <c r="Z747" s="4" t="str">
        <f>IF(K747="",IF(ISNUMBER(SEARCH("NOT NULL",UPPER(K$3))),"''","null"),SUBSTITUTE(VLOOKUP(K$2,convert!$A$1:$B$4,2,0),"@@@",K747))</f>
        <v>'fire'</v>
      </c>
      <c r="AA747" s="4" t="str">
        <f>IF(L747="",IF(ISNUMBER(SEARCH("NOT NULL",UPPER(L$3))),"''","null"),SUBSTITUTE(VLOOKUP(L$2,convert!$A$1:$B$4,2,0),"@@@",L747))</f>
        <v>'g5'</v>
      </c>
      <c r="AB747" s="4" t="str">
        <f>IF(M747="",IF(ISNUMBER(SEARCH("NOT NULL",UPPER(M$3))),"''","null"),SUBSTITUTE(VLOOKUP(M$2,convert!$A$1:$B$4,2,0),"@@@",M747))</f>
        <v>null</v>
      </c>
      <c r="AC747" s="4" t="str">
        <f>IF(N747="",IF(ISNUMBER(SEARCH("NOT NULL",UPPER(N$3))),"''","null"),SUBSTITUTE(VLOOKUP(N$2,convert!$A$1:$B$4,2,0),"@@@",N747))</f>
        <v>null</v>
      </c>
      <c r="AD747" s="4" t="str">
        <f>IF(O747="",IF(ISNUMBER(SEARCH("NOT NULL",UPPER(O$3))),"''","null"),SUBSTITUTE(VLOOKUP(O$2,convert!$A$1:$B$4,2,0),"@@@",O747))</f>
        <v>TRUE</v>
      </c>
      <c r="AE747" s="4" t="str">
        <f t="shared" si="11"/>
        <v>    ('0607N01', 'ヒトモシ', 50, 30, 55, 65, 55, 20, '', 'ghost', 'fire', 'g5', null, null, TRUE),</v>
      </c>
    </row>
    <row r="748" spans="1:31">
      <c r="A748" s="4" t="s">
        <v>1502</v>
      </c>
      <c r="B748" s="4" t="s">
        <v>1503</v>
      </c>
      <c r="C748" s="5">
        <v>60</v>
      </c>
      <c r="D748" s="5">
        <v>40</v>
      </c>
      <c r="E748" s="5">
        <v>60</v>
      </c>
      <c r="F748" s="5">
        <v>95</v>
      </c>
      <c r="G748" s="5">
        <v>60</v>
      </c>
      <c r="H748" s="5">
        <v>55</v>
      </c>
      <c r="I748" s="5"/>
      <c r="J748" s="4" t="s">
        <v>281</v>
      </c>
      <c r="K748" s="4" t="s">
        <v>42</v>
      </c>
      <c r="L748" s="4" t="s">
        <v>1243</v>
      </c>
      <c r="M748" s="5"/>
      <c r="N748" s="5"/>
      <c r="O748" s="5" t="b">
        <v>1</v>
      </c>
      <c r="P748" s="4" t="str">
        <f>IF(A748="",IF(ISNUMBER(SEARCH("NOT NULL",UPPER(A$3))),"''","null"),SUBSTITUTE(VLOOKUP(A$2,convert!$A$1:$B$4,2,0),"@@@",A748))</f>
        <v>'0608N01'</v>
      </c>
      <c r="Q748" s="4" t="str">
        <f>IF(B748="",IF(ISNUMBER(SEARCH("NOT NULL",UPPER(B$3))),"''","null"),SUBSTITUTE(VLOOKUP(B$2,convert!$A$1:$B$4,2,0),"@@@",B748))</f>
        <v>'ランプラー'</v>
      </c>
      <c r="R748" s="4" t="str">
        <f>IF(C748="",IF(ISNUMBER(SEARCH("NOT NULL",UPPER(C$3))),"''","null"),SUBSTITUTE(VLOOKUP(C$2,convert!$A$1:$B$4,2,0),"@@@",C748))</f>
        <v>60</v>
      </c>
      <c r="S748" s="4" t="str">
        <f>IF(D748="",IF(ISNUMBER(SEARCH("NOT NULL",UPPER(D$3))),"''","null"),SUBSTITUTE(VLOOKUP(D$2,convert!$A$1:$B$4,2,0),"@@@",D748))</f>
        <v>40</v>
      </c>
      <c r="T748" s="4" t="str">
        <f>IF(E748="",IF(ISNUMBER(SEARCH("NOT NULL",UPPER(E$3))),"''","null"),SUBSTITUTE(VLOOKUP(E$2,convert!$A$1:$B$4,2,0),"@@@",E748))</f>
        <v>60</v>
      </c>
      <c r="U748" s="4" t="str">
        <f>IF(F748="",IF(ISNUMBER(SEARCH("NOT NULL",UPPER(F$3))),"''","null"),SUBSTITUTE(VLOOKUP(F$2,convert!$A$1:$B$4,2,0),"@@@",F748))</f>
        <v>95</v>
      </c>
      <c r="V748" s="4" t="str">
        <f>IF(G748="",IF(ISNUMBER(SEARCH("NOT NULL",UPPER(G$3))),"''","null"),SUBSTITUTE(VLOOKUP(G$2,convert!$A$1:$B$4,2,0),"@@@",G748))</f>
        <v>60</v>
      </c>
      <c r="W748" s="4" t="str">
        <f>IF(H748="",IF(ISNUMBER(SEARCH("NOT NULL",UPPER(H$3))),"''","null"),SUBSTITUTE(VLOOKUP(H$2,convert!$A$1:$B$4,2,0),"@@@",H748))</f>
        <v>55</v>
      </c>
      <c r="X748" s="4" t="str">
        <f>IF(I748="",IF(ISNUMBER(SEARCH("NOT NULL",UPPER(I$3))),"''","null"),SUBSTITUTE(VLOOKUP(I$2,convert!$A$1:$B$4,2,0),"@@@",I748))</f>
        <v>''</v>
      </c>
      <c r="Y748" s="4" t="str">
        <f>IF(J748="",IF(ISNUMBER(SEARCH("NOT NULL",UPPER(J$3))),"''","null"),SUBSTITUTE(VLOOKUP(J$2,convert!$A$1:$B$4,2,0),"@@@",J748))</f>
        <v>'ghost'</v>
      </c>
      <c r="Z748" s="4" t="str">
        <f>IF(K748="",IF(ISNUMBER(SEARCH("NOT NULL",UPPER(K$3))),"''","null"),SUBSTITUTE(VLOOKUP(K$2,convert!$A$1:$B$4,2,0),"@@@",K748))</f>
        <v>'fire'</v>
      </c>
      <c r="AA748" s="4" t="str">
        <f>IF(L748="",IF(ISNUMBER(SEARCH("NOT NULL",UPPER(L$3))),"''","null"),SUBSTITUTE(VLOOKUP(L$2,convert!$A$1:$B$4,2,0),"@@@",L748))</f>
        <v>'g5'</v>
      </c>
      <c r="AB748" s="4" t="str">
        <f>IF(M748="",IF(ISNUMBER(SEARCH("NOT NULL",UPPER(M$3))),"''","null"),SUBSTITUTE(VLOOKUP(M$2,convert!$A$1:$B$4,2,0),"@@@",M748))</f>
        <v>null</v>
      </c>
      <c r="AC748" s="4" t="str">
        <f>IF(N748="",IF(ISNUMBER(SEARCH("NOT NULL",UPPER(N$3))),"''","null"),SUBSTITUTE(VLOOKUP(N$2,convert!$A$1:$B$4,2,0),"@@@",N748))</f>
        <v>null</v>
      </c>
      <c r="AD748" s="4" t="str">
        <f>IF(O748="",IF(ISNUMBER(SEARCH("NOT NULL",UPPER(O$3))),"''","null"),SUBSTITUTE(VLOOKUP(O$2,convert!$A$1:$B$4,2,0),"@@@",O748))</f>
        <v>TRUE</v>
      </c>
      <c r="AE748" s="4" t="str">
        <f t="shared" si="11"/>
        <v>    ('0608N01', 'ランプラー', 60, 40, 60, 95, 60, 55, '', 'ghost', 'fire', 'g5', null, null, TRUE),</v>
      </c>
    </row>
    <row r="749" spans="1:31">
      <c r="A749" s="4" t="s">
        <v>1504</v>
      </c>
      <c r="B749" s="4" t="s">
        <v>1505</v>
      </c>
      <c r="C749" s="5">
        <v>60</v>
      </c>
      <c r="D749" s="5">
        <v>55</v>
      </c>
      <c r="E749" s="5">
        <v>90</v>
      </c>
      <c r="F749" s="5">
        <v>145</v>
      </c>
      <c r="G749" s="5">
        <v>90</v>
      </c>
      <c r="H749" s="5">
        <v>80</v>
      </c>
      <c r="I749" s="5"/>
      <c r="J749" s="4" t="s">
        <v>281</v>
      </c>
      <c r="K749" s="4" t="s">
        <v>42</v>
      </c>
      <c r="L749" s="4" t="s">
        <v>1243</v>
      </c>
      <c r="M749" s="5"/>
      <c r="N749" s="5"/>
      <c r="O749" s="5" t="b">
        <v>1</v>
      </c>
      <c r="P749" s="4" t="str">
        <f>IF(A749="",IF(ISNUMBER(SEARCH("NOT NULL",UPPER(A$3))),"''","null"),SUBSTITUTE(VLOOKUP(A$2,convert!$A$1:$B$4,2,0),"@@@",A749))</f>
        <v>'0609N01'</v>
      </c>
      <c r="Q749" s="4" t="str">
        <f>IF(B749="",IF(ISNUMBER(SEARCH("NOT NULL",UPPER(B$3))),"''","null"),SUBSTITUTE(VLOOKUP(B$2,convert!$A$1:$B$4,2,0),"@@@",B749))</f>
        <v>'シャンデラ'</v>
      </c>
      <c r="R749" s="4" t="str">
        <f>IF(C749="",IF(ISNUMBER(SEARCH("NOT NULL",UPPER(C$3))),"''","null"),SUBSTITUTE(VLOOKUP(C$2,convert!$A$1:$B$4,2,0),"@@@",C749))</f>
        <v>60</v>
      </c>
      <c r="S749" s="4" t="str">
        <f>IF(D749="",IF(ISNUMBER(SEARCH("NOT NULL",UPPER(D$3))),"''","null"),SUBSTITUTE(VLOOKUP(D$2,convert!$A$1:$B$4,2,0),"@@@",D749))</f>
        <v>55</v>
      </c>
      <c r="T749" s="4" t="str">
        <f>IF(E749="",IF(ISNUMBER(SEARCH("NOT NULL",UPPER(E$3))),"''","null"),SUBSTITUTE(VLOOKUP(E$2,convert!$A$1:$B$4,2,0),"@@@",E749))</f>
        <v>90</v>
      </c>
      <c r="U749" s="4" t="str">
        <f>IF(F749="",IF(ISNUMBER(SEARCH("NOT NULL",UPPER(F$3))),"''","null"),SUBSTITUTE(VLOOKUP(F$2,convert!$A$1:$B$4,2,0),"@@@",F749))</f>
        <v>145</v>
      </c>
      <c r="V749" s="4" t="str">
        <f>IF(G749="",IF(ISNUMBER(SEARCH("NOT NULL",UPPER(G$3))),"''","null"),SUBSTITUTE(VLOOKUP(G$2,convert!$A$1:$B$4,2,0),"@@@",G749))</f>
        <v>90</v>
      </c>
      <c r="W749" s="4" t="str">
        <f>IF(H749="",IF(ISNUMBER(SEARCH("NOT NULL",UPPER(H$3))),"''","null"),SUBSTITUTE(VLOOKUP(H$2,convert!$A$1:$B$4,2,0),"@@@",H749))</f>
        <v>80</v>
      </c>
      <c r="X749" s="4" t="str">
        <f>IF(I749="",IF(ISNUMBER(SEARCH("NOT NULL",UPPER(I$3))),"''","null"),SUBSTITUTE(VLOOKUP(I$2,convert!$A$1:$B$4,2,0),"@@@",I749))</f>
        <v>''</v>
      </c>
      <c r="Y749" s="4" t="str">
        <f>IF(J749="",IF(ISNUMBER(SEARCH("NOT NULL",UPPER(J$3))),"''","null"),SUBSTITUTE(VLOOKUP(J$2,convert!$A$1:$B$4,2,0),"@@@",J749))</f>
        <v>'ghost'</v>
      </c>
      <c r="Z749" s="4" t="str">
        <f>IF(K749="",IF(ISNUMBER(SEARCH("NOT NULL",UPPER(K$3))),"''","null"),SUBSTITUTE(VLOOKUP(K$2,convert!$A$1:$B$4,2,0),"@@@",K749))</f>
        <v>'fire'</v>
      </c>
      <c r="AA749" s="4" t="str">
        <f>IF(L749="",IF(ISNUMBER(SEARCH("NOT NULL",UPPER(L$3))),"''","null"),SUBSTITUTE(VLOOKUP(L$2,convert!$A$1:$B$4,2,0),"@@@",L749))</f>
        <v>'g5'</v>
      </c>
      <c r="AB749" s="4" t="str">
        <f>IF(M749="",IF(ISNUMBER(SEARCH("NOT NULL",UPPER(M$3))),"''","null"),SUBSTITUTE(VLOOKUP(M$2,convert!$A$1:$B$4,2,0),"@@@",M749))</f>
        <v>null</v>
      </c>
      <c r="AC749" s="4" t="str">
        <f>IF(N749="",IF(ISNUMBER(SEARCH("NOT NULL",UPPER(N$3))),"''","null"),SUBSTITUTE(VLOOKUP(N$2,convert!$A$1:$B$4,2,0),"@@@",N749))</f>
        <v>null</v>
      </c>
      <c r="AD749" s="4" t="str">
        <f>IF(O749="",IF(ISNUMBER(SEARCH("NOT NULL",UPPER(O$3))),"''","null"),SUBSTITUTE(VLOOKUP(O$2,convert!$A$1:$B$4,2,0),"@@@",O749))</f>
        <v>TRUE</v>
      </c>
      <c r="AE749" s="4" t="str">
        <f t="shared" si="11"/>
        <v>    ('0609N01', 'シャンデラ', 60, 55, 90, 145, 90, 80, '', 'ghost', 'fire', 'g5', null, null, TRUE),</v>
      </c>
    </row>
    <row r="750" spans="1:31">
      <c r="A750" s="4" t="s">
        <v>1506</v>
      </c>
      <c r="B750" s="4" t="s">
        <v>1507</v>
      </c>
      <c r="C750" s="5">
        <v>46</v>
      </c>
      <c r="D750" s="5">
        <v>87</v>
      </c>
      <c r="E750" s="5">
        <v>60</v>
      </c>
      <c r="F750" s="5">
        <v>30</v>
      </c>
      <c r="G750" s="5">
        <v>40</v>
      </c>
      <c r="H750" s="5">
        <v>57</v>
      </c>
      <c r="I750" s="5"/>
      <c r="J750" s="4" t="s">
        <v>50</v>
      </c>
      <c r="K750" s="5"/>
      <c r="L750" s="4" t="s">
        <v>1243</v>
      </c>
      <c r="M750" s="5"/>
      <c r="N750" s="5"/>
      <c r="O750" s="5" t="b">
        <v>1</v>
      </c>
      <c r="P750" s="4" t="str">
        <f>IF(A750="",IF(ISNUMBER(SEARCH("NOT NULL",UPPER(A$3))),"''","null"),SUBSTITUTE(VLOOKUP(A$2,convert!$A$1:$B$4,2,0),"@@@",A750))</f>
        <v>'0610N01'</v>
      </c>
      <c r="Q750" s="4" t="str">
        <f>IF(B750="",IF(ISNUMBER(SEARCH("NOT NULL",UPPER(B$3))),"''","null"),SUBSTITUTE(VLOOKUP(B$2,convert!$A$1:$B$4,2,0),"@@@",B750))</f>
        <v>'キバゴ'</v>
      </c>
      <c r="R750" s="4" t="str">
        <f>IF(C750="",IF(ISNUMBER(SEARCH("NOT NULL",UPPER(C$3))),"''","null"),SUBSTITUTE(VLOOKUP(C$2,convert!$A$1:$B$4,2,0),"@@@",C750))</f>
        <v>46</v>
      </c>
      <c r="S750" s="4" t="str">
        <f>IF(D750="",IF(ISNUMBER(SEARCH("NOT NULL",UPPER(D$3))),"''","null"),SUBSTITUTE(VLOOKUP(D$2,convert!$A$1:$B$4,2,0),"@@@",D750))</f>
        <v>87</v>
      </c>
      <c r="T750" s="4" t="str">
        <f>IF(E750="",IF(ISNUMBER(SEARCH("NOT NULL",UPPER(E$3))),"''","null"),SUBSTITUTE(VLOOKUP(E$2,convert!$A$1:$B$4,2,0),"@@@",E750))</f>
        <v>60</v>
      </c>
      <c r="U750" s="4" t="str">
        <f>IF(F750="",IF(ISNUMBER(SEARCH("NOT NULL",UPPER(F$3))),"''","null"),SUBSTITUTE(VLOOKUP(F$2,convert!$A$1:$B$4,2,0),"@@@",F750))</f>
        <v>30</v>
      </c>
      <c r="V750" s="4" t="str">
        <f>IF(G750="",IF(ISNUMBER(SEARCH("NOT NULL",UPPER(G$3))),"''","null"),SUBSTITUTE(VLOOKUP(G$2,convert!$A$1:$B$4,2,0),"@@@",G750))</f>
        <v>40</v>
      </c>
      <c r="W750" s="4" t="str">
        <f>IF(H750="",IF(ISNUMBER(SEARCH("NOT NULL",UPPER(H$3))),"''","null"),SUBSTITUTE(VLOOKUP(H$2,convert!$A$1:$B$4,2,0),"@@@",H750))</f>
        <v>57</v>
      </c>
      <c r="X750" s="4" t="str">
        <f>IF(I750="",IF(ISNUMBER(SEARCH("NOT NULL",UPPER(I$3))),"''","null"),SUBSTITUTE(VLOOKUP(I$2,convert!$A$1:$B$4,2,0),"@@@",I750))</f>
        <v>''</v>
      </c>
      <c r="Y750" s="4" t="str">
        <f>IF(J750="",IF(ISNUMBER(SEARCH("NOT NULL",UPPER(J$3))),"''","null"),SUBSTITUTE(VLOOKUP(J$2,convert!$A$1:$B$4,2,0),"@@@",J750))</f>
        <v>'dragon'</v>
      </c>
      <c r="Z750" s="4" t="str">
        <f>IF(K750="",IF(ISNUMBER(SEARCH("NOT NULL",UPPER(K$3))),"''","null"),SUBSTITUTE(VLOOKUP(K$2,convert!$A$1:$B$4,2,0),"@@@",K750))</f>
        <v>null</v>
      </c>
      <c r="AA750" s="4" t="str">
        <f>IF(L750="",IF(ISNUMBER(SEARCH("NOT NULL",UPPER(L$3))),"''","null"),SUBSTITUTE(VLOOKUP(L$2,convert!$A$1:$B$4,2,0),"@@@",L750))</f>
        <v>'g5'</v>
      </c>
      <c r="AB750" s="4" t="str">
        <f>IF(M750="",IF(ISNUMBER(SEARCH("NOT NULL",UPPER(M$3))),"''","null"),SUBSTITUTE(VLOOKUP(M$2,convert!$A$1:$B$4,2,0),"@@@",M750))</f>
        <v>null</v>
      </c>
      <c r="AC750" s="4" t="str">
        <f>IF(N750="",IF(ISNUMBER(SEARCH("NOT NULL",UPPER(N$3))),"''","null"),SUBSTITUTE(VLOOKUP(N$2,convert!$A$1:$B$4,2,0),"@@@",N750))</f>
        <v>null</v>
      </c>
      <c r="AD750" s="4" t="str">
        <f>IF(O750="",IF(ISNUMBER(SEARCH("NOT NULL",UPPER(O$3))),"''","null"),SUBSTITUTE(VLOOKUP(O$2,convert!$A$1:$B$4,2,0),"@@@",O750))</f>
        <v>TRUE</v>
      </c>
      <c r="AE750" s="4" t="str">
        <f t="shared" si="11"/>
        <v>    ('0610N01', 'キバゴ', 46, 87, 60, 30, 40, 57, '', 'dragon', null, 'g5', null, null, TRUE),</v>
      </c>
    </row>
    <row r="751" spans="1:31">
      <c r="A751" s="4" t="s">
        <v>1508</v>
      </c>
      <c r="B751" s="4" t="s">
        <v>1509</v>
      </c>
      <c r="C751" s="5">
        <v>66</v>
      </c>
      <c r="D751" s="5">
        <v>117</v>
      </c>
      <c r="E751" s="5">
        <v>70</v>
      </c>
      <c r="F751" s="5">
        <v>40</v>
      </c>
      <c r="G751" s="5">
        <v>50</v>
      </c>
      <c r="H751" s="5">
        <v>67</v>
      </c>
      <c r="I751" s="5"/>
      <c r="J751" s="4" t="s">
        <v>50</v>
      </c>
      <c r="K751" s="5"/>
      <c r="L751" s="4" t="s">
        <v>1243</v>
      </c>
      <c r="M751" s="5"/>
      <c r="N751" s="5"/>
      <c r="O751" s="5" t="b">
        <v>1</v>
      </c>
      <c r="P751" s="4" t="str">
        <f>IF(A751="",IF(ISNUMBER(SEARCH("NOT NULL",UPPER(A$3))),"''","null"),SUBSTITUTE(VLOOKUP(A$2,convert!$A$1:$B$4,2,0),"@@@",A751))</f>
        <v>'0611N01'</v>
      </c>
      <c r="Q751" s="4" t="str">
        <f>IF(B751="",IF(ISNUMBER(SEARCH("NOT NULL",UPPER(B$3))),"''","null"),SUBSTITUTE(VLOOKUP(B$2,convert!$A$1:$B$4,2,0),"@@@",B751))</f>
        <v>'オノンド'</v>
      </c>
      <c r="R751" s="4" t="str">
        <f>IF(C751="",IF(ISNUMBER(SEARCH("NOT NULL",UPPER(C$3))),"''","null"),SUBSTITUTE(VLOOKUP(C$2,convert!$A$1:$B$4,2,0),"@@@",C751))</f>
        <v>66</v>
      </c>
      <c r="S751" s="4" t="str">
        <f>IF(D751="",IF(ISNUMBER(SEARCH("NOT NULL",UPPER(D$3))),"''","null"),SUBSTITUTE(VLOOKUP(D$2,convert!$A$1:$B$4,2,0),"@@@",D751))</f>
        <v>117</v>
      </c>
      <c r="T751" s="4" t="str">
        <f>IF(E751="",IF(ISNUMBER(SEARCH("NOT NULL",UPPER(E$3))),"''","null"),SUBSTITUTE(VLOOKUP(E$2,convert!$A$1:$B$4,2,0),"@@@",E751))</f>
        <v>70</v>
      </c>
      <c r="U751" s="4" t="str">
        <f>IF(F751="",IF(ISNUMBER(SEARCH("NOT NULL",UPPER(F$3))),"''","null"),SUBSTITUTE(VLOOKUP(F$2,convert!$A$1:$B$4,2,0),"@@@",F751))</f>
        <v>40</v>
      </c>
      <c r="V751" s="4" t="str">
        <f>IF(G751="",IF(ISNUMBER(SEARCH("NOT NULL",UPPER(G$3))),"''","null"),SUBSTITUTE(VLOOKUP(G$2,convert!$A$1:$B$4,2,0),"@@@",G751))</f>
        <v>50</v>
      </c>
      <c r="W751" s="4" t="str">
        <f>IF(H751="",IF(ISNUMBER(SEARCH("NOT NULL",UPPER(H$3))),"''","null"),SUBSTITUTE(VLOOKUP(H$2,convert!$A$1:$B$4,2,0),"@@@",H751))</f>
        <v>67</v>
      </c>
      <c r="X751" s="4" t="str">
        <f>IF(I751="",IF(ISNUMBER(SEARCH("NOT NULL",UPPER(I$3))),"''","null"),SUBSTITUTE(VLOOKUP(I$2,convert!$A$1:$B$4,2,0),"@@@",I751))</f>
        <v>''</v>
      </c>
      <c r="Y751" s="4" t="str">
        <f>IF(J751="",IF(ISNUMBER(SEARCH("NOT NULL",UPPER(J$3))),"''","null"),SUBSTITUTE(VLOOKUP(J$2,convert!$A$1:$B$4,2,0),"@@@",J751))</f>
        <v>'dragon'</v>
      </c>
      <c r="Z751" s="4" t="str">
        <f>IF(K751="",IF(ISNUMBER(SEARCH("NOT NULL",UPPER(K$3))),"''","null"),SUBSTITUTE(VLOOKUP(K$2,convert!$A$1:$B$4,2,0),"@@@",K751))</f>
        <v>null</v>
      </c>
      <c r="AA751" s="4" t="str">
        <f>IF(L751="",IF(ISNUMBER(SEARCH("NOT NULL",UPPER(L$3))),"''","null"),SUBSTITUTE(VLOOKUP(L$2,convert!$A$1:$B$4,2,0),"@@@",L751))</f>
        <v>'g5'</v>
      </c>
      <c r="AB751" s="4" t="str">
        <f>IF(M751="",IF(ISNUMBER(SEARCH("NOT NULL",UPPER(M$3))),"''","null"),SUBSTITUTE(VLOOKUP(M$2,convert!$A$1:$B$4,2,0),"@@@",M751))</f>
        <v>null</v>
      </c>
      <c r="AC751" s="4" t="str">
        <f>IF(N751="",IF(ISNUMBER(SEARCH("NOT NULL",UPPER(N$3))),"''","null"),SUBSTITUTE(VLOOKUP(N$2,convert!$A$1:$B$4,2,0),"@@@",N751))</f>
        <v>null</v>
      </c>
      <c r="AD751" s="4" t="str">
        <f>IF(O751="",IF(ISNUMBER(SEARCH("NOT NULL",UPPER(O$3))),"''","null"),SUBSTITUTE(VLOOKUP(O$2,convert!$A$1:$B$4,2,0),"@@@",O751))</f>
        <v>TRUE</v>
      </c>
      <c r="AE751" s="4" t="str">
        <f t="shared" si="11"/>
        <v>    ('0611N01', 'オノンド', 66, 117, 70, 40, 50, 67, '', 'dragon', null, 'g5', null, null, TRUE),</v>
      </c>
    </row>
    <row r="752" spans="1:31">
      <c r="A752" s="4" t="s">
        <v>1510</v>
      </c>
      <c r="B752" s="4" t="s">
        <v>1511</v>
      </c>
      <c r="C752" s="5">
        <v>76</v>
      </c>
      <c r="D752" s="5">
        <v>147</v>
      </c>
      <c r="E752" s="5">
        <v>90</v>
      </c>
      <c r="F752" s="5">
        <v>60</v>
      </c>
      <c r="G752" s="5">
        <v>70</v>
      </c>
      <c r="H752" s="5">
        <v>97</v>
      </c>
      <c r="I752" s="5"/>
      <c r="J752" s="4" t="s">
        <v>50</v>
      </c>
      <c r="K752" s="5"/>
      <c r="L752" s="4" t="s">
        <v>1243</v>
      </c>
      <c r="M752" s="5"/>
      <c r="N752" s="5"/>
      <c r="O752" s="5" t="b">
        <v>1</v>
      </c>
      <c r="P752" s="4" t="str">
        <f>IF(A752="",IF(ISNUMBER(SEARCH("NOT NULL",UPPER(A$3))),"''","null"),SUBSTITUTE(VLOOKUP(A$2,convert!$A$1:$B$4,2,0),"@@@",A752))</f>
        <v>'0612N01'</v>
      </c>
      <c r="Q752" s="4" t="str">
        <f>IF(B752="",IF(ISNUMBER(SEARCH("NOT NULL",UPPER(B$3))),"''","null"),SUBSTITUTE(VLOOKUP(B$2,convert!$A$1:$B$4,2,0),"@@@",B752))</f>
        <v>'オノノクス'</v>
      </c>
      <c r="R752" s="4" t="str">
        <f>IF(C752="",IF(ISNUMBER(SEARCH("NOT NULL",UPPER(C$3))),"''","null"),SUBSTITUTE(VLOOKUP(C$2,convert!$A$1:$B$4,2,0),"@@@",C752))</f>
        <v>76</v>
      </c>
      <c r="S752" s="4" t="str">
        <f>IF(D752="",IF(ISNUMBER(SEARCH("NOT NULL",UPPER(D$3))),"''","null"),SUBSTITUTE(VLOOKUP(D$2,convert!$A$1:$B$4,2,0),"@@@",D752))</f>
        <v>147</v>
      </c>
      <c r="T752" s="4" t="str">
        <f>IF(E752="",IF(ISNUMBER(SEARCH("NOT NULL",UPPER(E$3))),"''","null"),SUBSTITUTE(VLOOKUP(E$2,convert!$A$1:$B$4,2,0),"@@@",E752))</f>
        <v>90</v>
      </c>
      <c r="U752" s="4" t="str">
        <f>IF(F752="",IF(ISNUMBER(SEARCH("NOT NULL",UPPER(F$3))),"''","null"),SUBSTITUTE(VLOOKUP(F$2,convert!$A$1:$B$4,2,0),"@@@",F752))</f>
        <v>60</v>
      </c>
      <c r="V752" s="4" t="str">
        <f>IF(G752="",IF(ISNUMBER(SEARCH("NOT NULL",UPPER(G$3))),"''","null"),SUBSTITUTE(VLOOKUP(G$2,convert!$A$1:$B$4,2,0),"@@@",G752))</f>
        <v>70</v>
      </c>
      <c r="W752" s="4" t="str">
        <f>IF(H752="",IF(ISNUMBER(SEARCH("NOT NULL",UPPER(H$3))),"''","null"),SUBSTITUTE(VLOOKUP(H$2,convert!$A$1:$B$4,2,0),"@@@",H752))</f>
        <v>97</v>
      </c>
      <c r="X752" s="4" t="str">
        <f>IF(I752="",IF(ISNUMBER(SEARCH("NOT NULL",UPPER(I$3))),"''","null"),SUBSTITUTE(VLOOKUP(I$2,convert!$A$1:$B$4,2,0),"@@@",I752))</f>
        <v>''</v>
      </c>
      <c r="Y752" s="4" t="str">
        <f>IF(J752="",IF(ISNUMBER(SEARCH("NOT NULL",UPPER(J$3))),"''","null"),SUBSTITUTE(VLOOKUP(J$2,convert!$A$1:$B$4,2,0),"@@@",J752))</f>
        <v>'dragon'</v>
      </c>
      <c r="Z752" s="4" t="str">
        <f>IF(K752="",IF(ISNUMBER(SEARCH("NOT NULL",UPPER(K$3))),"''","null"),SUBSTITUTE(VLOOKUP(K$2,convert!$A$1:$B$4,2,0),"@@@",K752))</f>
        <v>null</v>
      </c>
      <c r="AA752" s="4" t="str">
        <f>IF(L752="",IF(ISNUMBER(SEARCH("NOT NULL",UPPER(L$3))),"''","null"),SUBSTITUTE(VLOOKUP(L$2,convert!$A$1:$B$4,2,0),"@@@",L752))</f>
        <v>'g5'</v>
      </c>
      <c r="AB752" s="4" t="str">
        <f>IF(M752="",IF(ISNUMBER(SEARCH("NOT NULL",UPPER(M$3))),"''","null"),SUBSTITUTE(VLOOKUP(M$2,convert!$A$1:$B$4,2,0),"@@@",M752))</f>
        <v>null</v>
      </c>
      <c r="AC752" s="4" t="str">
        <f>IF(N752="",IF(ISNUMBER(SEARCH("NOT NULL",UPPER(N$3))),"''","null"),SUBSTITUTE(VLOOKUP(N$2,convert!$A$1:$B$4,2,0),"@@@",N752))</f>
        <v>null</v>
      </c>
      <c r="AD752" s="4" t="str">
        <f>IF(O752="",IF(ISNUMBER(SEARCH("NOT NULL",UPPER(O$3))),"''","null"),SUBSTITUTE(VLOOKUP(O$2,convert!$A$1:$B$4,2,0),"@@@",O752))</f>
        <v>TRUE</v>
      </c>
      <c r="AE752" s="4" t="str">
        <f t="shared" si="11"/>
        <v>    ('0612N01', 'オノノクス', 76, 147, 90, 60, 70, 97, '', 'dragon', null, 'g5', null, null, TRUE),</v>
      </c>
    </row>
    <row r="753" spans="1:31">
      <c r="A753" s="4" t="s">
        <v>1512</v>
      </c>
      <c r="B753" s="4" t="s">
        <v>1513</v>
      </c>
      <c r="C753" s="5">
        <v>55</v>
      </c>
      <c r="D753" s="5">
        <v>70</v>
      </c>
      <c r="E753" s="5">
        <v>40</v>
      </c>
      <c r="F753" s="5">
        <v>60</v>
      </c>
      <c r="G753" s="5">
        <v>40</v>
      </c>
      <c r="H753" s="5">
        <v>40</v>
      </c>
      <c r="I753" s="5"/>
      <c r="J753" s="4" t="s">
        <v>118</v>
      </c>
      <c r="K753" s="5"/>
      <c r="L753" s="4" t="s">
        <v>1243</v>
      </c>
      <c r="M753" s="5"/>
      <c r="N753" s="5"/>
      <c r="O753" s="5" t="b">
        <v>1</v>
      </c>
      <c r="P753" s="4" t="str">
        <f>IF(A753="",IF(ISNUMBER(SEARCH("NOT NULL",UPPER(A$3))),"''","null"),SUBSTITUTE(VLOOKUP(A$2,convert!$A$1:$B$4,2,0),"@@@",A753))</f>
        <v>'0613N01'</v>
      </c>
      <c r="Q753" s="4" t="str">
        <f>IF(B753="",IF(ISNUMBER(SEARCH("NOT NULL",UPPER(B$3))),"''","null"),SUBSTITUTE(VLOOKUP(B$2,convert!$A$1:$B$4,2,0),"@@@",B753))</f>
        <v>'クマシュン'</v>
      </c>
      <c r="R753" s="4" t="str">
        <f>IF(C753="",IF(ISNUMBER(SEARCH("NOT NULL",UPPER(C$3))),"''","null"),SUBSTITUTE(VLOOKUP(C$2,convert!$A$1:$B$4,2,0),"@@@",C753))</f>
        <v>55</v>
      </c>
      <c r="S753" s="4" t="str">
        <f>IF(D753="",IF(ISNUMBER(SEARCH("NOT NULL",UPPER(D$3))),"''","null"),SUBSTITUTE(VLOOKUP(D$2,convert!$A$1:$B$4,2,0),"@@@",D753))</f>
        <v>70</v>
      </c>
      <c r="T753" s="4" t="str">
        <f>IF(E753="",IF(ISNUMBER(SEARCH("NOT NULL",UPPER(E$3))),"''","null"),SUBSTITUTE(VLOOKUP(E$2,convert!$A$1:$B$4,2,0),"@@@",E753))</f>
        <v>40</v>
      </c>
      <c r="U753" s="4" t="str">
        <f>IF(F753="",IF(ISNUMBER(SEARCH("NOT NULL",UPPER(F$3))),"''","null"),SUBSTITUTE(VLOOKUP(F$2,convert!$A$1:$B$4,2,0),"@@@",F753))</f>
        <v>60</v>
      </c>
      <c r="V753" s="4" t="str">
        <f>IF(G753="",IF(ISNUMBER(SEARCH("NOT NULL",UPPER(G$3))),"''","null"),SUBSTITUTE(VLOOKUP(G$2,convert!$A$1:$B$4,2,0),"@@@",G753))</f>
        <v>40</v>
      </c>
      <c r="W753" s="4" t="str">
        <f>IF(H753="",IF(ISNUMBER(SEARCH("NOT NULL",UPPER(H$3))),"''","null"),SUBSTITUTE(VLOOKUP(H$2,convert!$A$1:$B$4,2,0),"@@@",H753))</f>
        <v>40</v>
      </c>
      <c r="X753" s="4" t="str">
        <f>IF(I753="",IF(ISNUMBER(SEARCH("NOT NULL",UPPER(I$3))),"''","null"),SUBSTITUTE(VLOOKUP(I$2,convert!$A$1:$B$4,2,0),"@@@",I753))</f>
        <v>''</v>
      </c>
      <c r="Y753" s="4" t="str">
        <f>IF(J753="",IF(ISNUMBER(SEARCH("NOT NULL",UPPER(J$3))),"''","null"),SUBSTITUTE(VLOOKUP(J$2,convert!$A$1:$B$4,2,0),"@@@",J753))</f>
        <v>'ice'</v>
      </c>
      <c r="Z753" s="4" t="str">
        <f>IF(K753="",IF(ISNUMBER(SEARCH("NOT NULL",UPPER(K$3))),"''","null"),SUBSTITUTE(VLOOKUP(K$2,convert!$A$1:$B$4,2,0),"@@@",K753))</f>
        <v>null</v>
      </c>
      <c r="AA753" s="4" t="str">
        <f>IF(L753="",IF(ISNUMBER(SEARCH("NOT NULL",UPPER(L$3))),"''","null"),SUBSTITUTE(VLOOKUP(L$2,convert!$A$1:$B$4,2,0),"@@@",L753))</f>
        <v>'g5'</v>
      </c>
      <c r="AB753" s="4" t="str">
        <f>IF(M753="",IF(ISNUMBER(SEARCH("NOT NULL",UPPER(M$3))),"''","null"),SUBSTITUTE(VLOOKUP(M$2,convert!$A$1:$B$4,2,0),"@@@",M753))</f>
        <v>null</v>
      </c>
      <c r="AC753" s="4" t="str">
        <f>IF(N753="",IF(ISNUMBER(SEARCH("NOT NULL",UPPER(N$3))),"''","null"),SUBSTITUTE(VLOOKUP(N$2,convert!$A$1:$B$4,2,0),"@@@",N753))</f>
        <v>null</v>
      </c>
      <c r="AD753" s="4" t="str">
        <f>IF(O753="",IF(ISNUMBER(SEARCH("NOT NULL",UPPER(O$3))),"''","null"),SUBSTITUTE(VLOOKUP(O$2,convert!$A$1:$B$4,2,0),"@@@",O753))</f>
        <v>TRUE</v>
      </c>
      <c r="AE753" s="4" t="str">
        <f t="shared" si="11"/>
        <v>    ('0613N01', 'クマシュン', 55, 70, 40, 60, 40, 40, '', 'ice', null, 'g5', null, null, TRUE),</v>
      </c>
    </row>
    <row r="754" spans="1:31">
      <c r="A754" s="4" t="s">
        <v>1514</v>
      </c>
      <c r="B754" s="4" t="s">
        <v>1515</v>
      </c>
      <c r="C754" s="5">
        <v>95</v>
      </c>
      <c r="D754" s="5">
        <v>130</v>
      </c>
      <c r="E754" s="5">
        <v>80</v>
      </c>
      <c r="F754" s="5">
        <v>70</v>
      </c>
      <c r="G754" s="5">
        <v>80</v>
      </c>
      <c r="H754" s="5">
        <v>50</v>
      </c>
      <c r="I754" s="5"/>
      <c r="J754" s="4" t="s">
        <v>118</v>
      </c>
      <c r="K754" s="5"/>
      <c r="L754" s="4" t="s">
        <v>1243</v>
      </c>
      <c r="M754" s="5"/>
      <c r="N754" s="5"/>
      <c r="O754" s="5" t="b">
        <v>1</v>
      </c>
      <c r="P754" s="4" t="str">
        <f>IF(A754="",IF(ISNUMBER(SEARCH("NOT NULL",UPPER(A$3))),"''","null"),SUBSTITUTE(VLOOKUP(A$2,convert!$A$1:$B$4,2,0),"@@@",A754))</f>
        <v>'0614N01'</v>
      </c>
      <c r="Q754" s="4" t="str">
        <f>IF(B754="",IF(ISNUMBER(SEARCH("NOT NULL",UPPER(B$3))),"''","null"),SUBSTITUTE(VLOOKUP(B$2,convert!$A$1:$B$4,2,0),"@@@",B754))</f>
        <v>'ツンベアー'</v>
      </c>
      <c r="R754" s="4" t="str">
        <f>IF(C754="",IF(ISNUMBER(SEARCH("NOT NULL",UPPER(C$3))),"''","null"),SUBSTITUTE(VLOOKUP(C$2,convert!$A$1:$B$4,2,0),"@@@",C754))</f>
        <v>95</v>
      </c>
      <c r="S754" s="4" t="str">
        <f>IF(D754="",IF(ISNUMBER(SEARCH("NOT NULL",UPPER(D$3))),"''","null"),SUBSTITUTE(VLOOKUP(D$2,convert!$A$1:$B$4,2,0),"@@@",D754))</f>
        <v>130</v>
      </c>
      <c r="T754" s="4" t="str">
        <f>IF(E754="",IF(ISNUMBER(SEARCH("NOT NULL",UPPER(E$3))),"''","null"),SUBSTITUTE(VLOOKUP(E$2,convert!$A$1:$B$4,2,0),"@@@",E754))</f>
        <v>80</v>
      </c>
      <c r="U754" s="4" t="str">
        <f>IF(F754="",IF(ISNUMBER(SEARCH("NOT NULL",UPPER(F$3))),"''","null"),SUBSTITUTE(VLOOKUP(F$2,convert!$A$1:$B$4,2,0),"@@@",F754))</f>
        <v>70</v>
      </c>
      <c r="V754" s="4" t="str">
        <f>IF(G754="",IF(ISNUMBER(SEARCH("NOT NULL",UPPER(G$3))),"''","null"),SUBSTITUTE(VLOOKUP(G$2,convert!$A$1:$B$4,2,0),"@@@",G754))</f>
        <v>80</v>
      </c>
      <c r="W754" s="4" t="str">
        <f>IF(H754="",IF(ISNUMBER(SEARCH("NOT NULL",UPPER(H$3))),"''","null"),SUBSTITUTE(VLOOKUP(H$2,convert!$A$1:$B$4,2,0),"@@@",H754))</f>
        <v>50</v>
      </c>
      <c r="X754" s="4" t="str">
        <f>IF(I754="",IF(ISNUMBER(SEARCH("NOT NULL",UPPER(I$3))),"''","null"),SUBSTITUTE(VLOOKUP(I$2,convert!$A$1:$B$4,2,0),"@@@",I754))</f>
        <v>''</v>
      </c>
      <c r="Y754" s="4" t="str">
        <f>IF(J754="",IF(ISNUMBER(SEARCH("NOT NULL",UPPER(J$3))),"''","null"),SUBSTITUTE(VLOOKUP(J$2,convert!$A$1:$B$4,2,0),"@@@",J754))</f>
        <v>'ice'</v>
      </c>
      <c r="Z754" s="4" t="str">
        <f>IF(K754="",IF(ISNUMBER(SEARCH("NOT NULL",UPPER(K$3))),"''","null"),SUBSTITUTE(VLOOKUP(K$2,convert!$A$1:$B$4,2,0),"@@@",K754))</f>
        <v>null</v>
      </c>
      <c r="AA754" s="4" t="str">
        <f>IF(L754="",IF(ISNUMBER(SEARCH("NOT NULL",UPPER(L$3))),"''","null"),SUBSTITUTE(VLOOKUP(L$2,convert!$A$1:$B$4,2,0),"@@@",L754))</f>
        <v>'g5'</v>
      </c>
      <c r="AB754" s="4" t="str">
        <f>IF(M754="",IF(ISNUMBER(SEARCH("NOT NULL",UPPER(M$3))),"''","null"),SUBSTITUTE(VLOOKUP(M$2,convert!$A$1:$B$4,2,0),"@@@",M754))</f>
        <v>null</v>
      </c>
      <c r="AC754" s="4" t="str">
        <f>IF(N754="",IF(ISNUMBER(SEARCH("NOT NULL",UPPER(N$3))),"''","null"),SUBSTITUTE(VLOOKUP(N$2,convert!$A$1:$B$4,2,0),"@@@",N754))</f>
        <v>null</v>
      </c>
      <c r="AD754" s="4" t="str">
        <f>IF(O754="",IF(ISNUMBER(SEARCH("NOT NULL",UPPER(O$3))),"''","null"),SUBSTITUTE(VLOOKUP(O$2,convert!$A$1:$B$4,2,0),"@@@",O754))</f>
        <v>TRUE</v>
      </c>
      <c r="AE754" s="4" t="str">
        <f t="shared" si="11"/>
        <v>    ('0614N01', 'ツンベアー', 95, 130, 80, 70, 80, 50, '', 'ice', null, 'g5', null, null, TRUE),</v>
      </c>
    </row>
    <row r="755" spans="1:31">
      <c r="A755" s="4" t="s">
        <v>1516</v>
      </c>
      <c r="B755" s="4" t="s">
        <v>1517</v>
      </c>
      <c r="C755" s="5">
        <v>80</v>
      </c>
      <c r="D755" s="5">
        <v>50</v>
      </c>
      <c r="E755" s="5">
        <v>50</v>
      </c>
      <c r="F755" s="5">
        <v>95</v>
      </c>
      <c r="G755" s="5">
        <v>135</v>
      </c>
      <c r="H755" s="5">
        <v>105</v>
      </c>
      <c r="I755" s="5"/>
      <c r="J755" s="4" t="s">
        <v>118</v>
      </c>
      <c r="K755" s="5"/>
      <c r="L755" s="4" t="s">
        <v>1243</v>
      </c>
      <c r="M755" s="5"/>
      <c r="N755" s="5"/>
      <c r="O755" s="5" t="b">
        <v>1</v>
      </c>
      <c r="P755" s="4" t="str">
        <f>IF(A755="",IF(ISNUMBER(SEARCH("NOT NULL",UPPER(A$3))),"''","null"),SUBSTITUTE(VLOOKUP(A$2,convert!$A$1:$B$4,2,0),"@@@",A755))</f>
        <v>'0615N01'</v>
      </c>
      <c r="Q755" s="4" t="str">
        <f>IF(B755="",IF(ISNUMBER(SEARCH("NOT NULL",UPPER(B$3))),"''","null"),SUBSTITUTE(VLOOKUP(B$2,convert!$A$1:$B$4,2,0),"@@@",B755))</f>
        <v>'フリージオ'</v>
      </c>
      <c r="R755" s="4" t="str">
        <f>IF(C755="",IF(ISNUMBER(SEARCH("NOT NULL",UPPER(C$3))),"''","null"),SUBSTITUTE(VLOOKUP(C$2,convert!$A$1:$B$4,2,0),"@@@",C755))</f>
        <v>80</v>
      </c>
      <c r="S755" s="4" t="str">
        <f>IF(D755="",IF(ISNUMBER(SEARCH("NOT NULL",UPPER(D$3))),"''","null"),SUBSTITUTE(VLOOKUP(D$2,convert!$A$1:$B$4,2,0),"@@@",D755))</f>
        <v>50</v>
      </c>
      <c r="T755" s="4" t="str">
        <f>IF(E755="",IF(ISNUMBER(SEARCH("NOT NULL",UPPER(E$3))),"''","null"),SUBSTITUTE(VLOOKUP(E$2,convert!$A$1:$B$4,2,0),"@@@",E755))</f>
        <v>50</v>
      </c>
      <c r="U755" s="4" t="str">
        <f>IF(F755="",IF(ISNUMBER(SEARCH("NOT NULL",UPPER(F$3))),"''","null"),SUBSTITUTE(VLOOKUP(F$2,convert!$A$1:$B$4,2,0),"@@@",F755))</f>
        <v>95</v>
      </c>
      <c r="V755" s="4" t="str">
        <f>IF(G755="",IF(ISNUMBER(SEARCH("NOT NULL",UPPER(G$3))),"''","null"),SUBSTITUTE(VLOOKUP(G$2,convert!$A$1:$B$4,2,0),"@@@",G755))</f>
        <v>135</v>
      </c>
      <c r="W755" s="4" t="str">
        <f>IF(H755="",IF(ISNUMBER(SEARCH("NOT NULL",UPPER(H$3))),"''","null"),SUBSTITUTE(VLOOKUP(H$2,convert!$A$1:$B$4,2,0),"@@@",H755))</f>
        <v>105</v>
      </c>
      <c r="X755" s="4" t="str">
        <f>IF(I755="",IF(ISNUMBER(SEARCH("NOT NULL",UPPER(I$3))),"''","null"),SUBSTITUTE(VLOOKUP(I$2,convert!$A$1:$B$4,2,0),"@@@",I755))</f>
        <v>''</v>
      </c>
      <c r="Y755" s="4" t="str">
        <f>IF(J755="",IF(ISNUMBER(SEARCH("NOT NULL",UPPER(J$3))),"''","null"),SUBSTITUTE(VLOOKUP(J$2,convert!$A$1:$B$4,2,0),"@@@",J755))</f>
        <v>'ice'</v>
      </c>
      <c r="Z755" s="4" t="str">
        <f>IF(K755="",IF(ISNUMBER(SEARCH("NOT NULL",UPPER(K$3))),"''","null"),SUBSTITUTE(VLOOKUP(K$2,convert!$A$1:$B$4,2,0),"@@@",K755))</f>
        <v>null</v>
      </c>
      <c r="AA755" s="4" t="str">
        <f>IF(L755="",IF(ISNUMBER(SEARCH("NOT NULL",UPPER(L$3))),"''","null"),SUBSTITUTE(VLOOKUP(L$2,convert!$A$1:$B$4,2,0),"@@@",L755))</f>
        <v>'g5'</v>
      </c>
      <c r="AB755" s="4" t="str">
        <f>IF(M755="",IF(ISNUMBER(SEARCH("NOT NULL",UPPER(M$3))),"''","null"),SUBSTITUTE(VLOOKUP(M$2,convert!$A$1:$B$4,2,0),"@@@",M755))</f>
        <v>null</v>
      </c>
      <c r="AC755" s="4" t="str">
        <f>IF(N755="",IF(ISNUMBER(SEARCH("NOT NULL",UPPER(N$3))),"''","null"),SUBSTITUTE(VLOOKUP(N$2,convert!$A$1:$B$4,2,0),"@@@",N755))</f>
        <v>null</v>
      </c>
      <c r="AD755" s="4" t="str">
        <f>IF(O755="",IF(ISNUMBER(SEARCH("NOT NULL",UPPER(O$3))),"''","null"),SUBSTITUTE(VLOOKUP(O$2,convert!$A$1:$B$4,2,0),"@@@",O755))</f>
        <v>TRUE</v>
      </c>
      <c r="AE755" s="4" t="str">
        <f t="shared" si="11"/>
        <v>    ('0615N01', 'フリージオ', 80, 50, 50, 95, 135, 105, '', 'ice', null, 'g5', null, null, TRUE),</v>
      </c>
    </row>
    <row r="756" spans="1:31">
      <c r="A756" s="4" t="s">
        <v>1518</v>
      </c>
      <c r="B756" s="4" t="s">
        <v>1519</v>
      </c>
      <c r="C756" s="5">
        <v>50</v>
      </c>
      <c r="D756" s="5">
        <v>40</v>
      </c>
      <c r="E756" s="5">
        <v>85</v>
      </c>
      <c r="F756" s="5">
        <v>40</v>
      </c>
      <c r="G756" s="5">
        <v>65</v>
      </c>
      <c r="H756" s="5">
        <v>25</v>
      </c>
      <c r="I756" s="5"/>
      <c r="J756" s="4" t="s">
        <v>64</v>
      </c>
      <c r="K756" s="5"/>
      <c r="L756" s="4" t="s">
        <v>1243</v>
      </c>
      <c r="M756" s="5"/>
      <c r="N756" s="5"/>
      <c r="O756" s="5" t="b">
        <v>1</v>
      </c>
      <c r="P756" s="4" t="str">
        <f>IF(A756="",IF(ISNUMBER(SEARCH("NOT NULL",UPPER(A$3))),"''","null"),SUBSTITUTE(VLOOKUP(A$2,convert!$A$1:$B$4,2,0),"@@@",A756))</f>
        <v>'0616N01'</v>
      </c>
      <c r="Q756" s="4" t="str">
        <f>IF(B756="",IF(ISNUMBER(SEARCH("NOT NULL",UPPER(B$3))),"''","null"),SUBSTITUTE(VLOOKUP(B$2,convert!$A$1:$B$4,2,0),"@@@",B756))</f>
        <v>'チョボマキ'</v>
      </c>
      <c r="R756" s="4" t="str">
        <f>IF(C756="",IF(ISNUMBER(SEARCH("NOT NULL",UPPER(C$3))),"''","null"),SUBSTITUTE(VLOOKUP(C$2,convert!$A$1:$B$4,2,0),"@@@",C756))</f>
        <v>50</v>
      </c>
      <c r="S756" s="4" t="str">
        <f>IF(D756="",IF(ISNUMBER(SEARCH("NOT NULL",UPPER(D$3))),"''","null"),SUBSTITUTE(VLOOKUP(D$2,convert!$A$1:$B$4,2,0),"@@@",D756))</f>
        <v>40</v>
      </c>
      <c r="T756" s="4" t="str">
        <f>IF(E756="",IF(ISNUMBER(SEARCH("NOT NULL",UPPER(E$3))),"''","null"),SUBSTITUTE(VLOOKUP(E$2,convert!$A$1:$B$4,2,0),"@@@",E756))</f>
        <v>85</v>
      </c>
      <c r="U756" s="4" t="str">
        <f>IF(F756="",IF(ISNUMBER(SEARCH("NOT NULL",UPPER(F$3))),"''","null"),SUBSTITUTE(VLOOKUP(F$2,convert!$A$1:$B$4,2,0),"@@@",F756))</f>
        <v>40</v>
      </c>
      <c r="V756" s="4" t="str">
        <f>IF(G756="",IF(ISNUMBER(SEARCH("NOT NULL",UPPER(G$3))),"''","null"),SUBSTITUTE(VLOOKUP(G$2,convert!$A$1:$B$4,2,0),"@@@",G756))</f>
        <v>65</v>
      </c>
      <c r="W756" s="4" t="str">
        <f>IF(H756="",IF(ISNUMBER(SEARCH("NOT NULL",UPPER(H$3))),"''","null"),SUBSTITUTE(VLOOKUP(H$2,convert!$A$1:$B$4,2,0),"@@@",H756))</f>
        <v>25</v>
      </c>
      <c r="X756" s="4" t="str">
        <f>IF(I756="",IF(ISNUMBER(SEARCH("NOT NULL",UPPER(I$3))),"''","null"),SUBSTITUTE(VLOOKUP(I$2,convert!$A$1:$B$4,2,0),"@@@",I756))</f>
        <v>''</v>
      </c>
      <c r="Y756" s="4" t="str">
        <f>IF(J756="",IF(ISNUMBER(SEARCH("NOT NULL",UPPER(J$3))),"''","null"),SUBSTITUTE(VLOOKUP(J$2,convert!$A$1:$B$4,2,0),"@@@",J756))</f>
        <v>'bug'</v>
      </c>
      <c r="Z756" s="4" t="str">
        <f>IF(K756="",IF(ISNUMBER(SEARCH("NOT NULL",UPPER(K$3))),"''","null"),SUBSTITUTE(VLOOKUP(K$2,convert!$A$1:$B$4,2,0),"@@@",K756))</f>
        <v>null</v>
      </c>
      <c r="AA756" s="4" t="str">
        <f>IF(L756="",IF(ISNUMBER(SEARCH("NOT NULL",UPPER(L$3))),"''","null"),SUBSTITUTE(VLOOKUP(L$2,convert!$A$1:$B$4,2,0),"@@@",L756))</f>
        <v>'g5'</v>
      </c>
      <c r="AB756" s="4" t="str">
        <f>IF(M756="",IF(ISNUMBER(SEARCH("NOT NULL",UPPER(M$3))),"''","null"),SUBSTITUTE(VLOOKUP(M$2,convert!$A$1:$B$4,2,0),"@@@",M756))</f>
        <v>null</v>
      </c>
      <c r="AC756" s="4" t="str">
        <f>IF(N756="",IF(ISNUMBER(SEARCH("NOT NULL",UPPER(N$3))),"''","null"),SUBSTITUTE(VLOOKUP(N$2,convert!$A$1:$B$4,2,0),"@@@",N756))</f>
        <v>null</v>
      </c>
      <c r="AD756" s="4" t="str">
        <f>IF(O756="",IF(ISNUMBER(SEARCH("NOT NULL",UPPER(O$3))),"''","null"),SUBSTITUTE(VLOOKUP(O$2,convert!$A$1:$B$4,2,0),"@@@",O756))</f>
        <v>TRUE</v>
      </c>
      <c r="AE756" s="4" t="str">
        <f t="shared" si="11"/>
        <v>    ('0616N01', 'チョボマキ', 50, 40, 85, 40, 65, 25, '', 'bug', null, 'g5', null, null, TRUE),</v>
      </c>
    </row>
    <row r="757" spans="1:31">
      <c r="A757" s="4" t="s">
        <v>1520</v>
      </c>
      <c r="B757" s="4" t="s">
        <v>1521</v>
      </c>
      <c r="C757" s="5">
        <v>80</v>
      </c>
      <c r="D757" s="5">
        <v>70</v>
      </c>
      <c r="E757" s="5">
        <v>40</v>
      </c>
      <c r="F757" s="5">
        <v>100</v>
      </c>
      <c r="G757" s="5">
        <v>60</v>
      </c>
      <c r="H757" s="5">
        <v>145</v>
      </c>
      <c r="I757" s="5"/>
      <c r="J757" s="4" t="s">
        <v>64</v>
      </c>
      <c r="K757" s="5"/>
      <c r="L757" s="4" t="s">
        <v>1243</v>
      </c>
      <c r="M757" s="5"/>
      <c r="N757" s="5"/>
      <c r="O757" s="5" t="b">
        <v>1</v>
      </c>
      <c r="P757" s="4" t="str">
        <f>IF(A757="",IF(ISNUMBER(SEARCH("NOT NULL",UPPER(A$3))),"''","null"),SUBSTITUTE(VLOOKUP(A$2,convert!$A$1:$B$4,2,0),"@@@",A757))</f>
        <v>'0617N01'</v>
      </c>
      <c r="Q757" s="4" t="str">
        <f>IF(B757="",IF(ISNUMBER(SEARCH("NOT NULL",UPPER(B$3))),"''","null"),SUBSTITUTE(VLOOKUP(B$2,convert!$A$1:$B$4,2,0),"@@@",B757))</f>
        <v>'アギルダー'</v>
      </c>
      <c r="R757" s="4" t="str">
        <f>IF(C757="",IF(ISNUMBER(SEARCH("NOT NULL",UPPER(C$3))),"''","null"),SUBSTITUTE(VLOOKUP(C$2,convert!$A$1:$B$4,2,0),"@@@",C757))</f>
        <v>80</v>
      </c>
      <c r="S757" s="4" t="str">
        <f>IF(D757="",IF(ISNUMBER(SEARCH("NOT NULL",UPPER(D$3))),"''","null"),SUBSTITUTE(VLOOKUP(D$2,convert!$A$1:$B$4,2,0),"@@@",D757))</f>
        <v>70</v>
      </c>
      <c r="T757" s="4" t="str">
        <f>IF(E757="",IF(ISNUMBER(SEARCH("NOT NULL",UPPER(E$3))),"''","null"),SUBSTITUTE(VLOOKUP(E$2,convert!$A$1:$B$4,2,0),"@@@",E757))</f>
        <v>40</v>
      </c>
      <c r="U757" s="4" t="str">
        <f>IF(F757="",IF(ISNUMBER(SEARCH("NOT NULL",UPPER(F$3))),"''","null"),SUBSTITUTE(VLOOKUP(F$2,convert!$A$1:$B$4,2,0),"@@@",F757))</f>
        <v>100</v>
      </c>
      <c r="V757" s="4" t="str">
        <f>IF(G757="",IF(ISNUMBER(SEARCH("NOT NULL",UPPER(G$3))),"''","null"),SUBSTITUTE(VLOOKUP(G$2,convert!$A$1:$B$4,2,0),"@@@",G757))</f>
        <v>60</v>
      </c>
      <c r="W757" s="4" t="str">
        <f>IF(H757="",IF(ISNUMBER(SEARCH("NOT NULL",UPPER(H$3))),"''","null"),SUBSTITUTE(VLOOKUP(H$2,convert!$A$1:$B$4,2,0),"@@@",H757))</f>
        <v>145</v>
      </c>
      <c r="X757" s="4" t="str">
        <f>IF(I757="",IF(ISNUMBER(SEARCH("NOT NULL",UPPER(I$3))),"''","null"),SUBSTITUTE(VLOOKUP(I$2,convert!$A$1:$B$4,2,0),"@@@",I757))</f>
        <v>''</v>
      </c>
      <c r="Y757" s="4" t="str">
        <f>IF(J757="",IF(ISNUMBER(SEARCH("NOT NULL",UPPER(J$3))),"''","null"),SUBSTITUTE(VLOOKUP(J$2,convert!$A$1:$B$4,2,0),"@@@",J757))</f>
        <v>'bug'</v>
      </c>
      <c r="Z757" s="4" t="str">
        <f>IF(K757="",IF(ISNUMBER(SEARCH("NOT NULL",UPPER(K$3))),"''","null"),SUBSTITUTE(VLOOKUP(K$2,convert!$A$1:$B$4,2,0),"@@@",K757))</f>
        <v>null</v>
      </c>
      <c r="AA757" s="4" t="str">
        <f>IF(L757="",IF(ISNUMBER(SEARCH("NOT NULL",UPPER(L$3))),"''","null"),SUBSTITUTE(VLOOKUP(L$2,convert!$A$1:$B$4,2,0),"@@@",L757))</f>
        <v>'g5'</v>
      </c>
      <c r="AB757" s="4" t="str">
        <f>IF(M757="",IF(ISNUMBER(SEARCH("NOT NULL",UPPER(M$3))),"''","null"),SUBSTITUTE(VLOOKUP(M$2,convert!$A$1:$B$4,2,0),"@@@",M757))</f>
        <v>null</v>
      </c>
      <c r="AC757" s="4" t="str">
        <f>IF(N757="",IF(ISNUMBER(SEARCH("NOT NULL",UPPER(N$3))),"''","null"),SUBSTITUTE(VLOOKUP(N$2,convert!$A$1:$B$4,2,0),"@@@",N757))</f>
        <v>null</v>
      </c>
      <c r="AD757" s="4" t="str">
        <f>IF(O757="",IF(ISNUMBER(SEARCH("NOT NULL",UPPER(O$3))),"''","null"),SUBSTITUTE(VLOOKUP(O$2,convert!$A$1:$B$4,2,0),"@@@",O757))</f>
        <v>TRUE</v>
      </c>
      <c r="AE757" s="4" t="str">
        <f t="shared" si="11"/>
        <v>    ('0617N01', 'アギルダー', 80, 70, 40, 100, 60, 145, '', 'bug', null, 'g5', null, null, TRUE),</v>
      </c>
    </row>
    <row r="758" spans="1:31">
      <c r="A758" s="4" t="s">
        <v>1522</v>
      </c>
      <c r="B758" s="4" t="s">
        <v>1523</v>
      </c>
      <c r="C758" s="5">
        <v>109</v>
      </c>
      <c r="D758" s="5">
        <v>66</v>
      </c>
      <c r="E758" s="5">
        <v>84</v>
      </c>
      <c r="F758" s="5">
        <v>81</v>
      </c>
      <c r="G758" s="5">
        <v>99</v>
      </c>
      <c r="H758" s="5">
        <v>32</v>
      </c>
      <c r="I758" s="5"/>
      <c r="J758" s="4" t="s">
        <v>106</v>
      </c>
      <c r="K758" s="4" t="s">
        <v>116</v>
      </c>
      <c r="L758" s="4" t="s">
        <v>1243</v>
      </c>
      <c r="M758" s="5"/>
      <c r="N758" s="5"/>
      <c r="O758" s="5" t="b">
        <v>1</v>
      </c>
      <c r="P758" s="4" t="str">
        <f>IF(A758="",IF(ISNUMBER(SEARCH("NOT NULL",UPPER(A$3))),"''","null"),SUBSTITUTE(VLOOKUP(A$2,convert!$A$1:$B$4,2,0),"@@@",A758))</f>
        <v>'0618N01'</v>
      </c>
      <c r="Q758" s="4" t="str">
        <f>IF(B758="",IF(ISNUMBER(SEARCH("NOT NULL",UPPER(B$3))),"''","null"),SUBSTITUTE(VLOOKUP(B$2,convert!$A$1:$B$4,2,0),"@@@",B758))</f>
        <v>'マッギョ'</v>
      </c>
      <c r="R758" s="4" t="str">
        <f>IF(C758="",IF(ISNUMBER(SEARCH("NOT NULL",UPPER(C$3))),"''","null"),SUBSTITUTE(VLOOKUP(C$2,convert!$A$1:$B$4,2,0),"@@@",C758))</f>
        <v>109</v>
      </c>
      <c r="S758" s="4" t="str">
        <f>IF(D758="",IF(ISNUMBER(SEARCH("NOT NULL",UPPER(D$3))),"''","null"),SUBSTITUTE(VLOOKUP(D$2,convert!$A$1:$B$4,2,0),"@@@",D758))</f>
        <v>66</v>
      </c>
      <c r="T758" s="4" t="str">
        <f>IF(E758="",IF(ISNUMBER(SEARCH("NOT NULL",UPPER(E$3))),"''","null"),SUBSTITUTE(VLOOKUP(E$2,convert!$A$1:$B$4,2,0),"@@@",E758))</f>
        <v>84</v>
      </c>
      <c r="U758" s="4" t="str">
        <f>IF(F758="",IF(ISNUMBER(SEARCH("NOT NULL",UPPER(F$3))),"''","null"),SUBSTITUTE(VLOOKUP(F$2,convert!$A$1:$B$4,2,0),"@@@",F758))</f>
        <v>81</v>
      </c>
      <c r="V758" s="4" t="str">
        <f>IF(G758="",IF(ISNUMBER(SEARCH("NOT NULL",UPPER(G$3))),"''","null"),SUBSTITUTE(VLOOKUP(G$2,convert!$A$1:$B$4,2,0),"@@@",G758))</f>
        <v>99</v>
      </c>
      <c r="W758" s="4" t="str">
        <f>IF(H758="",IF(ISNUMBER(SEARCH("NOT NULL",UPPER(H$3))),"''","null"),SUBSTITUTE(VLOOKUP(H$2,convert!$A$1:$B$4,2,0),"@@@",H758))</f>
        <v>32</v>
      </c>
      <c r="X758" s="4" t="str">
        <f>IF(I758="",IF(ISNUMBER(SEARCH("NOT NULL",UPPER(I$3))),"''","null"),SUBSTITUTE(VLOOKUP(I$2,convert!$A$1:$B$4,2,0),"@@@",I758))</f>
        <v>''</v>
      </c>
      <c r="Y758" s="4" t="str">
        <f>IF(J758="",IF(ISNUMBER(SEARCH("NOT NULL",UPPER(J$3))),"''","null"),SUBSTITUTE(VLOOKUP(J$2,convert!$A$1:$B$4,2,0),"@@@",J758))</f>
        <v>'electric'</v>
      </c>
      <c r="Z758" s="4" t="str">
        <f>IF(K758="",IF(ISNUMBER(SEARCH("NOT NULL",UPPER(K$3))),"''","null"),SUBSTITUTE(VLOOKUP(K$2,convert!$A$1:$B$4,2,0),"@@@",K758))</f>
        <v>'ground'</v>
      </c>
      <c r="AA758" s="4" t="str">
        <f>IF(L758="",IF(ISNUMBER(SEARCH("NOT NULL",UPPER(L$3))),"''","null"),SUBSTITUTE(VLOOKUP(L$2,convert!$A$1:$B$4,2,0),"@@@",L758))</f>
        <v>'g5'</v>
      </c>
      <c r="AB758" s="4" t="str">
        <f>IF(M758="",IF(ISNUMBER(SEARCH("NOT NULL",UPPER(M$3))),"''","null"),SUBSTITUTE(VLOOKUP(M$2,convert!$A$1:$B$4,2,0),"@@@",M758))</f>
        <v>null</v>
      </c>
      <c r="AC758" s="4" t="str">
        <f>IF(N758="",IF(ISNUMBER(SEARCH("NOT NULL",UPPER(N$3))),"''","null"),SUBSTITUTE(VLOOKUP(N$2,convert!$A$1:$B$4,2,0),"@@@",N758))</f>
        <v>null</v>
      </c>
      <c r="AD758" s="4" t="str">
        <f>IF(O758="",IF(ISNUMBER(SEARCH("NOT NULL",UPPER(O$3))),"''","null"),SUBSTITUTE(VLOOKUP(O$2,convert!$A$1:$B$4,2,0),"@@@",O758))</f>
        <v>TRUE</v>
      </c>
      <c r="AE758" s="4" t="str">
        <f t="shared" si="11"/>
        <v>    ('0618N01', 'マッギョ', 109, 66, 84, 81, 99, 32, '', 'electric', 'ground', 'g5', null, null, TRUE),</v>
      </c>
    </row>
    <row r="759" spans="1:31">
      <c r="A759" s="4" t="s">
        <v>1524</v>
      </c>
      <c r="B759" s="4" t="s">
        <v>1523</v>
      </c>
      <c r="C759" s="5">
        <v>109</v>
      </c>
      <c r="D759" s="5">
        <v>81</v>
      </c>
      <c r="E759" s="5">
        <v>99</v>
      </c>
      <c r="F759" s="5">
        <v>66</v>
      </c>
      <c r="G759" s="5">
        <v>84</v>
      </c>
      <c r="H759" s="5">
        <v>32</v>
      </c>
      <c r="I759" s="4" t="s">
        <v>178</v>
      </c>
      <c r="J759" s="4" t="s">
        <v>116</v>
      </c>
      <c r="K759" s="4" t="s">
        <v>119</v>
      </c>
      <c r="L759" s="4" t="s">
        <v>179</v>
      </c>
      <c r="M759" s="5"/>
      <c r="N759" s="5"/>
      <c r="O759" s="5" t="b">
        <v>1</v>
      </c>
      <c r="P759" s="4" t="str">
        <f>IF(A759="",IF(ISNUMBER(SEARCH("NOT NULL",UPPER(A$3))),"''","null"),SUBSTITUTE(VLOOKUP(A$2,convert!$A$1:$B$4,2,0),"@@@",A759))</f>
        <v>'0618G01'</v>
      </c>
      <c r="Q759" s="4" t="str">
        <f>IF(B759="",IF(ISNUMBER(SEARCH("NOT NULL",UPPER(B$3))),"''","null"),SUBSTITUTE(VLOOKUP(B$2,convert!$A$1:$B$4,2,0),"@@@",B759))</f>
        <v>'マッギョ'</v>
      </c>
      <c r="R759" s="4" t="str">
        <f>IF(C759="",IF(ISNUMBER(SEARCH("NOT NULL",UPPER(C$3))),"''","null"),SUBSTITUTE(VLOOKUP(C$2,convert!$A$1:$B$4,2,0),"@@@",C759))</f>
        <v>109</v>
      </c>
      <c r="S759" s="4" t="str">
        <f>IF(D759="",IF(ISNUMBER(SEARCH("NOT NULL",UPPER(D$3))),"''","null"),SUBSTITUTE(VLOOKUP(D$2,convert!$A$1:$B$4,2,0),"@@@",D759))</f>
        <v>81</v>
      </c>
      <c r="T759" s="4" t="str">
        <f>IF(E759="",IF(ISNUMBER(SEARCH("NOT NULL",UPPER(E$3))),"''","null"),SUBSTITUTE(VLOOKUP(E$2,convert!$A$1:$B$4,2,0),"@@@",E759))</f>
        <v>99</v>
      </c>
      <c r="U759" s="4" t="str">
        <f>IF(F759="",IF(ISNUMBER(SEARCH("NOT NULL",UPPER(F$3))),"''","null"),SUBSTITUTE(VLOOKUP(F$2,convert!$A$1:$B$4,2,0),"@@@",F759))</f>
        <v>66</v>
      </c>
      <c r="V759" s="4" t="str">
        <f>IF(G759="",IF(ISNUMBER(SEARCH("NOT NULL",UPPER(G$3))),"''","null"),SUBSTITUTE(VLOOKUP(G$2,convert!$A$1:$B$4,2,0),"@@@",G759))</f>
        <v>84</v>
      </c>
      <c r="W759" s="4" t="str">
        <f>IF(H759="",IF(ISNUMBER(SEARCH("NOT NULL",UPPER(H$3))),"''","null"),SUBSTITUTE(VLOOKUP(H$2,convert!$A$1:$B$4,2,0),"@@@",H759))</f>
        <v>32</v>
      </c>
      <c r="X759" s="4" t="str">
        <f>IF(I759="",IF(ISNUMBER(SEARCH("NOT NULL",UPPER(I$3))),"''","null"),SUBSTITUTE(VLOOKUP(I$2,convert!$A$1:$B$4,2,0),"@@@",I759))</f>
        <v>'ガラルのすがた'</v>
      </c>
      <c r="Y759" s="4" t="str">
        <f>IF(J759="",IF(ISNUMBER(SEARCH("NOT NULL",UPPER(J$3))),"''","null"),SUBSTITUTE(VLOOKUP(J$2,convert!$A$1:$B$4,2,0),"@@@",J759))</f>
        <v>'ground'</v>
      </c>
      <c r="Z759" s="4" t="str">
        <f>IF(K759="",IF(ISNUMBER(SEARCH("NOT NULL",UPPER(K$3))),"''","null"),SUBSTITUTE(VLOOKUP(K$2,convert!$A$1:$B$4,2,0),"@@@",K759))</f>
        <v>'steel'</v>
      </c>
      <c r="AA759" s="4" t="str">
        <f>IF(L759="",IF(ISNUMBER(SEARCH("NOT NULL",UPPER(L$3))),"''","null"),SUBSTITUTE(VLOOKUP(L$2,convert!$A$1:$B$4,2,0),"@@@",L759))</f>
        <v>'g8'</v>
      </c>
      <c r="AB759" s="4" t="str">
        <f>IF(M759="",IF(ISNUMBER(SEARCH("NOT NULL",UPPER(M$3))),"''","null"),SUBSTITUTE(VLOOKUP(M$2,convert!$A$1:$B$4,2,0),"@@@",M759))</f>
        <v>null</v>
      </c>
      <c r="AC759" s="4" t="str">
        <f>IF(N759="",IF(ISNUMBER(SEARCH("NOT NULL",UPPER(N$3))),"''","null"),SUBSTITUTE(VLOOKUP(N$2,convert!$A$1:$B$4,2,0),"@@@",N759))</f>
        <v>null</v>
      </c>
      <c r="AD759" s="4" t="str">
        <f>IF(O759="",IF(ISNUMBER(SEARCH("NOT NULL",UPPER(O$3))),"''","null"),SUBSTITUTE(VLOOKUP(O$2,convert!$A$1:$B$4,2,0),"@@@",O759))</f>
        <v>TRUE</v>
      </c>
      <c r="AE759" s="4" t="str">
        <f t="shared" si="11"/>
        <v>    ('0618G01', 'マッギョ', 109, 81, 99, 66, 84, 32, 'ガラルのすがた', 'ground', 'steel', 'g8', null, null, TRUE),</v>
      </c>
    </row>
    <row r="760" spans="1:31">
      <c r="A760" s="4" t="s">
        <v>1525</v>
      </c>
      <c r="B760" s="4" t="s">
        <v>1526</v>
      </c>
      <c r="C760" s="5">
        <v>45</v>
      </c>
      <c r="D760" s="5">
        <v>85</v>
      </c>
      <c r="E760" s="5">
        <v>50</v>
      </c>
      <c r="F760" s="5">
        <v>55</v>
      </c>
      <c r="G760" s="5">
        <v>50</v>
      </c>
      <c r="H760" s="5">
        <v>65</v>
      </c>
      <c r="I760" s="5"/>
      <c r="J760" s="4" t="s">
        <v>189</v>
      </c>
      <c r="K760" s="5"/>
      <c r="L760" s="4" t="s">
        <v>1243</v>
      </c>
      <c r="M760" s="5"/>
      <c r="N760" s="5"/>
      <c r="O760" s="5" t="b">
        <v>1</v>
      </c>
      <c r="P760" s="4" t="str">
        <f>IF(A760="",IF(ISNUMBER(SEARCH("NOT NULL",UPPER(A$3))),"''","null"),SUBSTITUTE(VLOOKUP(A$2,convert!$A$1:$B$4,2,0),"@@@",A760))</f>
        <v>'0619N01'</v>
      </c>
      <c r="Q760" s="4" t="str">
        <f>IF(B760="",IF(ISNUMBER(SEARCH("NOT NULL",UPPER(B$3))),"''","null"),SUBSTITUTE(VLOOKUP(B$2,convert!$A$1:$B$4,2,0),"@@@",B760))</f>
        <v>'コジョフー'</v>
      </c>
      <c r="R760" s="4" t="str">
        <f>IF(C760="",IF(ISNUMBER(SEARCH("NOT NULL",UPPER(C$3))),"''","null"),SUBSTITUTE(VLOOKUP(C$2,convert!$A$1:$B$4,2,0),"@@@",C760))</f>
        <v>45</v>
      </c>
      <c r="S760" s="4" t="str">
        <f>IF(D760="",IF(ISNUMBER(SEARCH("NOT NULL",UPPER(D$3))),"''","null"),SUBSTITUTE(VLOOKUP(D$2,convert!$A$1:$B$4,2,0),"@@@",D760))</f>
        <v>85</v>
      </c>
      <c r="T760" s="4" t="str">
        <f>IF(E760="",IF(ISNUMBER(SEARCH("NOT NULL",UPPER(E$3))),"''","null"),SUBSTITUTE(VLOOKUP(E$2,convert!$A$1:$B$4,2,0),"@@@",E760))</f>
        <v>50</v>
      </c>
      <c r="U760" s="4" t="str">
        <f>IF(F760="",IF(ISNUMBER(SEARCH("NOT NULL",UPPER(F$3))),"''","null"),SUBSTITUTE(VLOOKUP(F$2,convert!$A$1:$B$4,2,0),"@@@",F760))</f>
        <v>55</v>
      </c>
      <c r="V760" s="4" t="str">
        <f>IF(G760="",IF(ISNUMBER(SEARCH("NOT NULL",UPPER(G$3))),"''","null"),SUBSTITUTE(VLOOKUP(G$2,convert!$A$1:$B$4,2,0),"@@@",G760))</f>
        <v>50</v>
      </c>
      <c r="W760" s="4" t="str">
        <f>IF(H760="",IF(ISNUMBER(SEARCH("NOT NULL",UPPER(H$3))),"''","null"),SUBSTITUTE(VLOOKUP(H$2,convert!$A$1:$B$4,2,0),"@@@",H760))</f>
        <v>65</v>
      </c>
      <c r="X760" s="4" t="str">
        <f>IF(I760="",IF(ISNUMBER(SEARCH("NOT NULL",UPPER(I$3))),"''","null"),SUBSTITUTE(VLOOKUP(I$2,convert!$A$1:$B$4,2,0),"@@@",I760))</f>
        <v>''</v>
      </c>
      <c r="Y760" s="4" t="str">
        <f>IF(J760="",IF(ISNUMBER(SEARCH("NOT NULL",UPPER(J$3))),"''","null"),SUBSTITUTE(VLOOKUP(J$2,convert!$A$1:$B$4,2,0),"@@@",J760))</f>
        <v>'fighting'</v>
      </c>
      <c r="Z760" s="4" t="str">
        <f>IF(K760="",IF(ISNUMBER(SEARCH("NOT NULL",UPPER(K$3))),"''","null"),SUBSTITUTE(VLOOKUP(K$2,convert!$A$1:$B$4,2,0),"@@@",K760))</f>
        <v>null</v>
      </c>
      <c r="AA760" s="4" t="str">
        <f>IF(L760="",IF(ISNUMBER(SEARCH("NOT NULL",UPPER(L$3))),"''","null"),SUBSTITUTE(VLOOKUP(L$2,convert!$A$1:$B$4,2,0),"@@@",L760))</f>
        <v>'g5'</v>
      </c>
      <c r="AB760" s="4" t="str">
        <f>IF(M760="",IF(ISNUMBER(SEARCH("NOT NULL",UPPER(M$3))),"''","null"),SUBSTITUTE(VLOOKUP(M$2,convert!$A$1:$B$4,2,0),"@@@",M760))</f>
        <v>null</v>
      </c>
      <c r="AC760" s="4" t="str">
        <f>IF(N760="",IF(ISNUMBER(SEARCH("NOT NULL",UPPER(N$3))),"''","null"),SUBSTITUTE(VLOOKUP(N$2,convert!$A$1:$B$4,2,0),"@@@",N760))</f>
        <v>null</v>
      </c>
      <c r="AD760" s="4" t="str">
        <f>IF(O760="",IF(ISNUMBER(SEARCH("NOT NULL",UPPER(O$3))),"''","null"),SUBSTITUTE(VLOOKUP(O$2,convert!$A$1:$B$4,2,0),"@@@",O760))</f>
        <v>TRUE</v>
      </c>
      <c r="AE760" s="4" t="str">
        <f t="shared" si="11"/>
        <v>    ('0619N01', 'コジョフー', 45, 85, 50, 55, 50, 65, '', 'fighting', null, 'g5', null, null, TRUE),</v>
      </c>
    </row>
    <row r="761" spans="1:31">
      <c r="A761" s="4" t="s">
        <v>1527</v>
      </c>
      <c r="B761" s="4" t="s">
        <v>1528</v>
      </c>
      <c r="C761" s="5">
        <v>65</v>
      </c>
      <c r="D761" s="5">
        <v>125</v>
      </c>
      <c r="E761" s="5">
        <v>60</v>
      </c>
      <c r="F761" s="5">
        <v>95</v>
      </c>
      <c r="G761" s="5">
        <v>60</v>
      </c>
      <c r="H761" s="5">
        <v>105</v>
      </c>
      <c r="I761" s="5"/>
      <c r="J761" s="4" t="s">
        <v>189</v>
      </c>
      <c r="K761" s="5"/>
      <c r="L761" s="4" t="s">
        <v>1243</v>
      </c>
      <c r="M761" s="5"/>
      <c r="N761" s="5"/>
      <c r="O761" s="5" t="b">
        <v>1</v>
      </c>
      <c r="P761" s="4" t="str">
        <f>IF(A761="",IF(ISNUMBER(SEARCH("NOT NULL",UPPER(A$3))),"''","null"),SUBSTITUTE(VLOOKUP(A$2,convert!$A$1:$B$4,2,0),"@@@",A761))</f>
        <v>'0620N01'</v>
      </c>
      <c r="Q761" s="4" t="str">
        <f>IF(B761="",IF(ISNUMBER(SEARCH("NOT NULL",UPPER(B$3))),"''","null"),SUBSTITUTE(VLOOKUP(B$2,convert!$A$1:$B$4,2,0),"@@@",B761))</f>
        <v>'コジョンド'</v>
      </c>
      <c r="R761" s="4" t="str">
        <f>IF(C761="",IF(ISNUMBER(SEARCH("NOT NULL",UPPER(C$3))),"''","null"),SUBSTITUTE(VLOOKUP(C$2,convert!$A$1:$B$4,2,0),"@@@",C761))</f>
        <v>65</v>
      </c>
      <c r="S761" s="4" t="str">
        <f>IF(D761="",IF(ISNUMBER(SEARCH("NOT NULL",UPPER(D$3))),"''","null"),SUBSTITUTE(VLOOKUP(D$2,convert!$A$1:$B$4,2,0),"@@@",D761))</f>
        <v>125</v>
      </c>
      <c r="T761" s="4" t="str">
        <f>IF(E761="",IF(ISNUMBER(SEARCH("NOT NULL",UPPER(E$3))),"''","null"),SUBSTITUTE(VLOOKUP(E$2,convert!$A$1:$B$4,2,0),"@@@",E761))</f>
        <v>60</v>
      </c>
      <c r="U761" s="4" t="str">
        <f>IF(F761="",IF(ISNUMBER(SEARCH("NOT NULL",UPPER(F$3))),"''","null"),SUBSTITUTE(VLOOKUP(F$2,convert!$A$1:$B$4,2,0),"@@@",F761))</f>
        <v>95</v>
      </c>
      <c r="V761" s="4" t="str">
        <f>IF(G761="",IF(ISNUMBER(SEARCH("NOT NULL",UPPER(G$3))),"''","null"),SUBSTITUTE(VLOOKUP(G$2,convert!$A$1:$B$4,2,0),"@@@",G761))</f>
        <v>60</v>
      </c>
      <c r="W761" s="4" t="str">
        <f>IF(H761="",IF(ISNUMBER(SEARCH("NOT NULL",UPPER(H$3))),"''","null"),SUBSTITUTE(VLOOKUP(H$2,convert!$A$1:$B$4,2,0),"@@@",H761))</f>
        <v>105</v>
      </c>
      <c r="X761" s="4" t="str">
        <f>IF(I761="",IF(ISNUMBER(SEARCH("NOT NULL",UPPER(I$3))),"''","null"),SUBSTITUTE(VLOOKUP(I$2,convert!$A$1:$B$4,2,0),"@@@",I761))</f>
        <v>''</v>
      </c>
      <c r="Y761" s="4" t="str">
        <f>IF(J761="",IF(ISNUMBER(SEARCH("NOT NULL",UPPER(J$3))),"''","null"),SUBSTITUTE(VLOOKUP(J$2,convert!$A$1:$B$4,2,0),"@@@",J761))</f>
        <v>'fighting'</v>
      </c>
      <c r="Z761" s="4" t="str">
        <f>IF(K761="",IF(ISNUMBER(SEARCH("NOT NULL",UPPER(K$3))),"''","null"),SUBSTITUTE(VLOOKUP(K$2,convert!$A$1:$B$4,2,0),"@@@",K761))</f>
        <v>null</v>
      </c>
      <c r="AA761" s="4" t="str">
        <f>IF(L761="",IF(ISNUMBER(SEARCH("NOT NULL",UPPER(L$3))),"''","null"),SUBSTITUTE(VLOOKUP(L$2,convert!$A$1:$B$4,2,0),"@@@",L761))</f>
        <v>'g5'</v>
      </c>
      <c r="AB761" s="4" t="str">
        <f>IF(M761="",IF(ISNUMBER(SEARCH("NOT NULL",UPPER(M$3))),"''","null"),SUBSTITUTE(VLOOKUP(M$2,convert!$A$1:$B$4,2,0),"@@@",M761))</f>
        <v>null</v>
      </c>
      <c r="AC761" s="4" t="str">
        <f>IF(N761="",IF(ISNUMBER(SEARCH("NOT NULL",UPPER(N$3))),"''","null"),SUBSTITUTE(VLOOKUP(N$2,convert!$A$1:$B$4,2,0),"@@@",N761))</f>
        <v>null</v>
      </c>
      <c r="AD761" s="4" t="str">
        <f>IF(O761="",IF(ISNUMBER(SEARCH("NOT NULL",UPPER(O$3))),"''","null"),SUBSTITUTE(VLOOKUP(O$2,convert!$A$1:$B$4,2,0),"@@@",O761))</f>
        <v>TRUE</v>
      </c>
      <c r="AE761" s="4" t="str">
        <f t="shared" si="11"/>
        <v>    ('0620N01', 'コジョンド', 65, 125, 60, 95, 60, 105, '', 'fighting', null, 'g5', null, null, TRUE),</v>
      </c>
    </row>
    <row r="762" spans="1:31">
      <c r="A762" s="4" t="s">
        <v>1529</v>
      </c>
      <c r="B762" s="4" t="s">
        <v>1530</v>
      </c>
      <c r="C762" s="5">
        <v>77</v>
      </c>
      <c r="D762" s="5">
        <v>120</v>
      </c>
      <c r="E762" s="5">
        <v>90</v>
      </c>
      <c r="F762" s="5">
        <v>60</v>
      </c>
      <c r="G762" s="5">
        <v>90</v>
      </c>
      <c r="H762" s="5">
        <v>48</v>
      </c>
      <c r="I762" s="5"/>
      <c r="J762" s="4" t="s">
        <v>50</v>
      </c>
      <c r="K762" s="5"/>
      <c r="L762" s="4" t="s">
        <v>1243</v>
      </c>
      <c r="M762" s="5"/>
      <c r="N762" s="5"/>
      <c r="O762" s="5" t="b">
        <v>1</v>
      </c>
      <c r="P762" s="4" t="str">
        <f>IF(A762="",IF(ISNUMBER(SEARCH("NOT NULL",UPPER(A$3))),"''","null"),SUBSTITUTE(VLOOKUP(A$2,convert!$A$1:$B$4,2,0),"@@@",A762))</f>
        <v>'0621N01'</v>
      </c>
      <c r="Q762" s="4" t="str">
        <f>IF(B762="",IF(ISNUMBER(SEARCH("NOT NULL",UPPER(B$3))),"''","null"),SUBSTITUTE(VLOOKUP(B$2,convert!$A$1:$B$4,2,0),"@@@",B762))</f>
        <v>'クリムガン'</v>
      </c>
      <c r="R762" s="4" t="str">
        <f>IF(C762="",IF(ISNUMBER(SEARCH("NOT NULL",UPPER(C$3))),"''","null"),SUBSTITUTE(VLOOKUP(C$2,convert!$A$1:$B$4,2,0),"@@@",C762))</f>
        <v>77</v>
      </c>
      <c r="S762" s="4" t="str">
        <f>IF(D762="",IF(ISNUMBER(SEARCH("NOT NULL",UPPER(D$3))),"''","null"),SUBSTITUTE(VLOOKUP(D$2,convert!$A$1:$B$4,2,0),"@@@",D762))</f>
        <v>120</v>
      </c>
      <c r="T762" s="4" t="str">
        <f>IF(E762="",IF(ISNUMBER(SEARCH("NOT NULL",UPPER(E$3))),"''","null"),SUBSTITUTE(VLOOKUP(E$2,convert!$A$1:$B$4,2,0),"@@@",E762))</f>
        <v>90</v>
      </c>
      <c r="U762" s="4" t="str">
        <f>IF(F762="",IF(ISNUMBER(SEARCH("NOT NULL",UPPER(F$3))),"''","null"),SUBSTITUTE(VLOOKUP(F$2,convert!$A$1:$B$4,2,0),"@@@",F762))</f>
        <v>60</v>
      </c>
      <c r="V762" s="4" t="str">
        <f>IF(G762="",IF(ISNUMBER(SEARCH("NOT NULL",UPPER(G$3))),"''","null"),SUBSTITUTE(VLOOKUP(G$2,convert!$A$1:$B$4,2,0),"@@@",G762))</f>
        <v>90</v>
      </c>
      <c r="W762" s="4" t="str">
        <f>IF(H762="",IF(ISNUMBER(SEARCH("NOT NULL",UPPER(H$3))),"''","null"),SUBSTITUTE(VLOOKUP(H$2,convert!$A$1:$B$4,2,0),"@@@",H762))</f>
        <v>48</v>
      </c>
      <c r="X762" s="4" t="str">
        <f>IF(I762="",IF(ISNUMBER(SEARCH("NOT NULL",UPPER(I$3))),"''","null"),SUBSTITUTE(VLOOKUP(I$2,convert!$A$1:$B$4,2,0),"@@@",I762))</f>
        <v>''</v>
      </c>
      <c r="Y762" s="4" t="str">
        <f>IF(J762="",IF(ISNUMBER(SEARCH("NOT NULL",UPPER(J$3))),"''","null"),SUBSTITUTE(VLOOKUP(J$2,convert!$A$1:$B$4,2,0),"@@@",J762))</f>
        <v>'dragon'</v>
      </c>
      <c r="Z762" s="4" t="str">
        <f>IF(K762="",IF(ISNUMBER(SEARCH("NOT NULL",UPPER(K$3))),"''","null"),SUBSTITUTE(VLOOKUP(K$2,convert!$A$1:$B$4,2,0),"@@@",K762))</f>
        <v>null</v>
      </c>
      <c r="AA762" s="4" t="str">
        <f>IF(L762="",IF(ISNUMBER(SEARCH("NOT NULL",UPPER(L$3))),"''","null"),SUBSTITUTE(VLOOKUP(L$2,convert!$A$1:$B$4,2,0),"@@@",L762))</f>
        <v>'g5'</v>
      </c>
      <c r="AB762" s="4" t="str">
        <f>IF(M762="",IF(ISNUMBER(SEARCH("NOT NULL",UPPER(M$3))),"''","null"),SUBSTITUTE(VLOOKUP(M$2,convert!$A$1:$B$4,2,0),"@@@",M762))</f>
        <v>null</v>
      </c>
      <c r="AC762" s="4" t="str">
        <f>IF(N762="",IF(ISNUMBER(SEARCH("NOT NULL",UPPER(N$3))),"''","null"),SUBSTITUTE(VLOOKUP(N$2,convert!$A$1:$B$4,2,0),"@@@",N762))</f>
        <v>null</v>
      </c>
      <c r="AD762" s="4" t="str">
        <f>IF(O762="",IF(ISNUMBER(SEARCH("NOT NULL",UPPER(O$3))),"''","null"),SUBSTITUTE(VLOOKUP(O$2,convert!$A$1:$B$4,2,0),"@@@",O762))</f>
        <v>TRUE</v>
      </c>
      <c r="AE762" s="4" t="str">
        <f t="shared" si="11"/>
        <v>    ('0621N01', 'クリムガン', 77, 120, 90, 60, 90, 48, '', 'dragon', null, 'g5', null, null, TRUE),</v>
      </c>
    </row>
    <row r="763" spans="1:31">
      <c r="A763" s="4" t="s">
        <v>1531</v>
      </c>
      <c r="B763" s="4" t="s">
        <v>1532</v>
      </c>
      <c r="C763" s="5">
        <v>59</v>
      </c>
      <c r="D763" s="5">
        <v>74</v>
      </c>
      <c r="E763" s="5">
        <v>50</v>
      </c>
      <c r="F763" s="5">
        <v>35</v>
      </c>
      <c r="G763" s="5">
        <v>50</v>
      </c>
      <c r="H763" s="5">
        <v>35</v>
      </c>
      <c r="I763" s="5"/>
      <c r="J763" s="4" t="s">
        <v>116</v>
      </c>
      <c r="K763" s="4" t="s">
        <v>281</v>
      </c>
      <c r="L763" s="4" t="s">
        <v>1243</v>
      </c>
      <c r="M763" s="5"/>
      <c r="N763" s="5"/>
      <c r="O763" s="5" t="b">
        <v>1</v>
      </c>
      <c r="P763" s="4" t="str">
        <f>IF(A763="",IF(ISNUMBER(SEARCH("NOT NULL",UPPER(A$3))),"''","null"),SUBSTITUTE(VLOOKUP(A$2,convert!$A$1:$B$4,2,0),"@@@",A763))</f>
        <v>'0622N01'</v>
      </c>
      <c r="Q763" s="4" t="str">
        <f>IF(B763="",IF(ISNUMBER(SEARCH("NOT NULL",UPPER(B$3))),"''","null"),SUBSTITUTE(VLOOKUP(B$2,convert!$A$1:$B$4,2,0),"@@@",B763))</f>
        <v>'ゴビット'</v>
      </c>
      <c r="R763" s="4" t="str">
        <f>IF(C763="",IF(ISNUMBER(SEARCH("NOT NULL",UPPER(C$3))),"''","null"),SUBSTITUTE(VLOOKUP(C$2,convert!$A$1:$B$4,2,0),"@@@",C763))</f>
        <v>59</v>
      </c>
      <c r="S763" s="4" t="str">
        <f>IF(D763="",IF(ISNUMBER(SEARCH("NOT NULL",UPPER(D$3))),"''","null"),SUBSTITUTE(VLOOKUP(D$2,convert!$A$1:$B$4,2,0),"@@@",D763))</f>
        <v>74</v>
      </c>
      <c r="T763" s="4" t="str">
        <f>IF(E763="",IF(ISNUMBER(SEARCH("NOT NULL",UPPER(E$3))),"''","null"),SUBSTITUTE(VLOOKUP(E$2,convert!$A$1:$B$4,2,0),"@@@",E763))</f>
        <v>50</v>
      </c>
      <c r="U763" s="4" t="str">
        <f>IF(F763="",IF(ISNUMBER(SEARCH("NOT NULL",UPPER(F$3))),"''","null"),SUBSTITUTE(VLOOKUP(F$2,convert!$A$1:$B$4,2,0),"@@@",F763))</f>
        <v>35</v>
      </c>
      <c r="V763" s="4" t="str">
        <f>IF(G763="",IF(ISNUMBER(SEARCH("NOT NULL",UPPER(G$3))),"''","null"),SUBSTITUTE(VLOOKUP(G$2,convert!$A$1:$B$4,2,0),"@@@",G763))</f>
        <v>50</v>
      </c>
      <c r="W763" s="4" t="str">
        <f>IF(H763="",IF(ISNUMBER(SEARCH("NOT NULL",UPPER(H$3))),"''","null"),SUBSTITUTE(VLOOKUP(H$2,convert!$A$1:$B$4,2,0),"@@@",H763))</f>
        <v>35</v>
      </c>
      <c r="X763" s="4" t="str">
        <f>IF(I763="",IF(ISNUMBER(SEARCH("NOT NULL",UPPER(I$3))),"''","null"),SUBSTITUTE(VLOOKUP(I$2,convert!$A$1:$B$4,2,0),"@@@",I763))</f>
        <v>''</v>
      </c>
      <c r="Y763" s="4" t="str">
        <f>IF(J763="",IF(ISNUMBER(SEARCH("NOT NULL",UPPER(J$3))),"''","null"),SUBSTITUTE(VLOOKUP(J$2,convert!$A$1:$B$4,2,0),"@@@",J763))</f>
        <v>'ground'</v>
      </c>
      <c r="Z763" s="4" t="str">
        <f>IF(K763="",IF(ISNUMBER(SEARCH("NOT NULL",UPPER(K$3))),"''","null"),SUBSTITUTE(VLOOKUP(K$2,convert!$A$1:$B$4,2,0),"@@@",K763))</f>
        <v>'ghost'</v>
      </c>
      <c r="AA763" s="4" t="str">
        <f>IF(L763="",IF(ISNUMBER(SEARCH("NOT NULL",UPPER(L$3))),"''","null"),SUBSTITUTE(VLOOKUP(L$2,convert!$A$1:$B$4,2,0),"@@@",L763))</f>
        <v>'g5'</v>
      </c>
      <c r="AB763" s="4" t="str">
        <f>IF(M763="",IF(ISNUMBER(SEARCH("NOT NULL",UPPER(M$3))),"''","null"),SUBSTITUTE(VLOOKUP(M$2,convert!$A$1:$B$4,2,0),"@@@",M763))</f>
        <v>null</v>
      </c>
      <c r="AC763" s="4" t="str">
        <f>IF(N763="",IF(ISNUMBER(SEARCH("NOT NULL",UPPER(N$3))),"''","null"),SUBSTITUTE(VLOOKUP(N$2,convert!$A$1:$B$4,2,0),"@@@",N763))</f>
        <v>null</v>
      </c>
      <c r="AD763" s="4" t="str">
        <f>IF(O763="",IF(ISNUMBER(SEARCH("NOT NULL",UPPER(O$3))),"''","null"),SUBSTITUTE(VLOOKUP(O$2,convert!$A$1:$B$4,2,0),"@@@",O763))</f>
        <v>TRUE</v>
      </c>
      <c r="AE763" s="4" t="str">
        <f t="shared" si="11"/>
        <v>    ('0622N01', 'ゴビット', 59, 74, 50, 35, 50, 35, '', 'ground', 'ghost', 'g5', null, null, TRUE),</v>
      </c>
    </row>
    <row r="764" spans="1:31">
      <c r="A764" s="4" t="s">
        <v>1533</v>
      </c>
      <c r="B764" s="4" t="s">
        <v>1534</v>
      </c>
      <c r="C764" s="5">
        <v>89</v>
      </c>
      <c r="D764" s="5">
        <v>124</v>
      </c>
      <c r="E764" s="5">
        <v>80</v>
      </c>
      <c r="F764" s="5">
        <v>55</v>
      </c>
      <c r="G764" s="5">
        <v>80</v>
      </c>
      <c r="H764" s="5">
        <v>55</v>
      </c>
      <c r="I764" s="5"/>
      <c r="J764" s="4" t="s">
        <v>116</v>
      </c>
      <c r="K764" s="4" t="s">
        <v>281</v>
      </c>
      <c r="L764" s="4" t="s">
        <v>1243</v>
      </c>
      <c r="M764" s="5"/>
      <c r="N764" s="5"/>
      <c r="O764" s="5" t="b">
        <v>1</v>
      </c>
      <c r="P764" s="4" t="str">
        <f>IF(A764="",IF(ISNUMBER(SEARCH("NOT NULL",UPPER(A$3))),"''","null"),SUBSTITUTE(VLOOKUP(A$2,convert!$A$1:$B$4,2,0),"@@@",A764))</f>
        <v>'0623N01'</v>
      </c>
      <c r="Q764" s="4" t="str">
        <f>IF(B764="",IF(ISNUMBER(SEARCH("NOT NULL",UPPER(B$3))),"''","null"),SUBSTITUTE(VLOOKUP(B$2,convert!$A$1:$B$4,2,0),"@@@",B764))</f>
        <v>'ゴルーグ'</v>
      </c>
      <c r="R764" s="4" t="str">
        <f>IF(C764="",IF(ISNUMBER(SEARCH("NOT NULL",UPPER(C$3))),"''","null"),SUBSTITUTE(VLOOKUP(C$2,convert!$A$1:$B$4,2,0),"@@@",C764))</f>
        <v>89</v>
      </c>
      <c r="S764" s="4" t="str">
        <f>IF(D764="",IF(ISNUMBER(SEARCH("NOT NULL",UPPER(D$3))),"''","null"),SUBSTITUTE(VLOOKUP(D$2,convert!$A$1:$B$4,2,0),"@@@",D764))</f>
        <v>124</v>
      </c>
      <c r="T764" s="4" t="str">
        <f>IF(E764="",IF(ISNUMBER(SEARCH("NOT NULL",UPPER(E$3))),"''","null"),SUBSTITUTE(VLOOKUP(E$2,convert!$A$1:$B$4,2,0),"@@@",E764))</f>
        <v>80</v>
      </c>
      <c r="U764" s="4" t="str">
        <f>IF(F764="",IF(ISNUMBER(SEARCH("NOT NULL",UPPER(F$3))),"''","null"),SUBSTITUTE(VLOOKUP(F$2,convert!$A$1:$B$4,2,0),"@@@",F764))</f>
        <v>55</v>
      </c>
      <c r="V764" s="4" t="str">
        <f>IF(G764="",IF(ISNUMBER(SEARCH("NOT NULL",UPPER(G$3))),"''","null"),SUBSTITUTE(VLOOKUP(G$2,convert!$A$1:$B$4,2,0),"@@@",G764))</f>
        <v>80</v>
      </c>
      <c r="W764" s="4" t="str">
        <f>IF(H764="",IF(ISNUMBER(SEARCH("NOT NULL",UPPER(H$3))),"''","null"),SUBSTITUTE(VLOOKUP(H$2,convert!$A$1:$B$4,2,0),"@@@",H764))</f>
        <v>55</v>
      </c>
      <c r="X764" s="4" t="str">
        <f>IF(I764="",IF(ISNUMBER(SEARCH("NOT NULL",UPPER(I$3))),"''","null"),SUBSTITUTE(VLOOKUP(I$2,convert!$A$1:$B$4,2,0),"@@@",I764))</f>
        <v>''</v>
      </c>
      <c r="Y764" s="4" t="str">
        <f>IF(J764="",IF(ISNUMBER(SEARCH("NOT NULL",UPPER(J$3))),"''","null"),SUBSTITUTE(VLOOKUP(J$2,convert!$A$1:$B$4,2,0),"@@@",J764))</f>
        <v>'ground'</v>
      </c>
      <c r="Z764" s="4" t="str">
        <f>IF(K764="",IF(ISNUMBER(SEARCH("NOT NULL",UPPER(K$3))),"''","null"),SUBSTITUTE(VLOOKUP(K$2,convert!$A$1:$B$4,2,0),"@@@",K764))</f>
        <v>'ghost'</v>
      </c>
      <c r="AA764" s="4" t="str">
        <f>IF(L764="",IF(ISNUMBER(SEARCH("NOT NULL",UPPER(L$3))),"''","null"),SUBSTITUTE(VLOOKUP(L$2,convert!$A$1:$B$4,2,0),"@@@",L764))</f>
        <v>'g5'</v>
      </c>
      <c r="AB764" s="4" t="str">
        <f>IF(M764="",IF(ISNUMBER(SEARCH("NOT NULL",UPPER(M$3))),"''","null"),SUBSTITUTE(VLOOKUP(M$2,convert!$A$1:$B$4,2,0),"@@@",M764))</f>
        <v>null</v>
      </c>
      <c r="AC764" s="4" t="str">
        <f>IF(N764="",IF(ISNUMBER(SEARCH("NOT NULL",UPPER(N$3))),"''","null"),SUBSTITUTE(VLOOKUP(N$2,convert!$A$1:$B$4,2,0),"@@@",N764))</f>
        <v>null</v>
      </c>
      <c r="AD764" s="4" t="str">
        <f>IF(O764="",IF(ISNUMBER(SEARCH("NOT NULL",UPPER(O$3))),"''","null"),SUBSTITUTE(VLOOKUP(O$2,convert!$A$1:$B$4,2,0),"@@@",O764))</f>
        <v>TRUE</v>
      </c>
      <c r="AE764" s="4" t="str">
        <f t="shared" si="11"/>
        <v>    ('0623N01', 'ゴルーグ', 89, 124, 80, 55, 80, 55, '', 'ground', 'ghost', 'g5', null, null, TRUE),</v>
      </c>
    </row>
    <row r="765" spans="1:31">
      <c r="A765" s="4" t="s">
        <v>1535</v>
      </c>
      <c r="B765" s="4" t="s">
        <v>1536</v>
      </c>
      <c r="C765" s="5">
        <v>45</v>
      </c>
      <c r="D765" s="5">
        <v>85</v>
      </c>
      <c r="E765" s="5">
        <v>70</v>
      </c>
      <c r="F765" s="5">
        <v>40</v>
      </c>
      <c r="G765" s="5">
        <v>40</v>
      </c>
      <c r="H765" s="5">
        <v>60</v>
      </c>
      <c r="I765" s="5"/>
      <c r="J765" s="4" t="s">
        <v>91</v>
      </c>
      <c r="K765" s="4" t="s">
        <v>119</v>
      </c>
      <c r="L765" s="4" t="s">
        <v>1243</v>
      </c>
      <c r="M765" s="5"/>
      <c r="N765" s="5"/>
      <c r="O765" s="5" t="b">
        <v>1</v>
      </c>
      <c r="P765" s="4" t="str">
        <f>IF(A765="",IF(ISNUMBER(SEARCH("NOT NULL",UPPER(A$3))),"''","null"),SUBSTITUTE(VLOOKUP(A$2,convert!$A$1:$B$4,2,0),"@@@",A765))</f>
        <v>'0624N01'</v>
      </c>
      <c r="Q765" s="4" t="str">
        <f>IF(B765="",IF(ISNUMBER(SEARCH("NOT NULL",UPPER(B$3))),"''","null"),SUBSTITUTE(VLOOKUP(B$2,convert!$A$1:$B$4,2,0),"@@@",B765))</f>
        <v>'コマタナ'</v>
      </c>
      <c r="R765" s="4" t="str">
        <f>IF(C765="",IF(ISNUMBER(SEARCH("NOT NULL",UPPER(C$3))),"''","null"),SUBSTITUTE(VLOOKUP(C$2,convert!$A$1:$B$4,2,0),"@@@",C765))</f>
        <v>45</v>
      </c>
      <c r="S765" s="4" t="str">
        <f>IF(D765="",IF(ISNUMBER(SEARCH("NOT NULL",UPPER(D$3))),"''","null"),SUBSTITUTE(VLOOKUP(D$2,convert!$A$1:$B$4,2,0),"@@@",D765))</f>
        <v>85</v>
      </c>
      <c r="T765" s="4" t="str">
        <f>IF(E765="",IF(ISNUMBER(SEARCH("NOT NULL",UPPER(E$3))),"''","null"),SUBSTITUTE(VLOOKUP(E$2,convert!$A$1:$B$4,2,0),"@@@",E765))</f>
        <v>70</v>
      </c>
      <c r="U765" s="4" t="str">
        <f>IF(F765="",IF(ISNUMBER(SEARCH("NOT NULL",UPPER(F$3))),"''","null"),SUBSTITUTE(VLOOKUP(F$2,convert!$A$1:$B$4,2,0),"@@@",F765))</f>
        <v>40</v>
      </c>
      <c r="V765" s="4" t="str">
        <f>IF(G765="",IF(ISNUMBER(SEARCH("NOT NULL",UPPER(G$3))),"''","null"),SUBSTITUTE(VLOOKUP(G$2,convert!$A$1:$B$4,2,0),"@@@",G765))</f>
        <v>40</v>
      </c>
      <c r="W765" s="4" t="str">
        <f>IF(H765="",IF(ISNUMBER(SEARCH("NOT NULL",UPPER(H$3))),"''","null"),SUBSTITUTE(VLOOKUP(H$2,convert!$A$1:$B$4,2,0),"@@@",H765))</f>
        <v>60</v>
      </c>
      <c r="X765" s="4" t="str">
        <f>IF(I765="",IF(ISNUMBER(SEARCH("NOT NULL",UPPER(I$3))),"''","null"),SUBSTITUTE(VLOOKUP(I$2,convert!$A$1:$B$4,2,0),"@@@",I765))</f>
        <v>''</v>
      </c>
      <c r="Y765" s="4" t="str">
        <f>IF(J765="",IF(ISNUMBER(SEARCH("NOT NULL",UPPER(J$3))),"''","null"),SUBSTITUTE(VLOOKUP(J$2,convert!$A$1:$B$4,2,0),"@@@",J765))</f>
        <v>'dark'</v>
      </c>
      <c r="Z765" s="4" t="str">
        <f>IF(K765="",IF(ISNUMBER(SEARCH("NOT NULL",UPPER(K$3))),"''","null"),SUBSTITUTE(VLOOKUP(K$2,convert!$A$1:$B$4,2,0),"@@@",K765))</f>
        <v>'steel'</v>
      </c>
      <c r="AA765" s="4" t="str">
        <f>IF(L765="",IF(ISNUMBER(SEARCH("NOT NULL",UPPER(L$3))),"''","null"),SUBSTITUTE(VLOOKUP(L$2,convert!$A$1:$B$4,2,0),"@@@",L765))</f>
        <v>'g5'</v>
      </c>
      <c r="AB765" s="4" t="str">
        <f>IF(M765="",IF(ISNUMBER(SEARCH("NOT NULL",UPPER(M$3))),"''","null"),SUBSTITUTE(VLOOKUP(M$2,convert!$A$1:$B$4,2,0),"@@@",M765))</f>
        <v>null</v>
      </c>
      <c r="AC765" s="4" t="str">
        <f>IF(N765="",IF(ISNUMBER(SEARCH("NOT NULL",UPPER(N$3))),"''","null"),SUBSTITUTE(VLOOKUP(N$2,convert!$A$1:$B$4,2,0),"@@@",N765))</f>
        <v>null</v>
      </c>
      <c r="AD765" s="4" t="str">
        <f>IF(O765="",IF(ISNUMBER(SEARCH("NOT NULL",UPPER(O$3))),"''","null"),SUBSTITUTE(VLOOKUP(O$2,convert!$A$1:$B$4,2,0),"@@@",O765))</f>
        <v>TRUE</v>
      </c>
      <c r="AE765" s="4" t="str">
        <f t="shared" si="11"/>
        <v>    ('0624N01', 'コマタナ', 45, 85, 70, 40, 40, 60, '', 'dark', 'steel', 'g5', null, null, TRUE),</v>
      </c>
    </row>
    <row r="766" spans="1:31">
      <c r="A766" s="4" t="s">
        <v>1537</v>
      </c>
      <c r="B766" s="4" t="s">
        <v>1538</v>
      </c>
      <c r="C766" s="5">
        <v>65</v>
      </c>
      <c r="D766" s="5">
        <v>125</v>
      </c>
      <c r="E766" s="5">
        <v>100</v>
      </c>
      <c r="F766" s="5">
        <v>60</v>
      </c>
      <c r="G766" s="5">
        <v>70</v>
      </c>
      <c r="H766" s="5">
        <v>70</v>
      </c>
      <c r="I766" s="5"/>
      <c r="J766" s="4" t="s">
        <v>91</v>
      </c>
      <c r="K766" s="4" t="s">
        <v>119</v>
      </c>
      <c r="L766" s="4" t="s">
        <v>1243</v>
      </c>
      <c r="M766" s="5"/>
      <c r="N766" s="5"/>
      <c r="O766" s="5" t="b">
        <v>1</v>
      </c>
      <c r="P766" s="4" t="str">
        <f>IF(A766="",IF(ISNUMBER(SEARCH("NOT NULL",UPPER(A$3))),"''","null"),SUBSTITUTE(VLOOKUP(A$2,convert!$A$1:$B$4,2,0),"@@@",A766))</f>
        <v>'0625N01'</v>
      </c>
      <c r="Q766" s="4" t="str">
        <f>IF(B766="",IF(ISNUMBER(SEARCH("NOT NULL",UPPER(B$3))),"''","null"),SUBSTITUTE(VLOOKUP(B$2,convert!$A$1:$B$4,2,0),"@@@",B766))</f>
        <v>'キリキザン'</v>
      </c>
      <c r="R766" s="4" t="str">
        <f>IF(C766="",IF(ISNUMBER(SEARCH("NOT NULL",UPPER(C$3))),"''","null"),SUBSTITUTE(VLOOKUP(C$2,convert!$A$1:$B$4,2,0),"@@@",C766))</f>
        <v>65</v>
      </c>
      <c r="S766" s="4" t="str">
        <f>IF(D766="",IF(ISNUMBER(SEARCH("NOT NULL",UPPER(D$3))),"''","null"),SUBSTITUTE(VLOOKUP(D$2,convert!$A$1:$B$4,2,0),"@@@",D766))</f>
        <v>125</v>
      </c>
      <c r="T766" s="4" t="str">
        <f>IF(E766="",IF(ISNUMBER(SEARCH("NOT NULL",UPPER(E$3))),"''","null"),SUBSTITUTE(VLOOKUP(E$2,convert!$A$1:$B$4,2,0),"@@@",E766))</f>
        <v>100</v>
      </c>
      <c r="U766" s="4" t="str">
        <f>IF(F766="",IF(ISNUMBER(SEARCH("NOT NULL",UPPER(F$3))),"''","null"),SUBSTITUTE(VLOOKUP(F$2,convert!$A$1:$B$4,2,0),"@@@",F766))</f>
        <v>60</v>
      </c>
      <c r="V766" s="4" t="str">
        <f>IF(G766="",IF(ISNUMBER(SEARCH("NOT NULL",UPPER(G$3))),"''","null"),SUBSTITUTE(VLOOKUP(G$2,convert!$A$1:$B$4,2,0),"@@@",G766))</f>
        <v>70</v>
      </c>
      <c r="W766" s="4" t="str">
        <f>IF(H766="",IF(ISNUMBER(SEARCH("NOT NULL",UPPER(H$3))),"''","null"),SUBSTITUTE(VLOOKUP(H$2,convert!$A$1:$B$4,2,0),"@@@",H766))</f>
        <v>70</v>
      </c>
      <c r="X766" s="4" t="str">
        <f>IF(I766="",IF(ISNUMBER(SEARCH("NOT NULL",UPPER(I$3))),"''","null"),SUBSTITUTE(VLOOKUP(I$2,convert!$A$1:$B$4,2,0),"@@@",I766))</f>
        <v>''</v>
      </c>
      <c r="Y766" s="4" t="str">
        <f>IF(J766="",IF(ISNUMBER(SEARCH("NOT NULL",UPPER(J$3))),"''","null"),SUBSTITUTE(VLOOKUP(J$2,convert!$A$1:$B$4,2,0),"@@@",J766))</f>
        <v>'dark'</v>
      </c>
      <c r="Z766" s="4" t="str">
        <f>IF(K766="",IF(ISNUMBER(SEARCH("NOT NULL",UPPER(K$3))),"''","null"),SUBSTITUTE(VLOOKUP(K$2,convert!$A$1:$B$4,2,0),"@@@",K766))</f>
        <v>'steel'</v>
      </c>
      <c r="AA766" s="4" t="str">
        <f>IF(L766="",IF(ISNUMBER(SEARCH("NOT NULL",UPPER(L$3))),"''","null"),SUBSTITUTE(VLOOKUP(L$2,convert!$A$1:$B$4,2,0),"@@@",L766))</f>
        <v>'g5'</v>
      </c>
      <c r="AB766" s="4" t="str">
        <f>IF(M766="",IF(ISNUMBER(SEARCH("NOT NULL",UPPER(M$3))),"''","null"),SUBSTITUTE(VLOOKUP(M$2,convert!$A$1:$B$4,2,0),"@@@",M766))</f>
        <v>null</v>
      </c>
      <c r="AC766" s="4" t="str">
        <f>IF(N766="",IF(ISNUMBER(SEARCH("NOT NULL",UPPER(N$3))),"''","null"),SUBSTITUTE(VLOOKUP(N$2,convert!$A$1:$B$4,2,0),"@@@",N766))</f>
        <v>null</v>
      </c>
      <c r="AD766" s="4" t="str">
        <f>IF(O766="",IF(ISNUMBER(SEARCH("NOT NULL",UPPER(O$3))),"''","null"),SUBSTITUTE(VLOOKUP(O$2,convert!$A$1:$B$4,2,0),"@@@",O766))</f>
        <v>TRUE</v>
      </c>
      <c r="AE766" s="4" t="str">
        <f t="shared" si="11"/>
        <v>    ('0625N01', 'キリキザン', 65, 125, 100, 60, 70, 70, '', 'dark', 'steel', 'g5', null, null, TRUE),</v>
      </c>
    </row>
    <row r="767" spans="1:31">
      <c r="A767" s="4" t="s">
        <v>1539</v>
      </c>
      <c r="B767" s="4" t="s">
        <v>1540</v>
      </c>
      <c r="C767" s="5">
        <v>95</v>
      </c>
      <c r="D767" s="5">
        <v>110</v>
      </c>
      <c r="E767" s="5">
        <v>95</v>
      </c>
      <c r="F767" s="5">
        <v>40</v>
      </c>
      <c r="G767" s="5">
        <v>95</v>
      </c>
      <c r="H767" s="5">
        <v>55</v>
      </c>
      <c r="I767" s="5"/>
      <c r="J767" s="4" t="s">
        <v>80</v>
      </c>
      <c r="K767" s="5"/>
      <c r="L767" s="4" t="s">
        <v>1243</v>
      </c>
      <c r="M767" s="5"/>
      <c r="N767" s="5"/>
      <c r="O767" s="5" t="b">
        <v>1</v>
      </c>
      <c r="P767" s="4" t="str">
        <f>IF(A767="",IF(ISNUMBER(SEARCH("NOT NULL",UPPER(A$3))),"''","null"),SUBSTITUTE(VLOOKUP(A$2,convert!$A$1:$B$4,2,0),"@@@",A767))</f>
        <v>'0626N01'</v>
      </c>
      <c r="Q767" s="4" t="str">
        <f>IF(B767="",IF(ISNUMBER(SEARCH("NOT NULL",UPPER(B$3))),"''","null"),SUBSTITUTE(VLOOKUP(B$2,convert!$A$1:$B$4,2,0),"@@@",B767))</f>
        <v>'バッフロン'</v>
      </c>
      <c r="R767" s="4" t="str">
        <f>IF(C767="",IF(ISNUMBER(SEARCH("NOT NULL",UPPER(C$3))),"''","null"),SUBSTITUTE(VLOOKUP(C$2,convert!$A$1:$B$4,2,0),"@@@",C767))</f>
        <v>95</v>
      </c>
      <c r="S767" s="4" t="str">
        <f>IF(D767="",IF(ISNUMBER(SEARCH("NOT NULL",UPPER(D$3))),"''","null"),SUBSTITUTE(VLOOKUP(D$2,convert!$A$1:$B$4,2,0),"@@@",D767))</f>
        <v>110</v>
      </c>
      <c r="T767" s="4" t="str">
        <f>IF(E767="",IF(ISNUMBER(SEARCH("NOT NULL",UPPER(E$3))),"''","null"),SUBSTITUTE(VLOOKUP(E$2,convert!$A$1:$B$4,2,0),"@@@",E767))</f>
        <v>95</v>
      </c>
      <c r="U767" s="4" t="str">
        <f>IF(F767="",IF(ISNUMBER(SEARCH("NOT NULL",UPPER(F$3))),"''","null"),SUBSTITUTE(VLOOKUP(F$2,convert!$A$1:$B$4,2,0),"@@@",F767))</f>
        <v>40</v>
      </c>
      <c r="V767" s="4" t="str">
        <f>IF(G767="",IF(ISNUMBER(SEARCH("NOT NULL",UPPER(G$3))),"''","null"),SUBSTITUTE(VLOOKUP(G$2,convert!$A$1:$B$4,2,0),"@@@",G767))</f>
        <v>95</v>
      </c>
      <c r="W767" s="4" t="str">
        <f>IF(H767="",IF(ISNUMBER(SEARCH("NOT NULL",UPPER(H$3))),"''","null"),SUBSTITUTE(VLOOKUP(H$2,convert!$A$1:$B$4,2,0),"@@@",H767))</f>
        <v>55</v>
      </c>
      <c r="X767" s="4" t="str">
        <f>IF(I767="",IF(ISNUMBER(SEARCH("NOT NULL",UPPER(I$3))),"''","null"),SUBSTITUTE(VLOOKUP(I$2,convert!$A$1:$B$4,2,0),"@@@",I767))</f>
        <v>''</v>
      </c>
      <c r="Y767" s="4" t="str">
        <f>IF(J767="",IF(ISNUMBER(SEARCH("NOT NULL",UPPER(J$3))),"''","null"),SUBSTITUTE(VLOOKUP(J$2,convert!$A$1:$B$4,2,0),"@@@",J767))</f>
        <v>'normal'</v>
      </c>
      <c r="Z767" s="4" t="str">
        <f>IF(K767="",IF(ISNUMBER(SEARCH("NOT NULL",UPPER(K$3))),"''","null"),SUBSTITUTE(VLOOKUP(K$2,convert!$A$1:$B$4,2,0),"@@@",K767))</f>
        <v>null</v>
      </c>
      <c r="AA767" s="4" t="str">
        <f>IF(L767="",IF(ISNUMBER(SEARCH("NOT NULL",UPPER(L$3))),"''","null"),SUBSTITUTE(VLOOKUP(L$2,convert!$A$1:$B$4,2,0),"@@@",L767))</f>
        <v>'g5'</v>
      </c>
      <c r="AB767" s="4" t="str">
        <f>IF(M767="",IF(ISNUMBER(SEARCH("NOT NULL",UPPER(M$3))),"''","null"),SUBSTITUTE(VLOOKUP(M$2,convert!$A$1:$B$4,2,0),"@@@",M767))</f>
        <v>null</v>
      </c>
      <c r="AC767" s="4" t="str">
        <f>IF(N767="",IF(ISNUMBER(SEARCH("NOT NULL",UPPER(N$3))),"''","null"),SUBSTITUTE(VLOOKUP(N$2,convert!$A$1:$B$4,2,0),"@@@",N767))</f>
        <v>null</v>
      </c>
      <c r="AD767" s="4" t="str">
        <f>IF(O767="",IF(ISNUMBER(SEARCH("NOT NULL",UPPER(O$3))),"''","null"),SUBSTITUTE(VLOOKUP(O$2,convert!$A$1:$B$4,2,0),"@@@",O767))</f>
        <v>TRUE</v>
      </c>
      <c r="AE767" s="4" t="str">
        <f t="shared" si="11"/>
        <v>    ('0626N01', 'バッフロン', 95, 110, 95, 40, 95, 55, '', 'normal', null, 'g5', null, null, TRUE),</v>
      </c>
    </row>
    <row r="768" spans="1:31">
      <c r="A768" s="4" t="s">
        <v>1541</v>
      </c>
      <c r="B768" s="4" t="s">
        <v>1542</v>
      </c>
      <c r="C768" s="5">
        <v>70</v>
      </c>
      <c r="D768" s="5">
        <v>83</v>
      </c>
      <c r="E768" s="5">
        <v>50</v>
      </c>
      <c r="F768" s="5">
        <v>37</v>
      </c>
      <c r="G768" s="5">
        <v>50</v>
      </c>
      <c r="H768" s="5">
        <v>60</v>
      </c>
      <c r="I768" s="5"/>
      <c r="J768" s="4" t="s">
        <v>80</v>
      </c>
      <c r="K768" s="4" t="s">
        <v>47</v>
      </c>
      <c r="L768" s="4" t="s">
        <v>1243</v>
      </c>
      <c r="M768" s="5"/>
      <c r="N768" s="5"/>
      <c r="O768" s="5" t="b">
        <v>1</v>
      </c>
      <c r="P768" s="4" t="str">
        <f>IF(A768="",IF(ISNUMBER(SEARCH("NOT NULL",UPPER(A$3))),"''","null"),SUBSTITUTE(VLOOKUP(A$2,convert!$A$1:$B$4,2,0),"@@@",A768))</f>
        <v>'0627N01'</v>
      </c>
      <c r="Q768" s="4" t="str">
        <f>IF(B768="",IF(ISNUMBER(SEARCH("NOT NULL",UPPER(B$3))),"''","null"),SUBSTITUTE(VLOOKUP(B$2,convert!$A$1:$B$4,2,0),"@@@",B768))</f>
        <v>'ワシボン'</v>
      </c>
      <c r="R768" s="4" t="str">
        <f>IF(C768="",IF(ISNUMBER(SEARCH("NOT NULL",UPPER(C$3))),"''","null"),SUBSTITUTE(VLOOKUP(C$2,convert!$A$1:$B$4,2,0),"@@@",C768))</f>
        <v>70</v>
      </c>
      <c r="S768" s="4" t="str">
        <f>IF(D768="",IF(ISNUMBER(SEARCH("NOT NULL",UPPER(D$3))),"''","null"),SUBSTITUTE(VLOOKUP(D$2,convert!$A$1:$B$4,2,0),"@@@",D768))</f>
        <v>83</v>
      </c>
      <c r="T768" s="4" t="str">
        <f>IF(E768="",IF(ISNUMBER(SEARCH("NOT NULL",UPPER(E$3))),"''","null"),SUBSTITUTE(VLOOKUP(E$2,convert!$A$1:$B$4,2,0),"@@@",E768))</f>
        <v>50</v>
      </c>
      <c r="U768" s="4" t="str">
        <f>IF(F768="",IF(ISNUMBER(SEARCH("NOT NULL",UPPER(F$3))),"''","null"),SUBSTITUTE(VLOOKUP(F$2,convert!$A$1:$B$4,2,0),"@@@",F768))</f>
        <v>37</v>
      </c>
      <c r="V768" s="4" t="str">
        <f>IF(G768="",IF(ISNUMBER(SEARCH("NOT NULL",UPPER(G$3))),"''","null"),SUBSTITUTE(VLOOKUP(G$2,convert!$A$1:$B$4,2,0),"@@@",G768))</f>
        <v>50</v>
      </c>
      <c r="W768" s="4" t="str">
        <f>IF(H768="",IF(ISNUMBER(SEARCH("NOT NULL",UPPER(H$3))),"''","null"),SUBSTITUTE(VLOOKUP(H$2,convert!$A$1:$B$4,2,0),"@@@",H768))</f>
        <v>60</v>
      </c>
      <c r="X768" s="4" t="str">
        <f>IF(I768="",IF(ISNUMBER(SEARCH("NOT NULL",UPPER(I$3))),"''","null"),SUBSTITUTE(VLOOKUP(I$2,convert!$A$1:$B$4,2,0),"@@@",I768))</f>
        <v>''</v>
      </c>
      <c r="Y768" s="4" t="str">
        <f>IF(J768="",IF(ISNUMBER(SEARCH("NOT NULL",UPPER(J$3))),"''","null"),SUBSTITUTE(VLOOKUP(J$2,convert!$A$1:$B$4,2,0),"@@@",J768))</f>
        <v>'normal'</v>
      </c>
      <c r="Z768" s="4" t="str">
        <f>IF(K768="",IF(ISNUMBER(SEARCH("NOT NULL",UPPER(K$3))),"''","null"),SUBSTITUTE(VLOOKUP(K$2,convert!$A$1:$B$4,2,0),"@@@",K768))</f>
        <v>'flying'</v>
      </c>
      <c r="AA768" s="4" t="str">
        <f>IF(L768="",IF(ISNUMBER(SEARCH("NOT NULL",UPPER(L$3))),"''","null"),SUBSTITUTE(VLOOKUP(L$2,convert!$A$1:$B$4,2,0),"@@@",L768))</f>
        <v>'g5'</v>
      </c>
      <c r="AB768" s="4" t="str">
        <f>IF(M768="",IF(ISNUMBER(SEARCH("NOT NULL",UPPER(M$3))),"''","null"),SUBSTITUTE(VLOOKUP(M$2,convert!$A$1:$B$4,2,0),"@@@",M768))</f>
        <v>null</v>
      </c>
      <c r="AC768" s="4" t="str">
        <f>IF(N768="",IF(ISNUMBER(SEARCH("NOT NULL",UPPER(N$3))),"''","null"),SUBSTITUTE(VLOOKUP(N$2,convert!$A$1:$B$4,2,0),"@@@",N768))</f>
        <v>null</v>
      </c>
      <c r="AD768" s="4" t="str">
        <f>IF(O768="",IF(ISNUMBER(SEARCH("NOT NULL",UPPER(O$3))),"''","null"),SUBSTITUTE(VLOOKUP(O$2,convert!$A$1:$B$4,2,0),"@@@",O768))</f>
        <v>TRUE</v>
      </c>
      <c r="AE768" s="4" t="str">
        <f t="shared" si="11"/>
        <v>    ('0627N01', 'ワシボン', 70, 83, 50, 37, 50, 60, '', 'normal', 'flying', 'g5', null, null, TRUE),</v>
      </c>
    </row>
    <row r="769" spans="1:31">
      <c r="A769" s="4" t="s">
        <v>1543</v>
      </c>
      <c r="B769" s="4" t="s">
        <v>1544</v>
      </c>
      <c r="C769" s="5">
        <v>100</v>
      </c>
      <c r="D769" s="5">
        <v>123</v>
      </c>
      <c r="E769" s="5">
        <v>75</v>
      </c>
      <c r="F769" s="5">
        <v>57</v>
      </c>
      <c r="G769" s="5">
        <v>75</v>
      </c>
      <c r="H769" s="5">
        <v>80</v>
      </c>
      <c r="I769" s="5"/>
      <c r="J769" s="4" t="s">
        <v>80</v>
      </c>
      <c r="K769" s="4" t="s">
        <v>47</v>
      </c>
      <c r="L769" s="4" t="s">
        <v>1243</v>
      </c>
      <c r="M769" s="5"/>
      <c r="N769" s="5"/>
      <c r="O769" s="5" t="b">
        <v>1</v>
      </c>
      <c r="P769" s="4" t="str">
        <f>IF(A769="",IF(ISNUMBER(SEARCH("NOT NULL",UPPER(A$3))),"''","null"),SUBSTITUTE(VLOOKUP(A$2,convert!$A$1:$B$4,2,0),"@@@",A769))</f>
        <v>'0628N01'</v>
      </c>
      <c r="Q769" s="4" t="str">
        <f>IF(B769="",IF(ISNUMBER(SEARCH("NOT NULL",UPPER(B$3))),"''","null"),SUBSTITUTE(VLOOKUP(B$2,convert!$A$1:$B$4,2,0),"@@@",B769))</f>
        <v>'ウォーグル'</v>
      </c>
      <c r="R769" s="4" t="str">
        <f>IF(C769="",IF(ISNUMBER(SEARCH("NOT NULL",UPPER(C$3))),"''","null"),SUBSTITUTE(VLOOKUP(C$2,convert!$A$1:$B$4,2,0),"@@@",C769))</f>
        <v>100</v>
      </c>
      <c r="S769" s="4" t="str">
        <f>IF(D769="",IF(ISNUMBER(SEARCH("NOT NULL",UPPER(D$3))),"''","null"),SUBSTITUTE(VLOOKUP(D$2,convert!$A$1:$B$4,2,0),"@@@",D769))</f>
        <v>123</v>
      </c>
      <c r="T769" s="4" t="str">
        <f>IF(E769="",IF(ISNUMBER(SEARCH("NOT NULL",UPPER(E$3))),"''","null"),SUBSTITUTE(VLOOKUP(E$2,convert!$A$1:$B$4,2,0),"@@@",E769))</f>
        <v>75</v>
      </c>
      <c r="U769" s="4" t="str">
        <f>IF(F769="",IF(ISNUMBER(SEARCH("NOT NULL",UPPER(F$3))),"''","null"),SUBSTITUTE(VLOOKUP(F$2,convert!$A$1:$B$4,2,0),"@@@",F769))</f>
        <v>57</v>
      </c>
      <c r="V769" s="4" t="str">
        <f>IF(G769="",IF(ISNUMBER(SEARCH("NOT NULL",UPPER(G$3))),"''","null"),SUBSTITUTE(VLOOKUP(G$2,convert!$A$1:$B$4,2,0),"@@@",G769))</f>
        <v>75</v>
      </c>
      <c r="W769" s="4" t="str">
        <f>IF(H769="",IF(ISNUMBER(SEARCH("NOT NULL",UPPER(H$3))),"''","null"),SUBSTITUTE(VLOOKUP(H$2,convert!$A$1:$B$4,2,0),"@@@",H769))</f>
        <v>80</v>
      </c>
      <c r="X769" s="4" t="str">
        <f>IF(I769="",IF(ISNUMBER(SEARCH("NOT NULL",UPPER(I$3))),"''","null"),SUBSTITUTE(VLOOKUP(I$2,convert!$A$1:$B$4,2,0),"@@@",I769))</f>
        <v>''</v>
      </c>
      <c r="Y769" s="4" t="str">
        <f>IF(J769="",IF(ISNUMBER(SEARCH("NOT NULL",UPPER(J$3))),"''","null"),SUBSTITUTE(VLOOKUP(J$2,convert!$A$1:$B$4,2,0),"@@@",J769))</f>
        <v>'normal'</v>
      </c>
      <c r="Z769" s="4" t="str">
        <f>IF(K769="",IF(ISNUMBER(SEARCH("NOT NULL",UPPER(K$3))),"''","null"),SUBSTITUTE(VLOOKUP(K$2,convert!$A$1:$B$4,2,0),"@@@",K769))</f>
        <v>'flying'</v>
      </c>
      <c r="AA769" s="4" t="str">
        <f>IF(L769="",IF(ISNUMBER(SEARCH("NOT NULL",UPPER(L$3))),"''","null"),SUBSTITUTE(VLOOKUP(L$2,convert!$A$1:$B$4,2,0),"@@@",L769))</f>
        <v>'g5'</v>
      </c>
      <c r="AB769" s="4" t="str">
        <f>IF(M769="",IF(ISNUMBER(SEARCH("NOT NULL",UPPER(M$3))),"''","null"),SUBSTITUTE(VLOOKUP(M$2,convert!$A$1:$B$4,2,0),"@@@",M769))</f>
        <v>null</v>
      </c>
      <c r="AC769" s="4" t="str">
        <f>IF(N769="",IF(ISNUMBER(SEARCH("NOT NULL",UPPER(N$3))),"''","null"),SUBSTITUTE(VLOOKUP(N$2,convert!$A$1:$B$4,2,0),"@@@",N769))</f>
        <v>null</v>
      </c>
      <c r="AD769" s="4" t="str">
        <f>IF(O769="",IF(ISNUMBER(SEARCH("NOT NULL",UPPER(O$3))),"''","null"),SUBSTITUTE(VLOOKUP(O$2,convert!$A$1:$B$4,2,0),"@@@",O769))</f>
        <v>TRUE</v>
      </c>
      <c r="AE769" s="4" t="str">
        <f t="shared" si="11"/>
        <v>    ('0628N01', 'ウォーグル', 100, 123, 75, 57, 75, 80, '', 'normal', 'flying', 'g5', null, null, TRUE),</v>
      </c>
    </row>
    <row r="770" spans="1:31">
      <c r="A770" s="4" t="s">
        <v>1545</v>
      </c>
      <c r="B770" s="4" t="s">
        <v>1544</v>
      </c>
      <c r="C770" s="5">
        <v>110</v>
      </c>
      <c r="D770" s="5">
        <v>83</v>
      </c>
      <c r="E770" s="5">
        <v>70</v>
      </c>
      <c r="F770" s="5">
        <v>112</v>
      </c>
      <c r="G770" s="5">
        <v>70</v>
      </c>
      <c r="H770" s="5">
        <v>65</v>
      </c>
      <c r="I770" s="4" t="s">
        <v>195</v>
      </c>
      <c r="J770" s="4" t="s">
        <v>113</v>
      </c>
      <c r="K770" s="4" t="s">
        <v>47</v>
      </c>
      <c r="L770" s="4" t="s">
        <v>197</v>
      </c>
      <c r="M770" s="5"/>
      <c r="N770" s="5"/>
      <c r="O770" s="5" t="b">
        <v>1</v>
      </c>
      <c r="P770" s="4" t="str">
        <f>IF(A770="",IF(ISNUMBER(SEARCH("NOT NULL",UPPER(A$3))),"''","null"),SUBSTITUTE(VLOOKUP(A$2,convert!$A$1:$B$4,2,0),"@@@",A770))</f>
        <v>'0628H01'</v>
      </c>
      <c r="Q770" s="4" t="str">
        <f>IF(B770="",IF(ISNUMBER(SEARCH("NOT NULL",UPPER(B$3))),"''","null"),SUBSTITUTE(VLOOKUP(B$2,convert!$A$1:$B$4,2,0),"@@@",B770))</f>
        <v>'ウォーグル'</v>
      </c>
      <c r="R770" s="4" t="str">
        <f>IF(C770="",IF(ISNUMBER(SEARCH("NOT NULL",UPPER(C$3))),"''","null"),SUBSTITUTE(VLOOKUP(C$2,convert!$A$1:$B$4,2,0),"@@@",C770))</f>
        <v>110</v>
      </c>
      <c r="S770" s="4" t="str">
        <f>IF(D770="",IF(ISNUMBER(SEARCH("NOT NULL",UPPER(D$3))),"''","null"),SUBSTITUTE(VLOOKUP(D$2,convert!$A$1:$B$4,2,0),"@@@",D770))</f>
        <v>83</v>
      </c>
      <c r="T770" s="4" t="str">
        <f>IF(E770="",IF(ISNUMBER(SEARCH("NOT NULL",UPPER(E$3))),"''","null"),SUBSTITUTE(VLOOKUP(E$2,convert!$A$1:$B$4,2,0),"@@@",E770))</f>
        <v>70</v>
      </c>
      <c r="U770" s="4" t="str">
        <f>IF(F770="",IF(ISNUMBER(SEARCH("NOT NULL",UPPER(F$3))),"''","null"),SUBSTITUTE(VLOOKUP(F$2,convert!$A$1:$B$4,2,0),"@@@",F770))</f>
        <v>112</v>
      </c>
      <c r="V770" s="4" t="str">
        <f>IF(G770="",IF(ISNUMBER(SEARCH("NOT NULL",UPPER(G$3))),"''","null"),SUBSTITUTE(VLOOKUP(G$2,convert!$A$1:$B$4,2,0),"@@@",G770))</f>
        <v>70</v>
      </c>
      <c r="W770" s="4" t="str">
        <f>IF(H770="",IF(ISNUMBER(SEARCH("NOT NULL",UPPER(H$3))),"''","null"),SUBSTITUTE(VLOOKUP(H$2,convert!$A$1:$B$4,2,0),"@@@",H770))</f>
        <v>65</v>
      </c>
      <c r="X770" s="4" t="str">
        <f>IF(I770="",IF(ISNUMBER(SEARCH("NOT NULL",UPPER(I$3))),"''","null"),SUBSTITUTE(VLOOKUP(I$2,convert!$A$1:$B$4,2,0),"@@@",I770))</f>
        <v>'ヒスイのすがた'</v>
      </c>
      <c r="Y770" s="4" t="str">
        <f>IF(J770="",IF(ISNUMBER(SEARCH("NOT NULL",UPPER(J$3))),"''","null"),SUBSTITUTE(VLOOKUP(J$2,convert!$A$1:$B$4,2,0),"@@@",J770))</f>
        <v>'psychic'</v>
      </c>
      <c r="Z770" s="4" t="str">
        <f>IF(K770="",IF(ISNUMBER(SEARCH("NOT NULL",UPPER(K$3))),"''","null"),SUBSTITUTE(VLOOKUP(K$2,convert!$A$1:$B$4,2,0),"@@@",K770))</f>
        <v>'flying'</v>
      </c>
      <c r="AA770" s="4" t="str">
        <f>IF(L770="",IF(ISNUMBER(SEARCH("NOT NULL",UPPER(L$3))),"''","null"),SUBSTITUTE(VLOOKUP(L$2,convert!$A$1:$B$4,2,0),"@@@",L770))</f>
        <v>'g8arceus'</v>
      </c>
      <c r="AB770" s="4" t="str">
        <f>IF(M770="",IF(ISNUMBER(SEARCH("NOT NULL",UPPER(M$3))),"''","null"),SUBSTITUTE(VLOOKUP(M$2,convert!$A$1:$B$4,2,0),"@@@",M770))</f>
        <v>null</v>
      </c>
      <c r="AC770" s="4" t="str">
        <f>IF(N770="",IF(ISNUMBER(SEARCH("NOT NULL",UPPER(N$3))),"''","null"),SUBSTITUTE(VLOOKUP(N$2,convert!$A$1:$B$4,2,0),"@@@",N770))</f>
        <v>null</v>
      </c>
      <c r="AD770" s="4" t="str">
        <f>IF(O770="",IF(ISNUMBER(SEARCH("NOT NULL",UPPER(O$3))),"''","null"),SUBSTITUTE(VLOOKUP(O$2,convert!$A$1:$B$4,2,0),"@@@",O770))</f>
        <v>TRUE</v>
      </c>
      <c r="AE770" s="4" t="str">
        <f t="shared" si="11"/>
        <v>    ('0628H01', 'ウォーグル', 110, 83, 70, 112, 70, 65, 'ヒスイのすがた', 'psychic', 'flying', 'g8arceus', null, null, TRUE),</v>
      </c>
    </row>
    <row r="771" spans="1:31">
      <c r="A771" s="4" t="s">
        <v>1546</v>
      </c>
      <c r="B771" s="4" t="s">
        <v>1547</v>
      </c>
      <c r="C771" s="5">
        <v>70</v>
      </c>
      <c r="D771" s="5">
        <v>55</v>
      </c>
      <c r="E771" s="5">
        <v>75</v>
      </c>
      <c r="F771" s="5">
        <v>45</v>
      </c>
      <c r="G771" s="5">
        <v>65</v>
      </c>
      <c r="H771" s="5">
        <v>60</v>
      </c>
      <c r="I771" s="5"/>
      <c r="J771" s="4" t="s">
        <v>91</v>
      </c>
      <c r="K771" s="4" t="s">
        <v>47</v>
      </c>
      <c r="L771" s="4" t="s">
        <v>1243</v>
      </c>
      <c r="M771" s="5"/>
      <c r="N771" s="5"/>
      <c r="O771" s="5" t="b">
        <v>1</v>
      </c>
      <c r="P771" s="4" t="str">
        <f>IF(A771="",IF(ISNUMBER(SEARCH("NOT NULL",UPPER(A$3))),"''","null"),SUBSTITUTE(VLOOKUP(A$2,convert!$A$1:$B$4,2,0),"@@@",A771))</f>
        <v>'0629N01'</v>
      </c>
      <c r="Q771" s="4" t="str">
        <f>IF(B771="",IF(ISNUMBER(SEARCH("NOT NULL",UPPER(B$3))),"''","null"),SUBSTITUTE(VLOOKUP(B$2,convert!$A$1:$B$4,2,0),"@@@",B771))</f>
        <v>'バルチャイ'</v>
      </c>
      <c r="R771" s="4" t="str">
        <f>IF(C771="",IF(ISNUMBER(SEARCH("NOT NULL",UPPER(C$3))),"''","null"),SUBSTITUTE(VLOOKUP(C$2,convert!$A$1:$B$4,2,0),"@@@",C771))</f>
        <v>70</v>
      </c>
      <c r="S771" s="4" t="str">
        <f>IF(D771="",IF(ISNUMBER(SEARCH("NOT NULL",UPPER(D$3))),"''","null"),SUBSTITUTE(VLOOKUP(D$2,convert!$A$1:$B$4,2,0),"@@@",D771))</f>
        <v>55</v>
      </c>
      <c r="T771" s="4" t="str">
        <f>IF(E771="",IF(ISNUMBER(SEARCH("NOT NULL",UPPER(E$3))),"''","null"),SUBSTITUTE(VLOOKUP(E$2,convert!$A$1:$B$4,2,0),"@@@",E771))</f>
        <v>75</v>
      </c>
      <c r="U771" s="4" t="str">
        <f>IF(F771="",IF(ISNUMBER(SEARCH("NOT NULL",UPPER(F$3))),"''","null"),SUBSTITUTE(VLOOKUP(F$2,convert!$A$1:$B$4,2,0),"@@@",F771))</f>
        <v>45</v>
      </c>
      <c r="V771" s="4" t="str">
        <f>IF(G771="",IF(ISNUMBER(SEARCH("NOT NULL",UPPER(G$3))),"''","null"),SUBSTITUTE(VLOOKUP(G$2,convert!$A$1:$B$4,2,0),"@@@",G771))</f>
        <v>65</v>
      </c>
      <c r="W771" s="4" t="str">
        <f>IF(H771="",IF(ISNUMBER(SEARCH("NOT NULL",UPPER(H$3))),"''","null"),SUBSTITUTE(VLOOKUP(H$2,convert!$A$1:$B$4,2,0),"@@@",H771))</f>
        <v>60</v>
      </c>
      <c r="X771" s="4" t="str">
        <f>IF(I771="",IF(ISNUMBER(SEARCH("NOT NULL",UPPER(I$3))),"''","null"),SUBSTITUTE(VLOOKUP(I$2,convert!$A$1:$B$4,2,0),"@@@",I771))</f>
        <v>''</v>
      </c>
      <c r="Y771" s="4" t="str">
        <f>IF(J771="",IF(ISNUMBER(SEARCH("NOT NULL",UPPER(J$3))),"''","null"),SUBSTITUTE(VLOOKUP(J$2,convert!$A$1:$B$4,2,0),"@@@",J771))</f>
        <v>'dark'</v>
      </c>
      <c r="Z771" s="4" t="str">
        <f>IF(K771="",IF(ISNUMBER(SEARCH("NOT NULL",UPPER(K$3))),"''","null"),SUBSTITUTE(VLOOKUP(K$2,convert!$A$1:$B$4,2,0),"@@@",K771))</f>
        <v>'flying'</v>
      </c>
      <c r="AA771" s="4" t="str">
        <f>IF(L771="",IF(ISNUMBER(SEARCH("NOT NULL",UPPER(L$3))),"''","null"),SUBSTITUTE(VLOOKUP(L$2,convert!$A$1:$B$4,2,0),"@@@",L771))</f>
        <v>'g5'</v>
      </c>
      <c r="AB771" s="4" t="str">
        <f>IF(M771="",IF(ISNUMBER(SEARCH("NOT NULL",UPPER(M$3))),"''","null"),SUBSTITUTE(VLOOKUP(M$2,convert!$A$1:$B$4,2,0),"@@@",M771))</f>
        <v>null</v>
      </c>
      <c r="AC771" s="4" t="str">
        <f>IF(N771="",IF(ISNUMBER(SEARCH("NOT NULL",UPPER(N$3))),"''","null"),SUBSTITUTE(VLOOKUP(N$2,convert!$A$1:$B$4,2,0),"@@@",N771))</f>
        <v>null</v>
      </c>
      <c r="AD771" s="4" t="str">
        <f>IF(O771="",IF(ISNUMBER(SEARCH("NOT NULL",UPPER(O$3))),"''","null"),SUBSTITUTE(VLOOKUP(O$2,convert!$A$1:$B$4,2,0),"@@@",O771))</f>
        <v>TRUE</v>
      </c>
      <c r="AE771" s="4" t="str">
        <f t="shared" si="11"/>
        <v>    ('0629N01', 'バルチャイ', 70, 55, 75, 45, 65, 60, '', 'dark', 'flying', 'g5', null, null, TRUE),</v>
      </c>
    </row>
    <row r="772" spans="1:31">
      <c r="A772" s="4" t="s">
        <v>1548</v>
      </c>
      <c r="B772" s="4" t="s">
        <v>1549</v>
      </c>
      <c r="C772" s="5">
        <v>110</v>
      </c>
      <c r="D772" s="5">
        <v>65</v>
      </c>
      <c r="E772" s="5">
        <v>105</v>
      </c>
      <c r="F772" s="5">
        <v>55</v>
      </c>
      <c r="G772" s="5">
        <v>95</v>
      </c>
      <c r="H772" s="5">
        <v>80</v>
      </c>
      <c r="I772" s="5"/>
      <c r="J772" s="4" t="s">
        <v>91</v>
      </c>
      <c r="K772" s="4" t="s">
        <v>47</v>
      </c>
      <c r="L772" s="4" t="s">
        <v>1243</v>
      </c>
      <c r="M772" s="5"/>
      <c r="N772" s="5"/>
      <c r="O772" s="5" t="b">
        <v>1</v>
      </c>
      <c r="P772" s="4" t="str">
        <f>IF(A772="",IF(ISNUMBER(SEARCH("NOT NULL",UPPER(A$3))),"''","null"),SUBSTITUTE(VLOOKUP(A$2,convert!$A$1:$B$4,2,0),"@@@",A772))</f>
        <v>'0630N01'</v>
      </c>
      <c r="Q772" s="4" t="str">
        <f>IF(B772="",IF(ISNUMBER(SEARCH("NOT NULL",UPPER(B$3))),"''","null"),SUBSTITUTE(VLOOKUP(B$2,convert!$A$1:$B$4,2,0),"@@@",B772))</f>
        <v>'バルジーナ'</v>
      </c>
      <c r="R772" s="4" t="str">
        <f>IF(C772="",IF(ISNUMBER(SEARCH("NOT NULL",UPPER(C$3))),"''","null"),SUBSTITUTE(VLOOKUP(C$2,convert!$A$1:$B$4,2,0),"@@@",C772))</f>
        <v>110</v>
      </c>
      <c r="S772" s="4" t="str">
        <f>IF(D772="",IF(ISNUMBER(SEARCH("NOT NULL",UPPER(D$3))),"''","null"),SUBSTITUTE(VLOOKUP(D$2,convert!$A$1:$B$4,2,0),"@@@",D772))</f>
        <v>65</v>
      </c>
      <c r="T772" s="4" t="str">
        <f>IF(E772="",IF(ISNUMBER(SEARCH("NOT NULL",UPPER(E$3))),"''","null"),SUBSTITUTE(VLOOKUP(E$2,convert!$A$1:$B$4,2,0),"@@@",E772))</f>
        <v>105</v>
      </c>
      <c r="U772" s="4" t="str">
        <f>IF(F772="",IF(ISNUMBER(SEARCH("NOT NULL",UPPER(F$3))),"''","null"),SUBSTITUTE(VLOOKUP(F$2,convert!$A$1:$B$4,2,0),"@@@",F772))</f>
        <v>55</v>
      </c>
      <c r="V772" s="4" t="str">
        <f>IF(G772="",IF(ISNUMBER(SEARCH("NOT NULL",UPPER(G$3))),"''","null"),SUBSTITUTE(VLOOKUP(G$2,convert!$A$1:$B$4,2,0),"@@@",G772))</f>
        <v>95</v>
      </c>
      <c r="W772" s="4" t="str">
        <f>IF(H772="",IF(ISNUMBER(SEARCH("NOT NULL",UPPER(H$3))),"''","null"),SUBSTITUTE(VLOOKUP(H$2,convert!$A$1:$B$4,2,0),"@@@",H772))</f>
        <v>80</v>
      </c>
      <c r="X772" s="4" t="str">
        <f>IF(I772="",IF(ISNUMBER(SEARCH("NOT NULL",UPPER(I$3))),"''","null"),SUBSTITUTE(VLOOKUP(I$2,convert!$A$1:$B$4,2,0),"@@@",I772))</f>
        <v>''</v>
      </c>
      <c r="Y772" s="4" t="str">
        <f>IF(J772="",IF(ISNUMBER(SEARCH("NOT NULL",UPPER(J$3))),"''","null"),SUBSTITUTE(VLOOKUP(J$2,convert!$A$1:$B$4,2,0),"@@@",J772))</f>
        <v>'dark'</v>
      </c>
      <c r="Z772" s="4" t="str">
        <f>IF(K772="",IF(ISNUMBER(SEARCH("NOT NULL",UPPER(K$3))),"''","null"),SUBSTITUTE(VLOOKUP(K$2,convert!$A$1:$B$4,2,0),"@@@",K772))</f>
        <v>'flying'</v>
      </c>
      <c r="AA772" s="4" t="str">
        <f>IF(L772="",IF(ISNUMBER(SEARCH("NOT NULL",UPPER(L$3))),"''","null"),SUBSTITUTE(VLOOKUP(L$2,convert!$A$1:$B$4,2,0),"@@@",L772))</f>
        <v>'g5'</v>
      </c>
      <c r="AB772" s="4" t="str">
        <f>IF(M772="",IF(ISNUMBER(SEARCH("NOT NULL",UPPER(M$3))),"''","null"),SUBSTITUTE(VLOOKUP(M$2,convert!$A$1:$B$4,2,0),"@@@",M772))</f>
        <v>null</v>
      </c>
      <c r="AC772" s="4" t="str">
        <f>IF(N772="",IF(ISNUMBER(SEARCH("NOT NULL",UPPER(N$3))),"''","null"),SUBSTITUTE(VLOOKUP(N$2,convert!$A$1:$B$4,2,0),"@@@",N772))</f>
        <v>null</v>
      </c>
      <c r="AD772" s="4" t="str">
        <f>IF(O772="",IF(ISNUMBER(SEARCH("NOT NULL",UPPER(O$3))),"''","null"),SUBSTITUTE(VLOOKUP(O$2,convert!$A$1:$B$4,2,0),"@@@",O772))</f>
        <v>TRUE</v>
      </c>
      <c r="AE772" s="4" t="str">
        <f t="shared" si="11"/>
        <v>    ('0630N01', 'バルジーナ', 110, 65, 105, 55, 95, 80, '', 'dark', 'flying', 'g5', null, null, TRUE),</v>
      </c>
    </row>
    <row r="773" spans="1:31">
      <c r="A773" s="4" t="s">
        <v>1550</v>
      </c>
      <c r="B773" s="4" t="s">
        <v>1551</v>
      </c>
      <c r="C773" s="5">
        <v>85</v>
      </c>
      <c r="D773" s="5">
        <v>97</v>
      </c>
      <c r="E773" s="5">
        <v>66</v>
      </c>
      <c r="F773" s="5">
        <v>105</v>
      </c>
      <c r="G773" s="5">
        <v>66</v>
      </c>
      <c r="H773" s="5">
        <v>65</v>
      </c>
      <c r="I773" s="5"/>
      <c r="J773" s="4" t="s">
        <v>42</v>
      </c>
      <c r="K773" s="5"/>
      <c r="L773" s="4" t="s">
        <v>1243</v>
      </c>
      <c r="M773" s="5"/>
      <c r="N773" s="5"/>
      <c r="O773" s="5" t="b">
        <v>1</v>
      </c>
      <c r="P773" s="4" t="str">
        <f>IF(A773="",IF(ISNUMBER(SEARCH("NOT NULL",UPPER(A$3))),"''","null"),SUBSTITUTE(VLOOKUP(A$2,convert!$A$1:$B$4,2,0),"@@@",A773))</f>
        <v>'0631N01'</v>
      </c>
      <c r="Q773" s="4" t="str">
        <f>IF(B773="",IF(ISNUMBER(SEARCH("NOT NULL",UPPER(B$3))),"''","null"),SUBSTITUTE(VLOOKUP(B$2,convert!$A$1:$B$4,2,0),"@@@",B773))</f>
        <v>'クイタラン'</v>
      </c>
      <c r="R773" s="4" t="str">
        <f>IF(C773="",IF(ISNUMBER(SEARCH("NOT NULL",UPPER(C$3))),"''","null"),SUBSTITUTE(VLOOKUP(C$2,convert!$A$1:$B$4,2,0),"@@@",C773))</f>
        <v>85</v>
      </c>
      <c r="S773" s="4" t="str">
        <f>IF(D773="",IF(ISNUMBER(SEARCH("NOT NULL",UPPER(D$3))),"''","null"),SUBSTITUTE(VLOOKUP(D$2,convert!$A$1:$B$4,2,0),"@@@",D773))</f>
        <v>97</v>
      </c>
      <c r="T773" s="4" t="str">
        <f>IF(E773="",IF(ISNUMBER(SEARCH("NOT NULL",UPPER(E$3))),"''","null"),SUBSTITUTE(VLOOKUP(E$2,convert!$A$1:$B$4,2,0),"@@@",E773))</f>
        <v>66</v>
      </c>
      <c r="U773" s="4" t="str">
        <f>IF(F773="",IF(ISNUMBER(SEARCH("NOT NULL",UPPER(F$3))),"''","null"),SUBSTITUTE(VLOOKUP(F$2,convert!$A$1:$B$4,2,0),"@@@",F773))</f>
        <v>105</v>
      </c>
      <c r="V773" s="4" t="str">
        <f>IF(G773="",IF(ISNUMBER(SEARCH("NOT NULL",UPPER(G$3))),"''","null"),SUBSTITUTE(VLOOKUP(G$2,convert!$A$1:$B$4,2,0),"@@@",G773))</f>
        <v>66</v>
      </c>
      <c r="W773" s="4" t="str">
        <f>IF(H773="",IF(ISNUMBER(SEARCH("NOT NULL",UPPER(H$3))),"''","null"),SUBSTITUTE(VLOOKUP(H$2,convert!$A$1:$B$4,2,0),"@@@",H773))</f>
        <v>65</v>
      </c>
      <c r="X773" s="4" t="str">
        <f>IF(I773="",IF(ISNUMBER(SEARCH("NOT NULL",UPPER(I$3))),"''","null"),SUBSTITUTE(VLOOKUP(I$2,convert!$A$1:$B$4,2,0),"@@@",I773))</f>
        <v>''</v>
      </c>
      <c r="Y773" s="4" t="str">
        <f>IF(J773="",IF(ISNUMBER(SEARCH("NOT NULL",UPPER(J$3))),"''","null"),SUBSTITUTE(VLOOKUP(J$2,convert!$A$1:$B$4,2,0),"@@@",J773))</f>
        <v>'fire'</v>
      </c>
      <c r="Z773" s="4" t="str">
        <f>IF(K773="",IF(ISNUMBER(SEARCH("NOT NULL",UPPER(K$3))),"''","null"),SUBSTITUTE(VLOOKUP(K$2,convert!$A$1:$B$4,2,0),"@@@",K773))</f>
        <v>null</v>
      </c>
      <c r="AA773" s="4" t="str">
        <f>IF(L773="",IF(ISNUMBER(SEARCH("NOT NULL",UPPER(L$3))),"''","null"),SUBSTITUTE(VLOOKUP(L$2,convert!$A$1:$B$4,2,0),"@@@",L773))</f>
        <v>'g5'</v>
      </c>
      <c r="AB773" s="4" t="str">
        <f>IF(M773="",IF(ISNUMBER(SEARCH("NOT NULL",UPPER(M$3))),"''","null"),SUBSTITUTE(VLOOKUP(M$2,convert!$A$1:$B$4,2,0),"@@@",M773))</f>
        <v>null</v>
      </c>
      <c r="AC773" s="4" t="str">
        <f>IF(N773="",IF(ISNUMBER(SEARCH("NOT NULL",UPPER(N$3))),"''","null"),SUBSTITUTE(VLOOKUP(N$2,convert!$A$1:$B$4,2,0),"@@@",N773))</f>
        <v>null</v>
      </c>
      <c r="AD773" s="4" t="str">
        <f>IF(O773="",IF(ISNUMBER(SEARCH("NOT NULL",UPPER(O$3))),"''","null"),SUBSTITUTE(VLOOKUP(O$2,convert!$A$1:$B$4,2,0),"@@@",O773))</f>
        <v>TRUE</v>
      </c>
      <c r="AE773" s="4" t="str">
        <f t="shared" ref="AE773:AE836" si="12">"    ("&amp;_xlfn.TEXTJOIN(", ",FALSE,P773:AD773)&amp;"),"</f>
        <v>    ('0631N01', 'クイタラン', 85, 97, 66, 105, 66, 65, '', 'fire', null, 'g5', null, null, TRUE),</v>
      </c>
    </row>
    <row r="774" spans="1:31">
      <c r="A774" s="4" t="s">
        <v>1552</v>
      </c>
      <c r="B774" s="4" t="s">
        <v>1553</v>
      </c>
      <c r="C774" s="5">
        <v>58</v>
      </c>
      <c r="D774" s="5">
        <v>109</v>
      </c>
      <c r="E774" s="5">
        <v>112</v>
      </c>
      <c r="F774" s="5">
        <v>48</v>
      </c>
      <c r="G774" s="5">
        <v>48</v>
      </c>
      <c r="H774" s="5">
        <v>109</v>
      </c>
      <c r="I774" s="5"/>
      <c r="J774" s="4" t="s">
        <v>64</v>
      </c>
      <c r="K774" s="4" t="s">
        <v>119</v>
      </c>
      <c r="L774" s="4" t="s">
        <v>1243</v>
      </c>
      <c r="M774" s="5"/>
      <c r="N774" s="5"/>
      <c r="O774" s="5" t="b">
        <v>1</v>
      </c>
      <c r="P774" s="4" t="str">
        <f>IF(A774="",IF(ISNUMBER(SEARCH("NOT NULL",UPPER(A$3))),"''","null"),SUBSTITUTE(VLOOKUP(A$2,convert!$A$1:$B$4,2,0),"@@@",A774))</f>
        <v>'0632N01'</v>
      </c>
      <c r="Q774" s="4" t="str">
        <f>IF(B774="",IF(ISNUMBER(SEARCH("NOT NULL",UPPER(B$3))),"''","null"),SUBSTITUTE(VLOOKUP(B$2,convert!$A$1:$B$4,2,0),"@@@",B774))</f>
        <v>'アイアント'</v>
      </c>
      <c r="R774" s="4" t="str">
        <f>IF(C774="",IF(ISNUMBER(SEARCH("NOT NULL",UPPER(C$3))),"''","null"),SUBSTITUTE(VLOOKUP(C$2,convert!$A$1:$B$4,2,0),"@@@",C774))</f>
        <v>58</v>
      </c>
      <c r="S774" s="4" t="str">
        <f>IF(D774="",IF(ISNUMBER(SEARCH("NOT NULL",UPPER(D$3))),"''","null"),SUBSTITUTE(VLOOKUP(D$2,convert!$A$1:$B$4,2,0),"@@@",D774))</f>
        <v>109</v>
      </c>
      <c r="T774" s="4" t="str">
        <f>IF(E774="",IF(ISNUMBER(SEARCH("NOT NULL",UPPER(E$3))),"''","null"),SUBSTITUTE(VLOOKUP(E$2,convert!$A$1:$B$4,2,0),"@@@",E774))</f>
        <v>112</v>
      </c>
      <c r="U774" s="4" t="str">
        <f>IF(F774="",IF(ISNUMBER(SEARCH("NOT NULL",UPPER(F$3))),"''","null"),SUBSTITUTE(VLOOKUP(F$2,convert!$A$1:$B$4,2,0),"@@@",F774))</f>
        <v>48</v>
      </c>
      <c r="V774" s="4" t="str">
        <f>IF(G774="",IF(ISNUMBER(SEARCH("NOT NULL",UPPER(G$3))),"''","null"),SUBSTITUTE(VLOOKUP(G$2,convert!$A$1:$B$4,2,0),"@@@",G774))</f>
        <v>48</v>
      </c>
      <c r="W774" s="4" t="str">
        <f>IF(H774="",IF(ISNUMBER(SEARCH("NOT NULL",UPPER(H$3))),"''","null"),SUBSTITUTE(VLOOKUP(H$2,convert!$A$1:$B$4,2,0),"@@@",H774))</f>
        <v>109</v>
      </c>
      <c r="X774" s="4" t="str">
        <f>IF(I774="",IF(ISNUMBER(SEARCH("NOT NULL",UPPER(I$3))),"''","null"),SUBSTITUTE(VLOOKUP(I$2,convert!$A$1:$B$4,2,0),"@@@",I774))</f>
        <v>''</v>
      </c>
      <c r="Y774" s="4" t="str">
        <f>IF(J774="",IF(ISNUMBER(SEARCH("NOT NULL",UPPER(J$3))),"''","null"),SUBSTITUTE(VLOOKUP(J$2,convert!$A$1:$B$4,2,0),"@@@",J774))</f>
        <v>'bug'</v>
      </c>
      <c r="Z774" s="4" t="str">
        <f>IF(K774="",IF(ISNUMBER(SEARCH("NOT NULL",UPPER(K$3))),"''","null"),SUBSTITUTE(VLOOKUP(K$2,convert!$A$1:$B$4,2,0),"@@@",K774))</f>
        <v>'steel'</v>
      </c>
      <c r="AA774" s="4" t="str">
        <f>IF(L774="",IF(ISNUMBER(SEARCH("NOT NULL",UPPER(L$3))),"''","null"),SUBSTITUTE(VLOOKUP(L$2,convert!$A$1:$B$4,2,0),"@@@",L774))</f>
        <v>'g5'</v>
      </c>
      <c r="AB774" s="4" t="str">
        <f>IF(M774="",IF(ISNUMBER(SEARCH("NOT NULL",UPPER(M$3))),"''","null"),SUBSTITUTE(VLOOKUP(M$2,convert!$A$1:$B$4,2,0),"@@@",M774))</f>
        <v>null</v>
      </c>
      <c r="AC774" s="4" t="str">
        <f>IF(N774="",IF(ISNUMBER(SEARCH("NOT NULL",UPPER(N$3))),"''","null"),SUBSTITUTE(VLOOKUP(N$2,convert!$A$1:$B$4,2,0),"@@@",N774))</f>
        <v>null</v>
      </c>
      <c r="AD774" s="4" t="str">
        <f>IF(O774="",IF(ISNUMBER(SEARCH("NOT NULL",UPPER(O$3))),"''","null"),SUBSTITUTE(VLOOKUP(O$2,convert!$A$1:$B$4,2,0),"@@@",O774))</f>
        <v>TRUE</v>
      </c>
      <c r="AE774" s="4" t="str">
        <f t="shared" si="12"/>
        <v>    ('0632N01', 'アイアント', 58, 109, 112, 48, 48, 109, '', 'bug', 'steel', 'g5', null, null, TRUE),</v>
      </c>
    </row>
    <row r="775" spans="1:31">
      <c r="A775" s="4" t="s">
        <v>1554</v>
      </c>
      <c r="B775" s="4" t="s">
        <v>1555</v>
      </c>
      <c r="C775" s="5">
        <v>52</v>
      </c>
      <c r="D775" s="5">
        <v>65</v>
      </c>
      <c r="E775" s="5">
        <v>50</v>
      </c>
      <c r="F775" s="5">
        <v>45</v>
      </c>
      <c r="G775" s="5">
        <v>50</v>
      </c>
      <c r="H775" s="5">
        <v>38</v>
      </c>
      <c r="I775" s="5"/>
      <c r="J775" s="4" t="s">
        <v>91</v>
      </c>
      <c r="K775" s="4" t="s">
        <v>50</v>
      </c>
      <c r="L775" s="4" t="s">
        <v>1243</v>
      </c>
      <c r="M775" s="5"/>
      <c r="N775" s="5"/>
      <c r="O775" s="5" t="b">
        <v>1</v>
      </c>
      <c r="P775" s="4" t="str">
        <f>IF(A775="",IF(ISNUMBER(SEARCH("NOT NULL",UPPER(A$3))),"''","null"),SUBSTITUTE(VLOOKUP(A$2,convert!$A$1:$B$4,2,0),"@@@",A775))</f>
        <v>'0633N01'</v>
      </c>
      <c r="Q775" s="4" t="str">
        <f>IF(B775="",IF(ISNUMBER(SEARCH("NOT NULL",UPPER(B$3))),"''","null"),SUBSTITUTE(VLOOKUP(B$2,convert!$A$1:$B$4,2,0),"@@@",B775))</f>
        <v>'モノズ'</v>
      </c>
      <c r="R775" s="4" t="str">
        <f>IF(C775="",IF(ISNUMBER(SEARCH("NOT NULL",UPPER(C$3))),"''","null"),SUBSTITUTE(VLOOKUP(C$2,convert!$A$1:$B$4,2,0),"@@@",C775))</f>
        <v>52</v>
      </c>
      <c r="S775" s="4" t="str">
        <f>IF(D775="",IF(ISNUMBER(SEARCH("NOT NULL",UPPER(D$3))),"''","null"),SUBSTITUTE(VLOOKUP(D$2,convert!$A$1:$B$4,2,0),"@@@",D775))</f>
        <v>65</v>
      </c>
      <c r="T775" s="4" t="str">
        <f>IF(E775="",IF(ISNUMBER(SEARCH("NOT NULL",UPPER(E$3))),"''","null"),SUBSTITUTE(VLOOKUP(E$2,convert!$A$1:$B$4,2,0),"@@@",E775))</f>
        <v>50</v>
      </c>
      <c r="U775" s="4" t="str">
        <f>IF(F775="",IF(ISNUMBER(SEARCH("NOT NULL",UPPER(F$3))),"''","null"),SUBSTITUTE(VLOOKUP(F$2,convert!$A$1:$B$4,2,0),"@@@",F775))</f>
        <v>45</v>
      </c>
      <c r="V775" s="4" t="str">
        <f>IF(G775="",IF(ISNUMBER(SEARCH("NOT NULL",UPPER(G$3))),"''","null"),SUBSTITUTE(VLOOKUP(G$2,convert!$A$1:$B$4,2,0),"@@@",G775))</f>
        <v>50</v>
      </c>
      <c r="W775" s="4" t="str">
        <f>IF(H775="",IF(ISNUMBER(SEARCH("NOT NULL",UPPER(H$3))),"''","null"),SUBSTITUTE(VLOOKUP(H$2,convert!$A$1:$B$4,2,0),"@@@",H775))</f>
        <v>38</v>
      </c>
      <c r="X775" s="4" t="str">
        <f>IF(I775="",IF(ISNUMBER(SEARCH("NOT NULL",UPPER(I$3))),"''","null"),SUBSTITUTE(VLOOKUP(I$2,convert!$A$1:$B$4,2,0),"@@@",I775))</f>
        <v>''</v>
      </c>
      <c r="Y775" s="4" t="str">
        <f>IF(J775="",IF(ISNUMBER(SEARCH("NOT NULL",UPPER(J$3))),"''","null"),SUBSTITUTE(VLOOKUP(J$2,convert!$A$1:$B$4,2,0),"@@@",J775))</f>
        <v>'dark'</v>
      </c>
      <c r="Z775" s="4" t="str">
        <f>IF(K775="",IF(ISNUMBER(SEARCH("NOT NULL",UPPER(K$3))),"''","null"),SUBSTITUTE(VLOOKUP(K$2,convert!$A$1:$B$4,2,0),"@@@",K775))</f>
        <v>'dragon'</v>
      </c>
      <c r="AA775" s="4" t="str">
        <f>IF(L775="",IF(ISNUMBER(SEARCH("NOT NULL",UPPER(L$3))),"''","null"),SUBSTITUTE(VLOOKUP(L$2,convert!$A$1:$B$4,2,0),"@@@",L775))</f>
        <v>'g5'</v>
      </c>
      <c r="AB775" s="4" t="str">
        <f>IF(M775="",IF(ISNUMBER(SEARCH("NOT NULL",UPPER(M$3))),"''","null"),SUBSTITUTE(VLOOKUP(M$2,convert!$A$1:$B$4,2,0),"@@@",M775))</f>
        <v>null</v>
      </c>
      <c r="AC775" s="4" t="str">
        <f>IF(N775="",IF(ISNUMBER(SEARCH("NOT NULL",UPPER(N$3))),"''","null"),SUBSTITUTE(VLOOKUP(N$2,convert!$A$1:$B$4,2,0),"@@@",N775))</f>
        <v>null</v>
      </c>
      <c r="AD775" s="4" t="str">
        <f>IF(O775="",IF(ISNUMBER(SEARCH("NOT NULL",UPPER(O$3))),"''","null"),SUBSTITUTE(VLOOKUP(O$2,convert!$A$1:$B$4,2,0),"@@@",O775))</f>
        <v>TRUE</v>
      </c>
      <c r="AE775" s="4" t="str">
        <f t="shared" si="12"/>
        <v>    ('0633N01', 'モノズ', 52, 65, 50, 45, 50, 38, '', 'dark', 'dragon', 'g5', null, null, TRUE),</v>
      </c>
    </row>
    <row r="776" spans="1:31">
      <c r="A776" s="4" t="s">
        <v>1556</v>
      </c>
      <c r="B776" s="4" t="s">
        <v>1557</v>
      </c>
      <c r="C776" s="5">
        <v>72</v>
      </c>
      <c r="D776" s="5">
        <v>85</v>
      </c>
      <c r="E776" s="5">
        <v>70</v>
      </c>
      <c r="F776" s="5">
        <v>65</v>
      </c>
      <c r="G776" s="5">
        <v>70</v>
      </c>
      <c r="H776" s="5">
        <v>58</v>
      </c>
      <c r="I776" s="5"/>
      <c r="J776" s="4" t="s">
        <v>91</v>
      </c>
      <c r="K776" s="4" t="s">
        <v>50</v>
      </c>
      <c r="L776" s="4" t="s">
        <v>1243</v>
      </c>
      <c r="M776" s="5"/>
      <c r="N776" s="5"/>
      <c r="O776" s="5" t="b">
        <v>1</v>
      </c>
      <c r="P776" s="4" t="str">
        <f>IF(A776="",IF(ISNUMBER(SEARCH("NOT NULL",UPPER(A$3))),"''","null"),SUBSTITUTE(VLOOKUP(A$2,convert!$A$1:$B$4,2,0),"@@@",A776))</f>
        <v>'0634N01'</v>
      </c>
      <c r="Q776" s="4" t="str">
        <f>IF(B776="",IF(ISNUMBER(SEARCH("NOT NULL",UPPER(B$3))),"''","null"),SUBSTITUTE(VLOOKUP(B$2,convert!$A$1:$B$4,2,0),"@@@",B776))</f>
        <v>'ジヘッド'</v>
      </c>
      <c r="R776" s="4" t="str">
        <f>IF(C776="",IF(ISNUMBER(SEARCH("NOT NULL",UPPER(C$3))),"''","null"),SUBSTITUTE(VLOOKUP(C$2,convert!$A$1:$B$4,2,0),"@@@",C776))</f>
        <v>72</v>
      </c>
      <c r="S776" s="4" t="str">
        <f>IF(D776="",IF(ISNUMBER(SEARCH("NOT NULL",UPPER(D$3))),"''","null"),SUBSTITUTE(VLOOKUP(D$2,convert!$A$1:$B$4,2,0),"@@@",D776))</f>
        <v>85</v>
      </c>
      <c r="T776" s="4" t="str">
        <f>IF(E776="",IF(ISNUMBER(SEARCH("NOT NULL",UPPER(E$3))),"''","null"),SUBSTITUTE(VLOOKUP(E$2,convert!$A$1:$B$4,2,0),"@@@",E776))</f>
        <v>70</v>
      </c>
      <c r="U776" s="4" t="str">
        <f>IF(F776="",IF(ISNUMBER(SEARCH("NOT NULL",UPPER(F$3))),"''","null"),SUBSTITUTE(VLOOKUP(F$2,convert!$A$1:$B$4,2,0),"@@@",F776))</f>
        <v>65</v>
      </c>
      <c r="V776" s="4" t="str">
        <f>IF(G776="",IF(ISNUMBER(SEARCH("NOT NULL",UPPER(G$3))),"''","null"),SUBSTITUTE(VLOOKUP(G$2,convert!$A$1:$B$4,2,0),"@@@",G776))</f>
        <v>70</v>
      </c>
      <c r="W776" s="4" t="str">
        <f>IF(H776="",IF(ISNUMBER(SEARCH("NOT NULL",UPPER(H$3))),"''","null"),SUBSTITUTE(VLOOKUP(H$2,convert!$A$1:$B$4,2,0),"@@@",H776))</f>
        <v>58</v>
      </c>
      <c r="X776" s="4" t="str">
        <f>IF(I776="",IF(ISNUMBER(SEARCH("NOT NULL",UPPER(I$3))),"''","null"),SUBSTITUTE(VLOOKUP(I$2,convert!$A$1:$B$4,2,0),"@@@",I776))</f>
        <v>''</v>
      </c>
      <c r="Y776" s="4" t="str">
        <f>IF(J776="",IF(ISNUMBER(SEARCH("NOT NULL",UPPER(J$3))),"''","null"),SUBSTITUTE(VLOOKUP(J$2,convert!$A$1:$B$4,2,0),"@@@",J776))</f>
        <v>'dark'</v>
      </c>
      <c r="Z776" s="4" t="str">
        <f>IF(K776="",IF(ISNUMBER(SEARCH("NOT NULL",UPPER(K$3))),"''","null"),SUBSTITUTE(VLOOKUP(K$2,convert!$A$1:$B$4,2,0),"@@@",K776))</f>
        <v>'dragon'</v>
      </c>
      <c r="AA776" s="4" t="str">
        <f>IF(L776="",IF(ISNUMBER(SEARCH("NOT NULL",UPPER(L$3))),"''","null"),SUBSTITUTE(VLOOKUP(L$2,convert!$A$1:$B$4,2,0),"@@@",L776))</f>
        <v>'g5'</v>
      </c>
      <c r="AB776" s="4" t="str">
        <f>IF(M776="",IF(ISNUMBER(SEARCH("NOT NULL",UPPER(M$3))),"''","null"),SUBSTITUTE(VLOOKUP(M$2,convert!$A$1:$B$4,2,0),"@@@",M776))</f>
        <v>null</v>
      </c>
      <c r="AC776" s="4" t="str">
        <f>IF(N776="",IF(ISNUMBER(SEARCH("NOT NULL",UPPER(N$3))),"''","null"),SUBSTITUTE(VLOOKUP(N$2,convert!$A$1:$B$4,2,0),"@@@",N776))</f>
        <v>null</v>
      </c>
      <c r="AD776" s="4" t="str">
        <f>IF(O776="",IF(ISNUMBER(SEARCH("NOT NULL",UPPER(O$3))),"''","null"),SUBSTITUTE(VLOOKUP(O$2,convert!$A$1:$B$4,2,0),"@@@",O776))</f>
        <v>TRUE</v>
      </c>
      <c r="AE776" s="4" t="str">
        <f t="shared" si="12"/>
        <v>    ('0634N01', 'ジヘッド', 72, 85, 70, 65, 70, 58, '', 'dark', 'dragon', 'g5', null, null, TRUE),</v>
      </c>
    </row>
    <row r="777" spans="1:31">
      <c r="A777" s="4" t="s">
        <v>1558</v>
      </c>
      <c r="B777" s="4" t="s">
        <v>1559</v>
      </c>
      <c r="C777" s="5">
        <v>92</v>
      </c>
      <c r="D777" s="5">
        <v>105</v>
      </c>
      <c r="E777" s="5">
        <v>90</v>
      </c>
      <c r="F777" s="5">
        <v>125</v>
      </c>
      <c r="G777" s="5">
        <v>90</v>
      </c>
      <c r="H777" s="5">
        <v>98</v>
      </c>
      <c r="I777" s="5"/>
      <c r="J777" s="4" t="s">
        <v>91</v>
      </c>
      <c r="K777" s="4" t="s">
        <v>50</v>
      </c>
      <c r="L777" s="4" t="s">
        <v>1243</v>
      </c>
      <c r="M777" s="5"/>
      <c r="N777" s="5"/>
      <c r="O777" s="5" t="b">
        <v>1</v>
      </c>
      <c r="P777" s="4" t="str">
        <f>IF(A777="",IF(ISNUMBER(SEARCH("NOT NULL",UPPER(A$3))),"''","null"),SUBSTITUTE(VLOOKUP(A$2,convert!$A$1:$B$4,2,0),"@@@",A777))</f>
        <v>'0635N01'</v>
      </c>
      <c r="Q777" s="4" t="str">
        <f>IF(B777="",IF(ISNUMBER(SEARCH("NOT NULL",UPPER(B$3))),"''","null"),SUBSTITUTE(VLOOKUP(B$2,convert!$A$1:$B$4,2,0),"@@@",B777))</f>
        <v>'サザンドラ'</v>
      </c>
      <c r="R777" s="4" t="str">
        <f>IF(C777="",IF(ISNUMBER(SEARCH("NOT NULL",UPPER(C$3))),"''","null"),SUBSTITUTE(VLOOKUP(C$2,convert!$A$1:$B$4,2,0),"@@@",C777))</f>
        <v>92</v>
      </c>
      <c r="S777" s="4" t="str">
        <f>IF(D777="",IF(ISNUMBER(SEARCH("NOT NULL",UPPER(D$3))),"''","null"),SUBSTITUTE(VLOOKUP(D$2,convert!$A$1:$B$4,2,0),"@@@",D777))</f>
        <v>105</v>
      </c>
      <c r="T777" s="4" t="str">
        <f>IF(E777="",IF(ISNUMBER(SEARCH("NOT NULL",UPPER(E$3))),"''","null"),SUBSTITUTE(VLOOKUP(E$2,convert!$A$1:$B$4,2,0),"@@@",E777))</f>
        <v>90</v>
      </c>
      <c r="U777" s="4" t="str">
        <f>IF(F777="",IF(ISNUMBER(SEARCH("NOT NULL",UPPER(F$3))),"''","null"),SUBSTITUTE(VLOOKUP(F$2,convert!$A$1:$B$4,2,0),"@@@",F777))</f>
        <v>125</v>
      </c>
      <c r="V777" s="4" t="str">
        <f>IF(G777="",IF(ISNUMBER(SEARCH("NOT NULL",UPPER(G$3))),"''","null"),SUBSTITUTE(VLOOKUP(G$2,convert!$A$1:$B$4,2,0),"@@@",G777))</f>
        <v>90</v>
      </c>
      <c r="W777" s="4" t="str">
        <f>IF(H777="",IF(ISNUMBER(SEARCH("NOT NULL",UPPER(H$3))),"''","null"),SUBSTITUTE(VLOOKUP(H$2,convert!$A$1:$B$4,2,0),"@@@",H777))</f>
        <v>98</v>
      </c>
      <c r="X777" s="4" t="str">
        <f>IF(I777="",IF(ISNUMBER(SEARCH("NOT NULL",UPPER(I$3))),"''","null"),SUBSTITUTE(VLOOKUP(I$2,convert!$A$1:$B$4,2,0),"@@@",I777))</f>
        <v>''</v>
      </c>
      <c r="Y777" s="4" t="str">
        <f>IF(J777="",IF(ISNUMBER(SEARCH("NOT NULL",UPPER(J$3))),"''","null"),SUBSTITUTE(VLOOKUP(J$2,convert!$A$1:$B$4,2,0),"@@@",J777))</f>
        <v>'dark'</v>
      </c>
      <c r="Z777" s="4" t="str">
        <f>IF(K777="",IF(ISNUMBER(SEARCH("NOT NULL",UPPER(K$3))),"''","null"),SUBSTITUTE(VLOOKUP(K$2,convert!$A$1:$B$4,2,0),"@@@",K777))</f>
        <v>'dragon'</v>
      </c>
      <c r="AA777" s="4" t="str">
        <f>IF(L777="",IF(ISNUMBER(SEARCH("NOT NULL",UPPER(L$3))),"''","null"),SUBSTITUTE(VLOOKUP(L$2,convert!$A$1:$B$4,2,0),"@@@",L777))</f>
        <v>'g5'</v>
      </c>
      <c r="AB777" s="4" t="str">
        <f>IF(M777="",IF(ISNUMBER(SEARCH("NOT NULL",UPPER(M$3))),"''","null"),SUBSTITUTE(VLOOKUP(M$2,convert!$A$1:$B$4,2,0),"@@@",M777))</f>
        <v>null</v>
      </c>
      <c r="AC777" s="4" t="str">
        <f>IF(N777="",IF(ISNUMBER(SEARCH("NOT NULL",UPPER(N$3))),"''","null"),SUBSTITUTE(VLOOKUP(N$2,convert!$A$1:$B$4,2,0),"@@@",N777))</f>
        <v>null</v>
      </c>
      <c r="AD777" s="4" t="str">
        <f>IF(O777="",IF(ISNUMBER(SEARCH("NOT NULL",UPPER(O$3))),"''","null"),SUBSTITUTE(VLOOKUP(O$2,convert!$A$1:$B$4,2,0),"@@@",O777))</f>
        <v>TRUE</v>
      </c>
      <c r="AE777" s="4" t="str">
        <f t="shared" si="12"/>
        <v>    ('0635N01', 'サザンドラ', 92, 105, 90, 125, 90, 98, '', 'dark', 'dragon', 'g5', null, null, TRUE),</v>
      </c>
    </row>
    <row r="778" spans="1:31">
      <c r="A778" s="4" t="s">
        <v>1560</v>
      </c>
      <c r="B778" s="4" t="s">
        <v>1561</v>
      </c>
      <c r="C778" s="5">
        <v>55</v>
      </c>
      <c r="D778" s="5">
        <v>85</v>
      </c>
      <c r="E778" s="5">
        <v>55</v>
      </c>
      <c r="F778" s="5">
        <v>50</v>
      </c>
      <c r="G778" s="5">
        <v>55</v>
      </c>
      <c r="H778" s="5">
        <v>60</v>
      </c>
      <c r="I778" s="5"/>
      <c r="J778" s="4" t="s">
        <v>64</v>
      </c>
      <c r="K778" s="4" t="s">
        <v>42</v>
      </c>
      <c r="L778" s="4" t="s">
        <v>1243</v>
      </c>
      <c r="M778" s="5"/>
      <c r="N778" s="5"/>
      <c r="O778" s="5" t="b">
        <v>1</v>
      </c>
      <c r="P778" s="4" t="str">
        <f>IF(A778="",IF(ISNUMBER(SEARCH("NOT NULL",UPPER(A$3))),"''","null"),SUBSTITUTE(VLOOKUP(A$2,convert!$A$1:$B$4,2,0),"@@@",A778))</f>
        <v>'0636N01'</v>
      </c>
      <c r="Q778" s="4" t="str">
        <f>IF(B778="",IF(ISNUMBER(SEARCH("NOT NULL",UPPER(B$3))),"''","null"),SUBSTITUTE(VLOOKUP(B$2,convert!$A$1:$B$4,2,0),"@@@",B778))</f>
        <v>'メラルバ'</v>
      </c>
      <c r="R778" s="4" t="str">
        <f>IF(C778="",IF(ISNUMBER(SEARCH("NOT NULL",UPPER(C$3))),"''","null"),SUBSTITUTE(VLOOKUP(C$2,convert!$A$1:$B$4,2,0),"@@@",C778))</f>
        <v>55</v>
      </c>
      <c r="S778" s="4" t="str">
        <f>IF(D778="",IF(ISNUMBER(SEARCH("NOT NULL",UPPER(D$3))),"''","null"),SUBSTITUTE(VLOOKUP(D$2,convert!$A$1:$B$4,2,0),"@@@",D778))</f>
        <v>85</v>
      </c>
      <c r="T778" s="4" t="str">
        <f>IF(E778="",IF(ISNUMBER(SEARCH("NOT NULL",UPPER(E$3))),"''","null"),SUBSTITUTE(VLOOKUP(E$2,convert!$A$1:$B$4,2,0),"@@@",E778))</f>
        <v>55</v>
      </c>
      <c r="U778" s="4" t="str">
        <f>IF(F778="",IF(ISNUMBER(SEARCH("NOT NULL",UPPER(F$3))),"''","null"),SUBSTITUTE(VLOOKUP(F$2,convert!$A$1:$B$4,2,0),"@@@",F778))</f>
        <v>50</v>
      </c>
      <c r="V778" s="4" t="str">
        <f>IF(G778="",IF(ISNUMBER(SEARCH("NOT NULL",UPPER(G$3))),"''","null"),SUBSTITUTE(VLOOKUP(G$2,convert!$A$1:$B$4,2,0),"@@@",G778))</f>
        <v>55</v>
      </c>
      <c r="W778" s="4" t="str">
        <f>IF(H778="",IF(ISNUMBER(SEARCH("NOT NULL",UPPER(H$3))),"''","null"),SUBSTITUTE(VLOOKUP(H$2,convert!$A$1:$B$4,2,0),"@@@",H778))</f>
        <v>60</v>
      </c>
      <c r="X778" s="4" t="str">
        <f>IF(I778="",IF(ISNUMBER(SEARCH("NOT NULL",UPPER(I$3))),"''","null"),SUBSTITUTE(VLOOKUP(I$2,convert!$A$1:$B$4,2,0),"@@@",I778))</f>
        <v>''</v>
      </c>
      <c r="Y778" s="4" t="str">
        <f>IF(J778="",IF(ISNUMBER(SEARCH("NOT NULL",UPPER(J$3))),"''","null"),SUBSTITUTE(VLOOKUP(J$2,convert!$A$1:$B$4,2,0),"@@@",J778))</f>
        <v>'bug'</v>
      </c>
      <c r="Z778" s="4" t="str">
        <f>IF(K778="",IF(ISNUMBER(SEARCH("NOT NULL",UPPER(K$3))),"''","null"),SUBSTITUTE(VLOOKUP(K$2,convert!$A$1:$B$4,2,0),"@@@",K778))</f>
        <v>'fire'</v>
      </c>
      <c r="AA778" s="4" t="str">
        <f>IF(L778="",IF(ISNUMBER(SEARCH("NOT NULL",UPPER(L$3))),"''","null"),SUBSTITUTE(VLOOKUP(L$2,convert!$A$1:$B$4,2,0),"@@@",L778))</f>
        <v>'g5'</v>
      </c>
      <c r="AB778" s="4" t="str">
        <f>IF(M778="",IF(ISNUMBER(SEARCH("NOT NULL",UPPER(M$3))),"''","null"),SUBSTITUTE(VLOOKUP(M$2,convert!$A$1:$B$4,2,0),"@@@",M778))</f>
        <v>null</v>
      </c>
      <c r="AC778" s="4" t="str">
        <f>IF(N778="",IF(ISNUMBER(SEARCH("NOT NULL",UPPER(N$3))),"''","null"),SUBSTITUTE(VLOOKUP(N$2,convert!$A$1:$B$4,2,0),"@@@",N778))</f>
        <v>null</v>
      </c>
      <c r="AD778" s="4" t="str">
        <f>IF(O778="",IF(ISNUMBER(SEARCH("NOT NULL",UPPER(O$3))),"''","null"),SUBSTITUTE(VLOOKUP(O$2,convert!$A$1:$B$4,2,0),"@@@",O778))</f>
        <v>TRUE</v>
      </c>
      <c r="AE778" s="4" t="str">
        <f t="shared" si="12"/>
        <v>    ('0636N01', 'メラルバ', 55, 85, 55, 50, 55, 60, '', 'bug', 'fire', 'g5', null, null, TRUE),</v>
      </c>
    </row>
    <row r="779" spans="1:31">
      <c r="A779" s="4" t="s">
        <v>1562</v>
      </c>
      <c r="B779" s="4" t="s">
        <v>1563</v>
      </c>
      <c r="C779" s="5">
        <v>85</v>
      </c>
      <c r="D779" s="5">
        <v>60</v>
      </c>
      <c r="E779" s="5">
        <v>65</v>
      </c>
      <c r="F779" s="5">
        <v>135</v>
      </c>
      <c r="G779" s="5">
        <v>105</v>
      </c>
      <c r="H779" s="5">
        <v>100</v>
      </c>
      <c r="I779" s="5"/>
      <c r="J779" s="4" t="s">
        <v>64</v>
      </c>
      <c r="K779" s="4" t="s">
        <v>42</v>
      </c>
      <c r="L779" s="4" t="s">
        <v>1243</v>
      </c>
      <c r="M779" s="5"/>
      <c r="N779" s="5"/>
      <c r="O779" s="5" t="b">
        <v>1</v>
      </c>
      <c r="P779" s="4" t="str">
        <f>IF(A779="",IF(ISNUMBER(SEARCH("NOT NULL",UPPER(A$3))),"''","null"),SUBSTITUTE(VLOOKUP(A$2,convert!$A$1:$B$4,2,0),"@@@",A779))</f>
        <v>'0637N01'</v>
      </c>
      <c r="Q779" s="4" t="str">
        <f>IF(B779="",IF(ISNUMBER(SEARCH("NOT NULL",UPPER(B$3))),"''","null"),SUBSTITUTE(VLOOKUP(B$2,convert!$A$1:$B$4,2,0),"@@@",B779))</f>
        <v>'ウルガモス'</v>
      </c>
      <c r="R779" s="4" t="str">
        <f>IF(C779="",IF(ISNUMBER(SEARCH("NOT NULL",UPPER(C$3))),"''","null"),SUBSTITUTE(VLOOKUP(C$2,convert!$A$1:$B$4,2,0),"@@@",C779))</f>
        <v>85</v>
      </c>
      <c r="S779" s="4" t="str">
        <f>IF(D779="",IF(ISNUMBER(SEARCH("NOT NULL",UPPER(D$3))),"''","null"),SUBSTITUTE(VLOOKUP(D$2,convert!$A$1:$B$4,2,0),"@@@",D779))</f>
        <v>60</v>
      </c>
      <c r="T779" s="4" t="str">
        <f>IF(E779="",IF(ISNUMBER(SEARCH("NOT NULL",UPPER(E$3))),"''","null"),SUBSTITUTE(VLOOKUP(E$2,convert!$A$1:$B$4,2,0),"@@@",E779))</f>
        <v>65</v>
      </c>
      <c r="U779" s="4" t="str">
        <f>IF(F779="",IF(ISNUMBER(SEARCH("NOT NULL",UPPER(F$3))),"''","null"),SUBSTITUTE(VLOOKUP(F$2,convert!$A$1:$B$4,2,0),"@@@",F779))</f>
        <v>135</v>
      </c>
      <c r="V779" s="4" t="str">
        <f>IF(G779="",IF(ISNUMBER(SEARCH("NOT NULL",UPPER(G$3))),"''","null"),SUBSTITUTE(VLOOKUP(G$2,convert!$A$1:$B$4,2,0),"@@@",G779))</f>
        <v>105</v>
      </c>
      <c r="W779" s="4" t="str">
        <f>IF(H779="",IF(ISNUMBER(SEARCH("NOT NULL",UPPER(H$3))),"''","null"),SUBSTITUTE(VLOOKUP(H$2,convert!$A$1:$B$4,2,0),"@@@",H779))</f>
        <v>100</v>
      </c>
      <c r="X779" s="4" t="str">
        <f>IF(I779="",IF(ISNUMBER(SEARCH("NOT NULL",UPPER(I$3))),"''","null"),SUBSTITUTE(VLOOKUP(I$2,convert!$A$1:$B$4,2,0),"@@@",I779))</f>
        <v>''</v>
      </c>
      <c r="Y779" s="4" t="str">
        <f>IF(J779="",IF(ISNUMBER(SEARCH("NOT NULL",UPPER(J$3))),"''","null"),SUBSTITUTE(VLOOKUP(J$2,convert!$A$1:$B$4,2,0),"@@@",J779))</f>
        <v>'bug'</v>
      </c>
      <c r="Z779" s="4" t="str">
        <f>IF(K779="",IF(ISNUMBER(SEARCH("NOT NULL",UPPER(K$3))),"''","null"),SUBSTITUTE(VLOOKUP(K$2,convert!$A$1:$B$4,2,0),"@@@",K779))</f>
        <v>'fire'</v>
      </c>
      <c r="AA779" s="4" t="str">
        <f>IF(L779="",IF(ISNUMBER(SEARCH("NOT NULL",UPPER(L$3))),"''","null"),SUBSTITUTE(VLOOKUP(L$2,convert!$A$1:$B$4,2,0),"@@@",L779))</f>
        <v>'g5'</v>
      </c>
      <c r="AB779" s="4" t="str">
        <f>IF(M779="",IF(ISNUMBER(SEARCH("NOT NULL",UPPER(M$3))),"''","null"),SUBSTITUTE(VLOOKUP(M$2,convert!$A$1:$B$4,2,0),"@@@",M779))</f>
        <v>null</v>
      </c>
      <c r="AC779" s="4" t="str">
        <f>IF(N779="",IF(ISNUMBER(SEARCH("NOT NULL",UPPER(N$3))),"''","null"),SUBSTITUTE(VLOOKUP(N$2,convert!$A$1:$B$4,2,0),"@@@",N779))</f>
        <v>null</v>
      </c>
      <c r="AD779" s="4" t="str">
        <f>IF(O779="",IF(ISNUMBER(SEARCH("NOT NULL",UPPER(O$3))),"''","null"),SUBSTITUTE(VLOOKUP(O$2,convert!$A$1:$B$4,2,0),"@@@",O779))</f>
        <v>TRUE</v>
      </c>
      <c r="AE779" s="4" t="str">
        <f t="shared" si="12"/>
        <v>    ('0637N01', 'ウルガモス', 85, 60, 65, 135, 105, 100, '', 'bug', 'fire', 'g5', null, null, TRUE),</v>
      </c>
    </row>
    <row r="780" spans="1:31">
      <c r="A780" s="4" t="s">
        <v>1564</v>
      </c>
      <c r="B780" s="4" t="s">
        <v>1565</v>
      </c>
      <c r="C780" s="5">
        <v>91</v>
      </c>
      <c r="D780" s="5">
        <v>90</v>
      </c>
      <c r="E780" s="5">
        <v>129</v>
      </c>
      <c r="F780" s="5">
        <v>90</v>
      </c>
      <c r="G780" s="5">
        <v>72</v>
      </c>
      <c r="H780" s="5">
        <v>108</v>
      </c>
      <c r="I780" s="5"/>
      <c r="J780" s="4" t="s">
        <v>119</v>
      </c>
      <c r="K780" s="4" t="s">
        <v>189</v>
      </c>
      <c r="L780" s="4" t="s">
        <v>1243</v>
      </c>
      <c r="M780" s="5"/>
      <c r="N780" s="5"/>
      <c r="O780" s="5" t="b">
        <v>1</v>
      </c>
      <c r="P780" s="4" t="str">
        <f>IF(A780="",IF(ISNUMBER(SEARCH("NOT NULL",UPPER(A$3))),"''","null"),SUBSTITUTE(VLOOKUP(A$2,convert!$A$1:$B$4,2,0),"@@@",A780))</f>
        <v>'0638N01'</v>
      </c>
      <c r="Q780" s="4" t="str">
        <f>IF(B780="",IF(ISNUMBER(SEARCH("NOT NULL",UPPER(B$3))),"''","null"),SUBSTITUTE(VLOOKUP(B$2,convert!$A$1:$B$4,2,0),"@@@",B780))</f>
        <v>'コバルオン'</v>
      </c>
      <c r="R780" s="4" t="str">
        <f>IF(C780="",IF(ISNUMBER(SEARCH("NOT NULL",UPPER(C$3))),"''","null"),SUBSTITUTE(VLOOKUP(C$2,convert!$A$1:$B$4,2,0),"@@@",C780))</f>
        <v>91</v>
      </c>
      <c r="S780" s="4" t="str">
        <f>IF(D780="",IF(ISNUMBER(SEARCH("NOT NULL",UPPER(D$3))),"''","null"),SUBSTITUTE(VLOOKUP(D$2,convert!$A$1:$B$4,2,0),"@@@",D780))</f>
        <v>90</v>
      </c>
      <c r="T780" s="4" t="str">
        <f>IF(E780="",IF(ISNUMBER(SEARCH("NOT NULL",UPPER(E$3))),"''","null"),SUBSTITUTE(VLOOKUP(E$2,convert!$A$1:$B$4,2,0),"@@@",E780))</f>
        <v>129</v>
      </c>
      <c r="U780" s="4" t="str">
        <f>IF(F780="",IF(ISNUMBER(SEARCH("NOT NULL",UPPER(F$3))),"''","null"),SUBSTITUTE(VLOOKUP(F$2,convert!$A$1:$B$4,2,0),"@@@",F780))</f>
        <v>90</v>
      </c>
      <c r="V780" s="4" t="str">
        <f>IF(G780="",IF(ISNUMBER(SEARCH("NOT NULL",UPPER(G$3))),"''","null"),SUBSTITUTE(VLOOKUP(G$2,convert!$A$1:$B$4,2,0),"@@@",G780))</f>
        <v>72</v>
      </c>
      <c r="W780" s="4" t="str">
        <f>IF(H780="",IF(ISNUMBER(SEARCH("NOT NULL",UPPER(H$3))),"''","null"),SUBSTITUTE(VLOOKUP(H$2,convert!$A$1:$B$4,2,0),"@@@",H780))</f>
        <v>108</v>
      </c>
      <c r="X780" s="4" t="str">
        <f>IF(I780="",IF(ISNUMBER(SEARCH("NOT NULL",UPPER(I$3))),"''","null"),SUBSTITUTE(VLOOKUP(I$2,convert!$A$1:$B$4,2,0),"@@@",I780))</f>
        <v>''</v>
      </c>
      <c r="Y780" s="4" t="str">
        <f>IF(J780="",IF(ISNUMBER(SEARCH("NOT NULL",UPPER(J$3))),"''","null"),SUBSTITUTE(VLOOKUP(J$2,convert!$A$1:$B$4,2,0),"@@@",J780))</f>
        <v>'steel'</v>
      </c>
      <c r="Z780" s="4" t="str">
        <f>IF(K780="",IF(ISNUMBER(SEARCH("NOT NULL",UPPER(K$3))),"''","null"),SUBSTITUTE(VLOOKUP(K$2,convert!$A$1:$B$4,2,0),"@@@",K780))</f>
        <v>'fighting'</v>
      </c>
      <c r="AA780" s="4" t="str">
        <f>IF(L780="",IF(ISNUMBER(SEARCH("NOT NULL",UPPER(L$3))),"''","null"),SUBSTITUTE(VLOOKUP(L$2,convert!$A$1:$B$4,2,0),"@@@",L780))</f>
        <v>'g5'</v>
      </c>
      <c r="AB780" s="4" t="str">
        <f>IF(M780="",IF(ISNUMBER(SEARCH("NOT NULL",UPPER(M$3))),"''","null"),SUBSTITUTE(VLOOKUP(M$2,convert!$A$1:$B$4,2,0),"@@@",M780))</f>
        <v>null</v>
      </c>
      <c r="AC780" s="4" t="str">
        <f>IF(N780="",IF(ISNUMBER(SEARCH("NOT NULL",UPPER(N$3))),"''","null"),SUBSTITUTE(VLOOKUP(N$2,convert!$A$1:$B$4,2,0),"@@@",N780))</f>
        <v>null</v>
      </c>
      <c r="AD780" s="4" t="str">
        <f>IF(O780="",IF(ISNUMBER(SEARCH("NOT NULL",UPPER(O$3))),"''","null"),SUBSTITUTE(VLOOKUP(O$2,convert!$A$1:$B$4,2,0),"@@@",O780))</f>
        <v>TRUE</v>
      </c>
      <c r="AE780" s="4" t="str">
        <f t="shared" si="12"/>
        <v>    ('0638N01', 'コバルオン', 91, 90, 129, 90, 72, 108, '', 'steel', 'fighting', 'g5', null, null, TRUE),</v>
      </c>
    </row>
    <row r="781" spans="1:31">
      <c r="A781" s="4" t="s">
        <v>1566</v>
      </c>
      <c r="B781" s="4" t="s">
        <v>1567</v>
      </c>
      <c r="C781" s="5">
        <v>91</v>
      </c>
      <c r="D781" s="5">
        <v>129</v>
      </c>
      <c r="E781" s="5">
        <v>90</v>
      </c>
      <c r="F781" s="5">
        <v>72</v>
      </c>
      <c r="G781" s="5">
        <v>90</v>
      </c>
      <c r="H781" s="5">
        <v>108</v>
      </c>
      <c r="I781" s="5"/>
      <c r="J781" s="4" t="s">
        <v>196</v>
      </c>
      <c r="K781" s="4" t="s">
        <v>189</v>
      </c>
      <c r="L781" s="4" t="s">
        <v>1243</v>
      </c>
      <c r="M781" s="5"/>
      <c r="N781" s="5"/>
      <c r="O781" s="5" t="b">
        <v>1</v>
      </c>
      <c r="P781" s="4" t="str">
        <f>IF(A781="",IF(ISNUMBER(SEARCH("NOT NULL",UPPER(A$3))),"''","null"),SUBSTITUTE(VLOOKUP(A$2,convert!$A$1:$B$4,2,0),"@@@",A781))</f>
        <v>'0639N01'</v>
      </c>
      <c r="Q781" s="4" t="str">
        <f>IF(B781="",IF(ISNUMBER(SEARCH("NOT NULL",UPPER(B$3))),"''","null"),SUBSTITUTE(VLOOKUP(B$2,convert!$A$1:$B$4,2,0),"@@@",B781))</f>
        <v>'テラキオン'</v>
      </c>
      <c r="R781" s="4" t="str">
        <f>IF(C781="",IF(ISNUMBER(SEARCH("NOT NULL",UPPER(C$3))),"''","null"),SUBSTITUTE(VLOOKUP(C$2,convert!$A$1:$B$4,2,0),"@@@",C781))</f>
        <v>91</v>
      </c>
      <c r="S781" s="4" t="str">
        <f>IF(D781="",IF(ISNUMBER(SEARCH("NOT NULL",UPPER(D$3))),"''","null"),SUBSTITUTE(VLOOKUP(D$2,convert!$A$1:$B$4,2,0),"@@@",D781))</f>
        <v>129</v>
      </c>
      <c r="T781" s="4" t="str">
        <f>IF(E781="",IF(ISNUMBER(SEARCH("NOT NULL",UPPER(E$3))),"''","null"),SUBSTITUTE(VLOOKUP(E$2,convert!$A$1:$B$4,2,0),"@@@",E781))</f>
        <v>90</v>
      </c>
      <c r="U781" s="4" t="str">
        <f>IF(F781="",IF(ISNUMBER(SEARCH("NOT NULL",UPPER(F$3))),"''","null"),SUBSTITUTE(VLOOKUP(F$2,convert!$A$1:$B$4,2,0),"@@@",F781))</f>
        <v>72</v>
      </c>
      <c r="V781" s="4" t="str">
        <f>IF(G781="",IF(ISNUMBER(SEARCH("NOT NULL",UPPER(G$3))),"''","null"),SUBSTITUTE(VLOOKUP(G$2,convert!$A$1:$B$4,2,0),"@@@",G781))</f>
        <v>90</v>
      </c>
      <c r="W781" s="4" t="str">
        <f>IF(H781="",IF(ISNUMBER(SEARCH("NOT NULL",UPPER(H$3))),"''","null"),SUBSTITUTE(VLOOKUP(H$2,convert!$A$1:$B$4,2,0),"@@@",H781))</f>
        <v>108</v>
      </c>
      <c r="X781" s="4" t="str">
        <f>IF(I781="",IF(ISNUMBER(SEARCH("NOT NULL",UPPER(I$3))),"''","null"),SUBSTITUTE(VLOOKUP(I$2,convert!$A$1:$B$4,2,0),"@@@",I781))</f>
        <v>''</v>
      </c>
      <c r="Y781" s="4" t="str">
        <f>IF(J781="",IF(ISNUMBER(SEARCH("NOT NULL",UPPER(J$3))),"''","null"),SUBSTITUTE(VLOOKUP(J$2,convert!$A$1:$B$4,2,0),"@@@",J781))</f>
        <v>'rock'</v>
      </c>
      <c r="Z781" s="4" t="str">
        <f>IF(K781="",IF(ISNUMBER(SEARCH("NOT NULL",UPPER(K$3))),"''","null"),SUBSTITUTE(VLOOKUP(K$2,convert!$A$1:$B$4,2,0),"@@@",K781))</f>
        <v>'fighting'</v>
      </c>
      <c r="AA781" s="4" t="str">
        <f>IF(L781="",IF(ISNUMBER(SEARCH("NOT NULL",UPPER(L$3))),"''","null"),SUBSTITUTE(VLOOKUP(L$2,convert!$A$1:$B$4,2,0),"@@@",L781))</f>
        <v>'g5'</v>
      </c>
      <c r="AB781" s="4" t="str">
        <f>IF(M781="",IF(ISNUMBER(SEARCH("NOT NULL",UPPER(M$3))),"''","null"),SUBSTITUTE(VLOOKUP(M$2,convert!$A$1:$B$4,2,0),"@@@",M781))</f>
        <v>null</v>
      </c>
      <c r="AC781" s="4" t="str">
        <f>IF(N781="",IF(ISNUMBER(SEARCH("NOT NULL",UPPER(N$3))),"''","null"),SUBSTITUTE(VLOOKUP(N$2,convert!$A$1:$B$4,2,0),"@@@",N781))</f>
        <v>null</v>
      </c>
      <c r="AD781" s="4" t="str">
        <f>IF(O781="",IF(ISNUMBER(SEARCH("NOT NULL",UPPER(O$3))),"''","null"),SUBSTITUTE(VLOOKUP(O$2,convert!$A$1:$B$4,2,0),"@@@",O781))</f>
        <v>TRUE</v>
      </c>
      <c r="AE781" s="4" t="str">
        <f t="shared" si="12"/>
        <v>    ('0639N01', 'テラキオン', 91, 129, 90, 72, 90, 108, '', 'rock', 'fighting', 'g5', null, null, TRUE),</v>
      </c>
    </row>
    <row r="782" spans="1:31">
      <c r="A782" s="4" t="s">
        <v>1568</v>
      </c>
      <c r="B782" s="4" t="s">
        <v>1569</v>
      </c>
      <c r="C782" s="5">
        <v>91</v>
      </c>
      <c r="D782" s="5">
        <v>90</v>
      </c>
      <c r="E782" s="5">
        <v>72</v>
      </c>
      <c r="F782" s="5">
        <v>90</v>
      </c>
      <c r="G782" s="5">
        <v>129</v>
      </c>
      <c r="H782" s="5">
        <v>108</v>
      </c>
      <c r="I782" s="5"/>
      <c r="J782" s="4" t="s">
        <v>30</v>
      </c>
      <c r="K782" s="4" t="s">
        <v>189</v>
      </c>
      <c r="L782" s="4" t="s">
        <v>1243</v>
      </c>
      <c r="M782" s="5"/>
      <c r="N782" s="5"/>
      <c r="O782" s="5" t="b">
        <v>1</v>
      </c>
      <c r="P782" s="4" t="str">
        <f>IF(A782="",IF(ISNUMBER(SEARCH("NOT NULL",UPPER(A$3))),"''","null"),SUBSTITUTE(VLOOKUP(A$2,convert!$A$1:$B$4,2,0),"@@@",A782))</f>
        <v>'0640N01'</v>
      </c>
      <c r="Q782" s="4" t="str">
        <f>IF(B782="",IF(ISNUMBER(SEARCH("NOT NULL",UPPER(B$3))),"''","null"),SUBSTITUTE(VLOOKUP(B$2,convert!$A$1:$B$4,2,0),"@@@",B782))</f>
        <v>'ビリジオン'</v>
      </c>
      <c r="R782" s="4" t="str">
        <f>IF(C782="",IF(ISNUMBER(SEARCH("NOT NULL",UPPER(C$3))),"''","null"),SUBSTITUTE(VLOOKUP(C$2,convert!$A$1:$B$4,2,0),"@@@",C782))</f>
        <v>91</v>
      </c>
      <c r="S782" s="4" t="str">
        <f>IF(D782="",IF(ISNUMBER(SEARCH("NOT NULL",UPPER(D$3))),"''","null"),SUBSTITUTE(VLOOKUP(D$2,convert!$A$1:$B$4,2,0),"@@@",D782))</f>
        <v>90</v>
      </c>
      <c r="T782" s="4" t="str">
        <f>IF(E782="",IF(ISNUMBER(SEARCH("NOT NULL",UPPER(E$3))),"''","null"),SUBSTITUTE(VLOOKUP(E$2,convert!$A$1:$B$4,2,0),"@@@",E782))</f>
        <v>72</v>
      </c>
      <c r="U782" s="4" t="str">
        <f>IF(F782="",IF(ISNUMBER(SEARCH("NOT NULL",UPPER(F$3))),"''","null"),SUBSTITUTE(VLOOKUP(F$2,convert!$A$1:$B$4,2,0),"@@@",F782))</f>
        <v>90</v>
      </c>
      <c r="V782" s="4" t="str">
        <f>IF(G782="",IF(ISNUMBER(SEARCH("NOT NULL",UPPER(G$3))),"''","null"),SUBSTITUTE(VLOOKUP(G$2,convert!$A$1:$B$4,2,0),"@@@",G782))</f>
        <v>129</v>
      </c>
      <c r="W782" s="4" t="str">
        <f>IF(H782="",IF(ISNUMBER(SEARCH("NOT NULL",UPPER(H$3))),"''","null"),SUBSTITUTE(VLOOKUP(H$2,convert!$A$1:$B$4,2,0),"@@@",H782))</f>
        <v>108</v>
      </c>
      <c r="X782" s="4" t="str">
        <f>IF(I782="",IF(ISNUMBER(SEARCH("NOT NULL",UPPER(I$3))),"''","null"),SUBSTITUTE(VLOOKUP(I$2,convert!$A$1:$B$4,2,0),"@@@",I782))</f>
        <v>''</v>
      </c>
      <c r="Y782" s="4" t="str">
        <f>IF(J782="",IF(ISNUMBER(SEARCH("NOT NULL",UPPER(J$3))),"''","null"),SUBSTITUTE(VLOOKUP(J$2,convert!$A$1:$B$4,2,0),"@@@",J782))</f>
        <v>'grass'</v>
      </c>
      <c r="Z782" s="4" t="str">
        <f>IF(K782="",IF(ISNUMBER(SEARCH("NOT NULL",UPPER(K$3))),"''","null"),SUBSTITUTE(VLOOKUP(K$2,convert!$A$1:$B$4,2,0),"@@@",K782))</f>
        <v>'fighting'</v>
      </c>
      <c r="AA782" s="4" t="str">
        <f>IF(L782="",IF(ISNUMBER(SEARCH("NOT NULL",UPPER(L$3))),"''","null"),SUBSTITUTE(VLOOKUP(L$2,convert!$A$1:$B$4,2,0),"@@@",L782))</f>
        <v>'g5'</v>
      </c>
      <c r="AB782" s="4" t="str">
        <f>IF(M782="",IF(ISNUMBER(SEARCH("NOT NULL",UPPER(M$3))),"''","null"),SUBSTITUTE(VLOOKUP(M$2,convert!$A$1:$B$4,2,0),"@@@",M782))</f>
        <v>null</v>
      </c>
      <c r="AC782" s="4" t="str">
        <f>IF(N782="",IF(ISNUMBER(SEARCH("NOT NULL",UPPER(N$3))),"''","null"),SUBSTITUTE(VLOOKUP(N$2,convert!$A$1:$B$4,2,0),"@@@",N782))</f>
        <v>null</v>
      </c>
      <c r="AD782" s="4" t="str">
        <f>IF(O782="",IF(ISNUMBER(SEARCH("NOT NULL",UPPER(O$3))),"''","null"),SUBSTITUTE(VLOOKUP(O$2,convert!$A$1:$B$4,2,0),"@@@",O782))</f>
        <v>TRUE</v>
      </c>
      <c r="AE782" s="4" t="str">
        <f t="shared" si="12"/>
        <v>    ('0640N01', 'ビリジオン', 91, 90, 72, 90, 129, 108, '', 'grass', 'fighting', 'g5', null, null, TRUE),</v>
      </c>
    </row>
    <row r="783" spans="1:31">
      <c r="A783" s="4" t="s">
        <v>1570</v>
      </c>
      <c r="B783" s="4" t="s">
        <v>1571</v>
      </c>
      <c r="C783" s="5">
        <v>79</v>
      </c>
      <c r="D783" s="5">
        <v>115</v>
      </c>
      <c r="E783" s="5">
        <v>70</v>
      </c>
      <c r="F783" s="5">
        <v>125</v>
      </c>
      <c r="G783" s="5">
        <v>80</v>
      </c>
      <c r="H783" s="5">
        <v>111</v>
      </c>
      <c r="I783" s="4" t="s">
        <v>1572</v>
      </c>
      <c r="J783" s="4" t="s">
        <v>47</v>
      </c>
      <c r="K783" s="5"/>
      <c r="L783" s="4" t="s">
        <v>1243</v>
      </c>
      <c r="M783" s="5"/>
      <c r="N783" s="5"/>
      <c r="O783" s="5" t="b">
        <v>1</v>
      </c>
      <c r="P783" s="4" t="str">
        <f>IF(A783="",IF(ISNUMBER(SEARCH("NOT NULL",UPPER(A$3))),"''","null"),SUBSTITUTE(VLOOKUP(A$2,convert!$A$1:$B$4,2,0),"@@@",A783))</f>
        <v>'0641N01'</v>
      </c>
      <c r="Q783" s="4" t="str">
        <f>IF(B783="",IF(ISNUMBER(SEARCH("NOT NULL",UPPER(B$3))),"''","null"),SUBSTITUTE(VLOOKUP(B$2,convert!$A$1:$B$4,2,0),"@@@",B783))</f>
        <v>'トルネロス'</v>
      </c>
      <c r="R783" s="4" t="str">
        <f>IF(C783="",IF(ISNUMBER(SEARCH("NOT NULL",UPPER(C$3))),"''","null"),SUBSTITUTE(VLOOKUP(C$2,convert!$A$1:$B$4,2,0),"@@@",C783))</f>
        <v>79</v>
      </c>
      <c r="S783" s="4" t="str">
        <f>IF(D783="",IF(ISNUMBER(SEARCH("NOT NULL",UPPER(D$3))),"''","null"),SUBSTITUTE(VLOOKUP(D$2,convert!$A$1:$B$4,2,0),"@@@",D783))</f>
        <v>115</v>
      </c>
      <c r="T783" s="4" t="str">
        <f>IF(E783="",IF(ISNUMBER(SEARCH("NOT NULL",UPPER(E$3))),"''","null"),SUBSTITUTE(VLOOKUP(E$2,convert!$A$1:$B$4,2,0),"@@@",E783))</f>
        <v>70</v>
      </c>
      <c r="U783" s="4" t="str">
        <f>IF(F783="",IF(ISNUMBER(SEARCH("NOT NULL",UPPER(F$3))),"''","null"),SUBSTITUTE(VLOOKUP(F$2,convert!$A$1:$B$4,2,0),"@@@",F783))</f>
        <v>125</v>
      </c>
      <c r="V783" s="4" t="str">
        <f>IF(G783="",IF(ISNUMBER(SEARCH("NOT NULL",UPPER(G$3))),"''","null"),SUBSTITUTE(VLOOKUP(G$2,convert!$A$1:$B$4,2,0),"@@@",G783))</f>
        <v>80</v>
      </c>
      <c r="W783" s="4" t="str">
        <f>IF(H783="",IF(ISNUMBER(SEARCH("NOT NULL",UPPER(H$3))),"''","null"),SUBSTITUTE(VLOOKUP(H$2,convert!$A$1:$B$4,2,0),"@@@",H783))</f>
        <v>111</v>
      </c>
      <c r="X783" s="4" t="str">
        <f>IF(I783="",IF(ISNUMBER(SEARCH("NOT NULL",UPPER(I$3))),"''","null"),SUBSTITUTE(VLOOKUP(I$2,convert!$A$1:$B$4,2,0),"@@@",I783))</f>
        <v>'けしんフォルム'</v>
      </c>
      <c r="Y783" s="4" t="str">
        <f>IF(J783="",IF(ISNUMBER(SEARCH("NOT NULL",UPPER(J$3))),"''","null"),SUBSTITUTE(VLOOKUP(J$2,convert!$A$1:$B$4,2,0),"@@@",J783))</f>
        <v>'flying'</v>
      </c>
      <c r="Z783" s="4" t="str">
        <f>IF(K783="",IF(ISNUMBER(SEARCH("NOT NULL",UPPER(K$3))),"''","null"),SUBSTITUTE(VLOOKUP(K$2,convert!$A$1:$B$4,2,0),"@@@",K783))</f>
        <v>null</v>
      </c>
      <c r="AA783" s="4" t="str">
        <f>IF(L783="",IF(ISNUMBER(SEARCH("NOT NULL",UPPER(L$3))),"''","null"),SUBSTITUTE(VLOOKUP(L$2,convert!$A$1:$B$4,2,0),"@@@",L783))</f>
        <v>'g5'</v>
      </c>
      <c r="AB783" s="4" t="str">
        <f>IF(M783="",IF(ISNUMBER(SEARCH("NOT NULL",UPPER(M$3))),"''","null"),SUBSTITUTE(VLOOKUP(M$2,convert!$A$1:$B$4,2,0),"@@@",M783))</f>
        <v>null</v>
      </c>
      <c r="AC783" s="4" t="str">
        <f>IF(N783="",IF(ISNUMBER(SEARCH("NOT NULL",UPPER(N$3))),"''","null"),SUBSTITUTE(VLOOKUP(N$2,convert!$A$1:$B$4,2,0),"@@@",N783))</f>
        <v>null</v>
      </c>
      <c r="AD783" s="4" t="str">
        <f>IF(O783="",IF(ISNUMBER(SEARCH("NOT NULL",UPPER(O$3))),"''","null"),SUBSTITUTE(VLOOKUP(O$2,convert!$A$1:$B$4,2,0),"@@@",O783))</f>
        <v>TRUE</v>
      </c>
      <c r="AE783" s="4" t="str">
        <f t="shared" si="12"/>
        <v>    ('0641N01', 'トルネロス', 79, 115, 70, 125, 80, 111, 'けしんフォルム', 'flying', null, 'g5', null, null, TRUE),</v>
      </c>
    </row>
    <row r="784" spans="1:31">
      <c r="A784" s="4" t="s">
        <v>1573</v>
      </c>
      <c r="B784" s="4" t="s">
        <v>1571</v>
      </c>
      <c r="C784" s="5">
        <v>79</v>
      </c>
      <c r="D784" s="5">
        <v>100</v>
      </c>
      <c r="E784" s="5">
        <v>80</v>
      </c>
      <c r="F784" s="5">
        <v>110</v>
      </c>
      <c r="G784" s="5">
        <v>90</v>
      </c>
      <c r="H784" s="5">
        <v>121</v>
      </c>
      <c r="I784" s="4" t="s">
        <v>1574</v>
      </c>
      <c r="J784" s="4" t="s">
        <v>47</v>
      </c>
      <c r="K784" s="5"/>
      <c r="L784" s="4" t="s">
        <v>1243</v>
      </c>
      <c r="M784" s="5"/>
      <c r="N784" s="5"/>
      <c r="O784" s="5" t="b">
        <v>1</v>
      </c>
      <c r="P784" s="4" t="str">
        <f>IF(A784="",IF(ISNUMBER(SEARCH("NOT NULL",UPPER(A$3))),"''","null"),SUBSTITUTE(VLOOKUP(A$2,convert!$A$1:$B$4,2,0),"@@@",A784))</f>
        <v>'0641N02'</v>
      </c>
      <c r="Q784" s="4" t="str">
        <f>IF(B784="",IF(ISNUMBER(SEARCH("NOT NULL",UPPER(B$3))),"''","null"),SUBSTITUTE(VLOOKUP(B$2,convert!$A$1:$B$4,2,0),"@@@",B784))</f>
        <v>'トルネロス'</v>
      </c>
      <c r="R784" s="4" t="str">
        <f>IF(C784="",IF(ISNUMBER(SEARCH("NOT NULL",UPPER(C$3))),"''","null"),SUBSTITUTE(VLOOKUP(C$2,convert!$A$1:$B$4,2,0),"@@@",C784))</f>
        <v>79</v>
      </c>
      <c r="S784" s="4" t="str">
        <f>IF(D784="",IF(ISNUMBER(SEARCH("NOT NULL",UPPER(D$3))),"''","null"),SUBSTITUTE(VLOOKUP(D$2,convert!$A$1:$B$4,2,0),"@@@",D784))</f>
        <v>100</v>
      </c>
      <c r="T784" s="4" t="str">
        <f>IF(E784="",IF(ISNUMBER(SEARCH("NOT NULL",UPPER(E$3))),"''","null"),SUBSTITUTE(VLOOKUP(E$2,convert!$A$1:$B$4,2,0),"@@@",E784))</f>
        <v>80</v>
      </c>
      <c r="U784" s="4" t="str">
        <f>IF(F784="",IF(ISNUMBER(SEARCH("NOT NULL",UPPER(F$3))),"''","null"),SUBSTITUTE(VLOOKUP(F$2,convert!$A$1:$B$4,2,0),"@@@",F784))</f>
        <v>110</v>
      </c>
      <c r="V784" s="4" t="str">
        <f>IF(G784="",IF(ISNUMBER(SEARCH("NOT NULL",UPPER(G$3))),"''","null"),SUBSTITUTE(VLOOKUP(G$2,convert!$A$1:$B$4,2,0),"@@@",G784))</f>
        <v>90</v>
      </c>
      <c r="W784" s="4" t="str">
        <f>IF(H784="",IF(ISNUMBER(SEARCH("NOT NULL",UPPER(H$3))),"''","null"),SUBSTITUTE(VLOOKUP(H$2,convert!$A$1:$B$4,2,0),"@@@",H784))</f>
        <v>121</v>
      </c>
      <c r="X784" s="4" t="str">
        <f>IF(I784="",IF(ISNUMBER(SEARCH("NOT NULL",UPPER(I$3))),"''","null"),SUBSTITUTE(VLOOKUP(I$2,convert!$A$1:$B$4,2,0),"@@@",I784))</f>
        <v>'れいじゅうフォルム'</v>
      </c>
      <c r="Y784" s="4" t="str">
        <f>IF(J784="",IF(ISNUMBER(SEARCH("NOT NULL",UPPER(J$3))),"''","null"),SUBSTITUTE(VLOOKUP(J$2,convert!$A$1:$B$4,2,0),"@@@",J784))</f>
        <v>'flying'</v>
      </c>
      <c r="Z784" s="4" t="str">
        <f>IF(K784="",IF(ISNUMBER(SEARCH("NOT NULL",UPPER(K$3))),"''","null"),SUBSTITUTE(VLOOKUP(K$2,convert!$A$1:$B$4,2,0),"@@@",K784))</f>
        <v>null</v>
      </c>
      <c r="AA784" s="4" t="str">
        <f>IF(L784="",IF(ISNUMBER(SEARCH("NOT NULL",UPPER(L$3))),"''","null"),SUBSTITUTE(VLOOKUP(L$2,convert!$A$1:$B$4,2,0),"@@@",L784))</f>
        <v>'g5'</v>
      </c>
      <c r="AB784" s="4" t="str">
        <f>IF(M784="",IF(ISNUMBER(SEARCH("NOT NULL",UPPER(M$3))),"''","null"),SUBSTITUTE(VLOOKUP(M$2,convert!$A$1:$B$4,2,0),"@@@",M784))</f>
        <v>null</v>
      </c>
      <c r="AC784" s="4" t="str">
        <f>IF(N784="",IF(ISNUMBER(SEARCH("NOT NULL",UPPER(N$3))),"''","null"),SUBSTITUTE(VLOOKUP(N$2,convert!$A$1:$B$4,2,0),"@@@",N784))</f>
        <v>null</v>
      </c>
      <c r="AD784" s="4" t="str">
        <f>IF(O784="",IF(ISNUMBER(SEARCH("NOT NULL",UPPER(O$3))),"''","null"),SUBSTITUTE(VLOOKUP(O$2,convert!$A$1:$B$4,2,0),"@@@",O784))</f>
        <v>TRUE</v>
      </c>
      <c r="AE784" s="4" t="str">
        <f t="shared" si="12"/>
        <v>    ('0641N02', 'トルネロス', 79, 100, 80, 110, 90, 121, 'れいじゅうフォルム', 'flying', null, 'g5', null, null, TRUE),</v>
      </c>
    </row>
    <row r="785" spans="1:31">
      <c r="A785" s="4" t="s">
        <v>1575</v>
      </c>
      <c r="B785" s="4" t="s">
        <v>1576</v>
      </c>
      <c r="C785" s="5">
        <v>79</v>
      </c>
      <c r="D785" s="5">
        <v>115</v>
      </c>
      <c r="E785" s="5">
        <v>70</v>
      </c>
      <c r="F785" s="5">
        <v>125</v>
      </c>
      <c r="G785" s="5">
        <v>80</v>
      </c>
      <c r="H785" s="5">
        <v>111</v>
      </c>
      <c r="I785" s="4" t="s">
        <v>1572</v>
      </c>
      <c r="J785" s="4" t="s">
        <v>106</v>
      </c>
      <c r="K785" s="4" t="s">
        <v>47</v>
      </c>
      <c r="L785" s="4" t="s">
        <v>1243</v>
      </c>
      <c r="M785" s="5"/>
      <c r="N785" s="5"/>
      <c r="O785" s="5" t="b">
        <v>1</v>
      </c>
      <c r="P785" s="4" t="str">
        <f>IF(A785="",IF(ISNUMBER(SEARCH("NOT NULL",UPPER(A$3))),"''","null"),SUBSTITUTE(VLOOKUP(A$2,convert!$A$1:$B$4,2,0),"@@@",A785))</f>
        <v>'0642N01'</v>
      </c>
      <c r="Q785" s="4" t="str">
        <f>IF(B785="",IF(ISNUMBER(SEARCH("NOT NULL",UPPER(B$3))),"''","null"),SUBSTITUTE(VLOOKUP(B$2,convert!$A$1:$B$4,2,0),"@@@",B785))</f>
        <v>'ボルトロス'</v>
      </c>
      <c r="R785" s="4" t="str">
        <f>IF(C785="",IF(ISNUMBER(SEARCH("NOT NULL",UPPER(C$3))),"''","null"),SUBSTITUTE(VLOOKUP(C$2,convert!$A$1:$B$4,2,0),"@@@",C785))</f>
        <v>79</v>
      </c>
      <c r="S785" s="4" t="str">
        <f>IF(D785="",IF(ISNUMBER(SEARCH("NOT NULL",UPPER(D$3))),"''","null"),SUBSTITUTE(VLOOKUP(D$2,convert!$A$1:$B$4,2,0),"@@@",D785))</f>
        <v>115</v>
      </c>
      <c r="T785" s="4" t="str">
        <f>IF(E785="",IF(ISNUMBER(SEARCH("NOT NULL",UPPER(E$3))),"''","null"),SUBSTITUTE(VLOOKUP(E$2,convert!$A$1:$B$4,2,0),"@@@",E785))</f>
        <v>70</v>
      </c>
      <c r="U785" s="4" t="str">
        <f>IF(F785="",IF(ISNUMBER(SEARCH("NOT NULL",UPPER(F$3))),"''","null"),SUBSTITUTE(VLOOKUP(F$2,convert!$A$1:$B$4,2,0),"@@@",F785))</f>
        <v>125</v>
      </c>
      <c r="V785" s="4" t="str">
        <f>IF(G785="",IF(ISNUMBER(SEARCH("NOT NULL",UPPER(G$3))),"''","null"),SUBSTITUTE(VLOOKUP(G$2,convert!$A$1:$B$4,2,0),"@@@",G785))</f>
        <v>80</v>
      </c>
      <c r="W785" s="4" t="str">
        <f>IF(H785="",IF(ISNUMBER(SEARCH("NOT NULL",UPPER(H$3))),"''","null"),SUBSTITUTE(VLOOKUP(H$2,convert!$A$1:$B$4,2,0),"@@@",H785))</f>
        <v>111</v>
      </c>
      <c r="X785" s="4" t="str">
        <f>IF(I785="",IF(ISNUMBER(SEARCH("NOT NULL",UPPER(I$3))),"''","null"),SUBSTITUTE(VLOOKUP(I$2,convert!$A$1:$B$4,2,0),"@@@",I785))</f>
        <v>'けしんフォルム'</v>
      </c>
      <c r="Y785" s="4" t="str">
        <f>IF(J785="",IF(ISNUMBER(SEARCH("NOT NULL",UPPER(J$3))),"''","null"),SUBSTITUTE(VLOOKUP(J$2,convert!$A$1:$B$4,2,0),"@@@",J785))</f>
        <v>'electric'</v>
      </c>
      <c r="Z785" s="4" t="str">
        <f>IF(K785="",IF(ISNUMBER(SEARCH("NOT NULL",UPPER(K$3))),"''","null"),SUBSTITUTE(VLOOKUP(K$2,convert!$A$1:$B$4,2,0),"@@@",K785))</f>
        <v>'flying'</v>
      </c>
      <c r="AA785" s="4" t="str">
        <f>IF(L785="",IF(ISNUMBER(SEARCH("NOT NULL",UPPER(L$3))),"''","null"),SUBSTITUTE(VLOOKUP(L$2,convert!$A$1:$B$4,2,0),"@@@",L785))</f>
        <v>'g5'</v>
      </c>
      <c r="AB785" s="4" t="str">
        <f>IF(M785="",IF(ISNUMBER(SEARCH("NOT NULL",UPPER(M$3))),"''","null"),SUBSTITUTE(VLOOKUP(M$2,convert!$A$1:$B$4,2,0),"@@@",M785))</f>
        <v>null</v>
      </c>
      <c r="AC785" s="4" t="str">
        <f>IF(N785="",IF(ISNUMBER(SEARCH("NOT NULL",UPPER(N$3))),"''","null"),SUBSTITUTE(VLOOKUP(N$2,convert!$A$1:$B$4,2,0),"@@@",N785))</f>
        <v>null</v>
      </c>
      <c r="AD785" s="4" t="str">
        <f>IF(O785="",IF(ISNUMBER(SEARCH("NOT NULL",UPPER(O$3))),"''","null"),SUBSTITUTE(VLOOKUP(O$2,convert!$A$1:$B$4,2,0),"@@@",O785))</f>
        <v>TRUE</v>
      </c>
      <c r="AE785" s="4" t="str">
        <f t="shared" si="12"/>
        <v>    ('0642N01', 'ボルトロス', 79, 115, 70, 125, 80, 111, 'けしんフォルム', 'electric', 'flying', 'g5', null, null, TRUE),</v>
      </c>
    </row>
    <row r="786" spans="1:31">
      <c r="A786" s="4" t="s">
        <v>1577</v>
      </c>
      <c r="B786" s="4" t="s">
        <v>1576</v>
      </c>
      <c r="C786" s="5">
        <v>79</v>
      </c>
      <c r="D786" s="5">
        <v>105</v>
      </c>
      <c r="E786" s="5">
        <v>70</v>
      </c>
      <c r="F786" s="5">
        <v>145</v>
      </c>
      <c r="G786" s="5">
        <v>80</v>
      </c>
      <c r="H786" s="5">
        <v>101</v>
      </c>
      <c r="I786" s="4" t="s">
        <v>1574</v>
      </c>
      <c r="J786" s="4" t="s">
        <v>106</v>
      </c>
      <c r="K786" s="4" t="s">
        <v>47</v>
      </c>
      <c r="L786" s="4" t="s">
        <v>1243</v>
      </c>
      <c r="M786" s="5"/>
      <c r="N786" s="5"/>
      <c r="O786" s="5" t="b">
        <v>1</v>
      </c>
      <c r="P786" s="4" t="str">
        <f>IF(A786="",IF(ISNUMBER(SEARCH("NOT NULL",UPPER(A$3))),"''","null"),SUBSTITUTE(VLOOKUP(A$2,convert!$A$1:$B$4,2,0),"@@@",A786))</f>
        <v>'0642N02'</v>
      </c>
      <c r="Q786" s="4" t="str">
        <f>IF(B786="",IF(ISNUMBER(SEARCH("NOT NULL",UPPER(B$3))),"''","null"),SUBSTITUTE(VLOOKUP(B$2,convert!$A$1:$B$4,2,0),"@@@",B786))</f>
        <v>'ボルトロス'</v>
      </c>
      <c r="R786" s="4" t="str">
        <f>IF(C786="",IF(ISNUMBER(SEARCH("NOT NULL",UPPER(C$3))),"''","null"),SUBSTITUTE(VLOOKUP(C$2,convert!$A$1:$B$4,2,0),"@@@",C786))</f>
        <v>79</v>
      </c>
      <c r="S786" s="4" t="str">
        <f>IF(D786="",IF(ISNUMBER(SEARCH("NOT NULL",UPPER(D$3))),"''","null"),SUBSTITUTE(VLOOKUP(D$2,convert!$A$1:$B$4,2,0),"@@@",D786))</f>
        <v>105</v>
      </c>
      <c r="T786" s="4" t="str">
        <f>IF(E786="",IF(ISNUMBER(SEARCH("NOT NULL",UPPER(E$3))),"''","null"),SUBSTITUTE(VLOOKUP(E$2,convert!$A$1:$B$4,2,0),"@@@",E786))</f>
        <v>70</v>
      </c>
      <c r="U786" s="4" t="str">
        <f>IF(F786="",IF(ISNUMBER(SEARCH("NOT NULL",UPPER(F$3))),"''","null"),SUBSTITUTE(VLOOKUP(F$2,convert!$A$1:$B$4,2,0),"@@@",F786))</f>
        <v>145</v>
      </c>
      <c r="V786" s="4" t="str">
        <f>IF(G786="",IF(ISNUMBER(SEARCH("NOT NULL",UPPER(G$3))),"''","null"),SUBSTITUTE(VLOOKUP(G$2,convert!$A$1:$B$4,2,0),"@@@",G786))</f>
        <v>80</v>
      </c>
      <c r="W786" s="4" t="str">
        <f>IF(H786="",IF(ISNUMBER(SEARCH("NOT NULL",UPPER(H$3))),"''","null"),SUBSTITUTE(VLOOKUP(H$2,convert!$A$1:$B$4,2,0),"@@@",H786))</f>
        <v>101</v>
      </c>
      <c r="X786" s="4" t="str">
        <f>IF(I786="",IF(ISNUMBER(SEARCH("NOT NULL",UPPER(I$3))),"''","null"),SUBSTITUTE(VLOOKUP(I$2,convert!$A$1:$B$4,2,0),"@@@",I786))</f>
        <v>'れいじゅうフォルム'</v>
      </c>
      <c r="Y786" s="4" t="str">
        <f>IF(J786="",IF(ISNUMBER(SEARCH("NOT NULL",UPPER(J$3))),"''","null"),SUBSTITUTE(VLOOKUP(J$2,convert!$A$1:$B$4,2,0),"@@@",J786))</f>
        <v>'electric'</v>
      </c>
      <c r="Z786" s="4" t="str">
        <f>IF(K786="",IF(ISNUMBER(SEARCH("NOT NULL",UPPER(K$3))),"''","null"),SUBSTITUTE(VLOOKUP(K$2,convert!$A$1:$B$4,2,0),"@@@",K786))</f>
        <v>'flying'</v>
      </c>
      <c r="AA786" s="4" t="str">
        <f>IF(L786="",IF(ISNUMBER(SEARCH("NOT NULL",UPPER(L$3))),"''","null"),SUBSTITUTE(VLOOKUP(L$2,convert!$A$1:$B$4,2,0),"@@@",L786))</f>
        <v>'g5'</v>
      </c>
      <c r="AB786" s="4" t="str">
        <f>IF(M786="",IF(ISNUMBER(SEARCH("NOT NULL",UPPER(M$3))),"''","null"),SUBSTITUTE(VLOOKUP(M$2,convert!$A$1:$B$4,2,0),"@@@",M786))</f>
        <v>null</v>
      </c>
      <c r="AC786" s="4" t="str">
        <f>IF(N786="",IF(ISNUMBER(SEARCH("NOT NULL",UPPER(N$3))),"''","null"),SUBSTITUTE(VLOOKUP(N$2,convert!$A$1:$B$4,2,0),"@@@",N786))</f>
        <v>null</v>
      </c>
      <c r="AD786" s="4" t="str">
        <f>IF(O786="",IF(ISNUMBER(SEARCH("NOT NULL",UPPER(O$3))),"''","null"),SUBSTITUTE(VLOOKUP(O$2,convert!$A$1:$B$4,2,0),"@@@",O786))</f>
        <v>TRUE</v>
      </c>
      <c r="AE786" s="4" t="str">
        <f t="shared" si="12"/>
        <v>    ('0642N02', 'ボルトロス', 79, 105, 70, 145, 80, 101, 'れいじゅうフォルム', 'electric', 'flying', 'g5', null, null, TRUE),</v>
      </c>
    </row>
    <row r="787" spans="1:31">
      <c r="A787" s="4" t="s">
        <v>1578</v>
      </c>
      <c r="B787" s="4" t="s">
        <v>1579</v>
      </c>
      <c r="C787" s="5">
        <v>100</v>
      </c>
      <c r="D787" s="5">
        <v>120</v>
      </c>
      <c r="E787" s="5">
        <v>100</v>
      </c>
      <c r="F787" s="5">
        <v>150</v>
      </c>
      <c r="G787" s="5">
        <v>120</v>
      </c>
      <c r="H787" s="5">
        <v>90</v>
      </c>
      <c r="I787" s="5"/>
      <c r="J787" s="4" t="s">
        <v>50</v>
      </c>
      <c r="K787" s="4" t="s">
        <v>42</v>
      </c>
      <c r="L787" s="4" t="s">
        <v>1243</v>
      </c>
      <c r="M787" s="5"/>
      <c r="N787" s="5"/>
      <c r="O787" s="5" t="b">
        <v>1</v>
      </c>
      <c r="P787" s="4" t="str">
        <f>IF(A787="",IF(ISNUMBER(SEARCH("NOT NULL",UPPER(A$3))),"''","null"),SUBSTITUTE(VLOOKUP(A$2,convert!$A$1:$B$4,2,0),"@@@",A787))</f>
        <v>'0643N01'</v>
      </c>
      <c r="Q787" s="4" t="str">
        <f>IF(B787="",IF(ISNUMBER(SEARCH("NOT NULL",UPPER(B$3))),"''","null"),SUBSTITUTE(VLOOKUP(B$2,convert!$A$1:$B$4,2,0),"@@@",B787))</f>
        <v>'レシラム'</v>
      </c>
      <c r="R787" s="4" t="str">
        <f>IF(C787="",IF(ISNUMBER(SEARCH("NOT NULL",UPPER(C$3))),"''","null"),SUBSTITUTE(VLOOKUP(C$2,convert!$A$1:$B$4,2,0),"@@@",C787))</f>
        <v>100</v>
      </c>
      <c r="S787" s="4" t="str">
        <f>IF(D787="",IF(ISNUMBER(SEARCH("NOT NULL",UPPER(D$3))),"''","null"),SUBSTITUTE(VLOOKUP(D$2,convert!$A$1:$B$4,2,0),"@@@",D787))</f>
        <v>120</v>
      </c>
      <c r="T787" s="4" t="str">
        <f>IF(E787="",IF(ISNUMBER(SEARCH("NOT NULL",UPPER(E$3))),"''","null"),SUBSTITUTE(VLOOKUP(E$2,convert!$A$1:$B$4,2,0),"@@@",E787))</f>
        <v>100</v>
      </c>
      <c r="U787" s="4" t="str">
        <f>IF(F787="",IF(ISNUMBER(SEARCH("NOT NULL",UPPER(F$3))),"''","null"),SUBSTITUTE(VLOOKUP(F$2,convert!$A$1:$B$4,2,0),"@@@",F787))</f>
        <v>150</v>
      </c>
      <c r="V787" s="4" t="str">
        <f>IF(G787="",IF(ISNUMBER(SEARCH("NOT NULL",UPPER(G$3))),"''","null"),SUBSTITUTE(VLOOKUP(G$2,convert!$A$1:$B$4,2,0),"@@@",G787))</f>
        <v>120</v>
      </c>
      <c r="W787" s="4" t="str">
        <f>IF(H787="",IF(ISNUMBER(SEARCH("NOT NULL",UPPER(H$3))),"''","null"),SUBSTITUTE(VLOOKUP(H$2,convert!$A$1:$B$4,2,0),"@@@",H787))</f>
        <v>90</v>
      </c>
      <c r="X787" s="4" t="str">
        <f>IF(I787="",IF(ISNUMBER(SEARCH("NOT NULL",UPPER(I$3))),"''","null"),SUBSTITUTE(VLOOKUP(I$2,convert!$A$1:$B$4,2,0),"@@@",I787))</f>
        <v>''</v>
      </c>
      <c r="Y787" s="4" t="str">
        <f>IF(J787="",IF(ISNUMBER(SEARCH("NOT NULL",UPPER(J$3))),"''","null"),SUBSTITUTE(VLOOKUP(J$2,convert!$A$1:$B$4,2,0),"@@@",J787))</f>
        <v>'dragon'</v>
      </c>
      <c r="Z787" s="4" t="str">
        <f>IF(K787="",IF(ISNUMBER(SEARCH("NOT NULL",UPPER(K$3))),"''","null"),SUBSTITUTE(VLOOKUP(K$2,convert!$A$1:$B$4,2,0),"@@@",K787))</f>
        <v>'fire'</v>
      </c>
      <c r="AA787" s="4" t="str">
        <f>IF(L787="",IF(ISNUMBER(SEARCH("NOT NULL",UPPER(L$3))),"''","null"),SUBSTITUTE(VLOOKUP(L$2,convert!$A$1:$B$4,2,0),"@@@",L787))</f>
        <v>'g5'</v>
      </c>
      <c r="AB787" s="4" t="str">
        <f>IF(M787="",IF(ISNUMBER(SEARCH("NOT NULL",UPPER(M$3))),"''","null"),SUBSTITUTE(VLOOKUP(M$2,convert!$A$1:$B$4,2,0),"@@@",M787))</f>
        <v>null</v>
      </c>
      <c r="AC787" s="4" t="str">
        <f>IF(N787="",IF(ISNUMBER(SEARCH("NOT NULL",UPPER(N$3))),"''","null"),SUBSTITUTE(VLOOKUP(N$2,convert!$A$1:$B$4,2,0),"@@@",N787))</f>
        <v>null</v>
      </c>
      <c r="AD787" s="4" t="str">
        <f>IF(O787="",IF(ISNUMBER(SEARCH("NOT NULL",UPPER(O$3))),"''","null"),SUBSTITUTE(VLOOKUP(O$2,convert!$A$1:$B$4,2,0),"@@@",O787))</f>
        <v>TRUE</v>
      </c>
      <c r="AE787" s="4" t="str">
        <f t="shared" si="12"/>
        <v>    ('0643N01', 'レシラム', 100, 120, 100, 150, 120, 90, '', 'dragon', 'fire', 'g5', null, null, TRUE),</v>
      </c>
    </row>
    <row r="788" spans="1:31">
      <c r="A788" s="4" t="s">
        <v>1580</v>
      </c>
      <c r="B788" s="4" t="s">
        <v>1581</v>
      </c>
      <c r="C788" s="5">
        <v>100</v>
      </c>
      <c r="D788" s="5">
        <v>150</v>
      </c>
      <c r="E788" s="5">
        <v>120</v>
      </c>
      <c r="F788" s="5">
        <v>120</v>
      </c>
      <c r="G788" s="5">
        <v>100</v>
      </c>
      <c r="H788" s="5">
        <v>90</v>
      </c>
      <c r="I788" s="5"/>
      <c r="J788" s="4" t="s">
        <v>50</v>
      </c>
      <c r="K788" s="4" t="s">
        <v>106</v>
      </c>
      <c r="L788" s="4" t="s">
        <v>1243</v>
      </c>
      <c r="M788" s="5"/>
      <c r="N788" s="5"/>
      <c r="O788" s="5" t="b">
        <v>1</v>
      </c>
      <c r="P788" s="4" t="str">
        <f>IF(A788="",IF(ISNUMBER(SEARCH("NOT NULL",UPPER(A$3))),"''","null"),SUBSTITUTE(VLOOKUP(A$2,convert!$A$1:$B$4,2,0),"@@@",A788))</f>
        <v>'0644N01'</v>
      </c>
      <c r="Q788" s="4" t="str">
        <f>IF(B788="",IF(ISNUMBER(SEARCH("NOT NULL",UPPER(B$3))),"''","null"),SUBSTITUTE(VLOOKUP(B$2,convert!$A$1:$B$4,2,0),"@@@",B788))</f>
        <v>'ゼクロム'</v>
      </c>
      <c r="R788" s="4" t="str">
        <f>IF(C788="",IF(ISNUMBER(SEARCH("NOT NULL",UPPER(C$3))),"''","null"),SUBSTITUTE(VLOOKUP(C$2,convert!$A$1:$B$4,2,0),"@@@",C788))</f>
        <v>100</v>
      </c>
      <c r="S788" s="4" t="str">
        <f>IF(D788="",IF(ISNUMBER(SEARCH("NOT NULL",UPPER(D$3))),"''","null"),SUBSTITUTE(VLOOKUP(D$2,convert!$A$1:$B$4,2,0),"@@@",D788))</f>
        <v>150</v>
      </c>
      <c r="T788" s="4" t="str">
        <f>IF(E788="",IF(ISNUMBER(SEARCH("NOT NULL",UPPER(E$3))),"''","null"),SUBSTITUTE(VLOOKUP(E$2,convert!$A$1:$B$4,2,0),"@@@",E788))</f>
        <v>120</v>
      </c>
      <c r="U788" s="4" t="str">
        <f>IF(F788="",IF(ISNUMBER(SEARCH("NOT NULL",UPPER(F$3))),"''","null"),SUBSTITUTE(VLOOKUP(F$2,convert!$A$1:$B$4,2,0),"@@@",F788))</f>
        <v>120</v>
      </c>
      <c r="V788" s="4" t="str">
        <f>IF(G788="",IF(ISNUMBER(SEARCH("NOT NULL",UPPER(G$3))),"''","null"),SUBSTITUTE(VLOOKUP(G$2,convert!$A$1:$B$4,2,0),"@@@",G788))</f>
        <v>100</v>
      </c>
      <c r="W788" s="4" t="str">
        <f>IF(H788="",IF(ISNUMBER(SEARCH("NOT NULL",UPPER(H$3))),"''","null"),SUBSTITUTE(VLOOKUP(H$2,convert!$A$1:$B$4,2,0),"@@@",H788))</f>
        <v>90</v>
      </c>
      <c r="X788" s="4" t="str">
        <f>IF(I788="",IF(ISNUMBER(SEARCH("NOT NULL",UPPER(I$3))),"''","null"),SUBSTITUTE(VLOOKUP(I$2,convert!$A$1:$B$4,2,0),"@@@",I788))</f>
        <v>''</v>
      </c>
      <c r="Y788" s="4" t="str">
        <f>IF(J788="",IF(ISNUMBER(SEARCH("NOT NULL",UPPER(J$3))),"''","null"),SUBSTITUTE(VLOOKUP(J$2,convert!$A$1:$B$4,2,0),"@@@",J788))</f>
        <v>'dragon'</v>
      </c>
      <c r="Z788" s="4" t="str">
        <f>IF(K788="",IF(ISNUMBER(SEARCH("NOT NULL",UPPER(K$3))),"''","null"),SUBSTITUTE(VLOOKUP(K$2,convert!$A$1:$B$4,2,0),"@@@",K788))</f>
        <v>'electric'</v>
      </c>
      <c r="AA788" s="4" t="str">
        <f>IF(L788="",IF(ISNUMBER(SEARCH("NOT NULL",UPPER(L$3))),"''","null"),SUBSTITUTE(VLOOKUP(L$2,convert!$A$1:$B$4,2,0),"@@@",L788))</f>
        <v>'g5'</v>
      </c>
      <c r="AB788" s="4" t="str">
        <f>IF(M788="",IF(ISNUMBER(SEARCH("NOT NULL",UPPER(M$3))),"''","null"),SUBSTITUTE(VLOOKUP(M$2,convert!$A$1:$B$4,2,0),"@@@",M788))</f>
        <v>null</v>
      </c>
      <c r="AC788" s="4" t="str">
        <f>IF(N788="",IF(ISNUMBER(SEARCH("NOT NULL",UPPER(N$3))),"''","null"),SUBSTITUTE(VLOOKUP(N$2,convert!$A$1:$B$4,2,0),"@@@",N788))</f>
        <v>null</v>
      </c>
      <c r="AD788" s="4" t="str">
        <f>IF(O788="",IF(ISNUMBER(SEARCH("NOT NULL",UPPER(O$3))),"''","null"),SUBSTITUTE(VLOOKUP(O$2,convert!$A$1:$B$4,2,0),"@@@",O788))</f>
        <v>TRUE</v>
      </c>
      <c r="AE788" s="4" t="str">
        <f t="shared" si="12"/>
        <v>    ('0644N01', 'ゼクロム', 100, 150, 120, 120, 100, 90, '', 'dragon', 'electric', 'g5', null, null, TRUE),</v>
      </c>
    </row>
    <row r="789" spans="1:31">
      <c r="A789" s="4" t="s">
        <v>1582</v>
      </c>
      <c r="B789" s="4" t="s">
        <v>1583</v>
      </c>
      <c r="C789" s="5">
        <v>89</v>
      </c>
      <c r="D789" s="5">
        <v>125</v>
      </c>
      <c r="E789" s="5">
        <v>90</v>
      </c>
      <c r="F789" s="5">
        <v>115</v>
      </c>
      <c r="G789" s="5">
        <v>80</v>
      </c>
      <c r="H789" s="5">
        <v>101</v>
      </c>
      <c r="I789" s="4" t="s">
        <v>1572</v>
      </c>
      <c r="J789" s="4" t="s">
        <v>116</v>
      </c>
      <c r="K789" s="4" t="s">
        <v>47</v>
      </c>
      <c r="L789" s="4" t="s">
        <v>1243</v>
      </c>
      <c r="M789" s="5"/>
      <c r="N789" s="5"/>
      <c r="O789" s="5" t="b">
        <v>1</v>
      </c>
      <c r="P789" s="4" t="str">
        <f>IF(A789="",IF(ISNUMBER(SEARCH("NOT NULL",UPPER(A$3))),"''","null"),SUBSTITUTE(VLOOKUP(A$2,convert!$A$1:$B$4,2,0),"@@@",A789))</f>
        <v>'0645N01'</v>
      </c>
      <c r="Q789" s="4" t="str">
        <f>IF(B789="",IF(ISNUMBER(SEARCH("NOT NULL",UPPER(B$3))),"''","null"),SUBSTITUTE(VLOOKUP(B$2,convert!$A$1:$B$4,2,0),"@@@",B789))</f>
        <v>'ランドロス'</v>
      </c>
      <c r="R789" s="4" t="str">
        <f>IF(C789="",IF(ISNUMBER(SEARCH("NOT NULL",UPPER(C$3))),"''","null"),SUBSTITUTE(VLOOKUP(C$2,convert!$A$1:$B$4,2,0),"@@@",C789))</f>
        <v>89</v>
      </c>
      <c r="S789" s="4" t="str">
        <f>IF(D789="",IF(ISNUMBER(SEARCH("NOT NULL",UPPER(D$3))),"''","null"),SUBSTITUTE(VLOOKUP(D$2,convert!$A$1:$B$4,2,0),"@@@",D789))</f>
        <v>125</v>
      </c>
      <c r="T789" s="4" t="str">
        <f>IF(E789="",IF(ISNUMBER(SEARCH("NOT NULL",UPPER(E$3))),"''","null"),SUBSTITUTE(VLOOKUP(E$2,convert!$A$1:$B$4,2,0),"@@@",E789))</f>
        <v>90</v>
      </c>
      <c r="U789" s="4" t="str">
        <f>IF(F789="",IF(ISNUMBER(SEARCH("NOT NULL",UPPER(F$3))),"''","null"),SUBSTITUTE(VLOOKUP(F$2,convert!$A$1:$B$4,2,0),"@@@",F789))</f>
        <v>115</v>
      </c>
      <c r="V789" s="4" t="str">
        <f>IF(G789="",IF(ISNUMBER(SEARCH("NOT NULL",UPPER(G$3))),"''","null"),SUBSTITUTE(VLOOKUP(G$2,convert!$A$1:$B$4,2,0),"@@@",G789))</f>
        <v>80</v>
      </c>
      <c r="W789" s="4" t="str">
        <f>IF(H789="",IF(ISNUMBER(SEARCH("NOT NULL",UPPER(H$3))),"''","null"),SUBSTITUTE(VLOOKUP(H$2,convert!$A$1:$B$4,2,0),"@@@",H789))</f>
        <v>101</v>
      </c>
      <c r="X789" s="4" t="str">
        <f>IF(I789="",IF(ISNUMBER(SEARCH("NOT NULL",UPPER(I$3))),"''","null"),SUBSTITUTE(VLOOKUP(I$2,convert!$A$1:$B$4,2,0),"@@@",I789))</f>
        <v>'けしんフォルム'</v>
      </c>
      <c r="Y789" s="4" t="str">
        <f>IF(J789="",IF(ISNUMBER(SEARCH("NOT NULL",UPPER(J$3))),"''","null"),SUBSTITUTE(VLOOKUP(J$2,convert!$A$1:$B$4,2,0),"@@@",J789))</f>
        <v>'ground'</v>
      </c>
      <c r="Z789" s="4" t="str">
        <f>IF(K789="",IF(ISNUMBER(SEARCH("NOT NULL",UPPER(K$3))),"''","null"),SUBSTITUTE(VLOOKUP(K$2,convert!$A$1:$B$4,2,0),"@@@",K789))</f>
        <v>'flying'</v>
      </c>
      <c r="AA789" s="4" t="str">
        <f>IF(L789="",IF(ISNUMBER(SEARCH("NOT NULL",UPPER(L$3))),"''","null"),SUBSTITUTE(VLOOKUP(L$2,convert!$A$1:$B$4,2,0),"@@@",L789))</f>
        <v>'g5'</v>
      </c>
      <c r="AB789" s="4" t="str">
        <f>IF(M789="",IF(ISNUMBER(SEARCH("NOT NULL",UPPER(M$3))),"''","null"),SUBSTITUTE(VLOOKUP(M$2,convert!$A$1:$B$4,2,0),"@@@",M789))</f>
        <v>null</v>
      </c>
      <c r="AC789" s="4" t="str">
        <f>IF(N789="",IF(ISNUMBER(SEARCH("NOT NULL",UPPER(N$3))),"''","null"),SUBSTITUTE(VLOOKUP(N$2,convert!$A$1:$B$4,2,0),"@@@",N789))</f>
        <v>null</v>
      </c>
      <c r="AD789" s="4" t="str">
        <f>IF(O789="",IF(ISNUMBER(SEARCH("NOT NULL",UPPER(O$3))),"''","null"),SUBSTITUTE(VLOOKUP(O$2,convert!$A$1:$B$4,2,0),"@@@",O789))</f>
        <v>TRUE</v>
      </c>
      <c r="AE789" s="4" t="str">
        <f t="shared" si="12"/>
        <v>    ('0645N01', 'ランドロス', 89, 125, 90, 115, 80, 101, 'けしんフォルム', 'ground', 'flying', 'g5', null, null, TRUE),</v>
      </c>
    </row>
    <row r="790" spans="1:31">
      <c r="A790" s="4" t="s">
        <v>1584</v>
      </c>
      <c r="B790" s="4" t="s">
        <v>1583</v>
      </c>
      <c r="C790" s="5">
        <v>89</v>
      </c>
      <c r="D790" s="5">
        <v>145</v>
      </c>
      <c r="E790" s="5">
        <v>90</v>
      </c>
      <c r="F790" s="5">
        <v>105</v>
      </c>
      <c r="G790" s="5">
        <v>80</v>
      </c>
      <c r="H790" s="5">
        <v>91</v>
      </c>
      <c r="I790" s="4" t="s">
        <v>1574</v>
      </c>
      <c r="J790" s="4" t="s">
        <v>116</v>
      </c>
      <c r="K790" s="4" t="s">
        <v>47</v>
      </c>
      <c r="L790" s="4" t="s">
        <v>1243</v>
      </c>
      <c r="M790" s="5"/>
      <c r="N790" s="5"/>
      <c r="O790" s="5" t="b">
        <v>1</v>
      </c>
      <c r="P790" s="4" t="str">
        <f>IF(A790="",IF(ISNUMBER(SEARCH("NOT NULL",UPPER(A$3))),"''","null"),SUBSTITUTE(VLOOKUP(A$2,convert!$A$1:$B$4,2,0),"@@@",A790))</f>
        <v>'0645N02'</v>
      </c>
      <c r="Q790" s="4" t="str">
        <f>IF(B790="",IF(ISNUMBER(SEARCH("NOT NULL",UPPER(B$3))),"''","null"),SUBSTITUTE(VLOOKUP(B$2,convert!$A$1:$B$4,2,0),"@@@",B790))</f>
        <v>'ランドロス'</v>
      </c>
      <c r="R790" s="4" t="str">
        <f>IF(C790="",IF(ISNUMBER(SEARCH("NOT NULL",UPPER(C$3))),"''","null"),SUBSTITUTE(VLOOKUP(C$2,convert!$A$1:$B$4,2,0),"@@@",C790))</f>
        <v>89</v>
      </c>
      <c r="S790" s="4" t="str">
        <f>IF(D790="",IF(ISNUMBER(SEARCH("NOT NULL",UPPER(D$3))),"''","null"),SUBSTITUTE(VLOOKUP(D$2,convert!$A$1:$B$4,2,0),"@@@",D790))</f>
        <v>145</v>
      </c>
      <c r="T790" s="4" t="str">
        <f>IF(E790="",IF(ISNUMBER(SEARCH("NOT NULL",UPPER(E$3))),"''","null"),SUBSTITUTE(VLOOKUP(E$2,convert!$A$1:$B$4,2,0),"@@@",E790))</f>
        <v>90</v>
      </c>
      <c r="U790" s="4" t="str">
        <f>IF(F790="",IF(ISNUMBER(SEARCH("NOT NULL",UPPER(F$3))),"''","null"),SUBSTITUTE(VLOOKUP(F$2,convert!$A$1:$B$4,2,0),"@@@",F790))</f>
        <v>105</v>
      </c>
      <c r="V790" s="4" t="str">
        <f>IF(G790="",IF(ISNUMBER(SEARCH("NOT NULL",UPPER(G$3))),"''","null"),SUBSTITUTE(VLOOKUP(G$2,convert!$A$1:$B$4,2,0),"@@@",G790))</f>
        <v>80</v>
      </c>
      <c r="W790" s="4" t="str">
        <f>IF(H790="",IF(ISNUMBER(SEARCH("NOT NULL",UPPER(H$3))),"''","null"),SUBSTITUTE(VLOOKUP(H$2,convert!$A$1:$B$4,2,0),"@@@",H790))</f>
        <v>91</v>
      </c>
      <c r="X790" s="4" t="str">
        <f>IF(I790="",IF(ISNUMBER(SEARCH("NOT NULL",UPPER(I$3))),"''","null"),SUBSTITUTE(VLOOKUP(I$2,convert!$A$1:$B$4,2,0),"@@@",I790))</f>
        <v>'れいじゅうフォルム'</v>
      </c>
      <c r="Y790" s="4" t="str">
        <f>IF(J790="",IF(ISNUMBER(SEARCH("NOT NULL",UPPER(J$3))),"''","null"),SUBSTITUTE(VLOOKUP(J$2,convert!$A$1:$B$4,2,0),"@@@",J790))</f>
        <v>'ground'</v>
      </c>
      <c r="Z790" s="4" t="str">
        <f>IF(K790="",IF(ISNUMBER(SEARCH("NOT NULL",UPPER(K$3))),"''","null"),SUBSTITUTE(VLOOKUP(K$2,convert!$A$1:$B$4,2,0),"@@@",K790))</f>
        <v>'flying'</v>
      </c>
      <c r="AA790" s="4" t="str">
        <f>IF(L790="",IF(ISNUMBER(SEARCH("NOT NULL",UPPER(L$3))),"''","null"),SUBSTITUTE(VLOOKUP(L$2,convert!$A$1:$B$4,2,0),"@@@",L790))</f>
        <v>'g5'</v>
      </c>
      <c r="AB790" s="4" t="str">
        <f>IF(M790="",IF(ISNUMBER(SEARCH("NOT NULL",UPPER(M$3))),"''","null"),SUBSTITUTE(VLOOKUP(M$2,convert!$A$1:$B$4,2,0),"@@@",M790))</f>
        <v>null</v>
      </c>
      <c r="AC790" s="4" t="str">
        <f>IF(N790="",IF(ISNUMBER(SEARCH("NOT NULL",UPPER(N$3))),"''","null"),SUBSTITUTE(VLOOKUP(N$2,convert!$A$1:$B$4,2,0),"@@@",N790))</f>
        <v>null</v>
      </c>
      <c r="AD790" s="4" t="str">
        <f>IF(O790="",IF(ISNUMBER(SEARCH("NOT NULL",UPPER(O$3))),"''","null"),SUBSTITUTE(VLOOKUP(O$2,convert!$A$1:$B$4,2,0),"@@@",O790))</f>
        <v>TRUE</v>
      </c>
      <c r="AE790" s="4" t="str">
        <f t="shared" si="12"/>
        <v>    ('0645N02', 'ランドロス', 89, 145, 90, 105, 80, 91, 'れいじゅうフォルム', 'ground', 'flying', 'g5', null, null, TRUE),</v>
      </c>
    </row>
    <row r="791" spans="1:31">
      <c r="A791" s="4" t="s">
        <v>1585</v>
      </c>
      <c r="B791" s="4" t="s">
        <v>1586</v>
      </c>
      <c r="C791" s="5">
        <v>125</v>
      </c>
      <c r="D791" s="5">
        <v>130</v>
      </c>
      <c r="E791" s="5">
        <v>90</v>
      </c>
      <c r="F791" s="5">
        <v>130</v>
      </c>
      <c r="G791" s="5">
        <v>90</v>
      </c>
      <c r="H791" s="5">
        <v>95</v>
      </c>
      <c r="I791" s="5"/>
      <c r="J791" s="4" t="s">
        <v>50</v>
      </c>
      <c r="K791" s="4" t="s">
        <v>118</v>
      </c>
      <c r="L791" s="4" t="s">
        <v>1243</v>
      </c>
      <c r="M791" s="5"/>
      <c r="N791" s="5"/>
      <c r="O791" s="5" t="b">
        <v>1</v>
      </c>
      <c r="P791" s="4" t="str">
        <f>IF(A791="",IF(ISNUMBER(SEARCH("NOT NULL",UPPER(A$3))),"''","null"),SUBSTITUTE(VLOOKUP(A$2,convert!$A$1:$B$4,2,0),"@@@",A791))</f>
        <v>'0646N01'</v>
      </c>
      <c r="Q791" s="4" t="str">
        <f>IF(B791="",IF(ISNUMBER(SEARCH("NOT NULL",UPPER(B$3))),"''","null"),SUBSTITUTE(VLOOKUP(B$2,convert!$A$1:$B$4,2,0),"@@@",B791))</f>
        <v>'キュレム'</v>
      </c>
      <c r="R791" s="4" t="str">
        <f>IF(C791="",IF(ISNUMBER(SEARCH("NOT NULL",UPPER(C$3))),"''","null"),SUBSTITUTE(VLOOKUP(C$2,convert!$A$1:$B$4,2,0),"@@@",C791))</f>
        <v>125</v>
      </c>
      <c r="S791" s="4" t="str">
        <f>IF(D791="",IF(ISNUMBER(SEARCH("NOT NULL",UPPER(D$3))),"''","null"),SUBSTITUTE(VLOOKUP(D$2,convert!$A$1:$B$4,2,0),"@@@",D791))</f>
        <v>130</v>
      </c>
      <c r="T791" s="4" t="str">
        <f>IF(E791="",IF(ISNUMBER(SEARCH("NOT NULL",UPPER(E$3))),"''","null"),SUBSTITUTE(VLOOKUP(E$2,convert!$A$1:$B$4,2,0),"@@@",E791))</f>
        <v>90</v>
      </c>
      <c r="U791" s="4" t="str">
        <f>IF(F791="",IF(ISNUMBER(SEARCH("NOT NULL",UPPER(F$3))),"''","null"),SUBSTITUTE(VLOOKUP(F$2,convert!$A$1:$B$4,2,0),"@@@",F791))</f>
        <v>130</v>
      </c>
      <c r="V791" s="4" t="str">
        <f>IF(G791="",IF(ISNUMBER(SEARCH("NOT NULL",UPPER(G$3))),"''","null"),SUBSTITUTE(VLOOKUP(G$2,convert!$A$1:$B$4,2,0),"@@@",G791))</f>
        <v>90</v>
      </c>
      <c r="W791" s="4" t="str">
        <f>IF(H791="",IF(ISNUMBER(SEARCH("NOT NULL",UPPER(H$3))),"''","null"),SUBSTITUTE(VLOOKUP(H$2,convert!$A$1:$B$4,2,0),"@@@",H791))</f>
        <v>95</v>
      </c>
      <c r="X791" s="4" t="str">
        <f>IF(I791="",IF(ISNUMBER(SEARCH("NOT NULL",UPPER(I$3))),"''","null"),SUBSTITUTE(VLOOKUP(I$2,convert!$A$1:$B$4,2,0),"@@@",I791))</f>
        <v>''</v>
      </c>
      <c r="Y791" s="4" t="str">
        <f>IF(J791="",IF(ISNUMBER(SEARCH("NOT NULL",UPPER(J$3))),"''","null"),SUBSTITUTE(VLOOKUP(J$2,convert!$A$1:$B$4,2,0),"@@@",J791))</f>
        <v>'dragon'</v>
      </c>
      <c r="Z791" s="4" t="str">
        <f>IF(K791="",IF(ISNUMBER(SEARCH("NOT NULL",UPPER(K$3))),"''","null"),SUBSTITUTE(VLOOKUP(K$2,convert!$A$1:$B$4,2,0),"@@@",K791))</f>
        <v>'ice'</v>
      </c>
      <c r="AA791" s="4" t="str">
        <f>IF(L791="",IF(ISNUMBER(SEARCH("NOT NULL",UPPER(L$3))),"''","null"),SUBSTITUTE(VLOOKUP(L$2,convert!$A$1:$B$4,2,0),"@@@",L791))</f>
        <v>'g5'</v>
      </c>
      <c r="AB791" s="4" t="str">
        <f>IF(M791="",IF(ISNUMBER(SEARCH("NOT NULL",UPPER(M$3))),"''","null"),SUBSTITUTE(VLOOKUP(M$2,convert!$A$1:$B$4,2,0),"@@@",M791))</f>
        <v>null</v>
      </c>
      <c r="AC791" s="4" t="str">
        <f>IF(N791="",IF(ISNUMBER(SEARCH("NOT NULL",UPPER(N$3))),"''","null"),SUBSTITUTE(VLOOKUP(N$2,convert!$A$1:$B$4,2,0),"@@@",N791))</f>
        <v>null</v>
      </c>
      <c r="AD791" s="4" t="str">
        <f>IF(O791="",IF(ISNUMBER(SEARCH("NOT NULL",UPPER(O$3))),"''","null"),SUBSTITUTE(VLOOKUP(O$2,convert!$A$1:$B$4,2,0),"@@@",O791))</f>
        <v>TRUE</v>
      </c>
      <c r="AE791" s="4" t="str">
        <f t="shared" si="12"/>
        <v>    ('0646N01', 'キュレム', 125, 130, 90, 130, 90, 95, '', 'dragon', 'ice', 'g5', null, null, TRUE),</v>
      </c>
    </row>
    <row r="792" spans="1:31">
      <c r="A792" s="4" t="s">
        <v>1587</v>
      </c>
      <c r="B792" s="4" t="s">
        <v>1586</v>
      </c>
      <c r="C792" s="5">
        <v>125</v>
      </c>
      <c r="D792" s="5">
        <v>120</v>
      </c>
      <c r="E792" s="5">
        <v>90</v>
      </c>
      <c r="F792" s="5">
        <v>170</v>
      </c>
      <c r="G792" s="5">
        <v>100</v>
      </c>
      <c r="H792" s="5">
        <v>95</v>
      </c>
      <c r="I792" s="4" t="s">
        <v>1588</v>
      </c>
      <c r="J792" s="4" t="s">
        <v>50</v>
      </c>
      <c r="K792" s="4" t="s">
        <v>118</v>
      </c>
      <c r="L792" s="4" t="s">
        <v>1243</v>
      </c>
      <c r="M792" s="5"/>
      <c r="N792" s="5"/>
      <c r="O792" s="5" t="b">
        <v>0</v>
      </c>
      <c r="P792" s="4" t="str">
        <f>IF(A792="",IF(ISNUMBER(SEARCH("NOT NULL",UPPER(A$3))),"''","null"),SUBSTITUTE(VLOOKUP(A$2,convert!$A$1:$B$4,2,0),"@@@",A792))</f>
        <v>'0646N02'</v>
      </c>
      <c r="Q792" s="4" t="str">
        <f>IF(B792="",IF(ISNUMBER(SEARCH("NOT NULL",UPPER(B$3))),"''","null"),SUBSTITUTE(VLOOKUP(B$2,convert!$A$1:$B$4,2,0),"@@@",B792))</f>
        <v>'キュレム'</v>
      </c>
      <c r="R792" s="4" t="str">
        <f>IF(C792="",IF(ISNUMBER(SEARCH("NOT NULL",UPPER(C$3))),"''","null"),SUBSTITUTE(VLOOKUP(C$2,convert!$A$1:$B$4,2,0),"@@@",C792))</f>
        <v>125</v>
      </c>
      <c r="S792" s="4" t="str">
        <f>IF(D792="",IF(ISNUMBER(SEARCH("NOT NULL",UPPER(D$3))),"''","null"),SUBSTITUTE(VLOOKUP(D$2,convert!$A$1:$B$4,2,0),"@@@",D792))</f>
        <v>120</v>
      </c>
      <c r="T792" s="4" t="str">
        <f>IF(E792="",IF(ISNUMBER(SEARCH("NOT NULL",UPPER(E$3))),"''","null"),SUBSTITUTE(VLOOKUP(E$2,convert!$A$1:$B$4,2,0),"@@@",E792))</f>
        <v>90</v>
      </c>
      <c r="U792" s="4" t="str">
        <f>IF(F792="",IF(ISNUMBER(SEARCH("NOT NULL",UPPER(F$3))),"''","null"),SUBSTITUTE(VLOOKUP(F$2,convert!$A$1:$B$4,2,0),"@@@",F792))</f>
        <v>170</v>
      </c>
      <c r="V792" s="4" t="str">
        <f>IF(G792="",IF(ISNUMBER(SEARCH("NOT NULL",UPPER(G$3))),"''","null"),SUBSTITUTE(VLOOKUP(G$2,convert!$A$1:$B$4,2,0),"@@@",G792))</f>
        <v>100</v>
      </c>
      <c r="W792" s="4" t="str">
        <f>IF(H792="",IF(ISNUMBER(SEARCH("NOT NULL",UPPER(H$3))),"''","null"),SUBSTITUTE(VLOOKUP(H$2,convert!$A$1:$B$4,2,0),"@@@",H792))</f>
        <v>95</v>
      </c>
      <c r="X792" s="4" t="str">
        <f>IF(I792="",IF(ISNUMBER(SEARCH("NOT NULL",UPPER(I$3))),"''","null"),SUBSTITUTE(VLOOKUP(I$2,convert!$A$1:$B$4,2,0),"@@@",I792))</f>
        <v>'ホワイトキュレム'</v>
      </c>
      <c r="Y792" s="4" t="str">
        <f>IF(J792="",IF(ISNUMBER(SEARCH("NOT NULL",UPPER(J$3))),"''","null"),SUBSTITUTE(VLOOKUP(J$2,convert!$A$1:$B$4,2,0),"@@@",J792))</f>
        <v>'dragon'</v>
      </c>
      <c r="Z792" s="4" t="str">
        <f>IF(K792="",IF(ISNUMBER(SEARCH("NOT NULL",UPPER(K$3))),"''","null"),SUBSTITUTE(VLOOKUP(K$2,convert!$A$1:$B$4,2,0),"@@@",K792))</f>
        <v>'ice'</v>
      </c>
      <c r="AA792" s="4" t="str">
        <f>IF(L792="",IF(ISNUMBER(SEARCH("NOT NULL",UPPER(L$3))),"''","null"),SUBSTITUTE(VLOOKUP(L$2,convert!$A$1:$B$4,2,0),"@@@",L792))</f>
        <v>'g5'</v>
      </c>
      <c r="AB792" s="4" t="str">
        <f>IF(M792="",IF(ISNUMBER(SEARCH("NOT NULL",UPPER(M$3))),"''","null"),SUBSTITUTE(VLOOKUP(M$2,convert!$A$1:$B$4,2,0),"@@@",M792))</f>
        <v>null</v>
      </c>
      <c r="AC792" s="4" t="str">
        <f>IF(N792="",IF(ISNUMBER(SEARCH("NOT NULL",UPPER(N$3))),"''","null"),SUBSTITUTE(VLOOKUP(N$2,convert!$A$1:$B$4,2,0),"@@@",N792))</f>
        <v>null</v>
      </c>
      <c r="AD792" s="4" t="str">
        <f>IF(O792="",IF(ISNUMBER(SEARCH("NOT NULL",UPPER(O$3))),"''","null"),SUBSTITUTE(VLOOKUP(O$2,convert!$A$1:$B$4,2,0),"@@@",O792))</f>
        <v>FALSE</v>
      </c>
      <c r="AE792" s="4" t="str">
        <f t="shared" si="12"/>
        <v>    ('0646N02', 'キュレム', 125, 120, 90, 170, 100, 95, 'ホワイトキュレム', 'dragon', 'ice', 'g5', null, null, FALSE),</v>
      </c>
    </row>
    <row r="793" spans="1:31">
      <c r="A793" s="4" t="s">
        <v>1589</v>
      </c>
      <c r="B793" s="4" t="s">
        <v>1586</v>
      </c>
      <c r="C793" s="5">
        <v>125</v>
      </c>
      <c r="D793" s="5">
        <v>170</v>
      </c>
      <c r="E793" s="5">
        <v>100</v>
      </c>
      <c r="F793" s="5">
        <v>120</v>
      </c>
      <c r="G793" s="5">
        <v>90</v>
      </c>
      <c r="H793" s="5">
        <v>95</v>
      </c>
      <c r="I793" s="4" t="s">
        <v>1590</v>
      </c>
      <c r="J793" s="4" t="s">
        <v>50</v>
      </c>
      <c r="K793" s="4" t="s">
        <v>118</v>
      </c>
      <c r="L793" s="4" t="s">
        <v>1243</v>
      </c>
      <c r="M793" s="5"/>
      <c r="N793" s="5"/>
      <c r="O793" s="5" t="b">
        <v>0</v>
      </c>
      <c r="P793" s="4" t="str">
        <f>IF(A793="",IF(ISNUMBER(SEARCH("NOT NULL",UPPER(A$3))),"''","null"),SUBSTITUTE(VLOOKUP(A$2,convert!$A$1:$B$4,2,0),"@@@",A793))</f>
        <v>'0646N03'</v>
      </c>
      <c r="Q793" s="4" t="str">
        <f>IF(B793="",IF(ISNUMBER(SEARCH("NOT NULL",UPPER(B$3))),"''","null"),SUBSTITUTE(VLOOKUP(B$2,convert!$A$1:$B$4,2,0),"@@@",B793))</f>
        <v>'キュレム'</v>
      </c>
      <c r="R793" s="4" t="str">
        <f>IF(C793="",IF(ISNUMBER(SEARCH("NOT NULL",UPPER(C$3))),"''","null"),SUBSTITUTE(VLOOKUP(C$2,convert!$A$1:$B$4,2,0),"@@@",C793))</f>
        <v>125</v>
      </c>
      <c r="S793" s="4" t="str">
        <f>IF(D793="",IF(ISNUMBER(SEARCH("NOT NULL",UPPER(D$3))),"''","null"),SUBSTITUTE(VLOOKUP(D$2,convert!$A$1:$B$4,2,0),"@@@",D793))</f>
        <v>170</v>
      </c>
      <c r="T793" s="4" t="str">
        <f>IF(E793="",IF(ISNUMBER(SEARCH("NOT NULL",UPPER(E$3))),"''","null"),SUBSTITUTE(VLOOKUP(E$2,convert!$A$1:$B$4,2,0),"@@@",E793))</f>
        <v>100</v>
      </c>
      <c r="U793" s="4" t="str">
        <f>IF(F793="",IF(ISNUMBER(SEARCH("NOT NULL",UPPER(F$3))),"''","null"),SUBSTITUTE(VLOOKUP(F$2,convert!$A$1:$B$4,2,0),"@@@",F793))</f>
        <v>120</v>
      </c>
      <c r="V793" s="4" t="str">
        <f>IF(G793="",IF(ISNUMBER(SEARCH("NOT NULL",UPPER(G$3))),"''","null"),SUBSTITUTE(VLOOKUP(G$2,convert!$A$1:$B$4,2,0),"@@@",G793))</f>
        <v>90</v>
      </c>
      <c r="W793" s="4" t="str">
        <f>IF(H793="",IF(ISNUMBER(SEARCH("NOT NULL",UPPER(H$3))),"''","null"),SUBSTITUTE(VLOOKUP(H$2,convert!$A$1:$B$4,2,0),"@@@",H793))</f>
        <v>95</v>
      </c>
      <c r="X793" s="4" t="str">
        <f>IF(I793="",IF(ISNUMBER(SEARCH("NOT NULL",UPPER(I$3))),"''","null"),SUBSTITUTE(VLOOKUP(I$2,convert!$A$1:$B$4,2,0),"@@@",I793))</f>
        <v>'ブラックキュレム'</v>
      </c>
      <c r="Y793" s="4" t="str">
        <f>IF(J793="",IF(ISNUMBER(SEARCH("NOT NULL",UPPER(J$3))),"''","null"),SUBSTITUTE(VLOOKUP(J$2,convert!$A$1:$B$4,2,0),"@@@",J793))</f>
        <v>'dragon'</v>
      </c>
      <c r="Z793" s="4" t="str">
        <f>IF(K793="",IF(ISNUMBER(SEARCH("NOT NULL",UPPER(K$3))),"''","null"),SUBSTITUTE(VLOOKUP(K$2,convert!$A$1:$B$4,2,0),"@@@",K793))</f>
        <v>'ice'</v>
      </c>
      <c r="AA793" s="4" t="str">
        <f>IF(L793="",IF(ISNUMBER(SEARCH("NOT NULL",UPPER(L$3))),"''","null"),SUBSTITUTE(VLOOKUP(L$2,convert!$A$1:$B$4,2,0),"@@@",L793))</f>
        <v>'g5'</v>
      </c>
      <c r="AB793" s="4" t="str">
        <f>IF(M793="",IF(ISNUMBER(SEARCH("NOT NULL",UPPER(M$3))),"''","null"),SUBSTITUTE(VLOOKUP(M$2,convert!$A$1:$B$4,2,0),"@@@",M793))</f>
        <v>null</v>
      </c>
      <c r="AC793" s="4" t="str">
        <f>IF(N793="",IF(ISNUMBER(SEARCH("NOT NULL",UPPER(N$3))),"''","null"),SUBSTITUTE(VLOOKUP(N$2,convert!$A$1:$B$4,2,0),"@@@",N793))</f>
        <v>null</v>
      </c>
      <c r="AD793" s="4" t="str">
        <f>IF(O793="",IF(ISNUMBER(SEARCH("NOT NULL",UPPER(O$3))),"''","null"),SUBSTITUTE(VLOOKUP(O$2,convert!$A$1:$B$4,2,0),"@@@",O793))</f>
        <v>FALSE</v>
      </c>
      <c r="AE793" s="4" t="str">
        <f t="shared" si="12"/>
        <v>    ('0646N03', 'キュレム', 125, 170, 100, 120, 90, 95, 'ブラックキュレム', 'dragon', 'ice', 'g5', null, null, FALSE),</v>
      </c>
    </row>
    <row r="794" spans="1:31">
      <c r="A794" s="4" t="s">
        <v>1591</v>
      </c>
      <c r="B794" s="4" t="s">
        <v>1592</v>
      </c>
      <c r="C794" s="5">
        <v>91</v>
      </c>
      <c r="D794" s="5">
        <v>72</v>
      </c>
      <c r="E794" s="5">
        <v>90</v>
      </c>
      <c r="F794" s="5">
        <v>129</v>
      </c>
      <c r="G794" s="5">
        <v>90</v>
      </c>
      <c r="H794" s="5">
        <v>108</v>
      </c>
      <c r="I794" s="4" t="s">
        <v>1593</v>
      </c>
      <c r="J794" s="4" t="s">
        <v>55</v>
      </c>
      <c r="K794" s="4" t="s">
        <v>189</v>
      </c>
      <c r="L794" s="4" t="s">
        <v>1243</v>
      </c>
      <c r="M794" s="5"/>
      <c r="N794" s="5"/>
      <c r="O794" s="5" t="b">
        <v>0</v>
      </c>
      <c r="P794" s="4" t="str">
        <f>IF(A794="",IF(ISNUMBER(SEARCH("NOT NULL",UPPER(A$3))),"''","null"),SUBSTITUTE(VLOOKUP(A$2,convert!$A$1:$B$4,2,0),"@@@",A794))</f>
        <v>'0647N01'</v>
      </c>
      <c r="Q794" s="4" t="str">
        <f>IF(B794="",IF(ISNUMBER(SEARCH("NOT NULL",UPPER(B$3))),"''","null"),SUBSTITUTE(VLOOKUP(B$2,convert!$A$1:$B$4,2,0),"@@@",B794))</f>
        <v>'ケルディオ'</v>
      </c>
      <c r="R794" s="4" t="str">
        <f>IF(C794="",IF(ISNUMBER(SEARCH("NOT NULL",UPPER(C$3))),"''","null"),SUBSTITUTE(VLOOKUP(C$2,convert!$A$1:$B$4,2,0),"@@@",C794))</f>
        <v>91</v>
      </c>
      <c r="S794" s="4" t="str">
        <f>IF(D794="",IF(ISNUMBER(SEARCH("NOT NULL",UPPER(D$3))),"''","null"),SUBSTITUTE(VLOOKUP(D$2,convert!$A$1:$B$4,2,0),"@@@",D794))</f>
        <v>72</v>
      </c>
      <c r="T794" s="4" t="str">
        <f>IF(E794="",IF(ISNUMBER(SEARCH("NOT NULL",UPPER(E$3))),"''","null"),SUBSTITUTE(VLOOKUP(E$2,convert!$A$1:$B$4,2,0),"@@@",E794))</f>
        <v>90</v>
      </c>
      <c r="U794" s="4" t="str">
        <f>IF(F794="",IF(ISNUMBER(SEARCH("NOT NULL",UPPER(F$3))),"''","null"),SUBSTITUTE(VLOOKUP(F$2,convert!$A$1:$B$4,2,0),"@@@",F794))</f>
        <v>129</v>
      </c>
      <c r="V794" s="4" t="str">
        <f>IF(G794="",IF(ISNUMBER(SEARCH("NOT NULL",UPPER(G$3))),"''","null"),SUBSTITUTE(VLOOKUP(G$2,convert!$A$1:$B$4,2,0),"@@@",G794))</f>
        <v>90</v>
      </c>
      <c r="W794" s="4" t="str">
        <f>IF(H794="",IF(ISNUMBER(SEARCH("NOT NULL",UPPER(H$3))),"''","null"),SUBSTITUTE(VLOOKUP(H$2,convert!$A$1:$B$4,2,0),"@@@",H794))</f>
        <v>108</v>
      </c>
      <c r="X794" s="4" t="str">
        <f>IF(I794="",IF(ISNUMBER(SEARCH("NOT NULL",UPPER(I$3))),"''","null"),SUBSTITUTE(VLOOKUP(I$2,convert!$A$1:$B$4,2,0),"@@@",I794))</f>
        <v>'いつものすがた'</v>
      </c>
      <c r="Y794" s="4" t="str">
        <f>IF(J794="",IF(ISNUMBER(SEARCH("NOT NULL",UPPER(J$3))),"''","null"),SUBSTITUTE(VLOOKUP(J$2,convert!$A$1:$B$4,2,0),"@@@",J794))</f>
        <v>'water'</v>
      </c>
      <c r="Z794" s="4" t="str">
        <f>IF(K794="",IF(ISNUMBER(SEARCH("NOT NULL",UPPER(K$3))),"''","null"),SUBSTITUTE(VLOOKUP(K$2,convert!$A$1:$B$4,2,0),"@@@",K794))</f>
        <v>'fighting'</v>
      </c>
      <c r="AA794" s="4" t="str">
        <f>IF(L794="",IF(ISNUMBER(SEARCH("NOT NULL",UPPER(L$3))),"''","null"),SUBSTITUTE(VLOOKUP(L$2,convert!$A$1:$B$4,2,0),"@@@",L794))</f>
        <v>'g5'</v>
      </c>
      <c r="AB794" s="4" t="str">
        <f>IF(M794="",IF(ISNUMBER(SEARCH("NOT NULL",UPPER(M$3))),"''","null"),SUBSTITUTE(VLOOKUP(M$2,convert!$A$1:$B$4,2,0),"@@@",M794))</f>
        <v>null</v>
      </c>
      <c r="AC794" s="4" t="str">
        <f>IF(N794="",IF(ISNUMBER(SEARCH("NOT NULL",UPPER(N$3))),"''","null"),SUBSTITUTE(VLOOKUP(N$2,convert!$A$1:$B$4,2,0),"@@@",N794))</f>
        <v>null</v>
      </c>
      <c r="AD794" s="4" t="str">
        <f>IF(O794="",IF(ISNUMBER(SEARCH("NOT NULL",UPPER(O$3))),"''","null"),SUBSTITUTE(VLOOKUP(O$2,convert!$A$1:$B$4,2,0),"@@@",O794))</f>
        <v>FALSE</v>
      </c>
      <c r="AE794" s="4" t="str">
        <f t="shared" si="12"/>
        <v>    ('0647N01', 'ケルディオ', 91, 72, 90, 129, 90, 108, 'いつものすがた', 'water', 'fighting', 'g5', null, null, FALSE),</v>
      </c>
    </row>
    <row r="795" spans="1:31">
      <c r="A795" s="4" t="s">
        <v>1594</v>
      </c>
      <c r="B795" s="4" t="s">
        <v>1592</v>
      </c>
      <c r="C795" s="5">
        <v>91</v>
      </c>
      <c r="D795" s="5">
        <v>72</v>
      </c>
      <c r="E795" s="5">
        <v>90</v>
      </c>
      <c r="F795" s="5">
        <v>129</v>
      </c>
      <c r="G795" s="5">
        <v>90</v>
      </c>
      <c r="H795" s="5">
        <v>108</v>
      </c>
      <c r="I795" s="4" t="s">
        <v>1595</v>
      </c>
      <c r="J795" s="4" t="s">
        <v>55</v>
      </c>
      <c r="K795" s="4" t="s">
        <v>189</v>
      </c>
      <c r="L795" s="4" t="s">
        <v>1243</v>
      </c>
      <c r="M795" s="5"/>
      <c r="N795" s="5"/>
      <c r="O795" s="5" t="b">
        <v>0</v>
      </c>
      <c r="P795" s="4" t="str">
        <f>IF(A795="",IF(ISNUMBER(SEARCH("NOT NULL",UPPER(A$3))),"''","null"),SUBSTITUTE(VLOOKUP(A$2,convert!$A$1:$B$4,2,0),"@@@",A795))</f>
        <v>'0647N02'</v>
      </c>
      <c r="Q795" s="4" t="str">
        <f>IF(B795="",IF(ISNUMBER(SEARCH("NOT NULL",UPPER(B$3))),"''","null"),SUBSTITUTE(VLOOKUP(B$2,convert!$A$1:$B$4,2,0),"@@@",B795))</f>
        <v>'ケルディオ'</v>
      </c>
      <c r="R795" s="4" t="str">
        <f>IF(C795="",IF(ISNUMBER(SEARCH("NOT NULL",UPPER(C$3))),"''","null"),SUBSTITUTE(VLOOKUP(C$2,convert!$A$1:$B$4,2,0),"@@@",C795))</f>
        <v>91</v>
      </c>
      <c r="S795" s="4" t="str">
        <f>IF(D795="",IF(ISNUMBER(SEARCH("NOT NULL",UPPER(D$3))),"''","null"),SUBSTITUTE(VLOOKUP(D$2,convert!$A$1:$B$4,2,0),"@@@",D795))</f>
        <v>72</v>
      </c>
      <c r="T795" s="4" t="str">
        <f>IF(E795="",IF(ISNUMBER(SEARCH("NOT NULL",UPPER(E$3))),"''","null"),SUBSTITUTE(VLOOKUP(E$2,convert!$A$1:$B$4,2,0),"@@@",E795))</f>
        <v>90</v>
      </c>
      <c r="U795" s="4" t="str">
        <f>IF(F795="",IF(ISNUMBER(SEARCH("NOT NULL",UPPER(F$3))),"''","null"),SUBSTITUTE(VLOOKUP(F$2,convert!$A$1:$B$4,2,0),"@@@",F795))</f>
        <v>129</v>
      </c>
      <c r="V795" s="4" t="str">
        <f>IF(G795="",IF(ISNUMBER(SEARCH("NOT NULL",UPPER(G$3))),"''","null"),SUBSTITUTE(VLOOKUP(G$2,convert!$A$1:$B$4,2,0),"@@@",G795))</f>
        <v>90</v>
      </c>
      <c r="W795" s="4" t="str">
        <f>IF(H795="",IF(ISNUMBER(SEARCH("NOT NULL",UPPER(H$3))),"''","null"),SUBSTITUTE(VLOOKUP(H$2,convert!$A$1:$B$4,2,0),"@@@",H795))</f>
        <v>108</v>
      </c>
      <c r="X795" s="4" t="str">
        <f>IF(I795="",IF(ISNUMBER(SEARCH("NOT NULL",UPPER(I$3))),"''","null"),SUBSTITUTE(VLOOKUP(I$2,convert!$A$1:$B$4,2,0),"@@@",I795))</f>
        <v>'かくごのすがた'</v>
      </c>
      <c r="Y795" s="4" t="str">
        <f>IF(J795="",IF(ISNUMBER(SEARCH("NOT NULL",UPPER(J$3))),"''","null"),SUBSTITUTE(VLOOKUP(J$2,convert!$A$1:$B$4,2,0),"@@@",J795))</f>
        <v>'water'</v>
      </c>
      <c r="Z795" s="4" t="str">
        <f>IF(K795="",IF(ISNUMBER(SEARCH("NOT NULL",UPPER(K$3))),"''","null"),SUBSTITUTE(VLOOKUP(K$2,convert!$A$1:$B$4,2,0),"@@@",K795))</f>
        <v>'fighting'</v>
      </c>
      <c r="AA795" s="4" t="str">
        <f>IF(L795="",IF(ISNUMBER(SEARCH("NOT NULL",UPPER(L$3))),"''","null"),SUBSTITUTE(VLOOKUP(L$2,convert!$A$1:$B$4,2,0),"@@@",L795))</f>
        <v>'g5'</v>
      </c>
      <c r="AB795" s="4" t="str">
        <f>IF(M795="",IF(ISNUMBER(SEARCH("NOT NULL",UPPER(M$3))),"''","null"),SUBSTITUTE(VLOOKUP(M$2,convert!$A$1:$B$4,2,0),"@@@",M795))</f>
        <v>null</v>
      </c>
      <c r="AC795" s="4" t="str">
        <f>IF(N795="",IF(ISNUMBER(SEARCH("NOT NULL",UPPER(N$3))),"''","null"),SUBSTITUTE(VLOOKUP(N$2,convert!$A$1:$B$4,2,0),"@@@",N795))</f>
        <v>null</v>
      </c>
      <c r="AD795" s="4" t="str">
        <f>IF(O795="",IF(ISNUMBER(SEARCH("NOT NULL",UPPER(O$3))),"''","null"),SUBSTITUTE(VLOOKUP(O$2,convert!$A$1:$B$4,2,0),"@@@",O795))</f>
        <v>FALSE</v>
      </c>
      <c r="AE795" s="4" t="str">
        <f t="shared" si="12"/>
        <v>    ('0647N02', 'ケルディオ', 91, 72, 90, 129, 90, 108, 'かくごのすがた', 'water', 'fighting', 'g5', null, null, FALSE),</v>
      </c>
    </row>
    <row r="796" spans="1:31">
      <c r="A796" s="4" t="s">
        <v>1596</v>
      </c>
      <c r="B796" s="4" t="s">
        <v>1597</v>
      </c>
      <c r="C796" s="5">
        <v>100</v>
      </c>
      <c r="D796" s="5">
        <v>77</v>
      </c>
      <c r="E796" s="5">
        <v>77</v>
      </c>
      <c r="F796" s="5">
        <v>128</v>
      </c>
      <c r="G796" s="5">
        <v>128</v>
      </c>
      <c r="H796" s="5">
        <v>90</v>
      </c>
      <c r="I796" s="4" t="s">
        <v>1598</v>
      </c>
      <c r="J796" s="4" t="s">
        <v>80</v>
      </c>
      <c r="K796" s="4" t="s">
        <v>113</v>
      </c>
      <c r="L796" s="4" t="s">
        <v>1243</v>
      </c>
      <c r="M796" s="5"/>
      <c r="N796" s="5"/>
      <c r="O796" s="5" t="b">
        <v>1</v>
      </c>
      <c r="P796" s="4" t="str">
        <f>IF(A796="",IF(ISNUMBER(SEARCH("NOT NULL",UPPER(A$3))),"''","null"),SUBSTITUTE(VLOOKUP(A$2,convert!$A$1:$B$4,2,0),"@@@",A796))</f>
        <v>'0648N01'</v>
      </c>
      <c r="Q796" s="4" t="str">
        <f>IF(B796="",IF(ISNUMBER(SEARCH("NOT NULL",UPPER(B$3))),"''","null"),SUBSTITUTE(VLOOKUP(B$2,convert!$A$1:$B$4,2,0),"@@@",B796))</f>
        <v>'メロエッタ'</v>
      </c>
      <c r="R796" s="4" t="str">
        <f>IF(C796="",IF(ISNUMBER(SEARCH("NOT NULL",UPPER(C$3))),"''","null"),SUBSTITUTE(VLOOKUP(C$2,convert!$A$1:$B$4,2,0),"@@@",C796))</f>
        <v>100</v>
      </c>
      <c r="S796" s="4" t="str">
        <f>IF(D796="",IF(ISNUMBER(SEARCH("NOT NULL",UPPER(D$3))),"''","null"),SUBSTITUTE(VLOOKUP(D$2,convert!$A$1:$B$4,2,0),"@@@",D796))</f>
        <v>77</v>
      </c>
      <c r="T796" s="4" t="str">
        <f>IF(E796="",IF(ISNUMBER(SEARCH("NOT NULL",UPPER(E$3))),"''","null"),SUBSTITUTE(VLOOKUP(E$2,convert!$A$1:$B$4,2,0),"@@@",E796))</f>
        <v>77</v>
      </c>
      <c r="U796" s="4" t="str">
        <f>IF(F796="",IF(ISNUMBER(SEARCH("NOT NULL",UPPER(F$3))),"''","null"),SUBSTITUTE(VLOOKUP(F$2,convert!$A$1:$B$4,2,0),"@@@",F796))</f>
        <v>128</v>
      </c>
      <c r="V796" s="4" t="str">
        <f>IF(G796="",IF(ISNUMBER(SEARCH("NOT NULL",UPPER(G$3))),"''","null"),SUBSTITUTE(VLOOKUP(G$2,convert!$A$1:$B$4,2,0),"@@@",G796))</f>
        <v>128</v>
      </c>
      <c r="W796" s="4" t="str">
        <f>IF(H796="",IF(ISNUMBER(SEARCH("NOT NULL",UPPER(H$3))),"''","null"),SUBSTITUTE(VLOOKUP(H$2,convert!$A$1:$B$4,2,0),"@@@",H796))</f>
        <v>90</v>
      </c>
      <c r="X796" s="4" t="str">
        <f>IF(I796="",IF(ISNUMBER(SEARCH("NOT NULL",UPPER(I$3))),"''","null"),SUBSTITUTE(VLOOKUP(I$2,convert!$A$1:$B$4,2,0),"@@@",I796))</f>
        <v>'ボイスフォルム'</v>
      </c>
      <c r="Y796" s="4" t="str">
        <f>IF(J796="",IF(ISNUMBER(SEARCH("NOT NULL",UPPER(J$3))),"''","null"),SUBSTITUTE(VLOOKUP(J$2,convert!$A$1:$B$4,2,0),"@@@",J796))</f>
        <v>'normal'</v>
      </c>
      <c r="Z796" s="4" t="str">
        <f>IF(K796="",IF(ISNUMBER(SEARCH("NOT NULL",UPPER(K$3))),"''","null"),SUBSTITUTE(VLOOKUP(K$2,convert!$A$1:$B$4,2,0),"@@@",K796))</f>
        <v>'psychic'</v>
      </c>
      <c r="AA796" s="4" t="str">
        <f>IF(L796="",IF(ISNUMBER(SEARCH("NOT NULL",UPPER(L$3))),"''","null"),SUBSTITUTE(VLOOKUP(L$2,convert!$A$1:$B$4,2,0),"@@@",L796))</f>
        <v>'g5'</v>
      </c>
      <c r="AB796" s="4" t="str">
        <f>IF(M796="",IF(ISNUMBER(SEARCH("NOT NULL",UPPER(M$3))),"''","null"),SUBSTITUTE(VLOOKUP(M$2,convert!$A$1:$B$4,2,0),"@@@",M796))</f>
        <v>null</v>
      </c>
      <c r="AC796" s="4" t="str">
        <f>IF(N796="",IF(ISNUMBER(SEARCH("NOT NULL",UPPER(N$3))),"''","null"),SUBSTITUTE(VLOOKUP(N$2,convert!$A$1:$B$4,2,0),"@@@",N796))</f>
        <v>null</v>
      </c>
      <c r="AD796" s="4" t="str">
        <f>IF(O796="",IF(ISNUMBER(SEARCH("NOT NULL",UPPER(O$3))),"''","null"),SUBSTITUTE(VLOOKUP(O$2,convert!$A$1:$B$4,2,0),"@@@",O796))</f>
        <v>TRUE</v>
      </c>
      <c r="AE796" s="4" t="str">
        <f t="shared" si="12"/>
        <v>    ('0648N01', 'メロエッタ', 100, 77, 77, 128, 128, 90, 'ボイスフォルム', 'normal', 'psychic', 'g5', null, null, TRUE),</v>
      </c>
    </row>
    <row r="797" spans="1:31">
      <c r="A797" s="4" t="s">
        <v>1599</v>
      </c>
      <c r="B797" s="4" t="s">
        <v>1597</v>
      </c>
      <c r="C797" s="5">
        <v>100</v>
      </c>
      <c r="D797" s="5">
        <v>128</v>
      </c>
      <c r="E797" s="5">
        <v>90</v>
      </c>
      <c r="F797" s="5">
        <v>77</v>
      </c>
      <c r="G797" s="5">
        <v>77</v>
      </c>
      <c r="H797" s="5">
        <v>128</v>
      </c>
      <c r="I797" s="4" t="s">
        <v>1600</v>
      </c>
      <c r="J797" s="4" t="s">
        <v>80</v>
      </c>
      <c r="K797" s="4" t="s">
        <v>189</v>
      </c>
      <c r="L797" s="4" t="s">
        <v>1243</v>
      </c>
      <c r="M797" s="5"/>
      <c r="N797" s="5"/>
      <c r="O797" s="5" t="b">
        <v>0</v>
      </c>
      <c r="P797" s="4" t="str">
        <f>IF(A797="",IF(ISNUMBER(SEARCH("NOT NULL",UPPER(A$3))),"''","null"),SUBSTITUTE(VLOOKUP(A$2,convert!$A$1:$B$4,2,0),"@@@",A797))</f>
        <v>'0648N02'</v>
      </c>
      <c r="Q797" s="4" t="str">
        <f>IF(B797="",IF(ISNUMBER(SEARCH("NOT NULL",UPPER(B$3))),"''","null"),SUBSTITUTE(VLOOKUP(B$2,convert!$A$1:$B$4,2,0),"@@@",B797))</f>
        <v>'メロエッタ'</v>
      </c>
      <c r="R797" s="4" t="str">
        <f>IF(C797="",IF(ISNUMBER(SEARCH("NOT NULL",UPPER(C$3))),"''","null"),SUBSTITUTE(VLOOKUP(C$2,convert!$A$1:$B$4,2,0),"@@@",C797))</f>
        <v>100</v>
      </c>
      <c r="S797" s="4" t="str">
        <f>IF(D797="",IF(ISNUMBER(SEARCH("NOT NULL",UPPER(D$3))),"''","null"),SUBSTITUTE(VLOOKUP(D$2,convert!$A$1:$B$4,2,0),"@@@",D797))</f>
        <v>128</v>
      </c>
      <c r="T797" s="4" t="str">
        <f>IF(E797="",IF(ISNUMBER(SEARCH("NOT NULL",UPPER(E$3))),"''","null"),SUBSTITUTE(VLOOKUP(E$2,convert!$A$1:$B$4,2,0),"@@@",E797))</f>
        <v>90</v>
      </c>
      <c r="U797" s="4" t="str">
        <f>IF(F797="",IF(ISNUMBER(SEARCH("NOT NULL",UPPER(F$3))),"''","null"),SUBSTITUTE(VLOOKUP(F$2,convert!$A$1:$B$4,2,0),"@@@",F797))</f>
        <v>77</v>
      </c>
      <c r="V797" s="4" t="str">
        <f>IF(G797="",IF(ISNUMBER(SEARCH("NOT NULL",UPPER(G$3))),"''","null"),SUBSTITUTE(VLOOKUP(G$2,convert!$A$1:$B$4,2,0),"@@@",G797))</f>
        <v>77</v>
      </c>
      <c r="W797" s="4" t="str">
        <f>IF(H797="",IF(ISNUMBER(SEARCH("NOT NULL",UPPER(H$3))),"''","null"),SUBSTITUTE(VLOOKUP(H$2,convert!$A$1:$B$4,2,0),"@@@",H797))</f>
        <v>128</v>
      </c>
      <c r="X797" s="4" t="str">
        <f>IF(I797="",IF(ISNUMBER(SEARCH("NOT NULL",UPPER(I$3))),"''","null"),SUBSTITUTE(VLOOKUP(I$2,convert!$A$1:$B$4,2,0),"@@@",I797))</f>
        <v>'ステップフォルム'</v>
      </c>
      <c r="Y797" s="4" t="str">
        <f>IF(J797="",IF(ISNUMBER(SEARCH("NOT NULL",UPPER(J$3))),"''","null"),SUBSTITUTE(VLOOKUP(J$2,convert!$A$1:$B$4,2,0),"@@@",J797))</f>
        <v>'normal'</v>
      </c>
      <c r="Z797" s="4" t="str">
        <f>IF(K797="",IF(ISNUMBER(SEARCH("NOT NULL",UPPER(K$3))),"''","null"),SUBSTITUTE(VLOOKUP(K$2,convert!$A$1:$B$4,2,0),"@@@",K797))</f>
        <v>'fighting'</v>
      </c>
      <c r="AA797" s="4" t="str">
        <f>IF(L797="",IF(ISNUMBER(SEARCH("NOT NULL",UPPER(L$3))),"''","null"),SUBSTITUTE(VLOOKUP(L$2,convert!$A$1:$B$4,2,0),"@@@",L797))</f>
        <v>'g5'</v>
      </c>
      <c r="AB797" s="4" t="str">
        <f>IF(M797="",IF(ISNUMBER(SEARCH("NOT NULL",UPPER(M$3))),"''","null"),SUBSTITUTE(VLOOKUP(M$2,convert!$A$1:$B$4,2,0),"@@@",M797))</f>
        <v>null</v>
      </c>
      <c r="AC797" s="4" t="str">
        <f>IF(N797="",IF(ISNUMBER(SEARCH("NOT NULL",UPPER(N$3))),"''","null"),SUBSTITUTE(VLOOKUP(N$2,convert!$A$1:$B$4,2,0),"@@@",N797))</f>
        <v>null</v>
      </c>
      <c r="AD797" s="4" t="str">
        <f>IF(O797="",IF(ISNUMBER(SEARCH("NOT NULL",UPPER(O$3))),"''","null"),SUBSTITUTE(VLOOKUP(O$2,convert!$A$1:$B$4,2,0),"@@@",O797))</f>
        <v>FALSE</v>
      </c>
      <c r="AE797" s="4" t="str">
        <f t="shared" si="12"/>
        <v>    ('0648N02', 'メロエッタ', 100, 128, 90, 77, 77, 128, 'ステップフォルム', 'normal', 'fighting', 'g5', null, null, FALSE),</v>
      </c>
    </row>
    <row r="798" spans="1:31">
      <c r="A798" s="4" t="s">
        <v>1601</v>
      </c>
      <c r="B798" s="4" t="s">
        <v>1602</v>
      </c>
      <c r="C798" s="5">
        <v>71</v>
      </c>
      <c r="D798" s="5">
        <v>120</v>
      </c>
      <c r="E798" s="5">
        <v>95</v>
      </c>
      <c r="F798" s="5">
        <v>120</v>
      </c>
      <c r="G798" s="5">
        <v>95</v>
      </c>
      <c r="H798" s="5">
        <v>99</v>
      </c>
      <c r="I798" s="5"/>
      <c r="J798" s="4" t="s">
        <v>64</v>
      </c>
      <c r="K798" s="4" t="s">
        <v>119</v>
      </c>
      <c r="L798" s="4" t="s">
        <v>1243</v>
      </c>
      <c r="M798" s="5"/>
      <c r="N798" s="5"/>
      <c r="O798" s="5" t="b">
        <v>1</v>
      </c>
      <c r="P798" s="4" t="str">
        <f>IF(A798="",IF(ISNUMBER(SEARCH("NOT NULL",UPPER(A$3))),"''","null"),SUBSTITUTE(VLOOKUP(A$2,convert!$A$1:$B$4,2,0),"@@@",A798))</f>
        <v>'0649N01'</v>
      </c>
      <c r="Q798" s="4" t="str">
        <f>IF(B798="",IF(ISNUMBER(SEARCH("NOT NULL",UPPER(B$3))),"''","null"),SUBSTITUTE(VLOOKUP(B$2,convert!$A$1:$B$4,2,0),"@@@",B798))</f>
        <v>'ゲノセクト'</v>
      </c>
      <c r="R798" s="4" t="str">
        <f>IF(C798="",IF(ISNUMBER(SEARCH("NOT NULL",UPPER(C$3))),"''","null"),SUBSTITUTE(VLOOKUP(C$2,convert!$A$1:$B$4,2,0),"@@@",C798))</f>
        <v>71</v>
      </c>
      <c r="S798" s="4" t="str">
        <f>IF(D798="",IF(ISNUMBER(SEARCH("NOT NULL",UPPER(D$3))),"''","null"),SUBSTITUTE(VLOOKUP(D$2,convert!$A$1:$B$4,2,0),"@@@",D798))</f>
        <v>120</v>
      </c>
      <c r="T798" s="4" t="str">
        <f>IF(E798="",IF(ISNUMBER(SEARCH("NOT NULL",UPPER(E$3))),"''","null"),SUBSTITUTE(VLOOKUP(E$2,convert!$A$1:$B$4,2,0),"@@@",E798))</f>
        <v>95</v>
      </c>
      <c r="U798" s="4" t="str">
        <f>IF(F798="",IF(ISNUMBER(SEARCH("NOT NULL",UPPER(F$3))),"''","null"),SUBSTITUTE(VLOOKUP(F$2,convert!$A$1:$B$4,2,0),"@@@",F798))</f>
        <v>120</v>
      </c>
      <c r="V798" s="4" t="str">
        <f>IF(G798="",IF(ISNUMBER(SEARCH("NOT NULL",UPPER(G$3))),"''","null"),SUBSTITUTE(VLOOKUP(G$2,convert!$A$1:$B$4,2,0),"@@@",G798))</f>
        <v>95</v>
      </c>
      <c r="W798" s="4" t="str">
        <f>IF(H798="",IF(ISNUMBER(SEARCH("NOT NULL",UPPER(H$3))),"''","null"),SUBSTITUTE(VLOOKUP(H$2,convert!$A$1:$B$4,2,0),"@@@",H798))</f>
        <v>99</v>
      </c>
      <c r="X798" s="4" t="str">
        <f>IF(I798="",IF(ISNUMBER(SEARCH("NOT NULL",UPPER(I$3))),"''","null"),SUBSTITUTE(VLOOKUP(I$2,convert!$A$1:$B$4,2,0),"@@@",I798))</f>
        <v>''</v>
      </c>
      <c r="Y798" s="4" t="str">
        <f>IF(J798="",IF(ISNUMBER(SEARCH("NOT NULL",UPPER(J$3))),"''","null"),SUBSTITUTE(VLOOKUP(J$2,convert!$A$1:$B$4,2,0),"@@@",J798))</f>
        <v>'bug'</v>
      </c>
      <c r="Z798" s="4" t="str">
        <f>IF(K798="",IF(ISNUMBER(SEARCH("NOT NULL",UPPER(K$3))),"''","null"),SUBSTITUTE(VLOOKUP(K$2,convert!$A$1:$B$4,2,0),"@@@",K798))</f>
        <v>'steel'</v>
      </c>
      <c r="AA798" s="4" t="str">
        <f>IF(L798="",IF(ISNUMBER(SEARCH("NOT NULL",UPPER(L$3))),"''","null"),SUBSTITUTE(VLOOKUP(L$2,convert!$A$1:$B$4,2,0),"@@@",L798))</f>
        <v>'g5'</v>
      </c>
      <c r="AB798" s="4" t="str">
        <f>IF(M798="",IF(ISNUMBER(SEARCH("NOT NULL",UPPER(M$3))),"''","null"),SUBSTITUTE(VLOOKUP(M$2,convert!$A$1:$B$4,2,0),"@@@",M798))</f>
        <v>null</v>
      </c>
      <c r="AC798" s="4" t="str">
        <f>IF(N798="",IF(ISNUMBER(SEARCH("NOT NULL",UPPER(N$3))),"''","null"),SUBSTITUTE(VLOOKUP(N$2,convert!$A$1:$B$4,2,0),"@@@",N798))</f>
        <v>null</v>
      </c>
      <c r="AD798" s="4" t="str">
        <f>IF(O798="",IF(ISNUMBER(SEARCH("NOT NULL",UPPER(O$3))),"''","null"),SUBSTITUTE(VLOOKUP(O$2,convert!$A$1:$B$4,2,0),"@@@",O798))</f>
        <v>TRUE</v>
      </c>
      <c r="AE798" s="4" t="str">
        <f t="shared" si="12"/>
        <v>    ('0649N01', 'ゲノセクト', 71, 120, 95, 120, 95, 99, '', 'bug', 'steel', 'g5', null, null, TRUE),</v>
      </c>
    </row>
    <row r="799" spans="1:31">
      <c r="A799" s="4" t="s">
        <v>1603</v>
      </c>
      <c r="B799" s="4" t="s">
        <v>1604</v>
      </c>
      <c r="C799" s="5">
        <v>56</v>
      </c>
      <c r="D799" s="5">
        <v>61</v>
      </c>
      <c r="E799" s="5">
        <v>65</v>
      </c>
      <c r="F799" s="5">
        <v>48</v>
      </c>
      <c r="G799" s="5">
        <v>45</v>
      </c>
      <c r="H799" s="5">
        <v>38</v>
      </c>
      <c r="I799" s="5"/>
      <c r="J799" s="4" t="s">
        <v>30</v>
      </c>
      <c r="K799" s="5"/>
      <c r="L799" s="4" t="s">
        <v>39</v>
      </c>
      <c r="M799" s="5"/>
      <c r="N799" s="5"/>
      <c r="O799" s="5" t="b">
        <v>1</v>
      </c>
      <c r="P799" s="4" t="str">
        <f>IF(A799="",IF(ISNUMBER(SEARCH("NOT NULL",UPPER(A$3))),"''","null"),SUBSTITUTE(VLOOKUP(A$2,convert!$A$1:$B$4,2,0),"@@@",A799))</f>
        <v>'0650N01'</v>
      </c>
      <c r="Q799" s="4" t="str">
        <f>IF(B799="",IF(ISNUMBER(SEARCH("NOT NULL",UPPER(B$3))),"''","null"),SUBSTITUTE(VLOOKUP(B$2,convert!$A$1:$B$4,2,0),"@@@",B799))</f>
        <v>'ハリマロン'</v>
      </c>
      <c r="R799" s="4" t="str">
        <f>IF(C799="",IF(ISNUMBER(SEARCH("NOT NULL",UPPER(C$3))),"''","null"),SUBSTITUTE(VLOOKUP(C$2,convert!$A$1:$B$4,2,0),"@@@",C799))</f>
        <v>56</v>
      </c>
      <c r="S799" s="4" t="str">
        <f>IF(D799="",IF(ISNUMBER(SEARCH("NOT NULL",UPPER(D$3))),"''","null"),SUBSTITUTE(VLOOKUP(D$2,convert!$A$1:$B$4,2,0),"@@@",D799))</f>
        <v>61</v>
      </c>
      <c r="T799" s="4" t="str">
        <f>IF(E799="",IF(ISNUMBER(SEARCH("NOT NULL",UPPER(E$3))),"''","null"),SUBSTITUTE(VLOOKUP(E$2,convert!$A$1:$B$4,2,0),"@@@",E799))</f>
        <v>65</v>
      </c>
      <c r="U799" s="4" t="str">
        <f>IF(F799="",IF(ISNUMBER(SEARCH("NOT NULL",UPPER(F$3))),"''","null"),SUBSTITUTE(VLOOKUP(F$2,convert!$A$1:$B$4,2,0),"@@@",F799))</f>
        <v>48</v>
      </c>
      <c r="V799" s="4" t="str">
        <f>IF(G799="",IF(ISNUMBER(SEARCH("NOT NULL",UPPER(G$3))),"''","null"),SUBSTITUTE(VLOOKUP(G$2,convert!$A$1:$B$4,2,0),"@@@",G799))</f>
        <v>45</v>
      </c>
      <c r="W799" s="4" t="str">
        <f>IF(H799="",IF(ISNUMBER(SEARCH("NOT NULL",UPPER(H$3))),"''","null"),SUBSTITUTE(VLOOKUP(H$2,convert!$A$1:$B$4,2,0),"@@@",H799))</f>
        <v>38</v>
      </c>
      <c r="X799" s="4" t="str">
        <f>IF(I799="",IF(ISNUMBER(SEARCH("NOT NULL",UPPER(I$3))),"''","null"),SUBSTITUTE(VLOOKUP(I$2,convert!$A$1:$B$4,2,0),"@@@",I799))</f>
        <v>''</v>
      </c>
      <c r="Y799" s="4" t="str">
        <f>IF(J799="",IF(ISNUMBER(SEARCH("NOT NULL",UPPER(J$3))),"''","null"),SUBSTITUTE(VLOOKUP(J$2,convert!$A$1:$B$4,2,0),"@@@",J799))</f>
        <v>'grass'</v>
      </c>
      <c r="Z799" s="4" t="str">
        <f>IF(K799="",IF(ISNUMBER(SEARCH("NOT NULL",UPPER(K$3))),"''","null"),SUBSTITUTE(VLOOKUP(K$2,convert!$A$1:$B$4,2,0),"@@@",K799))</f>
        <v>null</v>
      </c>
      <c r="AA799" s="4" t="str">
        <f>IF(L799="",IF(ISNUMBER(SEARCH("NOT NULL",UPPER(L$3))),"''","null"),SUBSTITUTE(VLOOKUP(L$2,convert!$A$1:$B$4,2,0),"@@@",L799))</f>
        <v>'g6'</v>
      </c>
      <c r="AB799" s="4" t="str">
        <f>IF(M799="",IF(ISNUMBER(SEARCH("NOT NULL",UPPER(M$3))),"''","null"),SUBSTITUTE(VLOOKUP(M$2,convert!$A$1:$B$4,2,0),"@@@",M799))</f>
        <v>null</v>
      </c>
      <c r="AC799" s="4" t="str">
        <f>IF(N799="",IF(ISNUMBER(SEARCH("NOT NULL",UPPER(N$3))),"''","null"),SUBSTITUTE(VLOOKUP(N$2,convert!$A$1:$B$4,2,0),"@@@",N799))</f>
        <v>null</v>
      </c>
      <c r="AD799" s="4" t="str">
        <f>IF(O799="",IF(ISNUMBER(SEARCH("NOT NULL",UPPER(O$3))),"''","null"),SUBSTITUTE(VLOOKUP(O$2,convert!$A$1:$B$4,2,0),"@@@",O799))</f>
        <v>TRUE</v>
      </c>
      <c r="AE799" s="4" t="str">
        <f t="shared" si="12"/>
        <v>    ('0650N01', 'ハリマロン', 56, 61, 65, 48, 45, 38, '', 'grass', null, 'g6', null, null, TRUE),</v>
      </c>
    </row>
    <row r="800" spans="1:31">
      <c r="A800" s="4" t="s">
        <v>1605</v>
      </c>
      <c r="B800" s="4" t="s">
        <v>1606</v>
      </c>
      <c r="C800" s="5">
        <v>61</v>
      </c>
      <c r="D800" s="5">
        <v>78</v>
      </c>
      <c r="E800" s="5">
        <v>95</v>
      </c>
      <c r="F800" s="5">
        <v>56</v>
      </c>
      <c r="G800" s="5">
        <v>58</v>
      </c>
      <c r="H800" s="5">
        <v>57</v>
      </c>
      <c r="I800" s="5"/>
      <c r="J800" s="4" t="s">
        <v>30</v>
      </c>
      <c r="K800" s="5"/>
      <c r="L800" s="4" t="s">
        <v>39</v>
      </c>
      <c r="M800" s="5"/>
      <c r="N800" s="5"/>
      <c r="O800" s="5" t="b">
        <v>1</v>
      </c>
      <c r="P800" s="4" t="str">
        <f>IF(A800="",IF(ISNUMBER(SEARCH("NOT NULL",UPPER(A$3))),"''","null"),SUBSTITUTE(VLOOKUP(A$2,convert!$A$1:$B$4,2,0),"@@@",A800))</f>
        <v>'0651N01'</v>
      </c>
      <c r="Q800" s="4" t="str">
        <f>IF(B800="",IF(ISNUMBER(SEARCH("NOT NULL",UPPER(B$3))),"''","null"),SUBSTITUTE(VLOOKUP(B$2,convert!$A$1:$B$4,2,0),"@@@",B800))</f>
        <v>'ハリボーグ'</v>
      </c>
      <c r="R800" s="4" t="str">
        <f>IF(C800="",IF(ISNUMBER(SEARCH("NOT NULL",UPPER(C$3))),"''","null"),SUBSTITUTE(VLOOKUP(C$2,convert!$A$1:$B$4,2,0),"@@@",C800))</f>
        <v>61</v>
      </c>
      <c r="S800" s="4" t="str">
        <f>IF(D800="",IF(ISNUMBER(SEARCH("NOT NULL",UPPER(D$3))),"''","null"),SUBSTITUTE(VLOOKUP(D$2,convert!$A$1:$B$4,2,0),"@@@",D800))</f>
        <v>78</v>
      </c>
      <c r="T800" s="4" t="str">
        <f>IF(E800="",IF(ISNUMBER(SEARCH("NOT NULL",UPPER(E$3))),"''","null"),SUBSTITUTE(VLOOKUP(E$2,convert!$A$1:$B$4,2,0),"@@@",E800))</f>
        <v>95</v>
      </c>
      <c r="U800" s="4" t="str">
        <f>IF(F800="",IF(ISNUMBER(SEARCH("NOT NULL",UPPER(F$3))),"''","null"),SUBSTITUTE(VLOOKUP(F$2,convert!$A$1:$B$4,2,0),"@@@",F800))</f>
        <v>56</v>
      </c>
      <c r="V800" s="4" t="str">
        <f>IF(G800="",IF(ISNUMBER(SEARCH("NOT NULL",UPPER(G$3))),"''","null"),SUBSTITUTE(VLOOKUP(G$2,convert!$A$1:$B$4,2,0),"@@@",G800))</f>
        <v>58</v>
      </c>
      <c r="W800" s="4" t="str">
        <f>IF(H800="",IF(ISNUMBER(SEARCH("NOT NULL",UPPER(H$3))),"''","null"),SUBSTITUTE(VLOOKUP(H$2,convert!$A$1:$B$4,2,0),"@@@",H800))</f>
        <v>57</v>
      </c>
      <c r="X800" s="4" t="str">
        <f>IF(I800="",IF(ISNUMBER(SEARCH("NOT NULL",UPPER(I$3))),"''","null"),SUBSTITUTE(VLOOKUP(I$2,convert!$A$1:$B$4,2,0),"@@@",I800))</f>
        <v>''</v>
      </c>
      <c r="Y800" s="4" t="str">
        <f>IF(J800="",IF(ISNUMBER(SEARCH("NOT NULL",UPPER(J$3))),"''","null"),SUBSTITUTE(VLOOKUP(J$2,convert!$A$1:$B$4,2,0),"@@@",J800))</f>
        <v>'grass'</v>
      </c>
      <c r="Z800" s="4" t="str">
        <f>IF(K800="",IF(ISNUMBER(SEARCH("NOT NULL",UPPER(K$3))),"''","null"),SUBSTITUTE(VLOOKUP(K$2,convert!$A$1:$B$4,2,0),"@@@",K800))</f>
        <v>null</v>
      </c>
      <c r="AA800" s="4" t="str">
        <f>IF(L800="",IF(ISNUMBER(SEARCH("NOT NULL",UPPER(L$3))),"''","null"),SUBSTITUTE(VLOOKUP(L$2,convert!$A$1:$B$4,2,0),"@@@",L800))</f>
        <v>'g6'</v>
      </c>
      <c r="AB800" s="4" t="str">
        <f>IF(M800="",IF(ISNUMBER(SEARCH("NOT NULL",UPPER(M$3))),"''","null"),SUBSTITUTE(VLOOKUP(M$2,convert!$A$1:$B$4,2,0),"@@@",M800))</f>
        <v>null</v>
      </c>
      <c r="AC800" s="4" t="str">
        <f>IF(N800="",IF(ISNUMBER(SEARCH("NOT NULL",UPPER(N$3))),"''","null"),SUBSTITUTE(VLOOKUP(N$2,convert!$A$1:$B$4,2,0),"@@@",N800))</f>
        <v>null</v>
      </c>
      <c r="AD800" s="4" t="str">
        <f>IF(O800="",IF(ISNUMBER(SEARCH("NOT NULL",UPPER(O$3))),"''","null"),SUBSTITUTE(VLOOKUP(O$2,convert!$A$1:$B$4,2,0),"@@@",O800))</f>
        <v>TRUE</v>
      </c>
      <c r="AE800" s="4" t="str">
        <f t="shared" si="12"/>
        <v>    ('0651N01', 'ハリボーグ', 61, 78, 95, 56, 58, 57, '', 'grass', null, 'g6', null, null, TRUE),</v>
      </c>
    </row>
    <row r="801" spans="1:31">
      <c r="A801" s="4" t="s">
        <v>1607</v>
      </c>
      <c r="B801" s="4" t="s">
        <v>1608</v>
      </c>
      <c r="C801" s="5">
        <v>88</v>
      </c>
      <c r="D801" s="5">
        <v>107</v>
      </c>
      <c r="E801" s="5">
        <v>122</v>
      </c>
      <c r="F801" s="5">
        <v>74</v>
      </c>
      <c r="G801" s="5">
        <v>75</v>
      </c>
      <c r="H801" s="5">
        <v>64</v>
      </c>
      <c r="I801" s="5"/>
      <c r="J801" s="4" t="s">
        <v>30</v>
      </c>
      <c r="K801" s="4" t="s">
        <v>189</v>
      </c>
      <c r="L801" s="4" t="s">
        <v>39</v>
      </c>
      <c r="M801" s="5"/>
      <c r="N801" s="5"/>
      <c r="O801" s="5" t="b">
        <v>1</v>
      </c>
      <c r="P801" s="4" t="str">
        <f>IF(A801="",IF(ISNUMBER(SEARCH("NOT NULL",UPPER(A$3))),"''","null"),SUBSTITUTE(VLOOKUP(A$2,convert!$A$1:$B$4,2,0),"@@@",A801))</f>
        <v>'0652N01'</v>
      </c>
      <c r="Q801" s="4" t="str">
        <f>IF(B801="",IF(ISNUMBER(SEARCH("NOT NULL",UPPER(B$3))),"''","null"),SUBSTITUTE(VLOOKUP(B$2,convert!$A$1:$B$4,2,0),"@@@",B801))</f>
        <v>'ブリガロン'</v>
      </c>
      <c r="R801" s="4" t="str">
        <f>IF(C801="",IF(ISNUMBER(SEARCH("NOT NULL",UPPER(C$3))),"''","null"),SUBSTITUTE(VLOOKUP(C$2,convert!$A$1:$B$4,2,0),"@@@",C801))</f>
        <v>88</v>
      </c>
      <c r="S801" s="4" t="str">
        <f>IF(D801="",IF(ISNUMBER(SEARCH("NOT NULL",UPPER(D$3))),"''","null"),SUBSTITUTE(VLOOKUP(D$2,convert!$A$1:$B$4,2,0),"@@@",D801))</f>
        <v>107</v>
      </c>
      <c r="T801" s="4" t="str">
        <f>IF(E801="",IF(ISNUMBER(SEARCH("NOT NULL",UPPER(E$3))),"''","null"),SUBSTITUTE(VLOOKUP(E$2,convert!$A$1:$B$4,2,0),"@@@",E801))</f>
        <v>122</v>
      </c>
      <c r="U801" s="4" t="str">
        <f>IF(F801="",IF(ISNUMBER(SEARCH("NOT NULL",UPPER(F$3))),"''","null"),SUBSTITUTE(VLOOKUP(F$2,convert!$A$1:$B$4,2,0),"@@@",F801))</f>
        <v>74</v>
      </c>
      <c r="V801" s="4" t="str">
        <f>IF(G801="",IF(ISNUMBER(SEARCH("NOT NULL",UPPER(G$3))),"''","null"),SUBSTITUTE(VLOOKUP(G$2,convert!$A$1:$B$4,2,0),"@@@",G801))</f>
        <v>75</v>
      </c>
      <c r="W801" s="4" t="str">
        <f>IF(H801="",IF(ISNUMBER(SEARCH("NOT NULL",UPPER(H$3))),"''","null"),SUBSTITUTE(VLOOKUP(H$2,convert!$A$1:$B$4,2,0),"@@@",H801))</f>
        <v>64</v>
      </c>
      <c r="X801" s="4" t="str">
        <f>IF(I801="",IF(ISNUMBER(SEARCH("NOT NULL",UPPER(I$3))),"''","null"),SUBSTITUTE(VLOOKUP(I$2,convert!$A$1:$B$4,2,0),"@@@",I801))</f>
        <v>''</v>
      </c>
      <c r="Y801" s="4" t="str">
        <f>IF(J801="",IF(ISNUMBER(SEARCH("NOT NULL",UPPER(J$3))),"''","null"),SUBSTITUTE(VLOOKUP(J$2,convert!$A$1:$B$4,2,0),"@@@",J801))</f>
        <v>'grass'</v>
      </c>
      <c r="Z801" s="4" t="str">
        <f>IF(K801="",IF(ISNUMBER(SEARCH("NOT NULL",UPPER(K$3))),"''","null"),SUBSTITUTE(VLOOKUP(K$2,convert!$A$1:$B$4,2,0),"@@@",K801))</f>
        <v>'fighting'</v>
      </c>
      <c r="AA801" s="4" t="str">
        <f>IF(L801="",IF(ISNUMBER(SEARCH("NOT NULL",UPPER(L$3))),"''","null"),SUBSTITUTE(VLOOKUP(L$2,convert!$A$1:$B$4,2,0),"@@@",L801))</f>
        <v>'g6'</v>
      </c>
      <c r="AB801" s="4" t="str">
        <f>IF(M801="",IF(ISNUMBER(SEARCH("NOT NULL",UPPER(M$3))),"''","null"),SUBSTITUTE(VLOOKUP(M$2,convert!$A$1:$B$4,2,0),"@@@",M801))</f>
        <v>null</v>
      </c>
      <c r="AC801" s="4" t="str">
        <f>IF(N801="",IF(ISNUMBER(SEARCH("NOT NULL",UPPER(N$3))),"''","null"),SUBSTITUTE(VLOOKUP(N$2,convert!$A$1:$B$4,2,0),"@@@",N801))</f>
        <v>null</v>
      </c>
      <c r="AD801" s="4" t="str">
        <f>IF(O801="",IF(ISNUMBER(SEARCH("NOT NULL",UPPER(O$3))),"''","null"),SUBSTITUTE(VLOOKUP(O$2,convert!$A$1:$B$4,2,0),"@@@",O801))</f>
        <v>TRUE</v>
      </c>
      <c r="AE801" s="4" t="str">
        <f t="shared" si="12"/>
        <v>    ('0652N01', 'ブリガロン', 88, 107, 122, 74, 75, 64, '', 'grass', 'fighting', 'g6', null, null, TRUE),</v>
      </c>
    </row>
    <row r="802" spans="1:31">
      <c r="A802" s="4" t="s">
        <v>1609</v>
      </c>
      <c r="B802" s="4" t="s">
        <v>1610</v>
      </c>
      <c r="C802" s="5">
        <v>40</v>
      </c>
      <c r="D802" s="5">
        <v>45</v>
      </c>
      <c r="E802" s="5">
        <v>40</v>
      </c>
      <c r="F802" s="5">
        <v>62</v>
      </c>
      <c r="G802" s="5">
        <v>60</v>
      </c>
      <c r="H802" s="5">
        <v>60</v>
      </c>
      <c r="I802" s="5"/>
      <c r="J802" s="4" t="s">
        <v>42</v>
      </c>
      <c r="K802" s="5"/>
      <c r="L802" s="4" t="s">
        <v>39</v>
      </c>
      <c r="M802" s="5"/>
      <c r="N802" s="5"/>
      <c r="O802" s="5" t="b">
        <v>1</v>
      </c>
      <c r="P802" s="4" t="str">
        <f>IF(A802="",IF(ISNUMBER(SEARCH("NOT NULL",UPPER(A$3))),"''","null"),SUBSTITUTE(VLOOKUP(A$2,convert!$A$1:$B$4,2,0),"@@@",A802))</f>
        <v>'0653N01'</v>
      </c>
      <c r="Q802" s="4" t="str">
        <f>IF(B802="",IF(ISNUMBER(SEARCH("NOT NULL",UPPER(B$3))),"''","null"),SUBSTITUTE(VLOOKUP(B$2,convert!$A$1:$B$4,2,0),"@@@",B802))</f>
        <v>'フォッコ'</v>
      </c>
      <c r="R802" s="4" t="str">
        <f>IF(C802="",IF(ISNUMBER(SEARCH("NOT NULL",UPPER(C$3))),"''","null"),SUBSTITUTE(VLOOKUP(C$2,convert!$A$1:$B$4,2,0),"@@@",C802))</f>
        <v>40</v>
      </c>
      <c r="S802" s="4" t="str">
        <f>IF(D802="",IF(ISNUMBER(SEARCH("NOT NULL",UPPER(D$3))),"''","null"),SUBSTITUTE(VLOOKUP(D$2,convert!$A$1:$B$4,2,0),"@@@",D802))</f>
        <v>45</v>
      </c>
      <c r="T802" s="4" t="str">
        <f>IF(E802="",IF(ISNUMBER(SEARCH("NOT NULL",UPPER(E$3))),"''","null"),SUBSTITUTE(VLOOKUP(E$2,convert!$A$1:$B$4,2,0),"@@@",E802))</f>
        <v>40</v>
      </c>
      <c r="U802" s="4" t="str">
        <f>IF(F802="",IF(ISNUMBER(SEARCH("NOT NULL",UPPER(F$3))),"''","null"),SUBSTITUTE(VLOOKUP(F$2,convert!$A$1:$B$4,2,0),"@@@",F802))</f>
        <v>62</v>
      </c>
      <c r="V802" s="4" t="str">
        <f>IF(G802="",IF(ISNUMBER(SEARCH("NOT NULL",UPPER(G$3))),"''","null"),SUBSTITUTE(VLOOKUP(G$2,convert!$A$1:$B$4,2,0),"@@@",G802))</f>
        <v>60</v>
      </c>
      <c r="W802" s="4" t="str">
        <f>IF(H802="",IF(ISNUMBER(SEARCH("NOT NULL",UPPER(H$3))),"''","null"),SUBSTITUTE(VLOOKUP(H$2,convert!$A$1:$B$4,2,0),"@@@",H802))</f>
        <v>60</v>
      </c>
      <c r="X802" s="4" t="str">
        <f>IF(I802="",IF(ISNUMBER(SEARCH("NOT NULL",UPPER(I$3))),"''","null"),SUBSTITUTE(VLOOKUP(I$2,convert!$A$1:$B$4,2,0),"@@@",I802))</f>
        <v>''</v>
      </c>
      <c r="Y802" s="4" t="str">
        <f>IF(J802="",IF(ISNUMBER(SEARCH("NOT NULL",UPPER(J$3))),"''","null"),SUBSTITUTE(VLOOKUP(J$2,convert!$A$1:$B$4,2,0),"@@@",J802))</f>
        <v>'fire'</v>
      </c>
      <c r="Z802" s="4" t="str">
        <f>IF(K802="",IF(ISNUMBER(SEARCH("NOT NULL",UPPER(K$3))),"''","null"),SUBSTITUTE(VLOOKUP(K$2,convert!$A$1:$B$4,2,0),"@@@",K802))</f>
        <v>null</v>
      </c>
      <c r="AA802" s="4" t="str">
        <f>IF(L802="",IF(ISNUMBER(SEARCH("NOT NULL",UPPER(L$3))),"''","null"),SUBSTITUTE(VLOOKUP(L$2,convert!$A$1:$B$4,2,0),"@@@",L802))</f>
        <v>'g6'</v>
      </c>
      <c r="AB802" s="4" t="str">
        <f>IF(M802="",IF(ISNUMBER(SEARCH("NOT NULL",UPPER(M$3))),"''","null"),SUBSTITUTE(VLOOKUP(M$2,convert!$A$1:$B$4,2,0),"@@@",M802))</f>
        <v>null</v>
      </c>
      <c r="AC802" s="4" t="str">
        <f>IF(N802="",IF(ISNUMBER(SEARCH("NOT NULL",UPPER(N$3))),"''","null"),SUBSTITUTE(VLOOKUP(N$2,convert!$A$1:$B$4,2,0),"@@@",N802))</f>
        <v>null</v>
      </c>
      <c r="AD802" s="4" t="str">
        <f>IF(O802="",IF(ISNUMBER(SEARCH("NOT NULL",UPPER(O$3))),"''","null"),SUBSTITUTE(VLOOKUP(O$2,convert!$A$1:$B$4,2,0),"@@@",O802))</f>
        <v>TRUE</v>
      </c>
      <c r="AE802" s="4" t="str">
        <f t="shared" si="12"/>
        <v>    ('0653N01', 'フォッコ', 40, 45, 40, 62, 60, 60, '', 'fire', null, 'g6', null, null, TRUE),</v>
      </c>
    </row>
    <row r="803" spans="1:31">
      <c r="A803" s="4" t="s">
        <v>1611</v>
      </c>
      <c r="B803" s="4" t="s">
        <v>1612</v>
      </c>
      <c r="C803" s="5">
        <v>59</v>
      </c>
      <c r="D803" s="5">
        <v>59</v>
      </c>
      <c r="E803" s="5">
        <v>58</v>
      </c>
      <c r="F803" s="5">
        <v>90</v>
      </c>
      <c r="G803" s="5">
        <v>70</v>
      </c>
      <c r="H803" s="5">
        <v>73</v>
      </c>
      <c r="I803" s="5"/>
      <c r="J803" s="4" t="s">
        <v>42</v>
      </c>
      <c r="K803" s="5"/>
      <c r="L803" s="4" t="s">
        <v>39</v>
      </c>
      <c r="M803" s="5"/>
      <c r="N803" s="5"/>
      <c r="O803" s="5" t="b">
        <v>1</v>
      </c>
      <c r="P803" s="4" t="str">
        <f>IF(A803="",IF(ISNUMBER(SEARCH("NOT NULL",UPPER(A$3))),"''","null"),SUBSTITUTE(VLOOKUP(A$2,convert!$A$1:$B$4,2,0),"@@@",A803))</f>
        <v>'0654N01'</v>
      </c>
      <c r="Q803" s="4" t="str">
        <f>IF(B803="",IF(ISNUMBER(SEARCH("NOT NULL",UPPER(B$3))),"''","null"),SUBSTITUTE(VLOOKUP(B$2,convert!$A$1:$B$4,2,0),"@@@",B803))</f>
        <v>'テールナー'</v>
      </c>
      <c r="R803" s="4" t="str">
        <f>IF(C803="",IF(ISNUMBER(SEARCH("NOT NULL",UPPER(C$3))),"''","null"),SUBSTITUTE(VLOOKUP(C$2,convert!$A$1:$B$4,2,0),"@@@",C803))</f>
        <v>59</v>
      </c>
      <c r="S803" s="4" t="str">
        <f>IF(D803="",IF(ISNUMBER(SEARCH("NOT NULL",UPPER(D$3))),"''","null"),SUBSTITUTE(VLOOKUP(D$2,convert!$A$1:$B$4,2,0),"@@@",D803))</f>
        <v>59</v>
      </c>
      <c r="T803" s="4" t="str">
        <f>IF(E803="",IF(ISNUMBER(SEARCH("NOT NULL",UPPER(E$3))),"''","null"),SUBSTITUTE(VLOOKUP(E$2,convert!$A$1:$B$4,2,0),"@@@",E803))</f>
        <v>58</v>
      </c>
      <c r="U803" s="4" t="str">
        <f>IF(F803="",IF(ISNUMBER(SEARCH("NOT NULL",UPPER(F$3))),"''","null"),SUBSTITUTE(VLOOKUP(F$2,convert!$A$1:$B$4,2,0),"@@@",F803))</f>
        <v>90</v>
      </c>
      <c r="V803" s="4" t="str">
        <f>IF(G803="",IF(ISNUMBER(SEARCH("NOT NULL",UPPER(G$3))),"''","null"),SUBSTITUTE(VLOOKUP(G$2,convert!$A$1:$B$4,2,0),"@@@",G803))</f>
        <v>70</v>
      </c>
      <c r="W803" s="4" t="str">
        <f>IF(H803="",IF(ISNUMBER(SEARCH("NOT NULL",UPPER(H$3))),"''","null"),SUBSTITUTE(VLOOKUP(H$2,convert!$A$1:$B$4,2,0),"@@@",H803))</f>
        <v>73</v>
      </c>
      <c r="X803" s="4" t="str">
        <f>IF(I803="",IF(ISNUMBER(SEARCH("NOT NULL",UPPER(I$3))),"''","null"),SUBSTITUTE(VLOOKUP(I$2,convert!$A$1:$B$4,2,0),"@@@",I803))</f>
        <v>''</v>
      </c>
      <c r="Y803" s="4" t="str">
        <f>IF(J803="",IF(ISNUMBER(SEARCH("NOT NULL",UPPER(J$3))),"''","null"),SUBSTITUTE(VLOOKUP(J$2,convert!$A$1:$B$4,2,0),"@@@",J803))</f>
        <v>'fire'</v>
      </c>
      <c r="Z803" s="4" t="str">
        <f>IF(K803="",IF(ISNUMBER(SEARCH("NOT NULL",UPPER(K$3))),"''","null"),SUBSTITUTE(VLOOKUP(K$2,convert!$A$1:$B$4,2,0),"@@@",K803))</f>
        <v>null</v>
      </c>
      <c r="AA803" s="4" t="str">
        <f>IF(L803="",IF(ISNUMBER(SEARCH("NOT NULL",UPPER(L$3))),"''","null"),SUBSTITUTE(VLOOKUP(L$2,convert!$A$1:$B$4,2,0),"@@@",L803))</f>
        <v>'g6'</v>
      </c>
      <c r="AB803" s="4" t="str">
        <f>IF(M803="",IF(ISNUMBER(SEARCH("NOT NULL",UPPER(M$3))),"''","null"),SUBSTITUTE(VLOOKUP(M$2,convert!$A$1:$B$4,2,0),"@@@",M803))</f>
        <v>null</v>
      </c>
      <c r="AC803" s="4" t="str">
        <f>IF(N803="",IF(ISNUMBER(SEARCH("NOT NULL",UPPER(N$3))),"''","null"),SUBSTITUTE(VLOOKUP(N$2,convert!$A$1:$B$4,2,0),"@@@",N803))</f>
        <v>null</v>
      </c>
      <c r="AD803" s="4" t="str">
        <f>IF(O803="",IF(ISNUMBER(SEARCH("NOT NULL",UPPER(O$3))),"''","null"),SUBSTITUTE(VLOOKUP(O$2,convert!$A$1:$B$4,2,0),"@@@",O803))</f>
        <v>TRUE</v>
      </c>
      <c r="AE803" s="4" t="str">
        <f t="shared" si="12"/>
        <v>    ('0654N01', 'テールナー', 59, 59, 58, 90, 70, 73, '', 'fire', null, 'g6', null, null, TRUE),</v>
      </c>
    </row>
    <row r="804" spans="1:31">
      <c r="A804" s="4" t="s">
        <v>1613</v>
      </c>
      <c r="B804" s="4" t="s">
        <v>1614</v>
      </c>
      <c r="C804" s="5">
        <v>75</v>
      </c>
      <c r="D804" s="5">
        <v>69</v>
      </c>
      <c r="E804" s="5">
        <v>72</v>
      </c>
      <c r="F804" s="5">
        <v>114</v>
      </c>
      <c r="G804" s="5">
        <v>100</v>
      </c>
      <c r="H804" s="5">
        <v>104</v>
      </c>
      <c r="I804" s="5"/>
      <c r="J804" s="4" t="s">
        <v>42</v>
      </c>
      <c r="K804" s="4" t="s">
        <v>113</v>
      </c>
      <c r="L804" s="4" t="s">
        <v>39</v>
      </c>
      <c r="M804" s="5"/>
      <c r="N804" s="5"/>
      <c r="O804" s="5" t="b">
        <v>1</v>
      </c>
      <c r="P804" s="4" t="str">
        <f>IF(A804="",IF(ISNUMBER(SEARCH("NOT NULL",UPPER(A$3))),"''","null"),SUBSTITUTE(VLOOKUP(A$2,convert!$A$1:$B$4,2,0),"@@@",A804))</f>
        <v>'0655N01'</v>
      </c>
      <c r="Q804" s="4" t="str">
        <f>IF(B804="",IF(ISNUMBER(SEARCH("NOT NULL",UPPER(B$3))),"''","null"),SUBSTITUTE(VLOOKUP(B$2,convert!$A$1:$B$4,2,0),"@@@",B804))</f>
        <v>'マフォクシー'</v>
      </c>
      <c r="R804" s="4" t="str">
        <f>IF(C804="",IF(ISNUMBER(SEARCH("NOT NULL",UPPER(C$3))),"''","null"),SUBSTITUTE(VLOOKUP(C$2,convert!$A$1:$B$4,2,0),"@@@",C804))</f>
        <v>75</v>
      </c>
      <c r="S804" s="4" t="str">
        <f>IF(D804="",IF(ISNUMBER(SEARCH("NOT NULL",UPPER(D$3))),"''","null"),SUBSTITUTE(VLOOKUP(D$2,convert!$A$1:$B$4,2,0),"@@@",D804))</f>
        <v>69</v>
      </c>
      <c r="T804" s="4" t="str">
        <f>IF(E804="",IF(ISNUMBER(SEARCH("NOT NULL",UPPER(E$3))),"''","null"),SUBSTITUTE(VLOOKUP(E$2,convert!$A$1:$B$4,2,0),"@@@",E804))</f>
        <v>72</v>
      </c>
      <c r="U804" s="4" t="str">
        <f>IF(F804="",IF(ISNUMBER(SEARCH("NOT NULL",UPPER(F$3))),"''","null"),SUBSTITUTE(VLOOKUP(F$2,convert!$A$1:$B$4,2,0),"@@@",F804))</f>
        <v>114</v>
      </c>
      <c r="V804" s="4" t="str">
        <f>IF(G804="",IF(ISNUMBER(SEARCH("NOT NULL",UPPER(G$3))),"''","null"),SUBSTITUTE(VLOOKUP(G$2,convert!$A$1:$B$4,2,0),"@@@",G804))</f>
        <v>100</v>
      </c>
      <c r="W804" s="4" t="str">
        <f>IF(H804="",IF(ISNUMBER(SEARCH("NOT NULL",UPPER(H$3))),"''","null"),SUBSTITUTE(VLOOKUP(H$2,convert!$A$1:$B$4,2,0),"@@@",H804))</f>
        <v>104</v>
      </c>
      <c r="X804" s="4" t="str">
        <f>IF(I804="",IF(ISNUMBER(SEARCH("NOT NULL",UPPER(I$3))),"''","null"),SUBSTITUTE(VLOOKUP(I$2,convert!$A$1:$B$4,2,0),"@@@",I804))</f>
        <v>''</v>
      </c>
      <c r="Y804" s="4" t="str">
        <f>IF(J804="",IF(ISNUMBER(SEARCH("NOT NULL",UPPER(J$3))),"''","null"),SUBSTITUTE(VLOOKUP(J$2,convert!$A$1:$B$4,2,0),"@@@",J804))</f>
        <v>'fire'</v>
      </c>
      <c r="Z804" s="4" t="str">
        <f>IF(K804="",IF(ISNUMBER(SEARCH("NOT NULL",UPPER(K$3))),"''","null"),SUBSTITUTE(VLOOKUP(K$2,convert!$A$1:$B$4,2,0),"@@@",K804))</f>
        <v>'psychic'</v>
      </c>
      <c r="AA804" s="4" t="str">
        <f>IF(L804="",IF(ISNUMBER(SEARCH("NOT NULL",UPPER(L$3))),"''","null"),SUBSTITUTE(VLOOKUP(L$2,convert!$A$1:$B$4,2,0),"@@@",L804))</f>
        <v>'g6'</v>
      </c>
      <c r="AB804" s="4" t="str">
        <f>IF(M804="",IF(ISNUMBER(SEARCH("NOT NULL",UPPER(M$3))),"''","null"),SUBSTITUTE(VLOOKUP(M$2,convert!$A$1:$B$4,2,0),"@@@",M804))</f>
        <v>null</v>
      </c>
      <c r="AC804" s="4" t="str">
        <f>IF(N804="",IF(ISNUMBER(SEARCH("NOT NULL",UPPER(N$3))),"''","null"),SUBSTITUTE(VLOOKUP(N$2,convert!$A$1:$B$4,2,0),"@@@",N804))</f>
        <v>null</v>
      </c>
      <c r="AD804" s="4" t="str">
        <f>IF(O804="",IF(ISNUMBER(SEARCH("NOT NULL",UPPER(O$3))),"''","null"),SUBSTITUTE(VLOOKUP(O$2,convert!$A$1:$B$4,2,0),"@@@",O804))</f>
        <v>TRUE</v>
      </c>
      <c r="AE804" s="4" t="str">
        <f t="shared" si="12"/>
        <v>    ('0655N01', 'マフォクシー', 75, 69, 72, 114, 100, 104, '', 'fire', 'psychic', 'g6', null, null, TRUE),</v>
      </c>
    </row>
    <row r="805" spans="1:31">
      <c r="A805" s="4" t="s">
        <v>1615</v>
      </c>
      <c r="B805" s="4" t="s">
        <v>1616</v>
      </c>
      <c r="C805" s="5">
        <v>41</v>
      </c>
      <c r="D805" s="5">
        <v>56</v>
      </c>
      <c r="E805" s="5">
        <v>40</v>
      </c>
      <c r="F805" s="5">
        <v>62</v>
      </c>
      <c r="G805" s="5">
        <v>44</v>
      </c>
      <c r="H805" s="5">
        <v>71</v>
      </c>
      <c r="I805" s="5"/>
      <c r="J805" s="4" t="s">
        <v>55</v>
      </c>
      <c r="K805" s="5"/>
      <c r="L805" s="4" t="s">
        <v>39</v>
      </c>
      <c r="M805" s="5"/>
      <c r="N805" s="5"/>
      <c r="O805" s="5" t="b">
        <v>1</v>
      </c>
      <c r="P805" s="4" t="str">
        <f>IF(A805="",IF(ISNUMBER(SEARCH("NOT NULL",UPPER(A$3))),"''","null"),SUBSTITUTE(VLOOKUP(A$2,convert!$A$1:$B$4,2,0),"@@@",A805))</f>
        <v>'0656N01'</v>
      </c>
      <c r="Q805" s="4" t="str">
        <f>IF(B805="",IF(ISNUMBER(SEARCH("NOT NULL",UPPER(B$3))),"''","null"),SUBSTITUTE(VLOOKUP(B$2,convert!$A$1:$B$4,2,0),"@@@",B805))</f>
        <v>'ケロマツ'</v>
      </c>
      <c r="R805" s="4" t="str">
        <f>IF(C805="",IF(ISNUMBER(SEARCH("NOT NULL",UPPER(C$3))),"''","null"),SUBSTITUTE(VLOOKUP(C$2,convert!$A$1:$B$4,2,0),"@@@",C805))</f>
        <v>41</v>
      </c>
      <c r="S805" s="4" t="str">
        <f>IF(D805="",IF(ISNUMBER(SEARCH("NOT NULL",UPPER(D$3))),"''","null"),SUBSTITUTE(VLOOKUP(D$2,convert!$A$1:$B$4,2,0),"@@@",D805))</f>
        <v>56</v>
      </c>
      <c r="T805" s="4" t="str">
        <f>IF(E805="",IF(ISNUMBER(SEARCH("NOT NULL",UPPER(E$3))),"''","null"),SUBSTITUTE(VLOOKUP(E$2,convert!$A$1:$B$4,2,0),"@@@",E805))</f>
        <v>40</v>
      </c>
      <c r="U805" s="4" t="str">
        <f>IF(F805="",IF(ISNUMBER(SEARCH("NOT NULL",UPPER(F$3))),"''","null"),SUBSTITUTE(VLOOKUP(F$2,convert!$A$1:$B$4,2,0),"@@@",F805))</f>
        <v>62</v>
      </c>
      <c r="V805" s="4" t="str">
        <f>IF(G805="",IF(ISNUMBER(SEARCH("NOT NULL",UPPER(G$3))),"''","null"),SUBSTITUTE(VLOOKUP(G$2,convert!$A$1:$B$4,2,0),"@@@",G805))</f>
        <v>44</v>
      </c>
      <c r="W805" s="4" t="str">
        <f>IF(H805="",IF(ISNUMBER(SEARCH("NOT NULL",UPPER(H$3))),"''","null"),SUBSTITUTE(VLOOKUP(H$2,convert!$A$1:$B$4,2,0),"@@@",H805))</f>
        <v>71</v>
      </c>
      <c r="X805" s="4" t="str">
        <f>IF(I805="",IF(ISNUMBER(SEARCH("NOT NULL",UPPER(I$3))),"''","null"),SUBSTITUTE(VLOOKUP(I$2,convert!$A$1:$B$4,2,0),"@@@",I805))</f>
        <v>''</v>
      </c>
      <c r="Y805" s="4" t="str">
        <f>IF(J805="",IF(ISNUMBER(SEARCH("NOT NULL",UPPER(J$3))),"''","null"),SUBSTITUTE(VLOOKUP(J$2,convert!$A$1:$B$4,2,0),"@@@",J805))</f>
        <v>'water'</v>
      </c>
      <c r="Z805" s="4" t="str">
        <f>IF(K805="",IF(ISNUMBER(SEARCH("NOT NULL",UPPER(K$3))),"''","null"),SUBSTITUTE(VLOOKUP(K$2,convert!$A$1:$B$4,2,0),"@@@",K805))</f>
        <v>null</v>
      </c>
      <c r="AA805" s="4" t="str">
        <f>IF(L805="",IF(ISNUMBER(SEARCH("NOT NULL",UPPER(L$3))),"''","null"),SUBSTITUTE(VLOOKUP(L$2,convert!$A$1:$B$4,2,0),"@@@",L805))</f>
        <v>'g6'</v>
      </c>
      <c r="AB805" s="4" t="str">
        <f>IF(M805="",IF(ISNUMBER(SEARCH("NOT NULL",UPPER(M$3))),"''","null"),SUBSTITUTE(VLOOKUP(M$2,convert!$A$1:$B$4,2,0),"@@@",M805))</f>
        <v>null</v>
      </c>
      <c r="AC805" s="4" t="str">
        <f>IF(N805="",IF(ISNUMBER(SEARCH("NOT NULL",UPPER(N$3))),"''","null"),SUBSTITUTE(VLOOKUP(N$2,convert!$A$1:$B$4,2,0),"@@@",N805))</f>
        <v>null</v>
      </c>
      <c r="AD805" s="4" t="str">
        <f>IF(O805="",IF(ISNUMBER(SEARCH("NOT NULL",UPPER(O$3))),"''","null"),SUBSTITUTE(VLOOKUP(O$2,convert!$A$1:$B$4,2,0),"@@@",O805))</f>
        <v>TRUE</v>
      </c>
      <c r="AE805" s="4" t="str">
        <f t="shared" si="12"/>
        <v>    ('0656N01', 'ケロマツ', 41, 56, 40, 62, 44, 71, '', 'water', null, 'g6', null, null, TRUE),</v>
      </c>
    </row>
    <row r="806" spans="1:31">
      <c r="A806" s="4" t="s">
        <v>1617</v>
      </c>
      <c r="B806" s="4" t="s">
        <v>1618</v>
      </c>
      <c r="C806" s="5">
        <v>54</v>
      </c>
      <c r="D806" s="5">
        <v>63</v>
      </c>
      <c r="E806" s="5">
        <v>52</v>
      </c>
      <c r="F806" s="5">
        <v>83</v>
      </c>
      <c r="G806" s="5">
        <v>56</v>
      </c>
      <c r="H806" s="5">
        <v>97</v>
      </c>
      <c r="I806" s="5"/>
      <c r="J806" s="4" t="s">
        <v>55</v>
      </c>
      <c r="K806" s="5"/>
      <c r="L806" s="4" t="s">
        <v>39</v>
      </c>
      <c r="M806" s="5"/>
      <c r="N806" s="5"/>
      <c r="O806" s="5" t="b">
        <v>1</v>
      </c>
      <c r="P806" s="4" t="str">
        <f>IF(A806="",IF(ISNUMBER(SEARCH("NOT NULL",UPPER(A$3))),"''","null"),SUBSTITUTE(VLOOKUP(A$2,convert!$A$1:$B$4,2,0),"@@@",A806))</f>
        <v>'0657N01'</v>
      </c>
      <c r="Q806" s="4" t="str">
        <f>IF(B806="",IF(ISNUMBER(SEARCH("NOT NULL",UPPER(B$3))),"''","null"),SUBSTITUTE(VLOOKUP(B$2,convert!$A$1:$B$4,2,0),"@@@",B806))</f>
        <v>'ゲコガシラ'</v>
      </c>
      <c r="R806" s="4" t="str">
        <f>IF(C806="",IF(ISNUMBER(SEARCH("NOT NULL",UPPER(C$3))),"''","null"),SUBSTITUTE(VLOOKUP(C$2,convert!$A$1:$B$4,2,0),"@@@",C806))</f>
        <v>54</v>
      </c>
      <c r="S806" s="4" t="str">
        <f>IF(D806="",IF(ISNUMBER(SEARCH("NOT NULL",UPPER(D$3))),"''","null"),SUBSTITUTE(VLOOKUP(D$2,convert!$A$1:$B$4,2,0),"@@@",D806))</f>
        <v>63</v>
      </c>
      <c r="T806" s="4" t="str">
        <f>IF(E806="",IF(ISNUMBER(SEARCH("NOT NULL",UPPER(E$3))),"''","null"),SUBSTITUTE(VLOOKUP(E$2,convert!$A$1:$B$4,2,0),"@@@",E806))</f>
        <v>52</v>
      </c>
      <c r="U806" s="4" t="str">
        <f>IF(F806="",IF(ISNUMBER(SEARCH("NOT NULL",UPPER(F$3))),"''","null"),SUBSTITUTE(VLOOKUP(F$2,convert!$A$1:$B$4,2,0),"@@@",F806))</f>
        <v>83</v>
      </c>
      <c r="V806" s="4" t="str">
        <f>IF(G806="",IF(ISNUMBER(SEARCH("NOT NULL",UPPER(G$3))),"''","null"),SUBSTITUTE(VLOOKUP(G$2,convert!$A$1:$B$4,2,0),"@@@",G806))</f>
        <v>56</v>
      </c>
      <c r="W806" s="4" t="str">
        <f>IF(H806="",IF(ISNUMBER(SEARCH("NOT NULL",UPPER(H$3))),"''","null"),SUBSTITUTE(VLOOKUP(H$2,convert!$A$1:$B$4,2,0),"@@@",H806))</f>
        <v>97</v>
      </c>
      <c r="X806" s="4" t="str">
        <f>IF(I806="",IF(ISNUMBER(SEARCH("NOT NULL",UPPER(I$3))),"''","null"),SUBSTITUTE(VLOOKUP(I$2,convert!$A$1:$B$4,2,0),"@@@",I806))</f>
        <v>''</v>
      </c>
      <c r="Y806" s="4" t="str">
        <f>IF(J806="",IF(ISNUMBER(SEARCH("NOT NULL",UPPER(J$3))),"''","null"),SUBSTITUTE(VLOOKUP(J$2,convert!$A$1:$B$4,2,0),"@@@",J806))</f>
        <v>'water'</v>
      </c>
      <c r="Z806" s="4" t="str">
        <f>IF(K806="",IF(ISNUMBER(SEARCH("NOT NULL",UPPER(K$3))),"''","null"),SUBSTITUTE(VLOOKUP(K$2,convert!$A$1:$B$4,2,0),"@@@",K806))</f>
        <v>null</v>
      </c>
      <c r="AA806" s="4" t="str">
        <f>IF(L806="",IF(ISNUMBER(SEARCH("NOT NULL",UPPER(L$3))),"''","null"),SUBSTITUTE(VLOOKUP(L$2,convert!$A$1:$B$4,2,0),"@@@",L806))</f>
        <v>'g6'</v>
      </c>
      <c r="AB806" s="4" t="str">
        <f>IF(M806="",IF(ISNUMBER(SEARCH("NOT NULL",UPPER(M$3))),"''","null"),SUBSTITUTE(VLOOKUP(M$2,convert!$A$1:$B$4,2,0),"@@@",M806))</f>
        <v>null</v>
      </c>
      <c r="AC806" s="4" t="str">
        <f>IF(N806="",IF(ISNUMBER(SEARCH("NOT NULL",UPPER(N$3))),"''","null"),SUBSTITUTE(VLOOKUP(N$2,convert!$A$1:$B$4,2,0),"@@@",N806))</f>
        <v>null</v>
      </c>
      <c r="AD806" s="4" t="str">
        <f>IF(O806="",IF(ISNUMBER(SEARCH("NOT NULL",UPPER(O$3))),"''","null"),SUBSTITUTE(VLOOKUP(O$2,convert!$A$1:$B$4,2,0),"@@@",O806))</f>
        <v>TRUE</v>
      </c>
      <c r="AE806" s="4" t="str">
        <f t="shared" si="12"/>
        <v>    ('0657N01', 'ゲコガシラ', 54, 63, 52, 83, 56, 97, '', 'water', null, 'g6', null, null, TRUE),</v>
      </c>
    </row>
    <row r="807" spans="1:31">
      <c r="A807" s="4" t="s">
        <v>1619</v>
      </c>
      <c r="B807" s="4" t="s">
        <v>1620</v>
      </c>
      <c r="C807" s="5">
        <v>72</v>
      </c>
      <c r="D807" s="5">
        <v>95</v>
      </c>
      <c r="E807" s="5">
        <v>67</v>
      </c>
      <c r="F807" s="5">
        <v>103</v>
      </c>
      <c r="G807" s="5">
        <v>71</v>
      </c>
      <c r="H807" s="5">
        <v>122</v>
      </c>
      <c r="I807" s="5"/>
      <c r="J807" s="4" t="s">
        <v>55</v>
      </c>
      <c r="K807" s="4" t="s">
        <v>91</v>
      </c>
      <c r="L807" s="4" t="s">
        <v>39</v>
      </c>
      <c r="M807" s="5"/>
      <c r="N807" s="5"/>
      <c r="O807" s="5" t="b">
        <v>1</v>
      </c>
      <c r="P807" s="4" t="str">
        <f>IF(A807="",IF(ISNUMBER(SEARCH("NOT NULL",UPPER(A$3))),"''","null"),SUBSTITUTE(VLOOKUP(A$2,convert!$A$1:$B$4,2,0),"@@@",A807))</f>
        <v>'0658N01'</v>
      </c>
      <c r="Q807" s="4" t="str">
        <f>IF(B807="",IF(ISNUMBER(SEARCH("NOT NULL",UPPER(B$3))),"''","null"),SUBSTITUTE(VLOOKUP(B$2,convert!$A$1:$B$4,2,0),"@@@",B807))</f>
        <v>'ゲッコウガ'</v>
      </c>
      <c r="R807" s="4" t="str">
        <f>IF(C807="",IF(ISNUMBER(SEARCH("NOT NULL",UPPER(C$3))),"''","null"),SUBSTITUTE(VLOOKUP(C$2,convert!$A$1:$B$4,2,0),"@@@",C807))</f>
        <v>72</v>
      </c>
      <c r="S807" s="4" t="str">
        <f>IF(D807="",IF(ISNUMBER(SEARCH("NOT NULL",UPPER(D$3))),"''","null"),SUBSTITUTE(VLOOKUP(D$2,convert!$A$1:$B$4,2,0),"@@@",D807))</f>
        <v>95</v>
      </c>
      <c r="T807" s="4" t="str">
        <f>IF(E807="",IF(ISNUMBER(SEARCH("NOT NULL",UPPER(E$3))),"''","null"),SUBSTITUTE(VLOOKUP(E$2,convert!$A$1:$B$4,2,0),"@@@",E807))</f>
        <v>67</v>
      </c>
      <c r="U807" s="4" t="str">
        <f>IF(F807="",IF(ISNUMBER(SEARCH("NOT NULL",UPPER(F$3))),"''","null"),SUBSTITUTE(VLOOKUP(F$2,convert!$A$1:$B$4,2,0),"@@@",F807))</f>
        <v>103</v>
      </c>
      <c r="V807" s="4" t="str">
        <f>IF(G807="",IF(ISNUMBER(SEARCH("NOT NULL",UPPER(G$3))),"''","null"),SUBSTITUTE(VLOOKUP(G$2,convert!$A$1:$B$4,2,0),"@@@",G807))</f>
        <v>71</v>
      </c>
      <c r="W807" s="4" t="str">
        <f>IF(H807="",IF(ISNUMBER(SEARCH("NOT NULL",UPPER(H$3))),"''","null"),SUBSTITUTE(VLOOKUP(H$2,convert!$A$1:$B$4,2,0),"@@@",H807))</f>
        <v>122</v>
      </c>
      <c r="X807" s="4" t="str">
        <f>IF(I807="",IF(ISNUMBER(SEARCH("NOT NULL",UPPER(I$3))),"''","null"),SUBSTITUTE(VLOOKUP(I$2,convert!$A$1:$B$4,2,0),"@@@",I807))</f>
        <v>''</v>
      </c>
      <c r="Y807" s="4" t="str">
        <f>IF(J807="",IF(ISNUMBER(SEARCH("NOT NULL",UPPER(J$3))),"''","null"),SUBSTITUTE(VLOOKUP(J$2,convert!$A$1:$B$4,2,0),"@@@",J807))</f>
        <v>'water'</v>
      </c>
      <c r="Z807" s="4" t="str">
        <f>IF(K807="",IF(ISNUMBER(SEARCH("NOT NULL",UPPER(K$3))),"''","null"),SUBSTITUTE(VLOOKUP(K$2,convert!$A$1:$B$4,2,0),"@@@",K807))</f>
        <v>'dark'</v>
      </c>
      <c r="AA807" s="4" t="str">
        <f>IF(L807="",IF(ISNUMBER(SEARCH("NOT NULL",UPPER(L$3))),"''","null"),SUBSTITUTE(VLOOKUP(L$2,convert!$A$1:$B$4,2,0),"@@@",L807))</f>
        <v>'g6'</v>
      </c>
      <c r="AB807" s="4" t="str">
        <f>IF(M807="",IF(ISNUMBER(SEARCH("NOT NULL",UPPER(M$3))),"''","null"),SUBSTITUTE(VLOOKUP(M$2,convert!$A$1:$B$4,2,0),"@@@",M807))</f>
        <v>null</v>
      </c>
      <c r="AC807" s="4" t="str">
        <f>IF(N807="",IF(ISNUMBER(SEARCH("NOT NULL",UPPER(N$3))),"''","null"),SUBSTITUTE(VLOOKUP(N$2,convert!$A$1:$B$4,2,0),"@@@",N807))</f>
        <v>null</v>
      </c>
      <c r="AD807" s="4" t="str">
        <f>IF(O807="",IF(ISNUMBER(SEARCH("NOT NULL",UPPER(O$3))),"''","null"),SUBSTITUTE(VLOOKUP(O$2,convert!$A$1:$B$4,2,0),"@@@",O807))</f>
        <v>TRUE</v>
      </c>
      <c r="AE807" s="4" t="str">
        <f t="shared" si="12"/>
        <v>    ('0658N01', 'ゲッコウガ', 72, 95, 67, 103, 71, 122, '', 'water', 'dark', 'g6', null, null, TRUE),</v>
      </c>
    </row>
    <row r="808" spans="1:31">
      <c r="A808" s="4" t="s">
        <v>1621</v>
      </c>
      <c r="B808" s="4" t="s">
        <v>1620</v>
      </c>
      <c r="C808" s="5">
        <v>72</v>
      </c>
      <c r="D808" s="5">
        <v>145</v>
      </c>
      <c r="E808" s="5">
        <v>67</v>
      </c>
      <c r="F808" s="5">
        <v>153</v>
      </c>
      <c r="G808" s="5">
        <v>71</v>
      </c>
      <c r="H808" s="5">
        <v>132</v>
      </c>
      <c r="I808" s="4" t="s">
        <v>1622</v>
      </c>
      <c r="J808" s="4" t="s">
        <v>55</v>
      </c>
      <c r="K808" s="4" t="s">
        <v>91</v>
      </c>
      <c r="L808" s="4" t="s">
        <v>92</v>
      </c>
      <c r="M808" s="5"/>
      <c r="N808" s="5"/>
      <c r="O808" s="5" t="b">
        <v>0</v>
      </c>
      <c r="P808" s="4" t="str">
        <f>IF(A808="",IF(ISNUMBER(SEARCH("NOT NULL",UPPER(A$3))),"''","null"),SUBSTITUTE(VLOOKUP(A$2,convert!$A$1:$B$4,2,0),"@@@",A808))</f>
        <v>'0658N02'</v>
      </c>
      <c r="Q808" s="4" t="str">
        <f>IF(B808="",IF(ISNUMBER(SEARCH("NOT NULL",UPPER(B$3))),"''","null"),SUBSTITUTE(VLOOKUP(B$2,convert!$A$1:$B$4,2,0),"@@@",B808))</f>
        <v>'ゲッコウガ'</v>
      </c>
      <c r="R808" s="4" t="str">
        <f>IF(C808="",IF(ISNUMBER(SEARCH("NOT NULL",UPPER(C$3))),"''","null"),SUBSTITUTE(VLOOKUP(C$2,convert!$A$1:$B$4,2,0),"@@@",C808))</f>
        <v>72</v>
      </c>
      <c r="S808" s="4" t="str">
        <f>IF(D808="",IF(ISNUMBER(SEARCH("NOT NULL",UPPER(D$3))),"''","null"),SUBSTITUTE(VLOOKUP(D$2,convert!$A$1:$B$4,2,0),"@@@",D808))</f>
        <v>145</v>
      </c>
      <c r="T808" s="4" t="str">
        <f>IF(E808="",IF(ISNUMBER(SEARCH("NOT NULL",UPPER(E$3))),"''","null"),SUBSTITUTE(VLOOKUP(E$2,convert!$A$1:$B$4,2,0),"@@@",E808))</f>
        <v>67</v>
      </c>
      <c r="U808" s="4" t="str">
        <f>IF(F808="",IF(ISNUMBER(SEARCH("NOT NULL",UPPER(F$3))),"''","null"),SUBSTITUTE(VLOOKUP(F$2,convert!$A$1:$B$4,2,0),"@@@",F808))</f>
        <v>153</v>
      </c>
      <c r="V808" s="4" t="str">
        <f>IF(G808="",IF(ISNUMBER(SEARCH("NOT NULL",UPPER(G$3))),"''","null"),SUBSTITUTE(VLOOKUP(G$2,convert!$A$1:$B$4,2,0),"@@@",G808))</f>
        <v>71</v>
      </c>
      <c r="W808" s="4" t="str">
        <f>IF(H808="",IF(ISNUMBER(SEARCH("NOT NULL",UPPER(H$3))),"''","null"),SUBSTITUTE(VLOOKUP(H$2,convert!$A$1:$B$4,2,0),"@@@",H808))</f>
        <v>132</v>
      </c>
      <c r="X808" s="4" t="str">
        <f>IF(I808="",IF(ISNUMBER(SEARCH("NOT NULL",UPPER(I$3))),"''","null"),SUBSTITUTE(VLOOKUP(I$2,convert!$A$1:$B$4,2,0),"@@@",I808))</f>
        <v>'サトシゲッコウガ'</v>
      </c>
      <c r="Y808" s="4" t="str">
        <f>IF(J808="",IF(ISNUMBER(SEARCH("NOT NULL",UPPER(J$3))),"''","null"),SUBSTITUTE(VLOOKUP(J$2,convert!$A$1:$B$4,2,0),"@@@",J808))</f>
        <v>'water'</v>
      </c>
      <c r="Z808" s="4" t="str">
        <f>IF(K808="",IF(ISNUMBER(SEARCH("NOT NULL",UPPER(K$3))),"''","null"),SUBSTITUTE(VLOOKUP(K$2,convert!$A$1:$B$4,2,0),"@@@",K808))</f>
        <v>'dark'</v>
      </c>
      <c r="AA808" s="4" t="str">
        <f>IF(L808="",IF(ISNUMBER(SEARCH("NOT NULL",UPPER(L$3))),"''","null"),SUBSTITUTE(VLOOKUP(L$2,convert!$A$1:$B$4,2,0),"@@@",L808))</f>
        <v>'g7'</v>
      </c>
      <c r="AB808" s="4" t="str">
        <f>IF(M808="",IF(ISNUMBER(SEARCH("NOT NULL",UPPER(M$3))),"''","null"),SUBSTITUTE(VLOOKUP(M$2,convert!$A$1:$B$4,2,0),"@@@",M808))</f>
        <v>null</v>
      </c>
      <c r="AC808" s="4" t="str">
        <f>IF(N808="",IF(ISNUMBER(SEARCH("NOT NULL",UPPER(N$3))),"''","null"),SUBSTITUTE(VLOOKUP(N$2,convert!$A$1:$B$4,2,0),"@@@",N808))</f>
        <v>null</v>
      </c>
      <c r="AD808" s="4" t="str">
        <f>IF(O808="",IF(ISNUMBER(SEARCH("NOT NULL",UPPER(O$3))),"''","null"),SUBSTITUTE(VLOOKUP(O$2,convert!$A$1:$B$4,2,0),"@@@",O808))</f>
        <v>FALSE</v>
      </c>
      <c r="AE808" s="4" t="str">
        <f t="shared" si="12"/>
        <v>    ('0658N02', 'ゲッコウガ', 72, 145, 67, 153, 71, 132, 'サトシゲッコウガ', 'water', 'dark', 'g7', null, null, FALSE),</v>
      </c>
    </row>
    <row r="809" spans="1:31">
      <c r="A809" s="4" t="s">
        <v>1623</v>
      </c>
      <c r="B809" s="4" t="s">
        <v>1624</v>
      </c>
      <c r="C809" s="5">
        <v>38</v>
      </c>
      <c r="D809" s="5">
        <v>36</v>
      </c>
      <c r="E809" s="5">
        <v>38</v>
      </c>
      <c r="F809" s="5">
        <v>32</v>
      </c>
      <c r="G809" s="5">
        <v>36</v>
      </c>
      <c r="H809" s="5">
        <v>57</v>
      </c>
      <c r="I809" s="5"/>
      <c r="J809" s="4" t="s">
        <v>80</v>
      </c>
      <c r="K809" s="5"/>
      <c r="L809" s="4" t="s">
        <v>39</v>
      </c>
      <c r="M809" s="5"/>
      <c r="N809" s="5"/>
      <c r="O809" s="5" t="b">
        <v>1</v>
      </c>
      <c r="P809" s="4" t="str">
        <f>IF(A809="",IF(ISNUMBER(SEARCH("NOT NULL",UPPER(A$3))),"''","null"),SUBSTITUTE(VLOOKUP(A$2,convert!$A$1:$B$4,2,0),"@@@",A809))</f>
        <v>'0659N01'</v>
      </c>
      <c r="Q809" s="4" t="str">
        <f>IF(B809="",IF(ISNUMBER(SEARCH("NOT NULL",UPPER(B$3))),"''","null"),SUBSTITUTE(VLOOKUP(B$2,convert!$A$1:$B$4,2,0),"@@@",B809))</f>
        <v>'ホルビー'</v>
      </c>
      <c r="R809" s="4" t="str">
        <f>IF(C809="",IF(ISNUMBER(SEARCH("NOT NULL",UPPER(C$3))),"''","null"),SUBSTITUTE(VLOOKUP(C$2,convert!$A$1:$B$4,2,0),"@@@",C809))</f>
        <v>38</v>
      </c>
      <c r="S809" s="4" t="str">
        <f>IF(D809="",IF(ISNUMBER(SEARCH("NOT NULL",UPPER(D$3))),"''","null"),SUBSTITUTE(VLOOKUP(D$2,convert!$A$1:$B$4,2,0),"@@@",D809))</f>
        <v>36</v>
      </c>
      <c r="T809" s="4" t="str">
        <f>IF(E809="",IF(ISNUMBER(SEARCH("NOT NULL",UPPER(E$3))),"''","null"),SUBSTITUTE(VLOOKUP(E$2,convert!$A$1:$B$4,2,0),"@@@",E809))</f>
        <v>38</v>
      </c>
      <c r="U809" s="4" t="str">
        <f>IF(F809="",IF(ISNUMBER(SEARCH("NOT NULL",UPPER(F$3))),"''","null"),SUBSTITUTE(VLOOKUP(F$2,convert!$A$1:$B$4,2,0),"@@@",F809))</f>
        <v>32</v>
      </c>
      <c r="V809" s="4" t="str">
        <f>IF(G809="",IF(ISNUMBER(SEARCH("NOT NULL",UPPER(G$3))),"''","null"),SUBSTITUTE(VLOOKUP(G$2,convert!$A$1:$B$4,2,0),"@@@",G809))</f>
        <v>36</v>
      </c>
      <c r="W809" s="4" t="str">
        <f>IF(H809="",IF(ISNUMBER(SEARCH("NOT NULL",UPPER(H$3))),"''","null"),SUBSTITUTE(VLOOKUP(H$2,convert!$A$1:$B$4,2,0),"@@@",H809))</f>
        <v>57</v>
      </c>
      <c r="X809" s="4" t="str">
        <f>IF(I809="",IF(ISNUMBER(SEARCH("NOT NULL",UPPER(I$3))),"''","null"),SUBSTITUTE(VLOOKUP(I$2,convert!$A$1:$B$4,2,0),"@@@",I809))</f>
        <v>''</v>
      </c>
      <c r="Y809" s="4" t="str">
        <f>IF(J809="",IF(ISNUMBER(SEARCH("NOT NULL",UPPER(J$3))),"''","null"),SUBSTITUTE(VLOOKUP(J$2,convert!$A$1:$B$4,2,0),"@@@",J809))</f>
        <v>'normal'</v>
      </c>
      <c r="Z809" s="4" t="str">
        <f>IF(K809="",IF(ISNUMBER(SEARCH("NOT NULL",UPPER(K$3))),"''","null"),SUBSTITUTE(VLOOKUP(K$2,convert!$A$1:$B$4,2,0),"@@@",K809))</f>
        <v>null</v>
      </c>
      <c r="AA809" s="4" t="str">
        <f>IF(L809="",IF(ISNUMBER(SEARCH("NOT NULL",UPPER(L$3))),"''","null"),SUBSTITUTE(VLOOKUP(L$2,convert!$A$1:$B$4,2,0),"@@@",L809))</f>
        <v>'g6'</v>
      </c>
      <c r="AB809" s="4" t="str">
        <f>IF(M809="",IF(ISNUMBER(SEARCH("NOT NULL",UPPER(M$3))),"''","null"),SUBSTITUTE(VLOOKUP(M$2,convert!$A$1:$B$4,2,0),"@@@",M809))</f>
        <v>null</v>
      </c>
      <c r="AC809" s="4" t="str">
        <f>IF(N809="",IF(ISNUMBER(SEARCH("NOT NULL",UPPER(N$3))),"''","null"),SUBSTITUTE(VLOOKUP(N$2,convert!$A$1:$B$4,2,0),"@@@",N809))</f>
        <v>null</v>
      </c>
      <c r="AD809" s="4" t="str">
        <f>IF(O809="",IF(ISNUMBER(SEARCH("NOT NULL",UPPER(O$3))),"''","null"),SUBSTITUTE(VLOOKUP(O$2,convert!$A$1:$B$4,2,0),"@@@",O809))</f>
        <v>TRUE</v>
      </c>
      <c r="AE809" s="4" t="str">
        <f t="shared" si="12"/>
        <v>    ('0659N01', 'ホルビー', 38, 36, 38, 32, 36, 57, '', 'normal', null, 'g6', null, null, TRUE),</v>
      </c>
    </row>
    <row r="810" spans="1:31">
      <c r="A810" s="4" t="s">
        <v>1625</v>
      </c>
      <c r="B810" s="4" t="s">
        <v>1626</v>
      </c>
      <c r="C810" s="5">
        <v>85</v>
      </c>
      <c r="D810" s="5">
        <v>56</v>
      </c>
      <c r="E810" s="5">
        <v>77</v>
      </c>
      <c r="F810" s="5">
        <v>50</v>
      </c>
      <c r="G810" s="5">
        <v>77</v>
      </c>
      <c r="H810" s="5">
        <v>78</v>
      </c>
      <c r="I810" s="5"/>
      <c r="J810" s="4" t="s">
        <v>80</v>
      </c>
      <c r="K810" s="4" t="s">
        <v>116</v>
      </c>
      <c r="L810" s="4" t="s">
        <v>39</v>
      </c>
      <c r="M810" s="5"/>
      <c r="N810" s="5"/>
      <c r="O810" s="5" t="b">
        <v>1</v>
      </c>
      <c r="P810" s="4" t="str">
        <f>IF(A810="",IF(ISNUMBER(SEARCH("NOT NULL",UPPER(A$3))),"''","null"),SUBSTITUTE(VLOOKUP(A$2,convert!$A$1:$B$4,2,0),"@@@",A810))</f>
        <v>'0660N01'</v>
      </c>
      <c r="Q810" s="4" t="str">
        <f>IF(B810="",IF(ISNUMBER(SEARCH("NOT NULL",UPPER(B$3))),"''","null"),SUBSTITUTE(VLOOKUP(B$2,convert!$A$1:$B$4,2,0),"@@@",B810))</f>
        <v>'ホルード'</v>
      </c>
      <c r="R810" s="4" t="str">
        <f>IF(C810="",IF(ISNUMBER(SEARCH("NOT NULL",UPPER(C$3))),"''","null"),SUBSTITUTE(VLOOKUP(C$2,convert!$A$1:$B$4,2,0),"@@@",C810))</f>
        <v>85</v>
      </c>
      <c r="S810" s="4" t="str">
        <f>IF(D810="",IF(ISNUMBER(SEARCH("NOT NULL",UPPER(D$3))),"''","null"),SUBSTITUTE(VLOOKUP(D$2,convert!$A$1:$B$4,2,0),"@@@",D810))</f>
        <v>56</v>
      </c>
      <c r="T810" s="4" t="str">
        <f>IF(E810="",IF(ISNUMBER(SEARCH("NOT NULL",UPPER(E$3))),"''","null"),SUBSTITUTE(VLOOKUP(E$2,convert!$A$1:$B$4,2,0),"@@@",E810))</f>
        <v>77</v>
      </c>
      <c r="U810" s="4" t="str">
        <f>IF(F810="",IF(ISNUMBER(SEARCH("NOT NULL",UPPER(F$3))),"''","null"),SUBSTITUTE(VLOOKUP(F$2,convert!$A$1:$B$4,2,0),"@@@",F810))</f>
        <v>50</v>
      </c>
      <c r="V810" s="4" t="str">
        <f>IF(G810="",IF(ISNUMBER(SEARCH("NOT NULL",UPPER(G$3))),"''","null"),SUBSTITUTE(VLOOKUP(G$2,convert!$A$1:$B$4,2,0),"@@@",G810))</f>
        <v>77</v>
      </c>
      <c r="W810" s="4" t="str">
        <f>IF(H810="",IF(ISNUMBER(SEARCH("NOT NULL",UPPER(H$3))),"''","null"),SUBSTITUTE(VLOOKUP(H$2,convert!$A$1:$B$4,2,0),"@@@",H810))</f>
        <v>78</v>
      </c>
      <c r="X810" s="4" t="str">
        <f>IF(I810="",IF(ISNUMBER(SEARCH("NOT NULL",UPPER(I$3))),"''","null"),SUBSTITUTE(VLOOKUP(I$2,convert!$A$1:$B$4,2,0),"@@@",I810))</f>
        <v>''</v>
      </c>
      <c r="Y810" s="4" t="str">
        <f>IF(J810="",IF(ISNUMBER(SEARCH("NOT NULL",UPPER(J$3))),"''","null"),SUBSTITUTE(VLOOKUP(J$2,convert!$A$1:$B$4,2,0),"@@@",J810))</f>
        <v>'normal'</v>
      </c>
      <c r="Z810" s="4" t="str">
        <f>IF(K810="",IF(ISNUMBER(SEARCH("NOT NULL",UPPER(K$3))),"''","null"),SUBSTITUTE(VLOOKUP(K$2,convert!$A$1:$B$4,2,0),"@@@",K810))</f>
        <v>'ground'</v>
      </c>
      <c r="AA810" s="4" t="str">
        <f>IF(L810="",IF(ISNUMBER(SEARCH("NOT NULL",UPPER(L$3))),"''","null"),SUBSTITUTE(VLOOKUP(L$2,convert!$A$1:$B$4,2,0),"@@@",L810))</f>
        <v>'g6'</v>
      </c>
      <c r="AB810" s="4" t="str">
        <f>IF(M810="",IF(ISNUMBER(SEARCH("NOT NULL",UPPER(M$3))),"''","null"),SUBSTITUTE(VLOOKUP(M$2,convert!$A$1:$B$4,2,0),"@@@",M810))</f>
        <v>null</v>
      </c>
      <c r="AC810" s="4" t="str">
        <f>IF(N810="",IF(ISNUMBER(SEARCH("NOT NULL",UPPER(N$3))),"''","null"),SUBSTITUTE(VLOOKUP(N$2,convert!$A$1:$B$4,2,0),"@@@",N810))</f>
        <v>null</v>
      </c>
      <c r="AD810" s="4" t="str">
        <f>IF(O810="",IF(ISNUMBER(SEARCH("NOT NULL",UPPER(O$3))),"''","null"),SUBSTITUTE(VLOOKUP(O$2,convert!$A$1:$B$4,2,0),"@@@",O810))</f>
        <v>TRUE</v>
      </c>
      <c r="AE810" s="4" t="str">
        <f t="shared" si="12"/>
        <v>    ('0660N01', 'ホルード', 85, 56, 77, 50, 77, 78, '', 'normal', 'ground', 'g6', null, null, TRUE),</v>
      </c>
    </row>
    <row r="811" spans="1:31">
      <c r="A811" s="4" t="s">
        <v>1627</v>
      </c>
      <c r="B811" s="4" t="s">
        <v>1628</v>
      </c>
      <c r="C811" s="5">
        <v>45</v>
      </c>
      <c r="D811" s="5">
        <v>50</v>
      </c>
      <c r="E811" s="5">
        <v>43</v>
      </c>
      <c r="F811" s="5">
        <v>40</v>
      </c>
      <c r="G811" s="5">
        <v>38</v>
      </c>
      <c r="H811" s="5">
        <v>62</v>
      </c>
      <c r="I811" s="5"/>
      <c r="J811" s="4" t="s">
        <v>80</v>
      </c>
      <c r="K811" s="4" t="s">
        <v>47</v>
      </c>
      <c r="L811" s="4" t="s">
        <v>39</v>
      </c>
      <c r="M811" s="5"/>
      <c r="N811" s="5"/>
      <c r="O811" s="5" t="b">
        <v>1</v>
      </c>
      <c r="P811" s="4" t="str">
        <f>IF(A811="",IF(ISNUMBER(SEARCH("NOT NULL",UPPER(A$3))),"''","null"),SUBSTITUTE(VLOOKUP(A$2,convert!$A$1:$B$4,2,0),"@@@",A811))</f>
        <v>'0661N01'</v>
      </c>
      <c r="Q811" s="4" t="str">
        <f>IF(B811="",IF(ISNUMBER(SEARCH("NOT NULL",UPPER(B$3))),"''","null"),SUBSTITUTE(VLOOKUP(B$2,convert!$A$1:$B$4,2,0),"@@@",B811))</f>
        <v>'ヤヤコマ'</v>
      </c>
      <c r="R811" s="4" t="str">
        <f>IF(C811="",IF(ISNUMBER(SEARCH("NOT NULL",UPPER(C$3))),"''","null"),SUBSTITUTE(VLOOKUP(C$2,convert!$A$1:$B$4,2,0),"@@@",C811))</f>
        <v>45</v>
      </c>
      <c r="S811" s="4" t="str">
        <f>IF(D811="",IF(ISNUMBER(SEARCH("NOT NULL",UPPER(D$3))),"''","null"),SUBSTITUTE(VLOOKUP(D$2,convert!$A$1:$B$4,2,0),"@@@",D811))</f>
        <v>50</v>
      </c>
      <c r="T811" s="4" t="str">
        <f>IF(E811="",IF(ISNUMBER(SEARCH("NOT NULL",UPPER(E$3))),"''","null"),SUBSTITUTE(VLOOKUP(E$2,convert!$A$1:$B$4,2,0),"@@@",E811))</f>
        <v>43</v>
      </c>
      <c r="U811" s="4" t="str">
        <f>IF(F811="",IF(ISNUMBER(SEARCH("NOT NULL",UPPER(F$3))),"''","null"),SUBSTITUTE(VLOOKUP(F$2,convert!$A$1:$B$4,2,0),"@@@",F811))</f>
        <v>40</v>
      </c>
      <c r="V811" s="4" t="str">
        <f>IF(G811="",IF(ISNUMBER(SEARCH("NOT NULL",UPPER(G$3))),"''","null"),SUBSTITUTE(VLOOKUP(G$2,convert!$A$1:$B$4,2,0),"@@@",G811))</f>
        <v>38</v>
      </c>
      <c r="W811" s="4" t="str">
        <f>IF(H811="",IF(ISNUMBER(SEARCH("NOT NULL",UPPER(H$3))),"''","null"),SUBSTITUTE(VLOOKUP(H$2,convert!$A$1:$B$4,2,0),"@@@",H811))</f>
        <v>62</v>
      </c>
      <c r="X811" s="4" t="str">
        <f>IF(I811="",IF(ISNUMBER(SEARCH("NOT NULL",UPPER(I$3))),"''","null"),SUBSTITUTE(VLOOKUP(I$2,convert!$A$1:$B$4,2,0),"@@@",I811))</f>
        <v>''</v>
      </c>
      <c r="Y811" s="4" t="str">
        <f>IF(J811="",IF(ISNUMBER(SEARCH("NOT NULL",UPPER(J$3))),"''","null"),SUBSTITUTE(VLOOKUP(J$2,convert!$A$1:$B$4,2,0),"@@@",J811))</f>
        <v>'normal'</v>
      </c>
      <c r="Z811" s="4" t="str">
        <f>IF(K811="",IF(ISNUMBER(SEARCH("NOT NULL",UPPER(K$3))),"''","null"),SUBSTITUTE(VLOOKUP(K$2,convert!$A$1:$B$4,2,0),"@@@",K811))</f>
        <v>'flying'</v>
      </c>
      <c r="AA811" s="4" t="str">
        <f>IF(L811="",IF(ISNUMBER(SEARCH("NOT NULL",UPPER(L$3))),"''","null"),SUBSTITUTE(VLOOKUP(L$2,convert!$A$1:$B$4,2,0),"@@@",L811))</f>
        <v>'g6'</v>
      </c>
      <c r="AB811" s="4" t="str">
        <f>IF(M811="",IF(ISNUMBER(SEARCH("NOT NULL",UPPER(M$3))),"''","null"),SUBSTITUTE(VLOOKUP(M$2,convert!$A$1:$B$4,2,0),"@@@",M811))</f>
        <v>null</v>
      </c>
      <c r="AC811" s="4" t="str">
        <f>IF(N811="",IF(ISNUMBER(SEARCH("NOT NULL",UPPER(N$3))),"''","null"),SUBSTITUTE(VLOOKUP(N$2,convert!$A$1:$B$4,2,0),"@@@",N811))</f>
        <v>null</v>
      </c>
      <c r="AD811" s="4" t="str">
        <f>IF(O811="",IF(ISNUMBER(SEARCH("NOT NULL",UPPER(O$3))),"''","null"),SUBSTITUTE(VLOOKUP(O$2,convert!$A$1:$B$4,2,0),"@@@",O811))</f>
        <v>TRUE</v>
      </c>
      <c r="AE811" s="4" t="str">
        <f t="shared" si="12"/>
        <v>    ('0661N01', 'ヤヤコマ', 45, 50, 43, 40, 38, 62, '', 'normal', 'flying', 'g6', null, null, TRUE),</v>
      </c>
    </row>
    <row r="812" spans="1:31">
      <c r="A812" s="4" t="s">
        <v>1629</v>
      </c>
      <c r="B812" s="4" t="s">
        <v>1630</v>
      </c>
      <c r="C812" s="5">
        <v>62</v>
      </c>
      <c r="D812" s="5">
        <v>73</v>
      </c>
      <c r="E812" s="5">
        <v>55</v>
      </c>
      <c r="F812" s="5">
        <v>56</v>
      </c>
      <c r="G812" s="5">
        <v>52</v>
      </c>
      <c r="H812" s="5">
        <v>84</v>
      </c>
      <c r="I812" s="5"/>
      <c r="J812" s="4" t="s">
        <v>42</v>
      </c>
      <c r="K812" s="4" t="s">
        <v>47</v>
      </c>
      <c r="L812" s="4" t="s">
        <v>39</v>
      </c>
      <c r="M812" s="5"/>
      <c r="N812" s="5"/>
      <c r="O812" s="5" t="b">
        <v>1</v>
      </c>
      <c r="P812" s="4" t="str">
        <f>IF(A812="",IF(ISNUMBER(SEARCH("NOT NULL",UPPER(A$3))),"''","null"),SUBSTITUTE(VLOOKUP(A$2,convert!$A$1:$B$4,2,0),"@@@",A812))</f>
        <v>'0662N01'</v>
      </c>
      <c r="Q812" s="4" t="str">
        <f>IF(B812="",IF(ISNUMBER(SEARCH("NOT NULL",UPPER(B$3))),"''","null"),SUBSTITUTE(VLOOKUP(B$2,convert!$A$1:$B$4,2,0),"@@@",B812))</f>
        <v>'ヒノヤコマ'</v>
      </c>
      <c r="R812" s="4" t="str">
        <f>IF(C812="",IF(ISNUMBER(SEARCH("NOT NULL",UPPER(C$3))),"''","null"),SUBSTITUTE(VLOOKUP(C$2,convert!$A$1:$B$4,2,0),"@@@",C812))</f>
        <v>62</v>
      </c>
      <c r="S812" s="4" t="str">
        <f>IF(D812="",IF(ISNUMBER(SEARCH("NOT NULL",UPPER(D$3))),"''","null"),SUBSTITUTE(VLOOKUP(D$2,convert!$A$1:$B$4,2,0),"@@@",D812))</f>
        <v>73</v>
      </c>
      <c r="T812" s="4" t="str">
        <f>IF(E812="",IF(ISNUMBER(SEARCH("NOT NULL",UPPER(E$3))),"''","null"),SUBSTITUTE(VLOOKUP(E$2,convert!$A$1:$B$4,2,0),"@@@",E812))</f>
        <v>55</v>
      </c>
      <c r="U812" s="4" t="str">
        <f>IF(F812="",IF(ISNUMBER(SEARCH("NOT NULL",UPPER(F$3))),"''","null"),SUBSTITUTE(VLOOKUP(F$2,convert!$A$1:$B$4,2,0),"@@@",F812))</f>
        <v>56</v>
      </c>
      <c r="V812" s="4" t="str">
        <f>IF(G812="",IF(ISNUMBER(SEARCH("NOT NULL",UPPER(G$3))),"''","null"),SUBSTITUTE(VLOOKUP(G$2,convert!$A$1:$B$4,2,0),"@@@",G812))</f>
        <v>52</v>
      </c>
      <c r="W812" s="4" t="str">
        <f>IF(H812="",IF(ISNUMBER(SEARCH("NOT NULL",UPPER(H$3))),"''","null"),SUBSTITUTE(VLOOKUP(H$2,convert!$A$1:$B$4,2,0),"@@@",H812))</f>
        <v>84</v>
      </c>
      <c r="X812" s="4" t="str">
        <f>IF(I812="",IF(ISNUMBER(SEARCH("NOT NULL",UPPER(I$3))),"''","null"),SUBSTITUTE(VLOOKUP(I$2,convert!$A$1:$B$4,2,0),"@@@",I812))</f>
        <v>''</v>
      </c>
      <c r="Y812" s="4" t="str">
        <f>IF(J812="",IF(ISNUMBER(SEARCH("NOT NULL",UPPER(J$3))),"''","null"),SUBSTITUTE(VLOOKUP(J$2,convert!$A$1:$B$4,2,0),"@@@",J812))</f>
        <v>'fire'</v>
      </c>
      <c r="Z812" s="4" t="str">
        <f>IF(K812="",IF(ISNUMBER(SEARCH("NOT NULL",UPPER(K$3))),"''","null"),SUBSTITUTE(VLOOKUP(K$2,convert!$A$1:$B$4,2,0),"@@@",K812))</f>
        <v>'flying'</v>
      </c>
      <c r="AA812" s="4" t="str">
        <f>IF(L812="",IF(ISNUMBER(SEARCH("NOT NULL",UPPER(L$3))),"''","null"),SUBSTITUTE(VLOOKUP(L$2,convert!$A$1:$B$4,2,0),"@@@",L812))</f>
        <v>'g6'</v>
      </c>
      <c r="AB812" s="4" t="str">
        <f>IF(M812="",IF(ISNUMBER(SEARCH("NOT NULL",UPPER(M$3))),"''","null"),SUBSTITUTE(VLOOKUP(M$2,convert!$A$1:$B$4,2,0),"@@@",M812))</f>
        <v>null</v>
      </c>
      <c r="AC812" s="4" t="str">
        <f>IF(N812="",IF(ISNUMBER(SEARCH("NOT NULL",UPPER(N$3))),"''","null"),SUBSTITUTE(VLOOKUP(N$2,convert!$A$1:$B$4,2,0),"@@@",N812))</f>
        <v>null</v>
      </c>
      <c r="AD812" s="4" t="str">
        <f>IF(O812="",IF(ISNUMBER(SEARCH("NOT NULL",UPPER(O$3))),"''","null"),SUBSTITUTE(VLOOKUP(O$2,convert!$A$1:$B$4,2,0),"@@@",O812))</f>
        <v>TRUE</v>
      </c>
      <c r="AE812" s="4" t="str">
        <f t="shared" si="12"/>
        <v>    ('0662N01', 'ヒノヤコマ', 62, 73, 55, 56, 52, 84, '', 'fire', 'flying', 'g6', null, null, TRUE),</v>
      </c>
    </row>
    <row r="813" spans="1:31">
      <c r="A813" s="4" t="s">
        <v>1631</v>
      </c>
      <c r="B813" s="4" t="s">
        <v>1632</v>
      </c>
      <c r="C813" s="5">
        <v>78</v>
      </c>
      <c r="D813" s="5">
        <v>81</v>
      </c>
      <c r="E813" s="5">
        <v>71</v>
      </c>
      <c r="F813" s="5">
        <v>74</v>
      </c>
      <c r="G813" s="5">
        <v>69</v>
      </c>
      <c r="H813" s="5">
        <v>126</v>
      </c>
      <c r="I813" s="5"/>
      <c r="J813" s="4" t="s">
        <v>42</v>
      </c>
      <c r="K813" s="4" t="s">
        <v>47</v>
      </c>
      <c r="L813" s="4" t="s">
        <v>39</v>
      </c>
      <c r="M813" s="5"/>
      <c r="N813" s="5"/>
      <c r="O813" s="5" t="b">
        <v>1</v>
      </c>
      <c r="P813" s="4" t="str">
        <f>IF(A813="",IF(ISNUMBER(SEARCH("NOT NULL",UPPER(A$3))),"''","null"),SUBSTITUTE(VLOOKUP(A$2,convert!$A$1:$B$4,2,0),"@@@",A813))</f>
        <v>'0663N01'</v>
      </c>
      <c r="Q813" s="4" t="str">
        <f>IF(B813="",IF(ISNUMBER(SEARCH("NOT NULL",UPPER(B$3))),"''","null"),SUBSTITUTE(VLOOKUP(B$2,convert!$A$1:$B$4,2,0),"@@@",B813))</f>
        <v>'ファイアロー'</v>
      </c>
      <c r="R813" s="4" t="str">
        <f>IF(C813="",IF(ISNUMBER(SEARCH("NOT NULL",UPPER(C$3))),"''","null"),SUBSTITUTE(VLOOKUP(C$2,convert!$A$1:$B$4,2,0),"@@@",C813))</f>
        <v>78</v>
      </c>
      <c r="S813" s="4" t="str">
        <f>IF(D813="",IF(ISNUMBER(SEARCH("NOT NULL",UPPER(D$3))),"''","null"),SUBSTITUTE(VLOOKUP(D$2,convert!$A$1:$B$4,2,0),"@@@",D813))</f>
        <v>81</v>
      </c>
      <c r="T813" s="4" t="str">
        <f>IF(E813="",IF(ISNUMBER(SEARCH("NOT NULL",UPPER(E$3))),"''","null"),SUBSTITUTE(VLOOKUP(E$2,convert!$A$1:$B$4,2,0),"@@@",E813))</f>
        <v>71</v>
      </c>
      <c r="U813" s="4" t="str">
        <f>IF(F813="",IF(ISNUMBER(SEARCH("NOT NULL",UPPER(F$3))),"''","null"),SUBSTITUTE(VLOOKUP(F$2,convert!$A$1:$B$4,2,0),"@@@",F813))</f>
        <v>74</v>
      </c>
      <c r="V813" s="4" t="str">
        <f>IF(G813="",IF(ISNUMBER(SEARCH("NOT NULL",UPPER(G$3))),"''","null"),SUBSTITUTE(VLOOKUP(G$2,convert!$A$1:$B$4,2,0),"@@@",G813))</f>
        <v>69</v>
      </c>
      <c r="W813" s="4" t="str">
        <f>IF(H813="",IF(ISNUMBER(SEARCH("NOT NULL",UPPER(H$3))),"''","null"),SUBSTITUTE(VLOOKUP(H$2,convert!$A$1:$B$4,2,0),"@@@",H813))</f>
        <v>126</v>
      </c>
      <c r="X813" s="4" t="str">
        <f>IF(I813="",IF(ISNUMBER(SEARCH("NOT NULL",UPPER(I$3))),"''","null"),SUBSTITUTE(VLOOKUP(I$2,convert!$A$1:$B$4,2,0),"@@@",I813))</f>
        <v>''</v>
      </c>
      <c r="Y813" s="4" t="str">
        <f>IF(J813="",IF(ISNUMBER(SEARCH("NOT NULL",UPPER(J$3))),"''","null"),SUBSTITUTE(VLOOKUP(J$2,convert!$A$1:$B$4,2,0),"@@@",J813))</f>
        <v>'fire'</v>
      </c>
      <c r="Z813" s="4" t="str">
        <f>IF(K813="",IF(ISNUMBER(SEARCH("NOT NULL",UPPER(K$3))),"''","null"),SUBSTITUTE(VLOOKUP(K$2,convert!$A$1:$B$4,2,0),"@@@",K813))</f>
        <v>'flying'</v>
      </c>
      <c r="AA813" s="4" t="str">
        <f>IF(L813="",IF(ISNUMBER(SEARCH("NOT NULL",UPPER(L$3))),"''","null"),SUBSTITUTE(VLOOKUP(L$2,convert!$A$1:$B$4,2,0),"@@@",L813))</f>
        <v>'g6'</v>
      </c>
      <c r="AB813" s="4" t="str">
        <f>IF(M813="",IF(ISNUMBER(SEARCH("NOT NULL",UPPER(M$3))),"''","null"),SUBSTITUTE(VLOOKUP(M$2,convert!$A$1:$B$4,2,0),"@@@",M813))</f>
        <v>null</v>
      </c>
      <c r="AC813" s="4" t="str">
        <f>IF(N813="",IF(ISNUMBER(SEARCH("NOT NULL",UPPER(N$3))),"''","null"),SUBSTITUTE(VLOOKUP(N$2,convert!$A$1:$B$4,2,0),"@@@",N813))</f>
        <v>null</v>
      </c>
      <c r="AD813" s="4" t="str">
        <f>IF(O813="",IF(ISNUMBER(SEARCH("NOT NULL",UPPER(O$3))),"''","null"),SUBSTITUTE(VLOOKUP(O$2,convert!$A$1:$B$4,2,0),"@@@",O813))</f>
        <v>TRUE</v>
      </c>
      <c r="AE813" s="4" t="str">
        <f t="shared" si="12"/>
        <v>    ('0663N01', 'ファイアロー', 78, 81, 71, 74, 69, 126, '', 'fire', 'flying', 'g6', null, null, TRUE),</v>
      </c>
    </row>
    <row r="814" spans="1:31">
      <c r="A814" s="4" t="s">
        <v>1633</v>
      </c>
      <c r="B814" s="4" t="s">
        <v>1634</v>
      </c>
      <c r="C814" s="5">
        <v>38</v>
      </c>
      <c r="D814" s="5">
        <v>35</v>
      </c>
      <c r="E814" s="5">
        <v>40</v>
      </c>
      <c r="F814" s="5">
        <v>27</v>
      </c>
      <c r="G814" s="5">
        <v>25</v>
      </c>
      <c r="H814" s="5">
        <v>35</v>
      </c>
      <c r="I814" s="5"/>
      <c r="J814" s="4" t="s">
        <v>64</v>
      </c>
      <c r="K814" s="5"/>
      <c r="L814" s="4" t="s">
        <v>39</v>
      </c>
      <c r="M814" s="5"/>
      <c r="N814" s="5"/>
      <c r="O814" s="5" t="b">
        <v>1</v>
      </c>
      <c r="P814" s="4" t="str">
        <f>IF(A814="",IF(ISNUMBER(SEARCH("NOT NULL",UPPER(A$3))),"''","null"),SUBSTITUTE(VLOOKUP(A$2,convert!$A$1:$B$4,2,0),"@@@",A814))</f>
        <v>'0664N01'</v>
      </c>
      <c r="Q814" s="4" t="str">
        <f>IF(B814="",IF(ISNUMBER(SEARCH("NOT NULL",UPPER(B$3))),"''","null"),SUBSTITUTE(VLOOKUP(B$2,convert!$A$1:$B$4,2,0),"@@@",B814))</f>
        <v>'コフキムシ'</v>
      </c>
      <c r="R814" s="4" t="str">
        <f>IF(C814="",IF(ISNUMBER(SEARCH("NOT NULL",UPPER(C$3))),"''","null"),SUBSTITUTE(VLOOKUP(C$2,convert!$A$1:$B$4,2,0),"@@@",C814))</f>
        <v>38</v>
      </c>
      <c r="S814" s="4" t="str">
        <f>IF(D814="",IF(ISNUMBER(SEARCH("NOT NULL",UPPER(D$3))),"''","null"),SUBSTITUTE(VLOOKUP(D$2,convert!$A$1:$B$4,2,0),"@@@",D814))</f>
        <v>35</v>
      </c>
      <c r="T814" s="4" t="str">
        <f>IF(E814="",IF(ISNUMBER(SEARCH("NOT NULL",UPPER(E$3))),"''","null"),SUBSTITUTE(VLOOKUP(E$2,convert!$A$1:$B$4,2,0),"@@@",E814))</f>
        <v>40</v>
      </c>
      <c r="U814" s="4" t="str">
        <f>IF(F814="",IF(ISNUMBER(SEARCH("NOT NULL",UPPER(F$3))),"''","null"),SUBSTITUTE(VLOOKUP(F$2,convert!$A$1:$B$4,2,0),"@@@",F814))</f>
        <v>27</v>
      </c>
      <c r="V814" s="4" t="str">
        <f>IF(G814="",IF(ISNUMBER(SEARCH("NOT NULL",UPPER(G$3))),"''","null"),SUBSTITUTE(VLOOKUP(G$2,convert!$A$1:$B$4,2,0),"@@@",G814))</f>
        <v>25</v>
      </c>
      <c r="W814" s="4" t="str">
        <f>IF(H814="",IF(ISNUMBER(SEARCH("NOT NULL",UPPER(H$3))),"''","null"),SUBSTITUTE(VLOOKUP(H$2,convert!$A$1:$B$4,2,0),"@@@",H814))</f>
        <v>35</v>
      </c>
      <c r="X814" s="4" t="str">
        <f>IF(I814="",IF(ISNUMBER(SEARCH("NOT NULL",UPPER(I$3))),"''","null"),SUBSTITUTE(VLOOKUP(I$2,convert!$A$1:$B$4,2,0),"@@@",I814))</f>
        <v>''</v>
      </c>
      <c r="Y814" s="4" t="str">
        <f>IF(J814="",IF(ISNUMBER(SEARCH("NOT NULL",UPPER(J$3))),"''","null"),SUBSTITUTE(VLOOKUP(J$2,convert!$A$1:$B$4,2,0),"@@@",J814))</f>
        <v>'bug'</v>
      </c>
      <c r="Z814" s="4" t="str">
        <f>IF(K814="",IF(ISNUMBER(SEARCH("NOT NULL",UPPER(K$3))),"''","null"),SUBSTITUTE(VLOOKUP(K$2,convert!$A$1:$B$4,2,0),"@@@",K814))</f>
        <v>null</v>
      </c>
      <c r="AA814" s="4" t="str">
        <f>IF(L814="",IF(ISNUMBER(SEARCH("NOT NULL",UPPER(L$3))),"''","null"),SUBSTITUTE(VLOOKUP(L$2,convert!$A$1:$B$4,2,0),"@@@",L814))</f>
        <v>'g6'</v>
      </c>
      <c r="AB814" s="4" t="str">
        <f>IF(M814="",IF(ISNUMBER(SEARCH("NOT NULL",UPPER(M$3))),"''","null"),SUBSTITUTE(VLOOKUP(M$2,convert!$A$1:$B$4,2,0),"@@@",M814))</f>
        <v>null</v>
      </c>
      <c r="AC814" s="4" t="str">
        <f>IF(N814="",IF(ISNUMBER(SEARCH("NOT NULL",UPPER(N$3))),"''","null"),SUBSTITUTE(VLOOKUP(N$2,convert!$A$1:$B$4,2,0),"@@@",N814))</f>
        <v>null</v>
      </c>
      <c r="AD814" s="4" t="str">
        <f>IF(O814="",IF(ISNUMBER(SEARCH("NOT NULL",UPPER(O$3))),"''","null"),SUBSTITUTE(VLOOKUP(O$2,convert!$A$1:$B$4,2,0),"@@@",O814))</f>
        <v>TRUE</v>
      </c>
      <c r="AE814" s="4" t="str">
        <f t="shared" si="12"/>
        <v>    ('0664N01', 'コフキムシ', 38, 35, 40, 27, 25, 35, '', 'bug', null, 'g6', null, null, TRUE),</v>
      </c>
    </row>
    <row r="815" spans="1:31">
      <c r="A815" s="4" t="s">
        <v>1635</v>
      </c>
      <c r="B815" s="4" t="s">
        <v>1636</v>
      </c>
      <c r="C815" s="5">
        <v>45</v>
      </c>
      <c r="D815" s="5">
        <v>22</v>
      </c>
      <c r="E815" s="5">
        <v>60</v>
      </c>
      <c r="F815" s="5">
        <v>27</v>
      </c>
      <c r="G815" s="5">
        <v>30</v>
      </c>
      <c r="H815" s="5">
        <v>29</v>
      </c>
      <c r="I815" s="5"/>
      <c r="J815" s="4" t="s">
        <v>64</v>
      </c>
      <c r="K815" s="5"/>
      <c r="L815" s="4" t="s">
        <v>39</v>
      </c>
      <c r="M815" s="5"/>
      <c r="N815" s="5"/>
      <c r="O815" s="5" t="b">
        <v>1</v>
      </c>
      <c r="P815" s="4" t="str">
        <f>IF(A815="",IF(ISNUMBER(SEARCH("NOT NULL",UPPER(A$3))),"''","null"),SUBSTITUTE(VLOOKUP(A$2,convert!$A$1:$B$4,2,0),"@@@",A815))</f>
        <v>'0665N01'</v>
      </c>
      <c r="Q815" s="4" t="str">
        <f>IF(B815="",IF(ISNUMBER(SEARCH("NOT NULL",UPPER(B$3))),"''","null"),SUBSTITUTE(VLOOKUP(B$2,convert!$A$1:$B$4,2,0),"@@@",B815))</f>
        <v>'コフーライ'</v>
      </c>
      <c r="R815" s="4" t="str">
        <f>IF(C815="",IF(ISNUMBER(SEARCH("NOT NULL",UPPER(C$3))),"''","null"),SUBSTITUTE(VLOOKUP(C$2,convert!$A$1:$B$4,2,0),"@@@",C815))</f>
        <v>45</v>
      </c>
      <c r="S815" s="4" t="str">
        <f>IF(D815="",IF(ISNUMBER(SEARCH("NOT NULL",UPPER(D$3))),"''","null"),SUBSTITUTE(VLOOKUP(D$2,convert!$A$1:$B$4,2,0),"@@@",D815))</f>
        <v>22</v>
      </c>
      <c r="T815" s="4" t="str">
        <f>IF(E815="",IF(ISNUMBER(SEARCH("NOT NULL",UPPER(E$3))),"''","null"),SUBSTITUTE(VLOOKUP(E$2,convert!$A$1:$B$4,2,0),"@@@",E815))</f>
        <v>60</v>
      </c>
      <c r="U815" s="4" t="str">
        <f>IF(F815="",IF(ISNUMBER(SEARCH("NOT NULL",UPPER(F$3))),"''","null"),SUBSTITUTE(VLOOKUP(F$2,convert!$A$1:$B$4,2,0),"@@@",F815))</f>
        <v>27</v>
      </c>
      <c r="V815" s="4" t="str">
        <f>IF(G815="",IF(ISNUMBER(SEARCH("NOT NULL",UPPER(G$3))),"''","null"),SUBSTITUTE(VLOOKUP(G$2,convert!$A$1:$B$4,2,0),"@@@",G815))</f>
        <v>30</v>
      </c>
      <c r="W815" s="4" t="str">
        <f>IF(H815="",IF(ISNUMBER(SEARCH("NOT NULL",UPPER(H$3))),"''","null"),SUBSTITUTE(VLOOKUP(H$2,convert!$A$1:$B$4,2,0),"@@@",H815))</f>
        <v>29</v>
      </c>
      <c r="X815" s="4" t="str">
        <f>IF(I815="",IF(ISNUMBER(SEARCH("NOT NULL",UPPER(I$3))),"''","null"),SUBSTITUTE(VLOOKUP(I$2,convert!$A$1:$B$4,2,0),"@@@",I815))</f>
        <v>''</v>
      </c>
      <c r="Y815" s="4" t="str">
        <f>IF(J815="",IF(ISNUMBER(SEARCH("NOT NULL",UPPER(J$3))),"''","null"),SUBSTITUTE(VLOOKUP(J$2,convert!$A$1:$B$4,2,0),"@@@",J815))</f>
        <v>'bug'</v>
      </c>
      <c r="Z815" s="4" t="str">
        <f>IF(K815="",IF(ISNUMBER(SEARCH("NOT NULL",UPPER(K$3))),"''","null"),SUBSTITUTE(VLOOKUP(K$2,convert!$A$1:$B$4,2,0),"@@@",K815))</f>
        <v>null</v>
      </c>
      <c r="AA815" s="4" t="str">
        <f>IF(L815="",IF(ISNUMBER(SEARCH("NOT NULL",UPPER(L$3))),"''","null"),SUBSTITUTE(VLOOKUP(L$2,convert!$A$1:$B$4,2,0),"@@@",L815))</f>
        <v>'g6'</v>
      </c>
      <c r="AB815" s="4" t="str">
        <f>IF(M815="",IF(ISNUMBER(SEARCH("NOT NULL",UPPER(M$3))),"''","null"),SUBSTITUTE(VLOOKUP(M$2,convert!$A$1:$B$4,2,0),"@@@",M815))</f>
        <v>null</v>
      </c>
      <c r="AC815" s="4" t="str">
        <f>IF(N815="",IF(ISNUMBER(SEARCH("NOT NULL",UPPER(N$3))),"''","null"),SUBSTITUTE(VLOOKUP(N$2,convert!$A$1:$B$4,2,0),"@@@",N815))</f>
        <v>null</v>
      </c>
      <c r="AD815" s="4" t="str">
        <f>IF(O815="",IF(ISNUMBER(SEARCH("NOT NULL",UPPER(O$3))),"''","null"),SUBSTITUTE(VLOOKUP(O$2,convert!$A$1:$B$4,2,0),"@@@",O815))</f>
        <v>TRUE</v>
      </c>
      <c r="AE815" s="4" t="str">
        <f t="shared" si="12"/>
        <v>    ('0665N01', 'コフーライ', 45, 22, 60, 27, 30, 29, '', 'bug', null, 'g6', null, null, TRUE),</v>
      </c>
    </row>
    <row r="816" spans="1:31">
      <c r="A816" s="4" t="s">
        <v>1637</v>
      </c>
      <c r="B816" s="4" t="s">
        <v>1638</v>
      </c>
      <c r="C816" s="5">
        <v>80</v>
      </c>
      <c r="D816" s="5">
        <v>52</v>
      </c>
      <c r="E816" s="5">
        <v>50</v>
      </c>
      <c r="F816" s="5">
        <v>90</v>
      </c>
      <c r="G816" s="5">
        <v>50</v>
      </c>
      <c r="H816" s="5">
        <v>89</v>
      </c>
      <c r="I816" s="5"/>
      <c r="J816" s="4" t="s">
        <v>64</v>
      </c>
      <c r="K816" s="4" t="s">
        <v>47</v>
      </c>
      <c r="L816" s="4" t="s">
        <v>39</v>
      </c>
      <c r="M816" s="5"/>
      <c r="N816" s="5"/>
      <c r="O816" s="5" t="b">
        <v>1</v>
      </c>
      <c r="P816" s="4" t="str">
        <f>IF(A816="",IF(ISNUMBER(SEARCH("NOT NULL",UPPER(A$3))),"''","null"),SUBSTITUTE(VLOOKUP(A$2,convert!$A$1:$B$4,2,0),"@@@",A816))</f>
        <v>'0666N01'</v>
      </c>
      <c r="Q816" s="4" t="str">
        <f>IF(B816="",IF(ISNUMBER(SEARCH("NOT NULL",UPPER(B$3))),"''","null"),SUBSTITUTE(VLOOKUP(B$2,convert!$A$1:$B$4,2,0),"@@@",B816))</f>
        <v>'ビビヨン'</v>
      </c>
      <c r="R816" s="4" t="str">
        <f>IF(C816="",IF(ISNUMBER(SEARCH("NOT NULL",UPPER(C$3))),"''","null"),SUBSTITUTE(VLOOKUP(C$2,convert!$A$1:$B$4,2,0),"@@@",C816))</f>
        <v>80</v>
      </c>
      <c r="S816" s="4" t="str">
        <f>IF(D816="",IF(ISNUMBER(SEARCH("NOT NULL",UPPER(D$3))),"''","null"),SUBSTITUTE(VLOOKUP(D$2,convert!$A$1:$B$4,2,0),"@@@",D816))</f>
        <v>52</v>
      </c>
      <c r="T816" s="4" t="str">
        <f>IF(E816="",IF(ISNUMBER(SEARCH("NOT NULL",UPPER(E$3))),"''","null"),SUBSTITUTE(VLOOKUP(E$2,convert!$A$1:$B$4,2,0),"@@@",E816))</f>
        <v>50</v>
      </c>
      <c r="U816" s="4" t="str">
        <f>IF(F816="",IF(ISNUMBER(SEARCH("NOT NULL",UPPER(F$3))),"''","null"),SUBSTITUTE(VLOOKUP(F$2,convert!$A$1:$B$4,2,0),"@@@",F816))</f>
        <v>90</v>
      </c>
      <c r="V816" s="4" t="str">
        <f>IF(G816="",IF(ISNUMBER(SEARCH("NOT NULL",UPPER(G$3))),"''","null"),SUBSTITUTE(VLOOKUP(G$2,convert!$A$1:$B$4,2,0),"@@@",G816))</f>
        <v>50</v>
      </c>
      <c r="W816" s="4" t="str">
        <f>IF(H816="",IF(ISNUMBER(SEARCH("NOT NULL",UPPER(H$3))),"''","null"),SUBSTITUTE(VLOOKUP(H$2,convert!$A$1:$B$4,2,0),"@@@",H816))</f>
        <v>89</v>
      </c>
      <c r="X816" s="4" t="str">
        <f>IF(I816="",IF(ISNUMBER(SEARCH("NOT NULL",UPPER(I$3))),"''","null"),SUBSTITUTE(VLOOKUP(I$2,convert!$A$1:$B$4,2,0),"@@@",I816))</f>
        <v>''</v>
      </c>
      <c r="Y816" s="4" t="str">
        <f>IF(J816="",IF(ISNUMBER(SEARCH("NOT NULL",UPPER(J$3))),"''","null"),SUBSTITUTE(VLOOKUP(J$2,convert!$A$1:$B$4,2,0),"@@@",J816))</f>
        <v>'bug'</v>
      </c>
      <c r="Z816" s="4" t="str">
        <f>IF(K816="",IF(ISNUMBER(SEARCH("NOT NULL",UPPER(K$3))),"''","null"),SUBSTITUTE(VLOOKUP(K$2,convert!$A$1:$B$4,2,0),"@@@",K816))</f>
        <v>'flying'</v>
      </c>
      <c r="AA816" s="4" t="str">
        <f>IF(L816="",IF(ISNUMBER(SEARCH("NOT NULL",UPPER(L$3))),"''","null"),SUBSTITUTE(VLOOKUP(L$2,convert!$A$1:$B$4,2,0),"@@@",L816))</f>
        <v>'g6'</v>
      </c>
      <c r="AB816" s="4" t="str">
        <f>IF(M816="",IF(ISNUMBER(SEARCH("NOT NULL",UPPER(M$3))),"''","null"),SUBSTITUTE(VLOOKUP(M$2,convert!$A$1:$B$4,2,0),"@@@",M816))</f>
        <v>null</v>
      </c>
      <c r="AC816" s="4" t="str">
        <f>IF(N816="",IF(ISNUMBER(SEARCH("NOT NULL",UPPER(N$3))),"''","null"),SUBSTITUTE(VLOOKUP(N$2,convert!$A$1:$B$4,2,0),"@@@",N816))</f>
        <v>null</v>
      </c>
      <c r="AD816" s="4" t="str">
        <f>IF(O816="",IF(ISNUMBER(SEARCH("NOT NULL",UPPER(O$3))),"''","null"),SUBSTITUTE(VLOOKUP(O$2,convert!$A$1:$B$4,2,0),"@@@",O816))</f>
        <v>TRUE</v>
      </c>
      <c r="AE816" s="4" t="str">
        <f t="shared" si="12"/>
        <v>    ('0666N01', 'ビビヨン', 80, 52, 50, 90, 50, 89, '', 'bug', 'flying', 'g6', null, null, TRUE),</v>
      </c>
    </row>
    <row r="817" spans="1:31">
      <c r="A817" s="4" t="s">
        <v>1639</v>
      </c>
      <c r="B817" s="4" t="s">
        <v>1640</v>
      </c>
      <c r="C817" s="5">
        <v>62</v>
      </c>
      <c r="D817" s="5">
        <v>50</v>
      </c>
      <c r="E817" s="5">
        <v>58</v>
      </c>
      <c r="F817" s="5">
        <v>73</v>
      </c>
      <c r="G817" s="5">
        <v>54</v>
      </c>
      <c r="H817" s="5">
        <v>72</v>
      </c>
      <c r="I817" s="5"/>
      <c r="J817" s="4" t="s">
        <v>42</v>
      </c>
      <c r="K817" s="4" t="s">
        <v>80</v>
      </c>
      <c r="L817" s="4" t="s">
        <v>39</v>
      </c>
      <c r="M817" s="5"/>
      <c r="N817" s="5"/>
      <c r="O817" s="5" t="b">
        <v>1</v>
      </c>
      <c r="P817" s="4" t="str">
        <f>IF(A817="",IF(ISNUMBER(SEARCH("NOT NULL",UPPER(A$3))),"''","null"),SUBSTITUTE(VLOOKUP(A$2,convert!$A$1:$B$4,2,0),"@@@",A817))</f>
        <v>'0667N01'</v>
      </c>
      <c r="Q817" s="4" t="str">
        <f>IF(B817="",IF(ISNUMBER(SEARCH("NOT NULL",UPPER(B$3))),"''","null"),SUBSTITUTE(VLOOKUP(B$2,convert!$A$1:$B$4,2,0),"@@@",B817))</f>
        <v>'シシコ'</v>
      </c>
      <c r="R817" s="4" t="str">
        <f>IF(C817="",IF(ISNUMBER(SEARCH("NOT NULL",UPPER(C$3))),"''","null"),SUBSTITUTE(VLOOKUP(C$2,convert!$A$1:$B$4,2,0),"@@@",C817))</f>
        <v>62</v>
      </c>
      <c r="S817" s="4" t="str">
        <f>IF(D817="",IF(ISNUMBER(SEARCH("NOT NULL",UPPER(D$3))),"''","null"),SUBSTITUTE(VLOOKUP(D$2,convert!$A$1:$B$4,2,0),"@@@",D817))</f>
        <v>50</v>
      </c>
      <c r="T817" s="4" t="str">
        <f>IF(E817="",IF(ISNUMBER(SEARCH("NOT NULL",UPPER(E$3))),"''","null"),SUBSTITUTE(VLOOKUP(E$2,convert!$A$1:$B$4,2,0),"@@@",E817))</f>
        <v>58</v>
      </c>
      <c r="U817" s="4" t="str">
        <f>IF(F817="",IF(ISNUMBER(SEARCH("NOT NULL",UPPER(F$3))),"''","null"),SUBSTITUTE(VLOOKUP(F$2,convert!$A$1:$B$4,2,0),"@@@",F817))</f>
        <v>73</v>
      </c>
      <c r="V817" s="4" t="str">
        <f>IF(G817="",IF(ISNUMBER(SEARCH("NOT NULL",UPPER(G$3))),"''","null"),SUBSTITUTE(VLOOKUP(G$2,convert!$A$1:$B$4,2,0),"@@@",G817))</f>
        <v>54</v>
      </c>
      <c r="W817" s="4" t="str">
        <f>IF(H817="",IF(ISNUMBER(SEARCH("NOT NULL",UPPER(H$3))),"''","null"),SUBSTITUTE(VLOOKUP(H$2,convert!$A$1:$B$4,2,0),"@@@",H817))</f>
        <v>72</v>
      </c>
      <c r="X817" s="4" t="str">
        <f>IF(I817="",IF(ISNUMBER(SEARCH("NOT NULL",UPPER(I$3))),"''","null"),SUBSTITUTE(VLOOKUP(I$2,convert!$A$1:$B$4,2,0),"@@@",I817))</f>
        <v>''</v>
      </c>
      <c r="Y817" s="4" t="str">
        <f>IF(J817="",IF(ISNUMBER(SEARCH("NOT NULL",UPPER(J$3))),"''","null"),SUBSTITUTE(VLOOKUP(J$2,convert!$A$1:$B$4,2,0),"@@@",J817))</f>
        <v>'fire'</v>
      </c>
      <c r="Z817" s="4" t="str">
        <f>IF(K817="",IF(ISNUMBER(SEARCH("NOT NULL",UPPER(K$3))),"''","null"),SUBSTITUTE(VLOOKUP(K$2,convert!$A$1:$B$4,2,0),"@@@",K817))</f>
        <v>'normal'</v>
      </c>
      <c r="AA817" s="4" t="str">
        <f>IF(L817="",IF(ISNUMBER(SEARCH("NOT NULL",UPPER(L$3))),"''","null"),SUBSTITUTE(VLOOKUP(L$2,convert!$A$1:$B$4,2,0),"@@@",L817))</f>
        <v>'g6'</v>
      </c>
      <c r="AB817" s="4" t="str">
        <f>IF(M817="",IF(ISNUMBER(SEARCH("NOT NULL",UPPER(M$3))),"''","null"),SUBSTITUTE(VLOOKUP(M$2,convert!$A$1:$B$4,2,0),"@@@",M817))</f>
        <v>null</v>
      </c>
      <c r="AC817" s="4" t="str">
        <f>IF(N817="",IF(ISNUMBER(SEARCH("NOT NULL",UPPER(N$3))),"''","null"),SUBSTITUTE(VLOOKUP(N$2,convert!$A$1:$B$4,2,0),"@@@",N817))</f>
        <v>null</v>
      </c>
      <c r="AD817" s="4" t="str">
        <f>IF(O817="",IF(ISNUMBER(SEARCH("NOT NULL",UPPER(O$3))),"''","null"),SUBSTITUTE(VLOOKUP(O$2,convert!$A$1:$B$4,2,0),"@@@",O817))</f>
        <v>TRUE</v>
      </c>
      <c r="AE817" s="4" t="str">
        <f t="shared" si="12"/>
        <v>    ('0667N01', 'シシコ', 62, 50, 58, 73, 54, 72, '', 'fire', 'normal', 'g6', null, null, TRUE),</v>
      </c>
    </row>
    <row r="818" spans="1:31">
      <c r="A818" s="4" t="s">
        <v>1641</v>
      </c>
      <c r="B818" s="4" t="s">
        <v>1642</v>
      </c>
      <c r="C818" s="5">
        <v>86</v>
      </c>
      <c r="D818" s="5">
        <v>68</v>
      </c>
      <c r="E818" s="5">
        <v>72</v>
      </c>
      <c r="F818" s="5">
        <v>109</v>
      </c>
      <c r="G818" s="5">
        <v>66</v>
      </c>
      <c r="H818" s="5">
        <v>106</v>
      </c>
      <c r="I818" s="4" t="s">
        <v>1468</v>
      </c>
      <c r="J818" s="4" t="s">
        <v>42</v>
      </c>
      <c r="K818" s="4" t="s">
        <v>80</v>
      </c>
      <c r="L818" s="4" t="s">
        <v>39</v>
      </c>
      <c r="M818" s="5"/>
      <c r="N818" s="5"/>
      <c r="O818" s="5" t="b">
        <v>1</v>
      </c>
      <c r="P818" s="4" t="str">
        <f>IF(A818="",IF(ISNUMBER(SEARCH("NOT NULL",UPPER(A$3))),"''","null"),SUBSTITUTE(VLOOKUP(A$2,convert!$A$1:$B$4,2,0),"@@@",A818))</f>
        <v>'0668N01'</v>
      </c>
      <c r="Q818" s="4" t="str">
        <f>IF(B818="",IF(ISNUMBER(SEARCH("NOT NULL",UPPER(B$3))),"''","null"),SUBSTITUTE(VLOOKUP(B$2,convert!$A$1:$B$4,2,0),"@@@",B818))</f>
        <v>'カエンジシ'</v>
      </c>
      <c r="R818" s="4" t="str">
        <f>IF(C818="",IF(ISNUMBER(SEARCH("NOT NULL",UPPER(C$3))),"''","null"),SUBSTITUTE(VLOOKUP(C$2,convert!$A$1:$B$4,2,0),"@@@",C818))</f>
        <v>86</v>
      </c>
      <c r="S818" s="4" t="str">
        <f>IF(D818="",IF(ISNUMBER(SEARCH("NOT NULL",UPPER(D$3))),"''","null"),SUBSTITUTE(VLOOKUP(D$2,convert!$A$1:$B$4,2,0),"@@@",D818))</f>
        <v>68</v>
      </c>
      <c r="T818" s="4" t="str">
        <f>IF(E818="",IF(ISNUMBER(SEARCH("NOT NULL",UPPER(E$3))),"''","null"),SUBSTITUTE(VLOOKUP(E$2,convert!$A$1:$B$4,2,0),"@@@",E818))</f>
        <v>72</v>
      </c>
      <c r="U818" s="4" t="str">
        <f>IF(F818="",IF(ISNUMBER(SEARCH("NOT NULL",UPPER(F$3))),"''","null"),SUBSTITUTE(VLOOKUP(F$2,convert!$A$1:$B$4,2,0),"@@@",F818))</f>
        <v>109</v>
      </c>
      <c r="V818" s="4" t="str">
        <f>IF(G818="",IF(ISNUMBER(SEARCH("NOT NULL",UPPER(G$3))),"''","null"),SUBSTITUTE(VLOOKUP(G$2,convert!$A$1:$B$4,2,0),"@@@",G818))</f>
        <v>66</v>
      </c>
      <c r="W818" s="4" t="str">
        <f>IF(H818="",IF(ISNUMBER(SEARCH("NOT NULL",UPPER(H$3))),"''","null"),SUBSTITUTE(VLOOKUP(H$2,convert!$A$1:$B$4,2,0),"@@@",H818))</f>
        <v>106</v>
      </c>
      <c r="X818" s="4" t="str">
        <f>IF(I818="",IF(ISNUMBER(SEARCH("NOT NULL",UPPER(I$3))),"''","null"),SUBSTITUTE(VLOOKUP(I$2,convert!$A$1:$B$4,2,0),"@@@",I818))</f>
        <v>'オスのすがた'</v>
      </c>
      <c r="Y818" s="4" t="str">
        <f>IF(J818="",IF(ISNUMBER(SEARCH("NOT NULL",UPPER(J$3))),"''","null"),SUBSTITUTE(VLOOKUP(J$2,convert!$A$1:$B$4,2,0),"@@@",J818))</f>
        <v>'fire'</v>
      </c>
      <c r="Z818" s="4" t="str">
        <f>IF(K818="",IF(ISNUMBER(SEARCH("NOT NULL",UPPER(K$3))),"''","null"),SUBSTITUTE(VLOOKUP(K$2,convert!$A$1:$B$4,2,0),"@@@",K818))</f>
        <v>'normal'</v>
      </c>
      <c r="AA818" s="4" t="str">
        <f>IF(L818="",IF(ISNUMBER(SEARCH("NOT NULL",UPPER(L$3))),"''","null"),SUBSTITUTE(VLOOKUP(L$2,convert!$A$1:$B$4,2,0),"@@@",L818))</f>
        <v>'g6'</v>
      </c>
      <c r="AB818" s="4" t="str">
        <f>IF(M818="",IF(ISNUMBER(SEARCH("NOT NULL",UPPER(M$3))),"''","null"),SUBSTITUTE(VLOOKUP(M$2,convert!$A$1:$B$4,2,0),"@@@",M818))</f>
        <v>null</v>
      </c>
      <c r="AC818" s="4" t="str">
        <f>IF(N818="",IF(ISNUMBER(SEARCH("NOT NULL",UPPER(N$3))),"''","null"),SUBSTITUTE(VLOOKUP(N$2,convert!$A$1:$B$4,2,0),"@@@",N818))</f>
        <v>null</v>
      </c>
      <c r="AD818" s="4" t="str">
        <f>IF(O818="",IF(ISNUMBER(SEARCH("NOT NULL",UPPER(O$3))),"''","null"),SUBSTITUTE(VLOOKUP(O$2,convert!$A$1:$B$4,2,0),"@@@",O818))</f>
        <v>TRUE</v>
      </c>
      <c r="AE818" s="4" t="str">
        <f t="shared" si="12"/>
        <v>    ('0668N01', 'カエンジシ', 86, 68, 72, 109, 66, 106, 'オスのすがた', 'fire', 'normal', 'g6', null, null, TRUE),</v>
      </c>
    </row>
    <row r="819" spans="1:31">
      <c r="A819" s="4" t="s">
        <v>1643</v>
      </c>
      <c r="B819" s="4" t="s">
        <v>1642</v>
      </c>
      <c r="C819" s="5">
        <v>86</v>
      </c>
      <c r="D819" s="5">
        <v>68</v>
      </c>
      <c r="E819" s="5">
        <v>72</v>
      </c>
      <c r="F819" s="5">
        <v>109</v>
      </c>
      <c r="G819" s="5">
        <v>66</v>
      </c>
      <c r="H819" s="5">
        <v>106</v>
      </c>
      <c r="I819" s="4" t="s">
        <v>1470</v>
      </c>
      <c r="J819" s="4" t="s">
        <v>42</v>
      </c>
      <c r="K819" s="4" t="s">
        <v>80</v>
      </c>
      <c r="L819" s="4" t="s">
        <v>39</v>
      </c>
      <c r="M819" s="5"/>
      <c r="N819" s="5"/>
      <c r="O819" s="5" t="b">
        <v>1</v>
      </c>
      <c r="P819" s="4" t="str">
        <f>IF(A819="",IF(ISNUMBER(SEARCH("NOT NULL",UPPER(A$3))),"''","null"),SUBSTITUTE(VLOOKUP(A$2,convert!$A$1:$B$4,2,0),"@@@",A819))</f>
        <v>'0668N02'</v>
      </c>
      <c r="Q819" s="4" t="str">
        <f>IF(B819="",IF(ISNUMBER(SEARCH("NOT NULL",UPPER(B$3))),"''","null"),SUBSTITUTE(VLOOKUP(B$2,convert!$A$1:$B$4,2,0),"@@@",B819))</f>
        <v>'カエンジシ'</v>
      </c>
      <c r="R819" s="4" t="str">
        <f>IF(C819="",IF(ISNUMBER(SEARCH("NOT NULL",UPPER(C$3))),"''","null"),SUBSTITUTE(VLOOKUP(C$2,convert!$A$1:$B$4,2,0),"@@@",C819))</f>
        <v>86</v>
      </c>
      <c r="S819" s="4" t="str">
        <f>IF(D819="",IF(ISNUMBER(SEARCH("NOT NULL",UPPER(D$3))),"''","null"),SUBSTITUTE(VLOOKUP(D$2,convert!$A$1:$B$4,2,0),"@@@",D819))</f>
        <v>68</v>
      </c>
      <c r="T819" s="4" t="str">
        <f>IF(E819="",IF(ISNUMBER(SEARCH("NOT NULL",UPPER(E$3))),"''","null"),SUBSTITUTE(VLOOKUP(E$2,convert!$A$1:$B$4,2,0),"@@@",E819))</f>
        <v>72</v>
      </c>
      <c r="U819" s="4" t="str">
        <f>IF(F819="",IF(ISNUMBER(SEARCH("NOT NULL",UPPER(F$3))),"''","null"),SUBSTITUTE(VLOOKUP(F$2,convert!$A$1:$B$4,2,0),"@@@",F819))</f>
        <v>109</v>
      </c>
      <c r="V819" s="4" t="str">
        <f>IF(G819="",IF(ISNUMBER(SEARCH("NOT NULL",UPPER(G$3))),"''","null"),SUBSTITUTE(VLOOKUP(G$2,convert!$A$1:$B$4,2,0),"@@@",G819))</f>
        <v>66</v>
      </c>
      <c r="W819" s="4" t="str">
        <f>IF(H819="",IF(ISNUMBER(SEARCH("NOT NULL",UPPER(H$3))),"''","null"),SUBSTITUTE(VLOOKUP(H$2,convert!$A$1:$B$4,2,0),"@@@",H819))</f>
        <v>106</v>
      </c>
      <c r="X819" s="4" t="str">
        <f>IF(I819="",IF(ISNUMBER(SEARCH("NOT NULL",UPPER(I$3))),"''","null"),SUBSTITUTE(VLOOKUP(I$2,convert!$A$1:$B$4,2,0),"@@@",I819))</f>
        <v>'メスのすがた'</v>
      </c>
      <c r="Y819" s="4" t="str">
        <f>IF(J819="",IF(ISNUMBER(SEARCH("NOT NULL",UPPER(J$3))),"''","null"),SUBSTITUTE(VLOOKUP(J$2,convert!$A$1:$B$4,2,0),"@@@",J819))</f>
        <v>'fire'</v>
      </c>
      <c r="Z819" s="4" t="str">
        <f>IF(K819="",IF(ISNUMBER(SEARCH("NOT NULL",UPPER(K$3))),"''","null"),SUBSTITUTE(VLOOKUP(K$2,convert!$A$1:$B$4,2,0),"@@@",K819))</f>
        <v>'normal'</v>
      </c>
      <c r="AA819" s="4" t="str">
        <f>IF(L819="",IF(ISNUMBER(SEARCH("NOT NULL",UPPER(L$3))),"''","null"),SUBSTITUTE(VLOOKUP(L$2,convert!$A$1:$B$4,2,0),"@@@",L819))</f>
        <v>'g6'</v>
      </c>
      <c r="AB819" s="4" t="str">
        <f>IF(M819="",IF(ISNUMBER(SEARCH("NOT NULL",UPPER(M$3))),"''","null"),SUBSTITUTE(VLOOKUP(M$2,convert!$A$1:$B$4,2,0),"@@@",M819))</f>
        <v>null</v>
      </c>
      <c r="AC819" s="4" t="str">
        <f>IF(N819="",IF(ISNUMBER(SEARCH("NOT NULL",UPPER(N$3))),"''","null"),SUBSTITUTE(VLOOKUP(N$2,convert!$A$1:$B$4,2,0),"@@@",N819))</f>
        <v>null</v>
      </c>
      <c r="AD819" s="4" t="str">
        <f>IF(O819="",IF(ISNUMBER(SEARCH("NOT NULL",UPPER(O$3))),"''","null"),SUBSTITUTE(VLOOKUP(O$2,convert!$A$1:$B$4,2,0),"@@@",O819))</f>
        <v>TRUE</v>
      </c>
      <c r="AE819" s="4" t="str">
        <f t="shared" si="12"/>
        <v>    ('0668N02', 'カエンジシ', 86, 68, 72, 109, 66, 106, 'メスのすがた', 'fire', 'normal', 'g6', null, null, TRUE),</v>
      </c>
    </row>
    <row r="820" spans="1:31">
      <c r="A820" s="4" t="s">
        <v>1644</v>
      </c>
      <c r="B820" s="4" t="s">
        <v>1645</v>
      </c>
      <c r="C820" s="5">
        <v>44</v>
      </c>
      <c r="D820" s="5">
        <v>38</v>
      </c>
      <c r="E820" s="5">
        <v>39</v>
      </c>
      <c r="F820" s="5">
        <v>61</v>
      </c>
      <c r="G820" s="5">
        <v>79</v>
      </c>
      <c r="H820" s="5">
        <v>42</v>
      </c>
      <c r="I820" s="5"/>
      <c r="J820" s="4" t="s">
        <v>137</v>
      </c>
      <c r="K820" s="5"/>
      <c r="L820" s="4" t="s">
        <v>39</v>
      </c>
      <c r="M820" s="5"/>
      <c r="N820" s="5"/>
      <c r="O820" s="5" t="b">
        <v>1</v>
      </c>
      <c r="P820" s="4" t="str">
        <f>IF(A820="",IF(ISNUMBER(SEARCH("NOT NULL",UPPER(A$3))),"''","null"),SUBSTITUTE(VLOOKUP(A$2,convert!$A$1:$B$4,2,0),"@@@",A820))</f>
        <v>'0669N01'</v>
      </c>
      <c r="Q820" s="4" t="str">
        <f>IF(B820="",IF(ISNUMBER(SEARCH("NOT NULL",UPPER(B$3))),"''","null"),SUBSTITUTE(VLOOKUP(B$2,convert!$A$1:$B$4,2,0),"@@@",B820))</f>
        <v>'フラベベ'</v>
      </c>
      <c r="R820" s="4" t="str">
        <f>IF(C820="",IF(ISNUMBER(SEARCH("NOT NULL",UPPER(C$3))),"''","null"),SUBSTITUTE(VLOOKUP(C$2,convert!$A$1:$B$4,2,0),"@@@",C820))</f>
        <v>44</v>
      </c>
      <c r="S820" s="4" t="str">
        <f>IF(D820="",IF(ISNUMBER(SEARCH("NOT NULL",UPPER(D$3))),"''","null"),SUBSTITUTE(VLOOKUP(D$2,convert!$A$1:$B$4,2,0),"@@@",D820))</f>
        <v>38</v>
      </c>
      <c r="T820" s="4" t="str">
        <f>IF(E820="",IF(ISNUMBER(SEARCH("NOT NULL",UPPER(E$3))),"''","null"),SUBSTITUTE(VLOOKUP(E$2,convert!$A$1:$B$4,2,0),"@@@",E820))</f>
        <v>39</v>
      </c>
      <c r="U820" s="4" t="str">
        <f>IF(F820="",IF(ISNUMBER(SEARCH("NOT NULL",UPPER(F$3))),"''","null"),SUBSTITUTE(VLOOKUP(F$2,convert!$A$1:$B$4,2,0),"@@@",F820))</f>
        <v>61</v>
      </c>
      <c r="V820" s="4" t="str">
        <f>IF(G820="",IF(ISNUMBER(SEARCH("NOT NULL",UPPER(G$3))),"''","null"),SUBSTITUTE(VLOOKUP(G$2,convert!$A$1:$B$4,2,0),"@@@",G820))</f>
        <v>79</v>
      </c>
      <c r="W820" s="4" t="str">
        <f>IF(H820="",IF(ISNUMBER(SEARCH("NOT NULL",UPPER(H$3))),"''","null"),SUBSTITUTE(VLOOKUP(H$2,convert!$A$1:$B$4,2,0),"@@@",H820))</f>
        <v>42</v>
      </c>
      <c r="X820" s="4" t="str">
        <f>IF(I820="",IF(ISNUMBER(SEARCH("NOT NULL",UPPER(I$3))),"''","null"),SUBSTITUTE(VLOOKUP(I$2,convert!$A$1:$B$4,2,0),"@@@",I820))</f>
        <v>''</v>
      </c>
      <c r="Y820" s="4" t="str">
        <f>IF(J820="",IF(ISNUMBER(SEARCH("NOT NULL",UPPER(J$3))),"''","null"),SUBSTITUTE(VLOOKUP(J$2,convert!$A$1:$B$4,2,0),"@@@",J820))</f>
        <v>'fairy'</v>
      </c>
      <c r="Z820" s="4" t="str">
        <f>IF(K820="",IF(ISNUMBER(SEARCH("NOT NULL",UPPER(K$3))),"''","null"),SUBSTITUTE(VLOOKUP(K$2,convert!$A$1:$B$4,2,0),"@@@",K820))</f>
        <v>null</v>
      </c>
      <c r="AA820" s="4" t="str">
        <f>IF(L820="",IF(ISNUMBER(SEARCH("NOT NULL",UPPER(L$3))),"''","null"),SUBSTITUTE(VLOOKUP(L$2,convert!$A$1:$B$4,2,0),"@@@",L820))</f>
        <v>'g6'</v>
      </c>
      <c r="AB820" s="4" t="str">
        <f>IF(M820="",IF(ISNUMBER(SEARCH("NOT NULL",UPPER(M$3))),"''","null"),SUBSTITUTE(VLOOKUP(M$2,convert!$A$1:$B$4,2,0),"@@@",M820))</f>
        <v>null</v>
      </c>
      <c r="AC820" s="4" t="str">
        <f>IF(N820="",IF(ISNUMBER(SEARCH("NOT NULL",UPPER(N$3))),"''","null"),SUBSTITUTE(VLOOKUP(N$2,convert!$A$1:$B$4,2,0),"@@@",N820))</f>
        <v>null</v>
      </c>
      <c r="AD820" s="4" t="str">
        <f>IF(O820="",IF(ISNUMBER(SEARCH("NOT NULL",UPPER(O$3))),"''","null"),SUBSTITUTE(VLOOKUP(O$2,convert!$A$1:$B$4,2,0),"@@@",O820))</f>
        <v>TRUE</v>
      </c>
      <c r="AE820" s="4" t="str">
        <f t="shared" si="12"/>
        <v>    ('0669N01', 'フラベベ', 44, 38, 39, 61, 79, 42, '', 'fairy', null, 'g6', null, null, TRUE),</v>
      </c>
    </row>
    <row r="821" spans="1:31">
      <c r="A821" s="4" t="s">
        <v>1646</v>
      </c>
      <c r="B821" s="4" t="s">
        <v>1647</v>
      </c>
      <c r="C821" s="5">
        <v>54</v>
      </c>
      <c r="D821" s="5">
        <v>45</v>
      </c>
      <c r="E821" s="5">
        <v>47</v>
      </c>
      <c r="F821" s="5">
        <v>75</v>
      </c>
      <c r="G821" s="5">
        <v>98</v>
      </c>
      <c r="H821" s="5">
        <v>52</v>
      </c>
      <c r="I821" s="5"/>
      <c r="J821" s="4" t="s">
        <v>137</v>
      </c>
      <c r="K821" s="5"/>
      <c r="L821" s="4" t="s">
        <v>39</v>
      </c>
      <c r="M821" s="5"/>
      <c r="N821" s="5"/>
      <c r="O821" s="5" t="b">
        <v>1</v>
      </c>
      <c r="P821" s="4" t="str">
        <f>IF(A821="",IF(ISNUMBER(SEARCH("NOT NULL",UPPER(A$3))),"''","null"),SUBSTITUTE(VLOOKUP(A$2,convert!$A$1:$B$4,2,0),"@@@",A821))</f>
        <v>'0670N01'</v>
      </c>
      <c r="Q821" s="4" t="str">
        <f>IF(B821="",IF(ISNUMBER(SEARCH("NOT NULL",UPPER(B$3))),"''","null"),SUBSTITUTE(VLOOKUP(B$2,convert!$A$1:$B$4,2,0),"@@@",B821))</f>
        <v>'フラエッテ'</v>
      </c>
      <c r="R821" s="4" t="str">
        <f>IF(C821="",IF(ISNUMBER(SEARCH("NOT NULL",UPPER(C$3))),"''","null"),SUBSTITUTE(VLOOKUP(C$2,convert!$A$1:$B$4,2,0),"@@@",C821))</f>
        <v>54</v>
      </c>
      <c r="S821" s="4" t="str">
        <f>IF(D821="",IF(ISNUMBER(SEARCH("NOT NULL",UPPER(D$3))),"''","null"),SUBSTITUTE(VLOOKUP(D$2,convert!$A$1:$B$4,2,0),"@@@",D821))</f>
        <v>45</v>
      </c>
      <c r="T821" s="4" t="str">
        <f>IF(E821="",IF(ISNUMBER(SEARCH("NOT NULL",UPPER(E$3))),"''","null"),SUBSTITUTE(VLOOKUP(E$2,convert!$A$1:$B$4,2,0),"@@@",E821))</f>
        <v>47</v>
      </c>
      <c r="U821" s="4" t="str">
        <f>IF(F821="",IF(ISNUMBER(SEARCH("NOT NULL",UPPER(F$3))),"''","null"),SUBSTITUTE(VLOOKUP(F$2,convert!$A$1:$B$4,2,0),"@@@",F821))</f>
        <v>75</v>
      </c>
      <c r="V821" s="4" t="str">
        <f>IF(G821="",IF(ISNUMBER(SEARCH("NOT NULL",UPPER(G$3))),"''","null"),SUBSTITUTE(VLOOKUP(G$2,convert!$A$1:$B$4,2,0),"@@@",G821))</f>
        <v>98</v>
      </c>
      <c r="W821" s="4" t="str">
        <f>IF(H821="",IF(ISNUMBER(SEARCH("NOT NULL",UPPER(H$3))),"''","null"),SUBSTITUTE(VLOOKUP(H$2,convert!$A$1:$B$4,2,0),"@@@",H821))</f>
        <v>52</v>
      </c>
      <c r="X821" s="4" t="str">
        <f>IF(I821="",IF(ISNUMBER(SEARCH("NOT NULL",UPPER(I$3))),"''","null"),SUBSTITUTE(VLOOKUP(I$2,convert!$A$1:$B$4,2,0),"@@@",I821))</f>
        <v>''</v>
      </c>
      <c r="Y821" s="4" t="str">
        <f>IF(J821="",IF(ISNUMBER(SEARCH("NOT NULL",UPPER(J$3))),"''","null"),SUBSTITUTE(VLOOKUP(J$2,convert!$A$1:$B$4,2,0),"@@@",J821))</f>
        <v>'fairy'</v>
      </c>
      <c r="Z821" s="4" t="str">
        <f>IF(K821="",IF(ISNUMBER(SEARCH("NOT NULL",UPPER(K$3))),"''","null"),SUBSTITUTE(VLOOKUP(K$2,convert!$A$1:$B$4,2,0),"@@@",K821))</f>
        <v>null</v>
      </c>
      <c r="AA821" s="4" t="str">
        <f>IF(L821="",IF(ISNUMBER(SEARCH("NOT NULL",UPPER(L$3))),"''","null"),SUBSTITUTE(VLOOKUP(L$2,convert!$A$1:$B$4,2,0),"@@@",L821))</f>
        <v>'g6'</v>
      </c>
      <c r="AB821" s="4" t="str">
        <f>IF(M821="",IF(ISNUMBER(SEARCH("NOT NULL",UPPER(M$3))),"''","null"),SUBSTITUTE(VLOOKUP(M$2,convert!$A$1:$B$4,2,0),"@@@",M821))</f>
        <v>null</v>
      </c>
      <c r="AC821" s="4" t="str">
        <f>IF(N821="",IF(ISNUMBER(SEARCH("NOT NULL",UPPER(N$3))),"''","null"),SUBSTITUTE(VLOOKUP(N$2,convert!$A$1:$B$4,2,0),"@@@",N821))</f>
        <v>null</v>
      </c>
      <c r="AD821" s="4" t="str">
        <f>IF(O821="",IF(ISNUMBER(SEARCH("NOT NULL",UPPER(O$3))),"''","null"),SUBSTITUTE(VLOOKUP(O$2,convert!$A$1:$B$4,2,0),"@@@",O821))</f>
        <v>TRUE</v>
      </c>
      <c r="AE821" s="4" t="str">
        <f t="shared" si="12"/>
        <v>    ('0670N01', 'フラエッテ', 54, 45, 47, 75, 98, 52, '', 'fairy', null, 'g6', null, null, TRUE),</v>
      </c>
    </row>
    <row r="822" spans="1:31">
      <c r="A822" s="4" t="s">
        <v>1648</v>
      </c>
      <c r="B822" s="4" t="s">
        <v>1649</v>
      </c>
      <c r="C822" s="5">
        <v>78</v>
      </c>
      <c r="D822" s="5">
        <v>65</v>
      </c>
      <c r="E822" s="5">
        <v>68</v>
      </c>
      <c r="F822" s="5">
        <v>112</v>
      </c>
      <c r="G822" s="5">
        <v>154</v>
      </c>
      <c r="H822" s="5">
        <v>75</v>
      </c>
      <c r="I822" s="5"/>
      <c r="J822" s="4" t="s">
        <v>137</v>
      </c>
      <c r="K822" s="5"/>
      <c r="L822" s="4" t="s">
        <v>39</v>
      </c>
      <c r="M822" s="5"/>
      <c r="N822" s="5"/>
      <c r="O822" s="5" t="b">
        <v>1</v>
      </c>
      <c r="P822" s="4" t="str">
        <f>IF(A822="",IF(ISNUMBER(SEARCH("NOT NULL",UPPER(A$3))),"''","null"),SUBSTITUTE(VLOOKUP(A$2,convert!$A$1:$B$4,2,0),"@@@",A822))</f>
        <v>'0671N01'</v>
      </c>
      <c r="Q822" s="4" t="str">
        <f>IF(B822="",IF(ISNUMBER(SEARCH("NOT NULL",UPPER(B$3))),"''","null"),SUBSTITUTE(VLOOKUP(B$2,convert!$A$1:$B$4,2,0),"@@@",B822))</f>
        <v>'フラージェス'</v>
      </c>
      <c r="R822" s="4" t="str">
        <f>IF(C822="",IF(ISNUMBER(SEARCH("NOT NULL",UPPER(C$3))),"''","null"),SUBSTITUTE(VLOOKUP(C$2,convert!$A$1:$B$4,2,0),"@@@",C822))</f>
        <v>78</v>
      </c>
      <c r="S822" s="4" t="str">
        <f>IF(D822="",IF(ISNUMBER(SEARCH("NOT NULL",UPPER(D$3))),"''","null"),SUBSTITUTE(VLOOKUP(D$2,convert!$A$1:$B$4,2,0),"@@@",D822))</f>
        <v>65</v>
      </c>
      <c r="T822" s="4" t="str">
        <f>IF(E822="",IF(ISNUMBER(SEARCH("NOT NULL",UPPER(E$3))),"''","null"),SUBSTITUTE(VLOOKUP(E$2,convert!$A$1:$B$4,2,0),"@@@",E822))</f>
        <v>68</v>
      </c>
      <c r="U822" s="4" t="str">
        <f>IF(F822="",IF(ISNUMBER(SEARCH("NOT NULL",UPPER(F$3))),"''","null"),SUBSTITUTE(VLOOKUP(F$2,convert!$A$1:$B$4,2,0),"@@@",F822))</f>
        <v>112</v>
      </c>
      <c r="V822" s="4" t="str">
        <f>IF(G822="",IF(ISNUMBER(SEARCH("NOT NULL",UPPER(G$3))),"''","null"),SUBSTITUTE(VLOOKUP(G$2,convert!$A$1:$B$4,2,0),"@@@",G822))</f>
        <v>154</v>
      </c>
      <c r="W822" s="4" t="str">
        <f>IF(H822="",IF(ISNUMBER(SEARCH("NOT NULL",UPPER(H$3))),"''","null"),SUBSTITUTE(VLOOKUP(H$2,convert!$A$1:$B$4,2,0),"@@@",H822))</f>
        <v>75</v>
      </c>
      <c r="X822" s="4" t="str">
        <f>IF(I822="",IF(ISNUMBER(SEARCH("NOT NULL",UPPER(I$3))),"''","null"),SUBSTITUTE(VLOOKUP(I$2,convert!$A$1:$B$4,2,0),"@@@",I822))</f>
        <v>''</v>
      </c>
      <c r="Y822" s="4" t="str">
        <f>IF(J822="",IF(ISNUMBER(SEARCH("NOT NULL",UPPER(J$3))),"''","null"),SUBSTITUTE(VLOOKUP(J$2,convert!$A$1:$B$4,2,0),"@@@",J822))</f>
        <v>'fairy'</v>
      </c>
      <c r="Z822" s="4" t="str">
        <f>IF(K822="",IF(ISNUMBER(SEARCH("NOT NULL",UPPER(K$3))),"''","null"),SUBSTITUTE(VLOOKUP(K$2,convert!$A$1:$B$4,2,0),"@@@",K822))</f>
        <v>null</v>
      </c>
      <c r="AA822" s="4" t="str">
        <f>IF(L822="",IF(ISNUMBER(SEARCH("NOT NULL",UPPER(L$3))),"''","null"),SUBSTITUTE(VLOOKUP(L$2,convert!$A$1:$B$4,2,0),"@@@",L822))</f>
        <v>'g6'</v>
      </c>
      <c r="AB822" s="4" t="str">
        <f>IF(M822="",IF(ISNUMBER(SEARCH("NOT NULL",UPPER(M$3))),"''","null"),SUBSTITUTE(VLOOKUP(M$2,convert!$A$1:$B$4,2,0),"@@@",M822))</f>
        <v>null</v>
      </c>
      <c r="AC822" s="4" t="str">
        <f>IF(N822="",IF(ISNUMBER(SEARCH("NOT NULL",UPPER(N$3))),"''","null"),SUBSTITUTE(VLOOKUP(N$2,convert!$A$1:$B$4,2,0),"@@@",N822))</f>
        <v>null</v>
      </c>
      <c r="AD822" s="4" t="str">
        <f>IF(O822="",IF(ISNUMBER(SEARCH("NOT NULL",UPPER(O$3))),"''","null"),SUBSTITUTE(VLOOKUP(O$2,convert!$A$1:$B$4,2,0),"@@@",O822))</f>
        <v>TRUE</v>
      </c>
      <c r="AE822" s="4" t="str">
        <f t="shared" si="12"/>
        <v>    ('0671N01', 'フラージェス', 78, 65, 68, 112, 154, 75, '', 'fairy', null, 'g6', null, null, TRUE),</v>
      </c>
    </row>
    <row r="823" spans="1:31">
      <c r="A823" s="4" t="s">
        <v>1650</v>
      </c>
      <c r="B823" s="4" t="s">
        <v>1651</v>
      </c>
      <c r="C823" s="5">
        <v>66</v>
      </c>
      <c r="D823" s="5">
        <v>65</v>
      </c>
      <c r="E823" s="5">
        <v>48</v>
      </c>
      <c r="F823" s="5">
        <v>62</v>
      </c>
      <c r="G823" s="5">
        <v>57</v>
      </c>
      <c r="H823" s="5">
        <v>52</v>
      </c>
      <c r="I823" s="5"/>
      <c r="J823" s="4" t="s">
        <v>30</v>
      </c>
      <c r="K823" s="5"/>
      <c r="L823" s="4" t="s">
        <v>39</v>
      </c>
      <c r="M823" s="5"/>
      <c r="N823" s="5"/>
      <c r="O823" s="5" t="b">
        <v>0</v>
      </c>
      <c r="P823" s="4" t="str">
        <f>IF(A823="",IF(ISNUMBER(SEARCH("NOT NULL",UPPER(A$3))),"''","null"),SUBSTITUTE(VLOOKUP(A$2,convert!$A$1:$B$4,2,0),"@@@",A823))</f>
        <v>'0672N01'</v>
      </c>
      <c r="Q823" s="4" t="str">
        <f>IF(B823="",IF(ISNUMBER(SEARCH("NOT NULL",UPPER(B$3))),"''","null"),SUBSTITUTE(VLOOKUP(B$2,convert!$A$1:$B$4,2,0),"@@@",B823))</f>
        <v>'メェークル'</v>
      </c>
      <c r="R823" s="4" t="str">
        <f>IF(C823="",IF(ISNUMBER(SEARCH("NOT NULL",UPPER(C$3))),"''","null"),SUBSTITUTE(VLOOKUP(C$2,convert!$A$1:$B$4,2,0),"@@@",C823))</f>
        <v>66</v>
      </c>
      <c r="S823" s="4" t="str">
        <f>IF(D823="",IF(ISNUMBER(SEARCH("NOT NULL",UPPER(D$3))),"''","null"),SUBSTITUTE(VLOOKUP(D$2,convert!$A$1:$B$4,2,0),"@@@",D823))</f>
        <v>65</v>
      </c>
      <c r="T823" s="4" t="str">
        <f>IF(E823="",IF(ISNUMBER(SEARCH("NOT NULL",UPPER(E$3))),"''","null"),SUBSTITUTE(VLOOKUP(E$2,convert!$A$1:$B$4,2,0),"@@@",E823))</f>
        <v>48</v>
      </c>
      <c r="U823" s="4" t="str">
        <f>IF(F823="",IF(ISNUMBER(SEARCH("NOT NULL",UPPER(F$3))),"''","null"),SUBSTITUTE(VLOOKUP(F$2,convert!$A$1:$B$4,2,0),"@@@",F823))</f>
        <v>62</v>
      </c>
      <c r="V823" s="4" t="str">
        <f>IF(G823="",IF(ISNUMBER(SEARCH("NOT NULL",UPPER(G$3))),"''","null"),SUBSTITUTE(VLOOKUP(G$2,convert!$A$1:$B$4,2,0),"@@@",G823))</f>
        <v>57</v>
      </c>
      <c r="W823" s="4" t="str">
        <f>IF(H823="",IF(ISNUMBER(SEARCH("NOT NULL",UPPER(H$3))),"''","null"),SUBSTITUTE(VLOOKUP(H$2,convert!$A$1:$B$4,2,0),"@@@",H823))</f>
        <v>52</v>
      </c>
      <c r="X823" s="4" t="str">
        <f>IF(I823="",IF(ISNUMBER(SEARCH("NOT NULL",UPPER(I$3))),"''","null"),SUBSTITUTE(VLOOKUP(I$2,convert!$A$1:$B$4,2,0),"@@@",I823))</f>
        <v>''</v>
      </c>
      <c r="Y823" s="4" t="str">
        <f>IF(J823="",IF(ISNUMBER(SEARCH("NOT NULL",UPPER(J$3))),"''","null"),SUBSTITUTE(VLOOKUP(J$2,convert!$A$1:$B$4,2,0),"@@@",J823))</f>
        <v>'grass'</v>
      </c>
      <c r="Z823" s="4" t="str">
        <f>IF(K823="",IF(ISNUMBER(SEARCH("NOT NULL",UPPER(K$3))),"''","null"),SUBSTITUTE(VLOOKUP(K$2,convert!$A$1:$B$4,2,0),"@@@",K823))</f>
        <v>null</v>
      </c>
      <c r="AA823" s="4" t="str">
        <f>IF(L823="",IF(ISNUMBER(SEARCH("NOT NULL",UPPER(L$3))),"''","null"),SUBSTITUTE(VLOOKUP(L$2,convert!$A$1:$B$4,2,0),"@@@",L823))</f>
        <v>'g6'</v>
      </c>
      <c r="AB823" s="4" t="str">
        <f>IF(M823="",IF(ISNUMBER(SEARCH("NOT NULL",UPPER(M$3))),"''","null"),SUBSTITUTE(VLOOKUP(M$2,convert!$A$1:$B$4,2,0),"@@@",M823))</f>
        <v>null</v>
      </c>
      <c r="AC823" s="4" t="str">
        <f>IF(N823="",IF(ISNUMBER(SEARCH("NOT NULL",UPPER(N$3))),"''","null"),SUBSTITUTE(VLOOKUP(N$2,convert!$A$1:$B$4,2,0),"@@@",N823))</f>
        <v>null</v>
      </c>
      <c r="AD823" s="4" t="str">
        <f>IF(O823="",IF(ISNUMBER(SEARCH("NOT NULL",UPPER(O$3))),"''","null"),SUBSTITUTE(VLOOKUP(O$2,convert!$A$1:$B$4,2,0),"@@@",O823))</f>
        <v>FALSE</v>
      </c>
      <c r="AE823" s="4" t="str">
        <f t="shared" si="12"/>
        <v>    ('0672N01', 'メェークル', 66, 65, 48, 62, 57, 52, '', 'grass', null, 'g6', null, null, FALSE),</v>
      </c>
    </row>
    <row r="824" spans="1:31">
      <c r="A824" s="4" t="s">
        <v>1652</v>
      </c>
      <c r="B824" s="4" t="s">
        <v>1653</v>
      </c>
      <c r="C824" s="5">
        <v>123</v>
      </c>
      <c r="D824" s="5">
        <v>100</v>
      </c>
      <c r="E824" s="5">
        <v>62</v>
      </c>
      <c r="F824" s="5">
        <v>97</v>
      </c>
      <c r="G824" s="5">
        <v>81</v>
      </c>
      <c r="H824" s="5">
        <v>68</v>
      </c>
      <c r="I824" s="5"/>
      <c r="J824" s="4" t="s">
        <v>30</v>
      </c>
      <c r="K824" s="5"/>
      <c r="L824" s="4" t="s">
        <v>39</v>
      </c>
      <c r="M824" s="5"/>
      <c r="N824" s="5"/>
      <c r="O824" s="5" t="b">
        <v>0</v>
      </c>
      <c r="P824" s="4" t="str">
        <f>IF(A824="",IF(ISNUMBER(SEARCH("NOT NULL",UPPER(A$3))),"''","null"),SUBSTITUTE(VLOOKUP(A$2,convert!$A$1:$B$4,2,0),"@@@",A824))</f>
        <v>'0673N01'</v>
      </c>
      <c r="Q824" s="4" t="str">
        <f>IF(B824="",IF(ISNUMBER(SEARCH("NOT NULL",UPPER(B$3))),"''","null"),SUBSTITUTE(VLOOKUP(B$2,convert!$A$1:$B$4,2,0),"@@@",B824))</f>
        <v>'ゴーゴート'</v>
      </c>
      <c r="R824" s="4" t="str">
        <f>IF(C824="",IF(ISNUMBER(SEARCH("NOT NULL",UPPER(C$3))),"''","null"),SUBSTITUTE(VLOOKUP(C$2,convert!$A$1:$B$4,2,0),"@@@",C824))</f>
        <v>123</v>
      </c>
      <c r="S824" s="4" t="str">
        <f>IF(D824="",IF(ISNUMBER(SEARCH("NOT NULL",UPPER(D$3))),"''","null"),SUBSTITUTE(VLOOKUP(D$2,convert!$A$1:$B$4,2,0),"@@@",D824))</f>
        <v>100</v>
      </c>
      <c r="T824" s="4" t="str">
        <f>IF(E824="",IF(ISNUMBER(SEARCH("NOT NULL",UPPER(E$3))),"''","null"),SUBSTITUTE(VLOOKUP(E$2,convert!$A$1:$B$4,2,0),"@@@",E824))</f>
        <v>62</v>
      </c>
      <c r="U824" s="4" t="str">
        <f>IF(F824="",IF(ISNUMBER(SEARCH("NOT NULL",UPPER(F$3))),"''","null"),SUBSTITUTE(VLOOKUP(F$2,convert!$A$1:$B$4,2,0),"@@@",F824))</f>
        <v>97</v>
      </c>
      <c r="V824" s="4" t="str">
        <f>IF(G824="",IF(ISNUMBER(SEARCH("NOT NULL",UPPER(G$3))),"''","null"),SUBSTITUTE(VLOOKUP(G$2,convert!$A$1:$B$4,2,0),"@@@",G824))</f>
        <v>81</v>
      </c>
      <c r="W824" s="4" t="str">
        <f>IF(H824="",IF(ISNUMBER(SEARCH("NOT NULL",UPPER(H$3))),"''","null"),SUBSTITUTE(VLOOKUP(H$2,convert!$A$1:$B$4,2,0),"@@@",H824))</f>
        <v>68</v>
      </c>
      <c r="X824" s="4" t="str">
        <f>IF(I824="",IF(ISNUMBER(SEARCH("NOT NULL",UPPER(I$3))),"''","null"),SUBSTITUTE(VLOOKUP(I$2,convert!$A$1:$B$4,2,0),"@@@",I824))</f>
        <v>''</v>
      </c>
      <c r="Y824" s="4" t="str">
        <f>IF(J824="",IF(ISNUMBER(SEARCH("NOT NULL",UPPER(J$3))),"''","null"),SUBSTITUTE(VLOOKUP(J$2,convert!$A$1:$B$4,2,0),"@@@",J824))</f>
        <v>'grass'</v>
      </c>
      <c r="Z824" s="4" t="str">
        <f>IF(K824="",IF(ISNUMBER(SEARCH("NOT NULL",UPPER(K$3))),"''","null"),SUBSTITUTE(VLOOKUP(K$2,convert!$A$1:$B$4,2,0),"@@@",K824))</f>
        <v>null</v>
      </c>
      <c r="AA824" s="4" t="str">
        <f>IF(L824="",IF(ISNUMBER(SEARCH("NOT NULL",UPPER(L$3))),"''","null"),SUBSTITUTE(VLOOKUP(L$2,convert!$A$1:$B$4,2,0),"@@@",L824))</f>
        <v>'g6'</v>
      </c>
      <c r="AB824" s="4" t="str">
        <f>IF(M824="",IF(ISNUMBER(SEARCH("NOT NULL",UPPER(M$3))),"''","null"),SUBSTITUTE(VLOOKUP(M$2,convert!$A$1:$B$4,2,0),"@@@",M824))</f>
        <v>null</v>
      </c>
      <c r="AC824" s="4" t="str">
        <f>IF(N824="",IF(ISNUMBER(SEARCH("NOT NULL",UPPER(N$3))),"''","null"),SUBSTITUTE(VLOOKUP(N$2,convert!$A$1:$B$4,2,0),"@@@",N824))</f>
        <v>null</v>
      </c>
      <c r="AD824" s="4" t="str">
        <f>IF(O824="",IF(ISNUMBER(SEARCH("NOT NULL",UPPER(O$3))),"''","null"),SUBSTITUTE(VLOOKUP(O$2,convert!$A$1:$B$4,2,0),"@@@",O824))</f>
        <v>FALSE</v>
      </c>
      <c r="AE824" s="4" t="str">
        <f t="shared" si="12"/>
        <v>    ('0673N01', 'ゴーゴート', 123, 100, 62, 97, 81, 68, '', 'grass', null, 'g6', null, null, FALSE),</v>
      </c>
    </row>
    <row r="825" spans="1:31">
      <c r="A825" s="4" t="s">
        <v>1654</v>
      </c>
      <c r="B825" s="4" t="s">
        <v>1655</v>
      </c>
      <c r="C825" s="5">
        <v>67</v>
      </c>
      <c r="D825" s="5">
        <v>82</v>
      </c>
      <c r="E825" s="5">
        <v>62</v>
      </c>
      <c r="F825" s="5">
        <v>46</v>
      </c>
      <c r="G825" s="5">
        <v>48</v>
      </c>
      <c r="H825" s="5">
        <v>43</v>
      </c>
      <c r="I825" s="5"/>
      <c r="J825" s="4" t="s">
        <v>189</v>
      </c>
      <c r="K825" s="5"/>
      <c r="L825" s="4" t="s">
        <v>39</v>
      </c>
      <c r="M825" s="5"/>
      <c r="N825" s="5"/>
      <c r="O825" s="5" t="b">
        <v>1</v>
      </c>
      <c r="P825" s="4" t="str">
        <f>IF(A825="",IF(ISNUMBER(SEARCH("NOT NULL",UPPER(A$3))),"''","null"),SUBSTITUTE(VLOOKUP(A$2,convert!$A$1:$B$4,2,0),"@@@",A825))</f>
        <v>'0674N01'</v>
      </c>
      <c r="Q825" s="4" t="str">
        <f>IF(B825="",IF(ISNUMBER(SEARCH("NOT NULL",UPPER(B$3))),"''","null"),SUBSTITUTE(VLOOKUP(B$2,convert!$A$1:$B$4,2,0),"@@@",B825))</f>
        <v>'ヤンチャム'</v>
      </c>
      <c r="R825" s="4" t="str">
        <f>IF(C825="",IF(ISNUMBER(SEARCH("NOT NULL",UPPER(C$3))),"''","null"),SUBSTITUTE(VLOOKUP(C$2,convert!$A$1:$B$4,2,0),"@@@",C825))</f>
        <v>67</v>
      </c>
      <c r="S825" s="4" t="str">
        <f>IF(D825="",IF(ISNUMBER(SEARCH("NOT NULL",UPPER(D$3))),"''","null"),SUBSTITUTE(VLOOKUP(D$2,convert!$A$1:$B$4,2,0),"@@@",D825))</f>
        <v>82</v>
      </c>
      <c r="T825" s="4" t="str">
        <f>IF(E825="",IF(ISNUMBER(SEARCH("NOT NULL",UPPER(E$3))),"''","null"),SUBSTITUTE(VLOOKUP(E$2,convert!$A$1:$B$4,2,0),"@@@",E825))</f>
        <v>62</v>
      </c>
      <c r="U825" s="4" t="str">
        <f>IF(F825="",IF(ISNUMBER(SEARCH("NOT NULL",UPPER(F$3))),"''","null"),SUBSTITUTE(VLOOKUP(F$2,convert!$A$1:$B$4,2,0),"@@@",F825))</f>
        <v>46</v>
      </c>
      <c r="V825" s="4" t="str">
        <f>IF(G825="",IF(ISNUMBER(SEARCH("NOT NULL",UPPER(G$3))),"''","null"),SUBSTITUTE(VLOOKUP(G$2,convert!$A$1:$B$4,2,0),"@@@",G825))</f>
        <v>48</v>
      </c>
      <c r="W825" s="4" t="str">
        <f>IF(H825="",IF(ISNUMBER(SEARCH("NOT NULL",UPPER(H$3))),"''","null"),SUBSTITUTE(VLOOKUP(H$2,convert!$A$1:$B$4,2,0),"@@@",H825))</f>
        <v>43</v>
      </c>
      <c r="X825" s="4" t="str">
        <f>IF(I825="",IF(ISNUMBER(SEARCH("NOT NULL",UPPER(I$3))),"''","null"),SUBSTITUTE(VLOOKUP(I$2,convert!$A$1:$B$4,2,0),"@@@",I825))</f>
        <v>''</v>
      </c>
      <c r="Y825" s="4" t="str">
        <f>IF(J825="",IF(ISNUMBER(SEARCH("NOT NULL",UPPER(J$3))),"''","null"),SUBSTITUTE(VLOOKUP(J$2,convert!$A$1:$B$4,2,0),"@@@",J825))</f>
        <v>'fighting'</v>
      </c>
      <c r="Z825" s="4" t="str">
        <f>IF(K825="",IF(ISNUMBER(SEARCH("NOT NULL",UPPER(K$3))),"''","null"),SUBSTITUTE(VLOOKUP(K$2,convert!$A$1:$B$4,2,0),"@@@",K825))</f>
        <v>null</v>
      </c>
      <c r="AA825" s="4" t="str">
        <f>IF(L825="",IF(ISNUMBER(SEARCH("NOT NULL",UPPER(L$3))),"''","null"),SUBSTITUTE(VLOOKUP(L$2,convert!$A$1:$B$4,2,0),"@@@",L825))</f>
        <v>'g6'</v>
      </c>
      <c r="AB825" s="4" t="str">
        <f>IF(M825="",IF(ISNUMBER(SEARCH("NOT NULL",UPPER(M$3))),"''","null"),SUBSTITUTE(VLOOKUP(M$2,convert!$A$1:$B$4,2,0),"@@@",M825))</f>
        <v>null</v>
      </c>
      <c r="AC825" s="4" t="str">
        <f>IF(N825="",IF(ISNUMBER(SEARCH("NOT NULL",UPPER(N$3))),"''","null"),SUBSTITUTE(VLOOKUP(N$2,convert!$A$1:$B$4,2,0),"@@@",N825))</f>
        <v>null</v>
      </c>
      <c r="AD825" s="4" t="str">
        <f>IF(O825="",IF(ISNUMBER(SEARCH("NOT NULL",UPPER(O$3))),"''","null"),SUBSTITUTE(VLOOKUP(O$2,convert!$A$1:$B$4,2,0),"@@@",O825))</f>
        <v>TRUE</v>
      </c>
      <c r="AE825" s="4" t="str">
        <f t="shared" si="12"/>
        <v>    ('0674N01', 'ヤンチャム', 67, 82, 62, 46, 48, 43, '', 'fighting', null, 'g6', null, null, TRUE),</v>
      </c>
    </row>
    <row r="826" spans="1:31">
      <c r="A826" s="4" t="s">
        <v>1656</v>
      </c>
      <c r="B826" s="4" t="s">
        <v>1657</v>
      </c>
      <c r="C826" s="5">
        <v>95</v>
      </c>
      <c r="D826" s="5">
        <v>124</v>
      </c>
      <c r="E826" s="5">
        <v>78</v>
      </c>
      <c r="F826" s="5">
        <v>69</v>
      </c>
      <c r="G826" s="5">
        <v>71</v>
      </c>
      <c r="H826" s="5">
        <v>58</v>
      </c>
      <c r="I826" s="5"/>
      <c r="J826" s="4" t="s">
        <v>189</v>
      </c>
      <c r="K826" s="4" t="s">
        <v>91</v>
      </c>
      <c r="L826" s="4" t="s">
        <v>39</v>
      </c>
      <c r="M826" s="5"/>
      <c r="N826" s="5"/>
      <c r="O826" s="5" t="b">
        <v>1</v>
      </c>
      <c r="P826" s="4" t="str">
        <f>IF(A826="",IF(ISNUMBER(SEARCH("NOT NULL",UPPER(A$3))),"''","null"),SUBSTITUTE(VLOOKUP(A$2,convert!$A$1:$B$4,2,0),"@@@",A826))</f>
        <v>'0675N01'</v>
      </c>
      <c r="Q826" s="4" t="str">
        <f>IF(B826="",IF(ISNUMBER(SEARCH("NOT NULL",UPPER(B$3))),"''","null"),SUBSTITUTE(VLOOKUP(B$2,convert!$A$1:$B$4,2,0),"@@@",B826))</f>
        <v>'ゴロンダ'</v>
      </c>
      <c r="R826" s="4" t="str">
        <f>IF(C826="",IF(ISNUMBER(SEARCH("NOT NULL",UPPER(C$3))),"''","null"),SUBSTITUTE(VLOOKUP(C$2,convert!$A$1:$B$4,2,0),"@@@",C826))</f>
        <v>95</v>
      </c>
      <c r="S826" s="4" t="str">
        <f>IF(D826="",IF(ISNUMBER(SEARCH("NOT NULL",UPPER(D$3))),"''","null"),SUBSTITUTE(VLOOKUP(D$2,convert!$A$1:$B$4,2,0),"@@@",D826))</f>
        <v>124</v>
      </c>
      <c r="T826" s="4" t="str">
        <f>IF(E826="",IF(ISNUMBER(SEARCH("NOT NULL",UPPER(E$3))),"''","null"),SUBSTITUTE(VLOOKUP(E$2,convert!$A$1:$B$4,2,0),"@@@",E826))</f>
        <v>78</v>
      </c>
      <c r="U826" s="4" t="str">
        <f>IF(F826="",IF(ISNUMBER(SEARCH("NOT NULL",UPPER(F$3))),"''","null"),SUBSTITUTE(VLOOKUP(F$2,convert!$A$1:$B$4,2,0),"@@@",F826))</f>
        <v>69</v>
      </c>
      <c r="V826" s="4" t="str">
        <f>IF(G826="",IF(ISNUMBER(SEARCH("NOT NULL",UPPER(G$3))),"''","null"),SUBSTITUTE(VLOOKUP(G$2,convert!$A$1:$B$4,2,0),"@@@",G826))</f>
        <v>71</v>
      </c>
      <c r="W826" s="4" t="str">
        <f>IF(H826="",IF(ISNUMBER(SEARCH("NOT NULL",UPPER(H$3))),"''","null"),SUBSTITUTE(VLOOKUP(H$2,convert!$A$1:$B$4,2,0),"@@@",H826))</f>
        <v>58</v>
      </c>
      <c r="X826" s="4" t="str">
        <f>IF(I826="",IF(ISNUMBER(SEARCH("NOT NULL",UPPER(I$3))),"''","null"),SUBSTITUTE(VLOOKUP(I$2,convert!$A$1:$B$4,2,0),"@@@",I826))</f>
        <v>''</v>
      </c>
      <c r="Y826" s="4" t="str">
        <f>IF(J826="",IF(ISNUMBER(SEARCH("NOT NULL",UPPER(J$3))),"''","null"),SUBSTITUTE(VLOOKUP(J$2,convert!$A$1:$B$4,2,0),"@@@",J826))</f>
        <v>'fighting'</v>
      </c>
      <c r="Z826" s="4" t="str">
        <f>IF(K826="",IF(ISNUMBER(SEARCH("NOT NULL",UPPER(K$3))),"''","null"),SUBSTITUTE(VLOOKUP(K$2,convert!$A$1:$B$4,2,0),"@@@",K826))</f>
        <v>'dark'</v>
      </c>
      <c r="AA826" s="4" t="str">
        <f>IF(L826="",IF(ISNUMBER(SEARCH("NOT NULL",UPPER(L$3))),"''","null"),SUBSTITUTE(VLOOKUP(L$2,convert!$A$1:$B$4,2,0),"@@@",L826))</f>
        <v>'g6'</v>
      </c>
      <c r="AB826" s="4" t="str">
        <f>IF(M826="",IF(ISNUMBER(SEARCH("NOT NULL",UPPER(M$3))),"''","null"),SUBSTITUTE(VLOOKUP(M$2,convert!$A$1:$B$4,2,0),"@@@",M826))</f>
        <v>null</v>
      </c>
      <c r="AC826" s="4" t="str">
        <f>IF(N826="",IF(ISNUMBER(SEARCH("NOT NULL",UPPER(N$3))),"''","null"),SUBSTITUTE(VLOOKUP(N$2,convert!$A$1:$B$4,2,0),"@@@",N826))</f>
        <v>null</v>
      </c>
      <c r="AD826" s="4" t="str">
        <f>IF(O826="",IF(ISNUMBER(SEARCH("NOT NULL",UPPER(O$3))),"''","null"),SUBSTITUTE(VLOOKUP(O$2,convert!$A$1:$B$4,2,0),"@@@",O826))</f>
        <v>TRUE</v>
      </c>
      <c r="AE826" s="4" t="str">
        <f t="shared" si="12"/>
        <v>    ('0675N01', 'ゴロンダ', 95, 124, 78, 69, 71, 58, '', 'fighting', 'dark', 'g6', null, null, TRUE),</v>
      </c>
    </row>
    <row r="827" spans="1:31">
      <c r="A827" s="4" t="s">
        <v>1658</v>
      </c>
      <c r="B827" s="4" t="s">
        <v>1659</v>
      </c>
      <c r="C827" s="5">
        <v>75</v>
      </c>
      <c r="D827" s="5">
        <v>80</v>
      </c>
      <c r="E827" s="5">
        <v>60</v>
      </c>
      <c r="F827" s="5">
        <v>65</v>
      </c>
      <c r="G827" s="5">
        <v>90</v>
      </c>
      <c r="H827" s="5">
        <v>102</v>
      </c>
      <c r="I827" s="5"/>
      <c r="J827" s="4" t="s">
        <v>80</v>
      </c>
      <c r="K827" s="5"/>
      <c r="L827" s="4" t="s">
        <v>39</v>
      </c>
      <c r="M827" s="5"/>
      <c r="N827" s="5"/>
      <c r="O827" s="5" t="b">
        <v>1</v>
      </c>
      <c r="P827" s="4" t="str">
        <f>IF(A827="",IF(ISNUMBER(SEARCH("NOT NULL",UPPER(A$3))),"''","null"),SUBSTITUTE(VLOOKUP(A$2,convert!$A$1:$B$4,2,0),"@@@",A827))</f>
        <v>'0676N01'</v>
      </c>
      <c r="Q827" s="4" t="str">
        <f>IF(B827="",IF(ISNUMBER(SEARCH("NOT NULL",UPPER(B$3))),"''","null"),SUBSTITUTE(VLOOKUP(B$2,convert!$A$1:$B$4,2,0),"@@@",B827))</f>
        <v>'トリミアン'</v>
      </c>
      <c r="R827" s="4" t="str">
        <f>IF(C827="",IF(ISNUMBER(SEARCH("NOT NULL",UPPER(C$3))),"''","null"),SUBSTITUTE(VLOOKUP(C$2,convert!$A$1:$B$4,2,0),"@@@",C827))</f>
        <v>75</v>
      </c>
      <c r="S827" s="4" t="str">
        <f>IF(D827="",IF(ISNUMBER(SEARCH("NOT NULL",UPPER(D$3))),"''","null"),SUBSTITUTE(VLOOKUP(D$2,convert!$A$1:$B$4,2,0),"@@@",D827))</f>
        <v>80</v>
      </c>
      <c r="T827" s="4" t="str">
        <f>IF(E827="",IF(ISNUMBER(SEARCH("NOT NULL",UPPER(E$3))),"''","null"),SUBSTITUTE(VLOOKUP(E$2,convert!$A$1:$B$4,2,0),"@@@",E827))</f>
        <v>60</v>
      </c>
      <c r="U827" s="4" t="str">
        <f>IF(F827="",IF(ISNUMBER(SEARCH("NOT NULL",UPPER(F$3))),"''","null"),SUBSTITUTE(VLOOKUP(F$2,convert!$A$1:$B$4,2,0),"@@@",F827))</f>
        <v>65</v>
      </c>
      <c r="V827" s="4" t="str">
        <f>IF(G827="",IF(ISNUMBER(SEARCH("NOT NULL",UPPER(G$3))),"''","null"),SUBSTITUTE(VLOOKUP(G$2,convert!$A$1:$B$4,2,0),"@@@",G827))</f>
        <v>90</v>
      </c>
      <c r="W827" s="4" t="str">
        <f>IF(H827="",IF(ISNUMBER(SEARCH("NOT NULL",UPPER(H$3))),"''","null"),SUBSTITUTE(VLOOKUP(H$2,convert!$A$1:$B$4,2,0),"@@@",H827))</f>
        <v>102</v>
      </c>
      <c r="X827" s="4" t="str">
        <f>IF(I827="",IF(ISNUMBER(SEARCH("NOT NULL",UPPER(I$3))),"''","null"),SUBSTITUTE(VLOOKUP(I$2,convert!$A$1:$B$4,2,0),"@@@",I827))</f>
        <v>''</v>
      </c>
      <c r="Y827" s="4" t="str">
        <f>IF(J827="",IF(ISNUMBER(SEARCH("NOT NULL",UPPER(J$3))),"''","null"),SUBSTITUTE(VLOOKUP(J$2,convert!$A$1:$B$4,2,0),"@@@",J827))</f>
        <v>'normal'</v>
      </c>
      <c r="Z827" s="4" t="str">
        <f>IF(K827="",IF(ISNUMBER(SEARCH("NOT NULL",UPPER(K$3))),"''","null"),SUBSTITUTE(VLOOKUP(K$2,convert!$A$1:$B$4,2,0),"@@@",K827))</f>
        <v>null</v>
      </c>
      <c r="AA827" s="4" t="str">
        <f>IF(L827="",IF(ISNUMBER(SEARCH("NOT NULL",UPPER(L$3))),"''","null"),SUBSTITUTE(VLOOKUP(L$2,convert!$A$1:$B$4,2,0),"@@@",L827))</f>
        <v>'g6'</v>
      </c>
      <c r="AB827" s="4" t="str">
        <f>IF(M827="",IF(ISNUMBER(SEARCH("NOT NULL",UPPER(M$3))),"''","null"),SUBSTITUTE(VLOOKUP(M$2,convert!$A$1:$B$4,2,0),"@@@",M827))</f>
        <v>null</v>
      </c>
      <c r="AC827" s="4" t="str">
        <f>IF(N827="",IF(ISNUMBER(SEARCH("NOT NULL",UPPER(N$3))),"''","null"),SUBSTITUTE(VLOOKUP(N$2,convert!$A$1:$B$4,2,0),"@@@",N827))</f>
        <v>null</v>
      </c>
      <c r="AD827" s="4" t="str">
        <f>IF(O827="",IF(ISNUMBER(SEARCH("NOT NULL",UPPER(O$3))),"''","null"),SUBSTITUTE(VLOOKUP(O$2,convert!$A$1:$B$4,2,0),"@@@",O827))</f>
        <v>TRUE</v>
      </c>
      <c r="AE827" s="4" t="str">
        <f t="shared" si="12"/>
        <v>    ('0676N01', 'トリミアン', 75, 80, 60, 65, 90, 102, '', 'normal', null, 'g6', null, null, TRUE),</v>
      </c>
    </row>
    <row r="828" spans="1:31">
      <c r="A828" s="4" t="s">
        <v>1660</v>
      </c>
      <c r="B828" s="4" t="s">
        <v>1661</v>
      </c>
      <c r="C828" s="5">
        <v>62</v>
      </c>
      <c r="D828" s="5">
        <v>48</v>
      </c>
      <c r="E828" s="5">
        <v>54</v>
      </c>
      <c r="F828" s="5">
        <v>63</v>
      </c>
      <c r="G828" s="5">
        <v>60</v>
      </c>
      <c r="H828" s="5">
        <v>68</v>
      </c>
      <c r="I828" s="5"/>
      <c r="J828" s="4" t="s">
        <v>113</v>
      </c>
      <c r="K828" s="5"/>
      <c r="L828" s="4" t="s">
        <v>39</v>
      </c>
      <c r="M828" s="5"/>
      <c r="N828" s="5"/>
      <c r="O828" s="5" t="b">
        <v>1</v>
      </c>
      <c r="P828" s="4" t="str">
        <f>IF(A828="",IF(ISNUMBER(SEARCH("NOT NULL",UPPER(A$3))),"''","null"),SUBSTITUTE(VLOOKUP(A$2,convert!$A$1:$B$4,2,0),"@@@",A828))</f>
        <v>'0677N01'</v>
      </c>
      <c r="Q828" s="4" t="str">
        <f>IF(B828="",IF(ISNUMBER(SEARCH("NOT NULL",UPPER(B$3))),"''","null"),SUBSTITUTE(VLOOKUP(B$2,convert!$A$1:$B$4,2,0),"@@@",B828))</f>
        <v>'ニャスパー'</v>
      </c>
      <c r="R828" s="4" t="str">
        <f>IF(C828="",IF(ISNUMBER(SEARCH("NOT NULL",UPPER(C$3))),"''","null"),SUBSTITUTE(VLOOKUP(C$2,convert!$A$1:$B$4,2,0),"@@@",C828))</f>
        <v>62</v>
      </c>
      <c r="S828" s="4" t="str">
        <f>IF(D828="",IF(ISNUMBER(SEARCH("NOT NULL",UPPER(D$3))),"''","null"),SUBSTITUTE(VLOOKUP(D$2,convert!$A$1:$B$4,2,0),"@@@",D828))</f>
        <v>48</v>
      </c>
      <c r="T828" s="4" t="str">
        <f>IF(E828="",IF(ISNUMBER(SEARCH("NOT NULL",UPPER(E$3))),"''","null"),SUBSTITUTE(VLOOKUP(E$2,convert!$A$1:$B$4,2,0),"@@@",E828))</f>
        <v>54</v>
      </c>
      <c r="U828" s="4" t="str">
        <f>IF(F828="",IF(ISNUMBER(SEARCH("NOT NULL",UPPER(F$3))),"''","null"),SUBSTITUTE(VLOOKUP(F$2,convert!$A$1:$B$4,2,0),"@@@",F828))</f>
        <v>63</v>
      </c>
      <c r="V828" s="4" t="str">
        <f>IF(G828="",IF(ISNUMBER(SEARCH("NOT NULL",UPPER(G$3))),"''","null"),SUBSTITUTE(VLOOKUP(G$2,convert!$A$1:$B$4,2,0),"@@@",G828))</f>
        <v>60</v>
      </c>
      <c r="W828" s="4" t="str">
        <f>IF(H828="",IF(ISNUMBER(SEARCH("NOT NULL",UPPER(H$3))),"''","null"),SUBSTITUTE(VLOOKUP(H$2,convert!$A$1:$B$4,2,0),"@@@",H828))</f>
        <v>68</v>
      </c>
      <c r="X828" s="4" t="str">
        <f>IF(I828="",IF(ISNUMBER(SEARCH("NOT NULL",UPPER(I$3))),"''","null"),SUBSTITUTE(VLOOKUP(I$2,convert!$A$1:$B$4,2,0),"@@@",I828))</f>
        <v>''</v>
      </c>
      <c r="Y828" s="4" t="str">
        <f>IF(J828="",IF(ISNUMBER(SEARCH("NOT NULL",UPPER(J$3))),"''","null"),SUBSTITUTE(VLOOKUP(J$2,convert!$A$1:$B$4,2,0),"@@@",J828))</f>
        <v>'psychic'</v>
      </c>
      <c r="Z828" s="4" t="str">
        <f>IF(K828="",IF(ISNUMBER(SEARCH("NOT NULL",UPPER(K$3))),"''","null"),SUBSTITUTE(VLOOKUP(K$2,convert!$A$1:$B$4,2,0),"@@@",K828))</f>
        <v>null</v>
      </c>
      <c r="AA828" s="4" t="str">
        <f>IF(L828="",IF(ISNUMBER(SEARCH("NOT NULL",UPPER(L$3))),"''","null"),SUBSTITUTE(VLOOKUP(L$2,convert!$A$1:$B$4,2,0),"@@@",L828))</f>
        <v>'g6'</v>
      </c>
      <c r="AB828" s="4" t="str">
        <f>IF(M828="",IF(ISNUMBER(SEARCH("NOT NULL",UPPER(M$3))),"''","null"),SUBSTITUTE(VLOOKUP(M$2,convert!$A$1:$B$4,2,0),"@@@",M828))</f>
        <v>null</v>
      </c>
      <c r="AC828" s="4" t="str">
        <f>IF(N828="",IF(ISNUMBER(SEARCH("NOT NULL",UPPER(N$3))),"''","null"),SUBSTITUTE(VLOOKUP(N$2,convert!$A$1:$B$4,2,0),"@@@",N828))</f>
        <v>null</v>
      </c>
      <c r="AD828" s="4" t="str">
        <f>IF(O828="",IF(ISNUMBER(SEARCH("NOT NULL",UPPER(O$3))),"''","null"),SUBSTITUTE(VLOOKUP(O$2,convert!$A$1:$B$4,2,0),"@@@",O828))</f>
        <v>TRUE</v>
      </c>
      <c r="AE828" s="4" t="str">
        <f t="shared" si="12"/>
        <v>    ('0677N01', 'ニャスパー', 62, 48, 54, 63, 60, 68, '', 'psychic', null, 'g6', null, null, TRUE),</v>
      </c>
    </row>
    <row r="829" spans="1:31">
      <c r="A829" s="4" t="s">
        <v>1662</v>
      </c>
      <c r="B829" s="4" t="s">
        <v>1663</v>
      </c>
      <c r="C829" s="5">
        <v>74</v>
      </c>
      <c r="D829" s="5">
        <v>48</v>
      </c>
      <c r="E829" s="5">
        <v>76</v>
      </c>
      <c r="F829" s="5">
        <v>83</v>
      </c>
      <c r="G829" s="5">
        <v>81</v>
      </c>
      <c r="H829" s="5">
        <v>104</v>
      </c>
      <c r="I829" s="4" t="s">
        <v>1468</v>
      </c>
      <c r="J829" s="4" t="s">
        <v>113</v>
      </c>
      <c r="K829" s="5"/>
      <c r="L829" s="4" t="s">
        <v>39</v>
      </c>
      <c r="M829" s="5"/>
      <c r="N829" s="5"/>
      <c r="O829" s="5" t="b">
        <v>1</v>
      </c>
      <c r="P829" s="4" t="str">
        <f>IF(A829="",IF(ISNUMBER(SEARCH("NOT NULL",UPPER(A$3))),"''","null"),SUBSTITUTE(VLOOKUP(A$2,convert!$A$1:$B$4,2,0),"@@@",A829))</f>
        <v>'0678N01'</v>
      </c>
      <c r="Q829" s="4" t="str">
        <f>IF(B829="",IF(ISNUMBER(SEARCH("NOT NULL",UPPER(B$3))),"''","null"),SUBSTITUTE(VLOOKUP(B$2,convert!$A$1:$B$4,2,0),"@@@",B829))</f>
        <v>'ニャオニクス'</v>
      </c>
      <c r="R829" s="4" t="str">
        <f>IF(C829="",IF(ISNUMBER(SEARCH("NOT NULL",UPPER(C$3))),"''","null"),SUBSTITUTE(VLOOKUP(C$2,convert!$A$1:$B$4,2,0),"@@@",C829))</f>
        <v>74</v>
      </c>
      <c r="S829" s="4" t="str">
        <f>IF(D829="",IF(ISNUMBER(SEARCH("NOT NULL",UPPER(D$3))),"''","null"),SUBSTITUTE(VLOOKUP(D$2,convert!$A$1:$B$4,2,0),"@@@",D829))</f>
        <v>48</v>
      </c>
      <c r="T829" s="4" t="str">
        <f>IF(E829="",IF(ISNUMBER(SEARCH("NOT NULL",UPPER(E$3))),"''","null"),SUBSTITUTE(VLOOKUP(E$2,convert!$A$1:$B$4,2,0),"@@@",E829))</f>
        <v>76</v>
      </c>
      <c r="U829" s="4" t="str">
        <f>IF(F829="",IF(ISNUMBER(SEARCH("NOT NULL",UPPER(F$3))),"''","null"),SUBSTITUTE(VLOOKUP(F$2,convert!$A$1:$B$4,2,0),"@@@",F829))</f>
        <v>83</v>
      </c>
      <c r="V829" s="4" t="str">
        <f>IF(G829="",IF(ISNUMBER(SEARCH("NOT NULL",UPPER(G$3))),"''","null"),SUBSTITUTE(VLOOKUP(G$2,convert!$A$1:$B$4,2,0),"@@@",G829))</f>
        <v>81</v>
      </c>
      <c r="W829" s="4" t="str">
        <f>IF(H829="",IF(ISNUMBER(SEARCH("NOT NULL",UPPER(H$3))),"''","null"),SUBSTITUTE(VLOOKUP(H$2,convert!$A$1:$B$4,2,0),"@@@",H829))</f>
        <v>104</v>
      </c>
      <c r="X829" s="4" t="str">
        <f>IF(I829="",IF(ISNUMBER(SEARCH("NOT NULL",UPPER(I$3))),"''","null"),SUBSTITUTE(VLOOKUP(I$2,convert!$A$1:$B$4,2,0),"@@@",I829))</f>
        <v>'オスのすがた'</v>
      </c>
      <c r="Y829" s="4" t="str">
        <f>IF(J829="",IF(ISNUMBER(SEARCH("NOT NULL",UPPER(J$3))),"''","null"),SUBSTITUTE(VLOOKUP(J$2,convert!$A$1:$B$4,2,0),"@@@",J829))</f>
        <v>'psychic'</v>
      </c>
      <c r="Z829" s="4" t="str">
        <f>IF(K829="",IF(ISNUMBER(SEARCH("NOT NULL",UPPER(K$3))),"''","null"),SUBSTITUTE(VLOOKUP(K$2,convert!$A$1:$B$4,2,0),"@@@",K829))</f>
        <v>null</v>
      </c>
      <c r="AA829" s="4" t="str">
        <f>IF(L829="",IF(ISNUMBER(SEARCH("NOT NULL",UPPER(L$3))),"''","null"),SUBSTITUTE(VLOOKUP(L$2,convert!$A$1:$B$4,2,0),"@@@",L829))</f>
        <v>'g6'</v>
      </c>
      <c r="AB829" s="4" t="str">
        <f>IF(M829="",IF(ISNUMBER(SEARCH("NOT NULL",UPPER(M$3))),"''","null"),SUBSTITUTE(VLOOKUP(M$2,convert!$A$1:$B$4,2,0),"@@@",M829))</f>
        <v>null</v>
      </c>
      <c r="AC829" s="4" t="str">
        <f>IF(N829="",IF(ISNUMBER(SEARCH("NOT NULL",UPPER(N$3))),"''","null"),SUBSTITUTE(VLOOKUP(N$2,convert!$A$1:$B$4,2,0),"@@@",N829))</f>
        <v>null</v>
      </c>
      <c r="AD829" s="4" t="str">
        <f>IF(O829="",IF(ISNUMBER(SEARCH("NOT NULL",UPPER(O$3))),"''","null"),SUBSTITUTE(VLOOKUP(O$2,convert!$A$1:$B$4,2,0),"@@@",O829))</f>
        <v>TRUE</v>
      </c>
      <c r="AE829" s="4" t="str">
        <f t="shared" si="12"/>
        <v>    ('0678N01', 'ニャオニクス', 74, 48, 76, 83, 81, 104, 'オスのすがた', 'psychic', null, 'g6', null, null, TRUE),</v>
      </c>
    </row>
    <row r="830" spans="1:31">
      <c r="A830" s="4" t="s">
        <v>1664</v>
      </c>
      <c r="B830" s="4" t="s">
        <v>1663</v>
      </c>
      <c r="C830" s="5">
        <v>74</v>
      </c>
      <c r="D830" s="5">
        <v>48</v>
      </c>
      <c r="E830" s="5">
        <v>76</v>
      </c>
      <c r="F830" s="5">
        <v>83</v>
      </c>
      <c r="G830" s="5">
        <v>81</v>
      </c>
      <c r="H830" s="5">
        <v>104</v>
      </c>
      <c r="I830" s="4" t="s">
        <v>1470</v>
      </c>
      <c r="J830" s="4" t="s">
        <v>113</v>
      </c>
      <c r="K830" s="5"/>
      <c r="L830" s="4" t="s">
        <v>39</v>
      </c>
      <c r="M830" s="5"/>
      <c r="N830" s="5"/>
      <c r="O830" s="5" t="b">
        <v>1</v>
      </c>
      <c r="P830" s="4" t="str">
        <f>IF(A830="",IF(ISNUMBER(SEARCH("NOT NULL",UPPER(A$3))),"''","null"),SUBSTITUTE(VLOOKUP(A$2,convert!$A$1:$B$4,2,0),"@@@",A830))</f>
        <v>'0678N02'</v>
      </c>
      <c r="Q830" s="4" t="str">
        <f>IF(B830="",IF(ISNUMBER(SEARCH("NOT NULL",UPPER(B$3))),"''","null"),SUBSTITUTE(VLOOKUP(B$2,convert!$A$1:$B$4,2,0),"@@@",B830))</f>
        <v>'ニャオニクス'</v>
      </c>
      <c r="R830" s="4" t="str">
        <f>IF(C830="",IF(ISNUMBER(SEARCH("NOT NULL",UPPER(C$3))),"''","null"),SUBSTITUTE(VLOOKUP(C$2,convert!$A$1:$B$4,2,0),"@@@",C830))</f>
        <v>74</v>
      </c>
      <c r="S830" s="4" t="str">
        <f>IF(D830="",IF(ISNUMBER(SEARCH("NOT NULL",UPPER(D$3))),"''","null"),SUBSTITUTE(VLOOKUP(D$2,convert!$A$1:$B$4,2,0),"@@@",D830))</f>
        <v>48</v>
      </c>
      <c r="T830" s="4" t="str">
        <f>IF(E830="",IF(ISNUMBER(SEARCH("NOT NULL",UPPER(E$3))),"''","null"),SUBSTITUTE(VLOOKUP(E$2,convert!$A$1:$B$4,2,0),"@@@",E830))</f>
        <v>76</v>
      </c>
      <c r="U830" s="4" t="str">
        <f>IF(F830="",IF(ISNUMBER(SEARCH("NOT NULL",UPPER(F$3))),"''","null"),SUBSTITUTE(VLOOKUP(F$2,convert!$A$1:$B$4,2,0),"@@@",F830))</f>
        <v>83</v>
      </c>
      <c r="V830" s="4" t="str">
        <f>IF(G830="",IF(ISNUMBER(SEARCH("NOT NULL",UPPER(G$3))),"''","null"),SUBSTITUTE(VLOOKUP(G$2,convert!$A$1:$B$4,2,0),"@@@",G830))</f>
        <v>81</v>
      </c>
      <c r="W830" s="4" t="str">
        <f>IF(H830="",IF(ISNUMBER(SEARCH("NOT NULL",UPPER(H$3))),"''","null"),SUBSTITUTE(VLOOKUP(H$2,convert!$A$1:$B$4,2,0),"@@@",H830))</f>
        <v>104</v>
      </c>
      <c r="X830" s="4" t="str">
        <f>IF(I830="",IF(ISNUMBER(SEARCH("NOT NULL",UPPER(I$3))),"''","null"),SUBSTITUTE(VLOOKUP(I$2,convert!$A$1:$B$4,2,0),"@@@",I830))</f>
        <v>'メスのすがた'</v>
      </c>
      <c r="Y830" s="4" t="str">
        <f>IF(J830="",IF(ISNUMBER(SEARCH("NOT NULL",UPPER(J$3))),"''","null"),SUBSTITUTE(VLOOKUP(J$2,convert!$A$1:$B$4,2,0),"@@@",J830))</f>
        <v>'psychic'</v>
      </c>
      <c r="Z830" s="4" t="str">
        <f>IF(K830="",IF(ISNUMBER(SEARCH("NOT NULL",UPPER(K$3))),"''","null"),SUBSTITUTE(VLOOKUP(K$2,convert!$A$1:$B$4,2,0),"@@@",K830))</f>
        <v>null</v>
      </c>
      <c r="AA830" s="4" t="str">
        <f>IF(L830="",IF(ISNUMBER(SEARCH("NOT NULL",UPPER(L$3))),"''","null"),SUBSTITUTE(VLOOKUP(L$2,convert!$A$1:$B$4,2,0),"@@@",L830))</f>
        <v>'g6'</v>
      </c>
      <c r="AB830" s="4" t="str">
        <f>IF(M830="",IF(ISNUMBER(SEARCH("NOT NULL",UPPER(M$3))),"''","null"),SUBSTITUTE(VLOOKUP(M$2,convert!$A$1:$B$4,2,0),"@@@",M830))</f>
        <v>null</v>
      </c>
      <c r="AC830" s="4" t="str">
        <f>IF(N830="",IF(ISNUMBER(SEARCH("NOT NULL",UPPER(N$3))),"''","null"),SUBSTITUTE(VLOOKUP(N$2,convert!$A$1:$B$4,2,0),"@@@",N830))</f>
        <v>null</v>
      </c>
      <c r="AD830" s="4" t="str">
        <f>IF(O830="",IF(ISNUMBER(SEARCH("NOT NULL",UPPER(O$3))),"''","null"),SUBSTITUTE(VLOOKUP(O$2,convert!$A$1:$B$4,2,0),"@@@",O830))</f>
        <v>TRUE</v>
      </c>
      <c r="AE830" s="4" t="str">
        <f t="shared" si="12"/>
        <v>    ('0678N02', 'ニャオニクス', 74, 48, 76, 83, 81, 104, 'メスのすがた', 'psychic', null, 'g6', null, null, TRUE),</v>
      </c>
    </row>
    <row r="831" spans="1:31">
      <c r="A831" s="4" t="s">
        <v>1665</v>
      </c>
      <c r="B831" s="4" t="s">
        <v>1666</v>
      </c>
      <c r="C831" s="5">
        <v>45</v>
      </c>
      <c r="D831" s="5">
        <v>80</v>
      </c>
      <c r="E831" s="5">
        <v>100</v>
      </c>
      <c r="F831" s="5">
        <v>35</v>
      </c>
      <c r="G831" s="5">
        <v>37</v>
      </c>
      <c r="H831" s="5">
        <v>28</v>
      </c>
      <c r="I831" s="5"/>
      <c r="J831" s="4" t="s">
        <v>119</v>
      </c>
      <c r="K831" s="4" t="s">
        <v>281</v>
      </c>
      <c r="L831" s="4" t="s">
        <v>39</v>
      </c>
      <c r="M831" s="5"/>
      <c r="N831" s="5"/>
      <c r="O831" s="5" t="b">
        <v>0</v>
      </c>
      <c r="P831" s="4" t="str">
        <f>IF(A831="",IF(ISNUMBER(SEARCH("NOT NULL",UPPER(A$3))),"''","null"),SUBSTITUTE(VLOOKUP(A$2,convert!$A$1:$B$4,2,0),"@@@",A831))</f>
        <v>'0679N01'</v>
      </c>
      <c r="Q831" s="4" t="str">
        <f>IF(B831="",IF(ISNUMBER(SEARCH("NOT NULL",UPPER(B$3))),"''","null"),SUBSTITUTE(VLOOKUP(B$2,convert!$A$1:$B$4,2,0),"@@@",B831))</f>
        <v>'ヒトツキ'</v>
      </c>
      <c r="R831" s="4" t="str">
        <f>IF(C831="",IF(ISNUMBER(SEARCH("NOT NULL",UPPER(C$3))),"''","null"),SUBSTITUTE(VLOOKUP(C$2,convert!$A$1:$B$4,2,0),"@@@",C831))</f>
        <v>45</v>
      </c>
      <c r="S831" s="4" t="str">
        <f>IF(D831="",IF(ISNUMBER(SEARCH("NOT NULL",UPPER(D$3))),"''","null"),SUBSTITUTE(VLOOKUP(D$2,convert!$A$1:$B$4,2,0),"@@@",D831))</f>
        <v>80</v>
      </c>
      <c r="T831" s="4" t="str">
        <f>IF(E831="",IF(ISNUMBER(SEARCH("NOT NULL",UPPER(E$3))),"''","null"),SUBSTITUTE(VLOOKUP(E$2,convert!$A$1:$B$4,2,0),"@@@",E831))</f>
        <v>100</v>
      </c>
      <c r="U831" s="4" t="str">
        <f>IF(F831="",IF(ISNUMBER(SEARCH("NOT NULL",UPPER(F$3))),"''","null"),SUBSTITUTE(VLOOKUP(F$2,convert!$A$1:$B$4,2,0),"@@@",F831))</f>
        <v>35</v>
      </c>
      <c r="V831" s="4" t="str">
        <f>IF(G831="",IF(ISNUMBER(SEARCH("NOT NULL",UPPER(G$3))),"''","null"),SUBSTITUTE(VLOOKUP(G$2,convert!$A$1:$B$4,2,0),"@@@",G831))</f>
        <v>37</v>
      </c>
      <c r="W831" s="4" t="str">
        <f>IF(H831="",IF(ISNUMBER(SEARCH("NOT NULL",UPPER(H$3))),"''","null"),SUBSTITUTE(VLOOKUP(H$2,convert!$A$1:$B$4,2,0),"@@@",H831))</f>
        <v>28</v>
      </c>
      <c r="X831" s="4" t="str">
        <f>IF(I831="",IF(ISNUMBER(SEARCH("NOT NULL",UPPER(I$3))),"''","null"),SUBSTITUTE(VLOOKUP(I$2,convert!$A$1:$B$4,2,0),"@@@",I831))</f>
        <v>''</v>
      </c>
      <c r="Y831" s="4" t="str">
        <f>IF(J831="",IF(ISNUMBER(SEARCH("NOT NULL",UPPER(J$3))),"''","null"),SUBSTITUTE(VLOOKUP(J$2,convert!$A$1:$B$4,2,0),"@@@",J831))</f>
        <v>'steel'</v>
      </c>
      <c r="Z831" s="4" t="str">
        <f>IF(K831="",IF(ISNUMBER(SEARCH("NOT NULL",UPPER(K$3))),"''","null"),SUBSTITUTE(VLOOKUP(K$2,convert!$A$1:$B$4,2,0),"@@@",K831))</f>
        <v>'ghost'</v>
      </c>
      <c r="AA831" s="4" t="str">
        <f>IF(L831="",IF(ISNUMBER(SEARCH("NOT NULL",UPPER(L$3))),"''","null"),SUBSTITUTE(VLOOKUP(L$2,convert!$A$1:$B$4,2,0),"@@@",L831))</f>
        <v>'g6'</v>
      </c>
      <c r="AB831" s="4" t="str">
        <f>IF(M831="",IF(ISNUMBER(SEARCH("NOT NULL",UPPER(M$3))),"''","null"),SUBSTITUTE(VLOOKUP(M$2,convert!$A$1:$B$4,2,0),"@@@",M831))</f>
        <v>null</v>
      </c>
      <c r="AC831" s="4" t="str">
        <f>IF(N831="",IF(ISNUMBER(SEARCH("NOT NULL",UPPER(N$3))),"''","null"),SUBSTITUTE(VLOOKUP(N$2,convert!$A$1:$B$4,2,0),"@@@",N831))</f>
        <v>null</v>
      </c>
      <c r="AD831" s="4" t="str">
        <f>IF(O831="",IF(ISNUMBER(SEARCH("NOT NULL",UPPER(O$3))),"''","null"),SUBSTITUTE(VLOOKUP(O$2,convert!$A$1:$B$4,2,0),"@@@",O831))</f>
        <v>FALSE</v>
      </c>
      <c r="AE831" s="4" t="str">
        <f t="shared" si="12"/>
        <v>    ('0679N01', 'ヒトツキ', 45, 80, 100, 35, 37, 28, '', 'steel', 'ghost', 'g6', null, null, FALSE),</v>
      </c>
    </row>
    <row r="832" spans="1:31">
      <c r="A832" s="4" t="s">
        <v>1667</v>
      </c>
      <c r="B832" s="4" t="s">
        <v>1668</v>
      </c>
      <c r="C832" s="5">
        <v>59</v>
      </c>
      <c r="D832" s="5">
        <v>110</v>
      </c>
      <c r="E832" s="5">
        <v>150</v>
      </c>
      <c r="F832" s="5">
        <v>45</v>
      </c>
      <c r="G832" s="5">
        <v>49</v>
      </c>
      <c r="H832" s="5">
        <v>35</v>
      </c>
      <c r="I832" s="5"/>
      <c r="J832" s="4" t="s">
        <v>119</v>
      </c>
      <c r="K832" s="4" t="s">
        <v>281</v>
      </c>
      <c r="L832" s="4" t="s">
        <v>39</v>
      </c>
      <c r="M832" s="5"/>
      <c r="N832" s="5"/>
      <c r="O832" s="5" t="b">
        <v>0</v>
      </c>
      <c r="P832" s="4" t="str">
        <f>IF(A832="",IF(ISNUMBER(SEARCH("NOT NULL",UPPER(A$3))),"''","null"),SUBSTITUTE(VLOOKUP(A$2,convert!$A$1:$B$4,2,0),"@@@",A832))</f>
        <v>'0680N01'</v>
      </c>
      <c r="Q832" s="4" t="str">
        <f>IF(B832="",IF(ISNUMBER(SEARCH("NOT NULL",UPPER(B$3))),"''","null"),SUBSTITUTE(VLOOKUP(B$2,convert!$A$1:$B$4,2,0),"@@@",B832))</f>
        <v>'ニダンギル'</v>
      </c>
      <c r="R832" s="4" t="str">
        <f>IF(C832="",IF(ISNUMBER(SEARCH("NOT NULL",UPPER(C$3))),"''","null"),SUBSTITUTE(VLOOKUP(C$2,convert!$A$1:$B$4,2,0),"@@@",C832))</f>
        <v>59</v>
      </c>
      <c r="S832" s="4" t="str">
        <f>IF(D832="",IF(ISNUMBER(SEARCH("NOT NULL",UPPER(D$3))),"''","null"),SUBSTITUTE(VLOOKUP(D$2,convert!$A$1:$B$4,2,0),"@@@",D832))</f>
        <v>110</v>
      </c>
      <c r="T832" s="4" t="str">
        <f>IF(E832="",IF(ISNUMBER(SEARCH("NOT NULL",UPPER(E$3))),"''","null"),SUBSTITUTE(VLOOKUP(E$2,convert!$A$1:$B$4,2,0),"@@@",E832))</f>
        <v>150</v>
      </c>
      <c r="U832" s="4" t="str">
        <f>IF(F832="",IF(ISNUMBER(SEARCH("NOT NULL",UPPER(F$3))),"''","null"),SUBSTITUTE(VLOOKUP(F$2,convert!$A$1:$B$4,2,0),"@@@",F832))</f>
        <v>45</v>
      </c>
      <c r="V832" s="4" t="str">
        <f>IF(G832="",IF(ISNUMBER(SEARCH("NOT NULL",UPPER(G$3))),"''","null"),SUBSTITUTE(VLOOKUP(G$2,convert!$A$1:$B$4,2,0),"@@@",G832))</f>
        <v>49</v>
      </c>
      <c r="W832" s="4" t="str">
        <f>IF(H832="",IF(ISNUMBER(SEARCH("NOT NULL",UPPER(H$3))),"''","null"),SUBSTITUTE(VLOOKUP(H$2,convert!$A$1:$B$4,2,0),"@@@",H832))</f>
        <v>35</v>
      </c>
      <c r="X832" s="4" t="str">
        <f>IF(I832="",IF(ISNUMBER(SEARCH("NOT NULL",UPPER(I$3))),"''","null"),SUBSTITUTE(VLOOKUP(I$2,convert!$A$1:$B$4,2,0),"@@@",I832))</f>
        <v>''</v>
      </c>
      <c r="Y832" s="4" t="str">
        <f>IF(J832="",IF(ISNUMBER(SEARCH("NOT NULL",UPPER(J$3))),"''","null"),SUBSTITUTE(VLOOKUP(J$2,convert!$A$1:$B$4,2,0),"@@@",J832))</f>
        <v>'steel'</v>
      </c>
      <c r="Z832" s="4" t="str">
        <f>IF(K832="",IF(ISNUMBER(SEARCH("NOT NULL",UPPER(K$3))),"''","null"),SUBSTITUTE(VLOOKUP(K$2,convert!$A$1:$B$4,2,0),"@@@",K832))</f>
        <v>'ghost'</v>
      </c>
      <c r="AA832" s="4" t="str">
        <f>IF(L832="",IF(ISNUMBER(SEARCH("NOT NULL",UPPER(L$3))),"''","null"),SUBSTITUTE(VLOOKUP(L$2,convert!$A$1:$B$4,2,0),"@@@",L832))</f>
        <v>'g6'</v>
      </c>
      <c r="AB832" s="4" t="str">
        <f>IF(M832="",IF(ISNUMBER(SEARCH("NOT NULL",UPPER(M$3))),"''","null"),SUBSTITUTE(VLOOKUP(M$2,convert!$A$1:$B$4,2,0),"@@@",M832))</f>
        <v>null</v>
      </c>
      <c r="AC832" s="4" t="str">
        <f>IF(N832="",IF(ISNUMBER(SEARCH("NOT NULL",UPPER(N$3))),"''","null"),SUBSTITUTE(VLOOKUP(N$2,convert!$A$1:$B$4,2,0),"@@@",N832))</f>
        <v>null</v>
      </c>
      <c r="AD832" s="4" t="str">
        <f>IF(O832="",IF(ISNUMBER(SEARCH("NOT NULL",UPPER(O$3))),"''","null"),SUBSTITUTE(VLOOKUP(O$2,convert!$A$1:$B$4,2,0),"@@@",O832))</f>
        <v>FALSE</v>
      </c>
      <c r="AE832" s="4" t="str">
        <f t="shared" si="12"/>
        <v>    ('0680N01', 'ニダンギル', 59, 110, 150, 45, 49, 35, '', 'steel', 'ghost', 'g6', null, null, FALSE),</v>
      </c>
    </row>
    <row r="833" spans="1:31">
      <c r="A833" s="4" t="s">
        <v>1669</v>
      </c>
      <c r="B833" s="4" t="s">
        <v>1670</v>
      </c>
      <c r="C833" s="5">
        <v>60</v>
      </c>
      <c r="D833" s="5">
        <v>50</v>
      </c>
      <c r="E833" s="5">
        <v>140</v>
      </c>
      <c r="F833" s="5">
        <v>50</v>
      </c>
      <c r="G833" s="5">
        <v>140</v>
      </c>
      <c r="H833" s="5">
        <v>60</v>
      </c>
      <c r="I833" s="4" t="s">
        <v>1671</v>
      </c>
      <c r="J833" s="4" t="s">
        <v>119</v>
      </c>
      <c r="K833" s="4" t="s">
        <v>281</v>
      </c>
      <c r="L833" s="4" t="s">
        <v>39</v>
      </c>
      <c r="M833" s="5"/>
      <c r="N833" s="5"/>
      <c r="O833" s="5" t="b">
        <v>0</v>
      </c>
      <c r="P833" s="4" t="str">
        <f>IF(A833="",IF(ISNUMBER(SEARCH("NOT NULL",UPPER(A$3))),"''","null"),SUBSTITUTE(VLOOKUP(A$2,convert!$A$1:$B$4,2,0),"@@@",A833))</f>
        <v>'0681N01'</v>
      </c>
      <c r="Q833" s="4" t="str">
        <f>IF(B833="",IF(ISNUMBER(SEARCH("NOT NULL",UPPER(B$3))),"''","null"),SUBSTITUTE(VLOOKUP(B$2,convert!$A$1:$B$4,2,0),"@@@",B833))</f>
        <v>'ギルガルド'</v>
      </c>
      <c r="R833" s="4" t="str">
        <f>IF(C833="",IF(ISNUMBER(SEARCH("NOT NULL",UPPER(C$3))),"''","null"),SUBSTITUTE(VLOOKUP(C$2,convert!$A$1:$B$4,2,0),"@@@",C833))</f>
        <v>60</v>
      </c>
      <c r="S833" s="4" t="str">
        <f>IF(D833="",IF(ISNUMBER(SEARCH("NOT NULL",UPPER(D$3))),"''","null"),SUBSTITUTE(VLOOKUP(D$2,convert!$A$1:$B$4,2,0),"@@@",D833))</f>
        <v>50</v>
      </c>
      <c r="T833" s="4" t="str">
        <f>IF(E833="",IF(ISNUMBER(SEARCH("NOT NULL",UPPER(E$3))),"''","null"),SUBSTITUTE(VLOOKUP(E$2,convert!$A$1:$B$4,2,0),"@@@",E833))</f>
        <v>140</v>
      </c>
      <c r="U833" s="4" t="str">
        <f>IF(F833="",IF(ISNUMBER(SEARCH("NOT NULL",UPPER(F$3))),"''","null"),SUBSTITUTE(VLOOKUP(F$2,convert!$A$1:$B$4,2,0),"@@@",F833))</f>
        <v>50</v>
      </c>
      <c r="V833" s="4" t="str">
        <f>IF(G833="",IF(ISNUMBER(SEARCH("NOT NULL",UPPER(G$3))),"''","null"),SUBSTITUTE(VLOOKUP(G$2,convert!$A$1:$B$4,2,0),"@@@",G833))</f>
        <v>140</v>
      </c>
      <c r="W833" s="4" t="str">
        <f>IF(H833="",IF(ISNUMBER(SEARCH("NOT NULL",UPPER(H$3))),"''","null"),SUBSTITUTE(VLOOKUP(H$2,convert!$A$1:$B$4,2,0),"@@@",H833))</f>
        <v>60</v>
      </c>
      <c r="X833" s="4" t="str">
        <f>IF(I833="",IF(ISNUMBER(SEARCH("NOT NULL",UPPER(I$3))),"''","null"),SUBSTITUTE(VLOOKUP(I$2,convert!$A$1:$B$4,2,0),"@@@",I833))</f>
        <v>'シールドフォルム'</v>
      </c>
      <c r="Y833" s="4" t="str">
        <f>IF(J833="",IF(ISNUMBER(SEARCH("NOT NULL",UPPER(J$3))),"''","null"),SUBSTITUTE(VLOOKUP(J$2,convert!$A$1:$B$4,2,0),"@@@",J833))</f>
        <v>'steel'</v>
      </c>
      <c r="Z833" s="4" t="str">
        <f>IF(K833="",IF(ISNUMBER(SEARCH("NOT NULL",UPPER(K$3))),"''","null"),SUBSTITUTE(VLOOKUP(K$2,convert!$A$1:$B$4,2,0),"@@@",K833))</f>
        <v>'ghost'</v>
      </c>
      <c r="AA833" s="4" t="str">
        <f>IF(L833="",IF(ISNUMBER(SEARCH("NOT NULL",UPPER(L$3))),"''","null"),SUBSTITUTE(VLOOKUP(L$2,convert!$A$1:$B$4,2,0),"@@@",L833))</f>
        <v>'g6'</v>
      </c>
      <c r="AB833" s="4" t="str">
        <f>IF(M833="",IF(ISNUMBER(SEARCH("NOT NULL",UPPER(M$3))),"''","null"),SUBSTITUTE(VLOOKUP(M$2,convert!$A$1:$B$4,2,0),"@@@",M833))</f>
        <v>null</v>
      </c>
      <c r="AC833" s="4" t="str">
        <f>IF(N833="",IF(ISNUMBER(SEARCH("NOT NULL",UPPER(N$3))),"''","null"),SUBSTITUTE(VLOOKUP(N$2,convert!$A$1:$B$4,2,0),"@@@",N833))</f>
        <v>null</v>
      </c>
      <c r="AD833" s="4" t="str">
        <f>IF(O833="",IF(ISNUMBER(SEARCH("NOT NULL",UPPER(O$3))),"''","null"),SUBSTITUTE(VLOOKUP(O$2,convert!$A$1:$B$4,2,0),"@@@",O833))</f>
        <v>FALSE</v>
      </c>
      <c r="AE833" s="4" t="str">
        <f t="shared" si="12"/>
        <v>    ('0681N01', 'ギルガルド', 60, 50, 140, 50, 140, 60, 'シールドフォルム', 'steel', 'ghost', 'g6', null, null, FALSE),</v>
      </c>
    </row>
    <row r="834" spans="1:31">
      <c r="A834" s="4" t="s">
        <v>1672</v>
      </c>
      <c r="B834" s="4" t="s">
        <v>1670</v>
      </c>
      <c r="C834" s="5">
        <v>60</v>
      </c>
      <c r="D834" s="5">
        <v>140</v>
      </c>
      <c r="E834" s="5">
        <v>50</v>
      </c>
      <c r="F834" s="5">
        <v>140</v>
      </c>
      <c r="G834" s="5">
        <v>50</v>
      </c>
      <c r="H834" s="5">
        <v>60</v>
      </c>
      <c r="I834" s="4" t="s">
        <v>1673</v>
      </c>
      <c r="J834" s="4" t="s">
        <v>119</v>
      </c>
      <c r="K834" s="4" t="s">
        <v>281</v>
      </c>
      <c r="L834" s="4" t="s">
        <v>39</v>
      </c>
      <c r="M834" s="5"/>
      <c r="N834" s="5"/>
      <c r="O834" s="5" t="b">
        <v>0</v>
      </c>
      <c r="P834" s="4" t="str">
        <f>IF(A834="",IF(ISNUMBER(SEARCH("NOT NULL",UPPER(A$3))),"''","null"),SUBSTITUTE(VLOOKUP(A$2,convert!$A$1:$B$4,2,0),"@@@",A834))</f>
        <v>'0681N02'</v>
      </c>
      <c r="Q834" s="4" t="str">
        <f>IF(B834="",IF(ISNUMBER(SEARCH("NOT NULL",UPPER(B$3))),"''","null"),SUBSTITUTE(VLOOKUP(B$2,convert!$A$1:$B$4,2,0),"@@@",B834))</f>
        <v>'ギルガルド'</v>
      </c>
      <c r="R834" s="4" t="str">
        <f>IF(C834="",IF(ISNUMBER(SEARCH("NOT NULL",UPPER(C$3))),"''","null"),SUBSTITUTE(VLOOKUP(C$2,convert!$A$1:$B$4,2,0),"@@@",C834))</f>
        <v>60</v>
      </c>
      <c r="S834" s="4" t="str">
        <f>IF(D834="",IF(ISNUMBER(SEARCH("NOT NULL",UPPER(D$3))),"''","null"),SUBSTITUTE(VLOOKUP(D$2,convert!$A$1:$B$4,2,0),"@@@",D834))</f>
        <v>140</v>
      </c>
      <c r="T834" s="4" t="str">
        <f>IF(E834="",IF(ISNUMBER(SEARCH("NOT NULL",UPPER(E$3))),"''","null"),SUBSTITUTE(VLOOKUP(E$2,convert!$A$1:$B$4,2,0),"@@@",E834))</f>
        <v>50</v>
      </c>
      <c r="U834" s="4" t="str">
        <f>IF(F834="",IF(ISNUMBER(SEARCH("NOT NULL",UPPER(F$3))),"''","null"),SUBSTITUTE(VLOOKUP(F$2,convert!$A$1:$B$4,2,0),"@@@",F834))</f>
        <v>140</v>
      </c>
      <c r="V834" s="4" t="str">
        <f>IF(G834="",IF(ISNUMBER(SEARCH("NOT NULL",UPPER(G$3))),"''","null"),SUBSTITUTE(VLOOKUP(G$2,convert!$A$1:$B$4,2,0),"@@@",G834))</f>
        <v>50</v>
      </c>
      <c r="W834" s="4" t="str">
        <f>IF(H834="",IF(ISNUMBER(SEARCH("NOT NULL",UPPER(H$3))),"''","null"),SUBSTITUTE(VLOOKUP(H$2,convert!$A$1:$B$4,2,0),"@@@",H834))</f>
        <v>60</v>
      </c>
      <c r="X834" s="4" t="str">
        <f>IF(I834="",IF(ISNUMBER(SEARCH("NOT NULL",UPPER(I$3))),"''","null"),SUBSTITUTE(VLOOKUP(I$2,convert!$A$1:$B$4,2,0),"@@@",I834))</f>
        <v>'ブレードフォルム'</v>
      </c>
      <c r="Y834" s="4" t="str">
        <f>IF(J834="",IF(ISNUMBER(SEARCH("NOT NULL",UPPER(J$3))),"''","null"),SUBSTITUTE(VLOOKUP(J$2,convert!$A$1:$B$4,2,0),"@@@",J834))</f>
        <v>'steel'</v>
      </c>
      <c r="Z834" s="4" t="str">
        <f>IF(K834="",IF(ISNUMBER(SEARCH("NOT NULL",UPPER(K$3))),"''","null"),SUBSTITUTE(VLOOKUP(K$2,convert!$A$1:$B$4,2,0),"@@@",K834))</f>
        <v>'ghost'</v>
      </c>
      <c r="AA834" s="4" t="str">
        <f>IF(L834="",IF(ISNUMBER(SEARCH("NOT NULL",UPPER(L$3))),"''","null"),SUBSTITUTE(VLOOKUP(L$2,convert!$A$1:$B$4,2,0),"@@@",L834))</f>
        <v>'g6'</v>
      </c>
      <c r="AB834" s="4" t="str">
        <f>IF(M834="",IF(ISNUMBER(SEARCH("NOT NULL",UPPER(M$3))),"''","null"),SUBSTITUTE(VLOOKUP(M$2,convert!$A$1:$B$4,2,0),"@@@",M834))</f>
        <v>null</v>
      </c>
      <c r="AC834" s="4" t="str">
        <f>IF(N834="",IF(ISNUMBER(SEARCH("NOT NULL",UPPER(N$3))),"''","null"),SUBSTITUTE(VLOOKUP(N$2,convert!$A$1:$B$4,2,0),"@@@",N834))</f>
        <v>null</v>
      </c>
      <c r="AD834" s="4" t="str">
        <f>IF(O834="",IF(ISNUMBER(SEARCH("NOT NULL",UPPER(O$3))),"''","null"),SUBSTITUTE(VLOOKUP(O$2,convert!$A$1:$B$4,2,0),"@@@",O834))</f>
        <v>FALSE</v>
      </c>
      <c r="AE834" s="4" t="str">
        <f t="shared" si="12"/>
        <v>    ('0681N02', 'ギルガルド', 60, 140, 50, 140, 50, 60, 'ブレードフォルム', 'steel', 'ghost', 'g6', null, null, FALSE),</v>
      </c>
    </row>
    <row r="835" spans="1:31">
      <c r="A835" s="4" t="s">
        <v>1674</v>
      </c>
      <c r="B835" s="4" t="s">
        <v>1675</v>
      </c>
      <c r="C835" s="5">
        <v>78</v>
      </c>
      <c r="D835" s="5">
        <v>52</v>
      </c>
      <c r="E835" s="5">
        <v>60</v>
      </c>
      <c r="F835" s="5">
        <v>63</v>
      </c>
      <c r="G835" s="5">
        <v>65</v>
      </c>
      <c r="H835" s="5">
        <v>23</v>
      </c>
      <c r="I835" s="5"/>
      <c r="J835" s="4" t="s">
        <v>137</v>
      </c>
      <c r="K835" s="5"/>
      <c r="L835" s="4" t="s">
        <v>39</v>
      </c>
      <c r="M835" s="5"/>
      <c r="N835" s="5"/>
      <c r="O835" s="5" t="b">
        <v>1</v>
      </c>
      <c r="P835" s="4" t="str">
        <f>IF(A835="",IF(ISNUMBER(SEARCH("NOT NULL",UPPER(A$3))),"''","null"),SUBSTITUTE(VLOOKUP(A$2,convert!$A$1:$B$4,2,0),"@@@",A835))</f>
        <v>'0682N01'</v>
      </c>
      <c r="Q835" s="4" t="str">
        <f>IF(B835="",IF(ISNUMBER(SEARCH("NOT NULL",UPPER(B$3))),"''","null"),SUBSTITUTE(VLOOKUP(B$2,convert!$A$1:$B$4,2,0),"@@@",B835))</f>
        <v>'シュシュプ'</v>
      </c>
      <c r="R835" s="4" t="str">
        <f>IF(C835="",IF(ISNUMBER(SEARCH("NOT NULL",UPPER(C$3))),"''","null"),SUBSTITUTE(VLOOKUP(C$2,convert!$A$1:$B$4,2,0),"@@@",C835))</f>
        <v>78</v>
      </c>
      <c r="S835" s="4" t="str">
        <f>IF(D835="",IF(ISNUMBER(SEARCH("NOT NULL",UPPER(D$3))),"''","null"),SUBSTITUTE(VLOOKUP(D$2,convert!$A$1:$B$4,2,0),"@@@",D835))</f>
        <v>52</v>
      </c>
      <c r="T835" s="4" t="str">
        <f>IF(E835="",IF(ISNUMBER(SEARCH("NOT NULL",UPPER(E$3))),"''","null"),SUBSTITUTE(VLOOKUP(E$2,convert!$A$1:$B$4,2,0),"@@@",E835))</f>
        <v>60</v>
      </c>
      <c r="U835" s="4" t="str">
        <f>IF(F835="",IF(ISNUMBER(SEARCH("NOT NULL",UPPER(F$3))),"''","null"),SUBSTITUTE(VLOOKUP(F$2,convert!$A$1:$B$4,2,0),"@@@",F835))</f>
        <v>63</v>
      </c>
      <c r="V835" s="4" t="str">
        <f>IF(G835="",IF(ISNUMBER(SEARCH("NOT NULL",UPPER(G$3))),"''","null"),SUBSTITUTE(VLOOKUP(G$2,convert!$A$1:$B$4,2,0),"@@@",G835))</f>
        <v>65</v>
      </c>
      <c r="W835" s="4" t="str">
        <f>IF(H835="",IF(ISNUMBER(SEARCH("NOT NULL",UPPER(H$3))),"''","null"),SUBSTITUTE(VLOOKUP(H$2,convert!$A$1:$B$4,2,0),"@@@",H835))</f>
        <v>23</v>
      </c>
      <c r="X835" s="4" t="str">
        <f>IF(I835="",IF(ISNUMBER(SEARCH("NOT NULL",UPPER(I$3))),"''","null"),SUBSTITUTE(VLOOKUP(I$2,convert!$A$1:$B$4,2,0),"@@@",I835))</f>
        <v>''</v>
      </c>
      <c r="Y835" s="4" t="str">
        <f>IF(J835="",IF(ISNUMBER(SEARCH("NOT NULL",UPPER(J$3))),"''","null"),SUBSTITUTE(VLOOKUP(J$2,convert!$A$1:$B$4,2,0),"@@@",J835))</f>
        <v>'fairy'</v>
      </c>
      <c r="Z835" s="4" t="str">
        <f>IF(K835="",IF(ISNUMBER(SEARCH("NOT NULL",UPPER(K$3))),"''","null"),SUBSTITUTE(VLOOKUP(K$2,convert!$A$1:$B$4,2,0),"@@@",K835))</f>
        <v>null</v>
      </c>
      <c r="AA835" s="4" t="str">
        <f>IF(L835="",IF(ISNUMBER(SEARCH("NOT NULL",UPPER(L$3))),"''","null"),SUBSTITUTE(VLOOKUP(L$2,convert!$A$1:$B$4,2,0),"@@@",L835))</f>
        <v>'g6'</v>
      </c>
      <c r="AB835" s="4" t="str">
        <f>IF(M835="",IF(ISNUMBER(SEARCH("NOT NULL",UPPER(M$3))),"''","null"),SUBSTITUTE(VLOOKUP(M$2,convert!$A$1:$B$4,2,0),"@@@",M835))</f>
        <v>null</v>
      </c>
      <c r="AC835" s="4" t="str">
        <f>IF(N835="",IF(ISNUMBER(SEARCH("NOT NULL",UPPER(N$3))),"''","null"),SUBSTITUTE(VLOOKUP(N$2,convert!$A$1:$B$4,2,0),"@@@",N835))</f>
        <v>null</v>
      </c>
      <c r="AD835" s="4" t="str">
        <f>IF(O835="",IF(ISNUMBER(SEARCH("NOT NULL",UPPER(O$3))),"''","null"),SUBSTITUTE(VLOOKUP(O$2,convert!$A$1:$B$4,2,0),"@@@",O835))</f>
        <v>TRUE</v>
      </c>
      <c r="AE835" s="4" t="str">
        <f t="shared" si="12"/>
        <v>    ('0682N01', 'シュシュプ', 78, 52, 60, 63, 65, 23, '', 'fairy', null, 'g6', null, null, TRUE),</v>
      </c>
    </row>
    <row r="836" spans="1:31">
      <c r="A836" s="4" t="s">
        <v>1676</v>
      </c>
      <c r="B836" s="4" t="s">
        <v>1677</v>
      </c>
      <c r="C836" s="5">
        <v>101</v>
      </c>
      <c r="D836" s="5">
        <v>72</v>
      </c>
      <c r="E836" s="5">
        <v>72</v>
      </c>
      <c r="F836" s="5">
        <v>99</v>
      </c>
      <c r="G836" s="5">
        <v>89</v>
      </c>
      <c r="H836" s="5">
        <v>29</v>
      </c>
      <c r="I836" s="5"/>
      <c r="J836" s="4" t="s">
        <v>137</v>
      </c>
      <c r="K836" s="5"/>
      <c r="L836" s="4" t="s">
        <v>39</v>
      </c>
      <c r="M836" s="5"/>
      <c r="N836" s="5"/>
      <c r="O836" s="5" t="b">
        <v>1</v>
      </c>
      <c r="P836" s="4" t="str">
        <f>IF(A836="",IF(ISNUMBER(SEARCH("NOT NULL",UPPER(A$3))),"''","null"),SUBSTITUTE(VLOOKUP(A$2,convert!$A$1:$B$4,2,0),"@@@",A836))</f>
        <v>'0683N01'</v>
      </c>
      <c r="Q836" s="4" t="str">
        <f>IF(B836="",IF(ISNUMBER(SEARCH("NOT NULL",UPPER(B$3))),"''","null"),SUBSTITUTE(VLOOKUP(B$2,convert!$A$1:$B$4,2,0),"@@@",B836))</f>
        <v>'フレフワン'</v>
      </c>
      <c r="R836" s="4" t="str">
        <f>IF(C836="",IF(ISNUMBER(SEARCH("NOT NULL",UPPER(C$3))),"''","null"),SUBSTITUTE(VLOOKUP(C$2,convert!$A$1:$B$4,2,0),"@@@",C836))</f>
        <v>101</v>
      </c>
      <c r="S836" s="4" t="str">
        <f>IF(D836="",IF(ISNUMBER(SEARCH("NOT NULL",UPPER(D$3))),"''","null"),SUBSTITUTE(VLOOKUP(D$2,convert!$A$1:$B$4,2,0),"@@@",D836))</f>
        <v>72</v>
      </c>
      <c r="T836" s="4" t="str">
        <f>IF(E836="",IF(ISNUMBER(SEARCH("NOT NULL",UPPER(E$3))),"''","null"),SUBSTITUTE(VLOOKUP(E$2,convert!$A$1:$B$4,2,0),"@@@",E836))</f>
        <v>72</v>
      </c>
      <c r="U836" s="4" t="str">
        <f>IF(F836="",IF(ISNUMBER(SEARCH("NOT NULL",UPPER(F$3))),"''","null"),SUBSTITUTE(VLOOKUP(F$2,convert!$A$1:$B$4,2,0),"@@@",F836))</f>
        <v>99</v>
      </c>
      <c r="V836" s="4" t="str">
        <f>IF(G836="",IF(ISNUMBER(SEARCH("NOT NULL",UPPER(G$3))),"''","null"),SUBSTITUTE(VLOOKUP(G$2,convert!$A$1:$B$4,2,0),"@@@",G836))</f>
        <v>89</v>
      </c>
      <c r="W836" s="4" t="str">
        <f>IF(H836="",IF(ISNUMBER(SEARCH("NOT NULL",UPPER(H$3))),"''","null"),SUBSTITUTE(VLOOKUP(H$2,convert!$A$1:$B$4,2,0),"@@@",H836))</f>
        <v>29</v>
      </c>
      <c r="X836" s="4" t="str">
        <f>IF(I836="",IF(ISNUMBER(SEARCH("NOT NULL",UPPER(I$3))),"''","null"),SUBSTITUTE(VLOOKUP(I$2,convert!$A$1:$B$4,2,0),"@@@",I836))</f>
        <v>''</v>
      </c>
      <c r="Y836" s="4" t="str">
        <f>IF(J836="",IF(ISNUMBER(SEARCH("NOT NULL",UPPER(J$3))),"''","null"),SUBSTITUTE(VLOOKUP(J$2,convert!$A$1:$B$4,2,0),"@@@",J836))</f>
        <v>'fairy'</v>
      </c>
      <c r="Z836" s="4" t="str">
        <f>IF(K836="",IF(ISNUMBER(SEARCH("NOT NULL",UPPER(K$3))),"''","null"),SUBSTITUTE(VLOOKUP(K$2,convert!$A$1:$B$4,2,0),"@@@",K836))</f>
        <v>null</v>
      </c>
      <c r="AA836" s="4" t="str">
        <f>IF(L836="",IF(ISNUMBER(SEARCH("NOT NULL",UPPER(L$3))),"''","null"),SUBSTITUTE(VLOOKUP(L$2,convert!$A$1:$B$4,2,0),"@@@",L836))</f>
        <v>'g6'</v>
      </c>
      <c r="AB836" s="4" t="str">
        <f>IF(M836="",IF(ISNUMBER(SEARCH("NOT NULL",UPPER(M$3))),"''","null"),SUBSTITUTE(VLOOKUP(M$2,convert!$A$1:$B$4,2,0),"@@@",M836))</f>
        <v>null</v>
      </c>
      <c r="AC836" s="4" t="str">
        <f>IF(N836="",IF(ISNUMBER(SEARCH("NOT NULL",UPPER(N$3))),"''","null"),SUBSTITUTE(VLOOKUP(N$2,convert!$A$1:$B$4,2,0),"@@@",N836))</f>
        <v>null</v>
      </c>
      <c r="AD836" s="4" t="str">
        <f>IF(O836="",IF(ISNUMBER(SEARCH("NOT NULL",UPPER(O$3))),"''","null"),SUBSTITUTE(VLOOKUP(O$2,convert!$A$1:$B$4,2,0),"@@@",O836))</f>
        <v>TRUE</v>
      </c>
      <c r="AE836" s="4" t="str">
        <f t="shared" si="12"/>
        <v>    ('0683N01', 'フレフワン', 101, 72, 72, 99, 89, 29, '', 'fairy', null, 'g6', null, null, TRUE),</v>
      </c>
    </row>
    <row r="837" spans="1:31">
      <c r="A837" s="4" t="s">
        <v>1678</v>
      </c>
      <c r="B837" s="4" t="s">
        <v>1679</v>
      </c>
      <c r="C837" s="5">
        <v>62</v>
      </c>
      <c r="D837" s="5">
        <v>48</v>
      </c>
      <c r="E837" s="5">
        <v>66</v>
      </c>
      <c r="F837" s="5">
        <v>59</v>
      </c>
      <c r="G837" s="5">
        <v>57</v>
      </c>
      <c r="H837" s="5">
        <v>49</v>
      </c>
      <c r="I837" s="5"/>
      <c r="J837" s="4" t="s">
        <v>137</v>
      </c>
      <c r="K837" s="5"/>
      <c r="L837" s="4" t="s">
        <v>39</v>
      </c>
      <c r="M837" s="5"/>
      <c r="N837" s="5"/>
      <c r="O837" s="5" t="b">
        <v>1</v>
      </c>
      <c r="P837" s="4" t="str">
        <f>IF(A837="",IF(ISNUMBER(SEARCH("NOT NULL",UPPER(A$3))),"''","null"),SUBSTITUTE(VLOOKUP(A$2,convert!$A$1:$B$4,2,0),"@@@",A837))</f>
        <v>'0684N01'</v>
      </c>
      <c r="Q837" s="4" t="str">
        <f>IF(B837="",IF(ISNUMBER(SEARCH("NOT NULL",UPPER(B$3))),"''","null"),SUBSTITUTE(VLOOKUP(B$2,convert!$A$1:$B$4,2,0),"@@@",B837))</f>
        <v>'ペロッパフ'</v>
      </c>
      <c r="R837" s="4" t="str">
        <f>IF(C837="",IF(ISNUMBER(SEARCH("NOT NULL",UPPER(C$3))),"''","null"),SUBSTITUTE(VLOOKUP(C$2,convert!$A$1:$B$4,2,0),"@@@",C837))</f>
        <v>62</v>
      </c>
      <c r="S837" s="4" t="str">
        <f>IF(D837="",IF(ISNUMBER(SEARCH("NOT NULL",UPPER(D$3))),"''","null"),SUBSTITUTE(VLOOKUP(D$2,convert!$A$1:$B$4,2,0),"@@@",D837))</f>
        <v>48</v>
      </c>
      <c r="T837" s="4" t="str">
        <f>IF(E837="",IF(ISNUMBER(SEARCH("NOT NULL",UPPER(E$3))),"''","null"),SUBSTITUTE(VLOOKUP(E$2,convert!$A$1:$B$4,2,0),"@@@",E837))</f>
        <v>66</v>
      </c>
      <c r="U837" s="4" t="str">
        <f>IF(F837="",IF(ISNUMBER(SEARCH("NOT NULL",UPPER(F$3))),"''","null"),SUBSTITUTE(VLOOKUP(F$2,convert!$A$1:$B$4,2,0),"@@@",F837))</f>
        <v>59</v>
      </c>
      <c r="V837" s="4" t="str">
        <f>IF(G837="",IF(ISNUMBER(SEARCH("NOT NULL",UPPER(G$3))),"''","null"),SUBSTITUTE(VLOOKUP(G$2,convert!$A$1:$B$4,2,0),"@@@",G837))</f>
        <v>57</v>
      </c>
      <c r="W837" s="4" t="str">
        <f>IF(H837="",IF(ISNUMBER(SEARCH("NOT NULL",UPPER(H$3))),"''","null"),SUBSTITUTE(VLOOKUP(H$2,convert!$A$1:$B$4,2,0),"@@@",H837))</f>
        <v>49</v>
      </c>
      <c r="X837" s="4" t="str">
        <f>IF(I837="",IF(ISNUMBER(SEARCH("NOT NULL",UPPER(I$3))),"''","null"),SUBSTITUTE(VLOOKUP(I$2,convert!$A$1:$B$4,2,0),"@@@",I837))</f>
        <v>''</v>
      </c>
      <c r="Y837" s="4" t="str">
        <f>IF(J837="",IF(ISNUMBER(SEARCH("NOT NULL",UPPER(J$3))),"''","null"),SUBSTITUTE(VLOOKUP(J$2,convert!$A$1:$B$4,2,0),"@@@",J837))</f>
        <v>'fairy'</v>
      </c>
      <c r="Z837" s="4" t="str">
        <f>IF(K837="",IF(ISNUMBER(SEARCH("NOT NULL",UPPER(K$3))),"''","null"),SUBSTITUTE(VLOOKUP(K$2,convert!$A$1:$B$4,2,0),"@@@",K837))</f>
        <v>null</v>
      </c>
      <c r="AA837" s="4" t="str">
        <f>IF(L837="",IF(ISNUMBER(SEARCH("NOT NULL",UPPER(L$3))),"''","null"),SUBSTITUTE(VLOOKUP(L$2,convert!$A$1:$B$4,2,0),"@@@",L837))</f>
        <v>'g6'</v>
      </c>
      <c r="AB837" s="4" t="str">
        <f>IF(M837="",IF(ISNUMBER(SEARCH("NOT NULL",UPPER(M$3))),"''","null"),SUBSTITUTE(VLOOKUP(M$2,convert!$A$1:$B$4,2,0),"@@@",M837))</f>
        <v>null</v>
      </c>
      <c r="AC837" s="4" t="str">
        <f>IF(N837="",IF(ISNUMBER(SEARCH("NOT NULL",UPPER(N$3))),"''","null"),SUBSTITUTE(VLOOKUP(N$2,convert!$A$1:$B$4,2,0),"@@@",N837))</f>
        <v>null</v>
      </c>
      <c r="AD837" s="4" t="str">
        <f>IF(O837="",IF(ISNUMBER(SEARCH("NOT NULL",UPPER(O$3))),"''","null"),SUBSTITUTE(VLOOKUP(O$2,convert!$A$1:$B$4,2,0),"@@@",O837))</f>
        <v>TRUE</v>
      </c>
      <c r="AE837" s="4" t="str">
        <f t="shared" ref="AE837:AE900" si="13">"    ("&amp;_xlfn.TEXTJOIN(", ",FALSE,P837:AD837)&amp;"),"</f>
        <v>    ('0684N01', 'ペロッパフ', 62, 48, 66, 59, 57, 49, '', 'fairy', null, 'g6', null, null, TRUE),</v>
      </c>
    </row>
    <row r="838" spans="1:31">
      <c r="A838" s="4" t="s">
        <v>1680</v>
      </c>
      <c r="B838" s="4" t="s">
        <v>1681</v>
      </c>
      <c r="C838" s="5">
        <v>82</v>
      </c>
      <c r="D838" s="5">
        <v>80</v>
      </c>
      <c r="E838" s="5">
        <v>86</v>
      </c>
      <c r="F838" s="5">
        <v>85</v>
      </c>
      <c r="G838" s="5">
        <v>75</v>
      </c>
      <c r="H838" s="5">
        <v>72</v>
      </c>
      <c r="I838" s="5"/>
      <c r="J838" s="4" t="s">
        <v>137</v>
      </c>
      <c r="K838" s="5"/>
      <c r="L838" s="4" t="s">
        <v>39</v>
      </c>
      <c r="M838" s="5"/>
      <c r="N838" s="5"/>
      <c r="O838" s="5" t="b">
        <v>1</v>
      </c>
      <c r="P838" s="4" t="str">
        <f>IF(A838="",IF(ISNUMBER(SEARCH("NOT NULL",UPPER(A$3))),"''","null"),SUBSTITUTE(VLOOKUP(A$2,convert!$A$1:$B$4,2,0),"@@@",A838))</f>
        <v>'0685N01'</v>
      </c>
      <c r="Q838" s="4" t="str">
        <f>IF(B838="",IF(ISNUMBER(SEARCH("NOT NULL",UPPER(B$3))),"''","null"),SUBSTITUTE(VLOOKUP(B$2,convert!$A$1:$B$4,2,0),"@@@",B838))</f>
        <v>'ペロリーム'</v>
      </c>
      <c r="R838" s="4" t="str">
        <f>IF(C838="",IF(ISNUMBER(SEARCH("NOT NULL",UPPER(C$3))),"''","null"),SUBSTITUTE(VLOOKUP(C$2,convert!$A$1:$B$4,2,0),"@@@",C838))</f>
        <v>82</v>
      </c>
      <c r="S838" s="4" t="str">
        <f>IF(D838="",IF(ISNUMBER(SEARCH("NOT NULL",UPPER(D$3))),"''","null"),SUBSTITUTE(VLOOKUP(D$2,convert!$A$1:$B$4,2,0),"@@@",D838))</f>
        <v>80</v>
      </c>
      <c r="T838" s="4" t="str">
        <f>IF(E838="",IF(ISNUMBER(SEARCH("NOT NULL",UPPER(E$3))),"''","null"),SUBSTITUTE(VLOOKUP(E$2,convert!$A$1:$B$4,2,0),"@@@",E838))</f>
        <v>86</v>
      </c>
      <c r="U838" s="4" t="str">
        <f>IF(F838="",IF(ISNUMBER(SEARCH("NOT NULL",UPPER(F$3))),"''","null"),SUBSTITUTE(VLOOKUP(F$2,convert!$A$1:$B$4,2,0),"@@@",F838))</f>
        <v>85</v>
      </c>
      <c r="V838" s="4" t="str">
        <f>IF(G838="",IF(ISNUMBER(SEARCH("NOT NULL",UPPER(G$3))),"''","null"),SUBSTITUTE(VLOOKUP(G$2,convert!$A$1:$B$4,2,0),"@@@",G838))</f>
        <v>75</v>
      </c>
      <c r="W838" s="4" t="str">
        <f>IF(H838="",IF(ISNUMBER(SEARCH("NOT NULL",UPPER(H$3))),"''","null"),SUBSTITUTE(VLOOKUP(H$2,convert!$A$1:$B$4,2,0),"@@@",H838))</f>
        <v>72</v>
      </c>
      <c r="X838" s="4" t="str">
        <f>IF(I838="",IF(ISNUMBER(SEARCH("NOT NULL",UPPER(I$3))),"''","null"),SUBSTITUTE(VLOOKUP(I$2,convert!$A$1:$B$4,2,0),"@@@",I838))</f>
        <v>''</v>
      </c>
      <c r="Y838" s="4" t="str">
        <f>IF(J838="",IF(ISNUMBER(SEARCH("NOT NULL",UPPER(J$3))),"''","null"),SUBSTITUTE(VLOOKUP(J$2,convert!$A$1:$B$4,2,0),"@@@",J838))</f>
        <v>'fairy'</v>
      </c>
      <c r="Z838" s="4" t="str">
        <f>IF(K838="",IF(ISNUMBER(SEARCH("NOT NULL",UPPER(K$3))),"''","null"),SUBSTITUTE(VLOOKUP(K$2,convert!$A$1:$B$4,2,0),"@@@",K838))</f>
        <v>null</v>
      </c>
      <c r="AA838" s="4" t="str">
        <f>IF(L838="",IF(ISNUMBER(SEARCH("NOT NULL",UPPER(L$3))),"''","null"),SUBSTITUTE(VLOOKUP(L$2,convert!$A$1:$B$4,2,0),"@@@",L838))</f>
        <v>'g6'</v>
      </c>
      <c r="AB838" s="4" t="str">
        <f>IF(M838="",IF(ISNUMBER(SEARCH("NOT NULL",UPPER(M$3))),"''","null"),SUBSTITUTE(VLOOKUP(M$2,convert!$A$1:$B$4,2,0),"@@@",M838))</f>
        <v>null</v>
      </c>
      <c r="AC838" s="4" t="str">
        <f>IF(N838="",IF(ISNUMBER(SEARCH("NOT NULL",UPPER(N$3))),"''","null"),SUBSTITUTE(VLOOKUP(N$2,convert!$A$1:$B$4,2,0),"@@@",N838))</f>
        <v>null</v>
      </c>
      <c r="AD838" s="4" t="str">
        <f>IF(O838="",IF(ISNUMBER(SEARCH("NOT NULL",UPPER(O$3))),"''","null"),SUBSTITUTE(VLOOKUP(O$2,convert!$A$1:$B$4,2,0),"@@@",O838))</f>
        <v>TRUE</v>
      </c>
      <c r="AE838" s="4" t="str">
        <f t="shared" si="13"/>
        <v>    ('0685N01', 'ペロリーム', 82, 80, 86, 85, 75, 72, '', 'fairy', null, 'g6', null, null, TRUE),</v>
      </c>
    </row>
    <row r="839" spans="1:31">
      <c r="A839" s="4" t="s">
        <v>1682</v>
      </c>
      <c r="B839" s="4" t="s">
        <v>1683</v>
      </c>
      <c r="C839" s="5">
        <v>53</v>
      </c>
      <c r="D839" s="5">
        <v>54</v>
      </c>
      <c r="E839" s="5">
        <v>53</v>
      </c>
      <c r="F839" s="5">
        <v>37</v>
      </c>
      <c r="G839" s="5">
        <v>46</v>
      </c>
      <c r="H839" s="5">
        <v>45</v>
      </c>
      <c r="I839" s="5"/>
      <c r="J839" s="4" t="s">
        <v>91</v>
      </c>
      <c r="K839" s="4" t="s">
        <v>113</v>
      </c>
      <c r="L839" s="4" t="s">
        <v>39</v>
      </c>
      <c r="M839" s="5"/>
      <c r="N839" s="5"/>
      <c r="O839" s="5" t="b">
        <v>1</v>
      </c>
      <c r="P839" s="4" t="str">
        <f>IF(A839="",IF(ISNUMBER(SEARCH("NOT NULL",UPPER(A$3))),"''","null"),SUBSTITUTE(VLOOKUP(A$2,convert!$A$1:$B$4,2,0),"@@@",A839))</f>
        <v>'0686N01'</v>
      </c>
      <c r="Q839" s="4" t="str">
        <f>IF(B839="",IF(ISNUMBER(SEARCH("NOT NULL",UPPER(B$3))),"''","null"),SUBSTITUTE(VLOOKUP(B$2,convert!$A$1:$B$4,2,0),"@@@",B839))</f>
        <v>'マーイーカ'</v>
      </c>
      <c r="R839" s="4" t="str">
        <f>IF(C839="",IF(ISNUMBER(SEARCH("NOT NULL",UPPER(C$3))),"''","null"),SUBSTITUTE(VLOOKUP(C$2,convert!$A$1:$B$4,2,0),"@@@",C839))</f>
        <v>53</v>
      </c>
      <c r="S839" s="4" t="str">
        <f>IF(D839="",IF(ISNUMBER(SEARCH("NOT NULL",UPPER(D$3))),"''","null"),SUBSTITUTE(VLOOKUP(D$2,convert!$A$1:$B$4,2,0),"@@@",D839))</f>
        <v>54</v>
      </c>
      <c r="T839" s="4" t="str">
        <f>IF(E839="",IF(ISNUMBER(SEARCH("NOT NULL",UPPER(E$3))),"''","null"),SUBSTITUTE(VLOOKUP(E$2,convert!$A$1:$B$4,2,0),"@@@",E839))</f>
        <v>53</v>
      </c>
      <c r="U839" s="4" t="str">
        <f>IF(F839="",IF(ISNUMBER(SEARCH("NOT NULL",UPPER(F$3))),"''","null"),SUBSTITUTE(VLOOKUP(F$2,convert!$A$1:$B$4,2,0),"@@@",F839))</f>
        <v>37</v>
      </c>
      <c r="V839" s="4" t="str">
        <f>IF(G839="",IF(ISNUMBER(SEARCH("NOT NULL",UPPER(G$3))),"''","null"),SUBSTITUTE(VLOOKUP(G$2,convert!$A$1:$B$4,2,0),"@@@",G839))</f>
        <v>46</v>
      </c>
      <c r="W839" s="4" t="str">
        <f>IF(H839="",IF(ISNUMBER(SEARCH("NOT NULL",UPPER(H$3))),"''","null"),SUBSTITUTE(VLOOKUP(H$2,convert!$A$1:$B$4,2,0),"@@@",H839))</f>
        <v>45</v>
      </c>
      <c r="X839" s="4" t="str">
        <f>IF(I839="",IF(ISNUMBER(SEARCH("NOT NULL",UPPER(I$3))),"''","null"),SUBSTITUTE(VLOOKUP(I$2,convert!$A$1:$B$4,2,0),"@@@",I839))</f>
        <v>''</v>
      </c>
      <c r="Y839" s="4" t="str">
        <f>IF(J839="",IF(ISNUMBER(SEARCH("NOT NULL",UPPER(J$3))),"''","null"),SUBSTITUTE(VLOOKUP(J$2,convert!$A$1:$B$4,2,0),"@@@",J839))</f>
        <v>'dark'</v>
      </c>
      <c r="Z839" s="4" t="str">
        <f>IF(K839="",IF(ISNUMBER(SEARCH("NOT NULL",UPPER(K$3))),"''","null"),SUBSTITUTE(VLOOKUP(K$2,convert!$A$1:$B$4,2,0),"@@@",K839))</f>
        <v>'psychic'</v>
      </c>
      <c r="AA839" s="4" t="str">
        <f>IF(L839="",IF(ISNUMBER(SEARCH("NOT NULL",UPPER(L$3))),"''","null"),SUBSTITUTE(VLOOKUP(L$2,convert!$A$1:$B$4,2,0),"@@@",L839))</f>
        <v>'g6'</v>
      </c>
      <c r="AB839" s="4" t="str">
        <f>IF(M839="",IF(ISNUMBER(SEARCH("NOT NULL",UPPER(M$3))),"''","null"),SUBSTITUTE(VLOOKUP(M$2,convert!$A$1:$B$4,2,0),"@@@",M839))</f>
        <v>null</v>
      </c>
      <c r="AC839" s="4" t="str">
        <f>IF(N839="",IF(ISNUMBER(SEARCH("NOT NULL",UPPER(N$3))),"''","null"),SUBSTITUTE(VLOOKUP(N$2,convert!$A$1:$B$4,2,0),"@@@",N839))</f>
        <v>null</v>
      </c>
      <c r="AD839" s="4" t="str">
        <f>IF(O839="",IF(ISNUMBER(SEARCH("NOT NULL",UPPER(O$3))),"''","null"),SUBSTITUTE(VLOOKUP(O$2,convert!$A$1:$B$4,2,0),"@@@",O839))</f>
        <v>TRUE</v>
      </c>
      <c r="AE839" s="4" t="str">
        <f t="shared" si="13"/>
        <v>    ('0686N01', 'マーイーカ', 53, 54, 53, 37, 46, 45, '', 'dark', 'psychic', 'g6', null, null, TRUE),</v>
      </c>
    </row>
    <row r="840" spans="1:31">
      <c r="A840" s="4" t="s">
        <v>1684</v>
      </c>
      <c r="B840" s="4" t="s">
        <v>1685</v>
      </c>
      <c r="C840" s="5">
        <v>86</v>
      </c>
      <c r="D840" s="5">
        <v>92</v>
      </c>
      <c r="E840" s="5">
        <v>88</v>
      </c>
      <c r="F840" s="5">
        <v>68</v>
      </c>
      <c r="G840" s="5">
        <v>75</v>
      </c>
      <c r="H840" s="5">
        <v>73</v>
      </c>
      <c r="I840" s="5"/>
      <c r="J840" s="4" t="s">
        <v>91</v>
      </c>
      <c r="K840" s="4" t="s">
        <v>113</v>
      </c>
      <c r="L840" s="4" t="s">
        <v>39</v>
      </c>
      <c r="M840" s="5"/>
      <c r="N840" s="5"/>
      <c r="O840" s="5" t="b">
        <v>1</v>
      </c>
      <c r="P840" s="4" t="str">
        <f>IF(A840="",IF(ISNUMBER(SEARCH("NOT NULL",UPPER(A$3))),"''","null"),SUBSTITUTE(VLOOKUP(A$2,convert!$A$1:$B$4,2,0),"@@@",A840))</f>
        <v>'0687N01'</v>
      </c>
      <c r="Q840" s="4" t="str">
        <f>IF(B840="",IF(ISNUMBER(SEARCH("NOT NULL",UPPER(B$3))),"''","null"),SUBSTITUTE(VLOOKUP(B$2,convert!$A$1:$B$4,2,0),"@@@",B840))</f>
        <v>'カラマネロ'</v>
      </c>
      <c r="R840" s="4" t="str">
        <f>IF(C840="",IF(ISNUMBER(SEARCH("NOT NULL",UPPER(C$3))),"''","null"),SUBSTITUTE(VLOOKUP(C$2,convert!$A$1:$B$4,2,0),"@@@",C840))</f>
        <v>86</v>
      </c>
      <c r="S840" s="4" t="str">
        <f>IF(D840="",IF(ISNUMBER(SEARCH("NOT NULL",UPPER(D$3))),"''","null"),SUBSTITUTE(VLOOKUP(D$2,convert!$A$1:$B$4,2,0),"@@@",D840))</f>
        <v>92</v>
      </c>
      <c r="T840" s="4" t="str">
        <f>IF(E840="",IF(ISNUMBER(SEARCH("NOT NULL",UPPER(E$3))),"''","null"),SUBSTITUTE(VLOOKUP(E$2,convert!$A$1:$B$4,2,0),"@@@",E840))</f>
        <v>88</v>
      </c>
      <c r="U840" s="4" t="str">
        <f>IF(F840="",IF(ISNUMBER(SEARCH("NOT NULL",UPPER(F$3))),"''","null"),SUBSTITUTE(VLOOKUP(F$2,convert!$A$1:$B$4,2,0),"@@@",F840))</f>
        <v>68</v>
      </c>
      <c r="V840" s="4" t="str">
        <f>IF(G840="",IF(ISNUMBER(SEARCH("NOT NULL",UPPER(G$3))),"''","null"),SUBSTITUTE(VLOOKUP(G$2,convert!$A$1:$B$4,2,0),"@@@",G840))</f>
        <v>75</v>
      </c>
      <c r="W840" s="4" t="str">
        <f>IF(H840="",IF(ISNUMBER(SEARCH("NOT NULL",UPPER(H$3))),"''","null"),SUBSTITUTE(VLOOKUP(H$2,convert!$A$1:$B$4,2,0),"@@@",H840))</f>
        <v>73</v>
      </c>
      <c r="X840" s="4" t="str">
        <f>IF(I840="",IF(ISNUMBER(SEARCH("NOT NULL",UPPER(I$3))),"''","null"),SUBSTITUTE(VLOOKUP(I$2,convert!$A$1:$B$4,2,0),"@@@",I840))</f>
        <v>''</v>
      </c>
      <c r="Y840" s="4" t="str">
        <f>IF(J840="",IF(ISNUMBER(SEARCH("NOT NULL",UPPER(J$3))),"''","null"),SUBSTITUTE(VLOOKUP(J$2,convert!$A$1:$B$4,2,0),"@@@",J840))</f>
        <v>'dark'</v>
      </c>
      <c r="Z840" s="4" t="str">
        <f>IF(K840="",IF(ISNUMBER(SEARCH("NOT NULL",UPPER(K$3))),"''","null"),SUBSTITUTE(VLOOKUP(K$2,convert!$A$1:$B$4,2,0),"@@@",K840))</f>
        <v>'psychic'</v>
      </c>
      <c r="AA840" s="4" t="str">
        <f>IF(L840="",IF(ISNUMBER(SEARCH("NOT NULL",UPPER(L$3))),"''","null"),SUBSTITUTE(VLOOKUP(L$2,convert!$A$1:$B$4,2,0),"@@@",L840))</f>
        <v>'g6'</v>
      </c>
      <c r="AB840" s="4" t="str">
        <f>IF(M840="",IF(ISNUMBER(SEARCH("NOT NULL",UPPER(M$3))),"''","null"),SUBSTITUTE(VLOOKUP(M$2,convert!$A$1:$B$4,2,0),"@@@",M840))</f>
        <v>null</v>
      </c>
      <c r="AC840" s="4" t="str">
        <f>IF(N840="",IF(ISNUMBER(SEARCH("NOT NULL",UPPER(N$3))),"''","null"),SUBSTITUTE(VLOOKUP(N$2,convert!$A$1:$B$4,2,0),"@@@",N840))</f>
        <v>null</v>
      </c>
      <c r="AD840" s="4" t="str">
        <f>IF(O840="",IF(ISNUMBER(SEARCH("NOT NULL",UPPER(O$3))),"''","null"),SUBSTITUTE(VLOOKUP(O$2,convert!$A$1:$B$4,2,0),"@@@",O840))</f>
        <v>TRUE</v>
      </c>
      <c r="AE840" s="4" t="str">
        <f t="shared" si="13"/>
        <v>    ('0687N01', 'カラマネロ', 86, 92, 88, 68, 75, 73, '', 'dark', 'psychic', 'g6', null, null, TRUE),</v>
      </c>
    </row>
    <row r="841" spans="1:31">
      <c r="A841" s="4" t="s">
        <v>1686</v>
      </c>
      <c r="B841" s="4" t="s">
        <v>1687</v>
      </c>
      <c r="C841" s="5">
        <v>42</v>
      </c>
      <c r="D841" s="5">
        <v>52</v>
      </c>
      <c r="E841" s="5">
        <v>67</v>
      </c>
      <c r="F841" s="5">
        <v>39</v>
      </c>
      <c r="G841" s="5">
        <v>56</v>
      </c>
      <c r="H841" s="5">
        <v>50</v>
      </c>
      <c r="I841" s="5"/>
      <c r="J841" s="4" t="s">
        <v>196</v>
      </c>
      <c r="K841" s="4" t="s">
        <v>55</v>
      </c>
      <c r="L841" s="4" t="s">
        <v>39</v>
      </c>
      <c r="M841" s="5"/>
      <c r="N841" s="5"/>
      <c r="O841" s="5" t="b">
        <v>1</v>
      </c>
      <c r="P841" s="4" t="str">
        <f>IF(A841="",IF(ISNUMBER(SEARCH("NOT NULL",UPPER(A$3))),"''","null"),SUBSTITUTE(VLOOKUP(A$2,convert!$A$1:$B$4,2,0),"@@@",A841))</f>
        <v>'0688N01'</v>
      </c>
      <c r="Q841" s="4" t="str">
        <f>IF(B841="",IF(ISNUMBER(SEARCH("NOT NULL",UPPER(B$3))),"''","null"),SUBSTITUTE(VLOOKUP(B$2,convert!$A$1:$B$4,2,0),"@@@",B841))</f>
        <v>'カメテテ'</v>
      </c>
      <c r="R841" s="4" t="str">
        <f>IF(C841="",IF(ISNUMBER(SEARCH("NOT NULL",UPPER(C$3))),"''","null"),SUBSTITUTE(VLOOKUP(C$2,convert!$A$1:$B$4,2,0),"@@@",C841))</f>
        <v>42</v>
      </c>
      <c r="S841" s="4" t="str">
        <f>IF(D841="",IF(ISNUMBER(SEARCH("NOT NULL",UPPER(D$3))),"''","null"),SUBSTITUTE(VLOOKUP(D$2,convert!$A$1:$B$4,2,0),"@@@",D841))</f>
        <v>52</v>
      </c>
      <c r="T841" s="4" t="str">
        <f>IF(E841="",IF(ISNUMBER(SEARCH("NOT NULL",UPPER(E$3))),"''","null"),SUBSTITUTE(VLOOKUP(E$2,convert!$A$1:$B$4,2,0),"@@@",E841))</f>
        <v>67</v>
      </c>
      <c r="U841" s="4" t="str">
        <f>IF(F841="",IF(ISNUMBER(SEARCH("NOT NULL",UPPER(F$3))),"''","null"),SUBSTITUTE(VLOOKUP(F$2,convert!$A$1:$B$4,2,0),"@@@",F841))</f>
        <v>39</v>
      </c>
      <c r="V841" s="4" t="str">
        <f>IF(G841="",IF(ISNUMBER(SEARCH("NOT NULL",UPPER(G$3))),"''","null"),SUBSTITUTE(VLOOKUP(G$2,convert!$A$1:$B$4,2,0),"@@@",G841))</f>
        <v>56</v>
      </c>
      <c r="W841" s="4" t="str">
        <f>IF(H841="",IF(ISNUMBER(SEARCH("NOT NULL",UPPER(H$3))),"''","null"),SUBSTITUTE(VLOOKUP(H$2,convert!$A$1:$B$4,2,0),"@@@",H841))</f>
        <v>50</v>
      </c>
      <c r="X841" s="4" t="str">
        <f>IF(I841="",IF(ISNUMBER(SEARCH("NOT NULL",UPPER(I$3))),"''","null"),SUBSTITUTE(VLOOKUP(I$2,convert!$A$1:$B$4,2,0),"@@@",I841))</f>
        <v>''</v>
      </c>
      <c r="Y841" s="4" t="str">
        <f>IF(J841="",IF(ISNUMBER(SEARCH("NOT NULL",UPPER(J$3))),"''","null"),SUBSTITUTE(VLOOKUP(J$2,convert!$A$1:$B$4,2,0),"@@@",J841))</f>
        <v>'rock'</v>
      </c>
      <c r="Z841" s="4" t="str">
        <f>IF(K841="",IF(ISNUMBER(SEARCH("NOT NULL",UPPER(K$3))),"''","null"),SUBSTITUTE(VLOOKUP(K$2,convert!$A$1:$B$4,2,0),"@@@",K841))</f>
        <v>'water'</v>
      </c>
      <c r="AA841" s="4" t="str">
        <f>IF(L841="",IF(ISNUMBER(SEARCH("NOT NULL",UPPER(L$3))),"''","null"),SUBSTITUTE(VLOOKUP(L$2,convert!$A$1:$B$4,2,0),"@@@",L841))</f>
        <v>'g6'</v>
      </c>
      <c r="AB841" s="4" t="str">
        <f>IF(M841="",IF(ISNUMBER(SEARCH("NOT NULL",UPPER(M$3))),"''","null"),SUBSTITUTE(VLOOKUP(M$2,convert!$A$1:$B$4,2,0),"@@@",M841))</f>
        <v>null</v>
      </c>
      <c r="AC841" s="4" t="str">
        <f>IF(N841="",IF(ISNUMBER(SEARCH("NOT NULL",UPPER(N$3))),"''","null"),SUBSTITUTE(VLOOKUP(N$2,convert!$A$1:$B$4,2,0),"@@@",N841))</f>
        <v>null</v>
      </c>
      <c r="AD841" s="4" t="str">
        <f>IF(O841="",IF(ISNUMBER(SEARCH("NOT NULL",UPPER(O$3))),"''","null"),SUBSTITUTE(VLOOKUP(O$2,convert!$A$1:$B$4,2,0),"@@@",O841))</f>
        <v>TRUE</v>
      </c>
      <c r="AE841" s="4" t="str">
        <f t="shared" si="13"/>
        <v>    ('0688N01', 'カメテテ', 42, 52, 67, 39, 56, 50, '', 'rock', 'water', 'g6', null, null, TRUE),</v>
      </c>
    </row>
    <row r="842" spans="1:31">
      <c r="A842" s="4" t="s">
        <v>1688</v>
      </c>
      <c r="B842" s="4" t="s">
        <v>1689</v>
      </c>
      <c r="C842" s="5">
        <v>72</v>
      </c>
      <c r="D842" s="5">
        <v>105</v>
      </c>
      <c r="E842" s="5">
        <v>115</v>
      </c>
      <c r="F842" s="5">
        <v>54</v>
      </c>
      <c r="G842" s="5">
        <v>86</v>
      </c>
      <c r="H842" s="5">
        <v>68</v>
      </c>
      <c r="I842" s="5"/>
      <c r="J842" s="4" t="s">
        <v>196</v>
      </c>
      <c r="K842" s="4" t="s">
        <v>55</v>
      </c>
      <c r="L842" s="4" t="s">
        <v>39</v>
      </c>
      <c r="M842" s="5"/>
      <c r="N842" s="5"/>
      <c r="O842" s="5" t="b">
        <v>1</v>
      </c>
      <c r="P842" s="4" t="str">
        <f>IF(A842="",IF(ISNUMBER(SEARCH("NOT NULL",UPPER(A$3))),"''","null"),SUBSTITUTE(VLOOKUP(A$2,convert!$A$1:$B$4,2,0),"@@@",A842))</f>
        <v>'0689N01'</v>
      </c>
      <c r="Q842" s="4" t="str">
        <f>IF(B842="",IF(ISNUMBER(SEARCH("NOT NULL",UPPER(B$3))),"''","null"),SUBSTITUTE(VLOOKUP(B$2,convert!$A$1:$B$4,2,0),"@@@",B842))</f>
        <v>'ガメノデス'</v>
      </c>
      <c r="R842" s="4" t="str">
        <f>IF(C842="",IF(ISNUMBER(SEARCH("NOT NULL",UPPER(C$3))),"''","null"),SUBSTITUTE(VLOOKUP(C$2,convert!$A$1:$B$4,2,0),"@@@",C842))</f>
        <v>72</v>
      </c>
      <c r="S842" s="4" t="str">
        <f>IF(D842="",IF(ISNUMBER(SEARCH("NOT NULL",UPPER(D$3))),"''","null"),SUBSTITUTE(VLOOKUP(D$2,convert!$A$1:$B$4,2,0),"@@@",D842))</f>
        <v>105</v>
      </c>
      <c r="T842" s="4" t="str">
        <f>IF(E842="",IF(ISNUMBER(SEARCH("NOT NULL",UPPER(E$3))),"''","null"),SUBSTITUTE(VLOOKUP(E$2,convert!$A$1:$B$4,2,0),"@@@",E842))</f>
        <v>115</v>
      </c>
      <c r="U842" s="4" t="str">
        <f>IF(F842="",IF(ISNUMBER(SEARCH("NOT NULL",UPPER(F$3))),"''","null"),SUBSTITUTE(VLOOKUP(F$2,convert!$A$1:$B$4,2,0),"@@@",F842))</f>
        <v>54</v>
      </c>
      <c r="V842" s="4" t="str">
        <f>IF(G842="",IF(ISNUMBER(SEARCH("NOT NULL",UPPER(G$3))),"''","null"),SUBSTITUTE(VLOOKUP(G$2,convert!$A$1:$B$4,2,0),"@@@",G842))</f>
        <v>86</v>
      </c>
      <c r="W842" s="4" t="str">
        <f>IF(H842="",IF(ISNUMBER(SEARCH("NOT NULL",UPPER(H$3))),"''","null"),SUBSTITUTE(VLOOKUP(H$2,convert!$A$1:$B$4,2,0),"@@@",H842))</f>
        <v>68</v>
      </c>
      <c r="X842" s="4" t="str">
        <f>IF(I842="",IF(ISNUMBER(SEARCH("NOT NULL",UPPER(I$3))),"''","null"),SUBSTITUTE(VLOOKUP(I$2,convert!$A$1:$B$4,2,0),"@@@",I842))</f>
        <v>''</v>
      </c>
      <c r="Y842" s="4" t="str">
        <f>IF(J842="",IF(ISNUMBER(SEARCH("NOT NULL",UPPER(J$3))),"''","null"),SUBSTITUTE(VLOOKUP(J$2,convert!$A$1:$B$4,2,0),"@@@",J842))</f>
        <v>'rock'</v>
      </c>
      <c r="Z842" s="4" t="str">
        <f>IF(K842="",IF(ISNUMBER(SEARCH("NOT NULL",UPPER(K$3))),"''","null"),SUBSTITUTE(VLOOKUP(K$2,convert!$A$1:$B$4,2,0),"@@@",K842))</f>
        <v>'water'</v>
      </c>
      <c r="AA842" s="4" t="str">
        <f>IF(L842="",IF(ISNUMBER(SEARCH("NOT NULL",UPPER(L$3))),"''","null"),SUBSTITUTE(VLOOKUP(L$2,convert!$A$1:$B$4,2,0),"@@@",L842))</f>
        <v>'g6'</v>
      </c>
      <c r="AB842" s="4" t="str">
        <f>IF(M842="",IF(ISNUMBER(SEARCH("NOT NULL",UPPER(M$3))),"''","null"),SUBSTITUTE(VLOOKUP(M$2,convert!$A$1:$B$4,2,0),"@@@",M842))</f>
        <v>null</v>
      </c>
      <c r="AC842" s="4" t="str">
        <f>IF(N842="",IF(ISNUMBER(SEARCH("NOT NULL",UPPER(N$3))),"''","null"),SUBSTITUTE(VLOOKUP(N$2,convert!$A$1:$B$4,2,0),"@@@",N842))</f>
        <v>null</v>
      </c>
      <c r="AD842" s="4" t="str">
        <f>IF(O842="",IF(ISNUMBER(SEARCH("NOT NULL",UPPER(O$3))),"''","null"),SUBSTITUTE(VLOOKUP(O$2,convert!$A$1:$B$4,2,0),"@@@",O842))</f>
        <v>TRUE</v>
      </c>
      <c r="AE842" s="4" t="str">
        <f t="shared" si="13"/>
        <v>    ('0689N01', 'ガメノデス', 72, 105, 115, 54, 86, 68, '', 'rock', 'water', 'g6', null, null, TRUE),</v>
      </c>
    </row>
    <row r="843" spans="1:31">
      <c r="A843" s="4" t="s">
        <v>1690</v>
      </c>
      <c r="B843" s="4" t="s">
        <v>1691</v>
      </c>
      <c r="C843" s="5">
        <v>50</v>
      </c>
      <c r="D843" s="5">
        <v>60</v>
      </c>
      <c r="E843" s="5">
        <v>60</v>
      </c>
      <c r="F843" s="5">
        <v>60</v>
      </c>
      <c r="G843" s="5">
        <v>60</v>
      </c>
      <c r="H843" s="5">
        <v>30</v>
      </c>
      <c r="I843" s="5"/>
      <c r="J843" s="4" t="s">
        <v>31</v>
      </c>
      <c r="K843" s="4" t="s">
        <v>55</v>
      </c>
      <c r="L843" s="4" t="s">
        <v>39</v>
      </c>
      <c r="M843" s="5"/>
      <c r="N843" s="5"/>
      <c r="O843" s="5" t="b">
        <v>1</v>
      </c>
      <c r="P843" s="4" t="str">
        <f>IF(A843="",IF(ISNUMBER(SEARCH("NOT NULL",UPPER(A$3))),"''","null"),SUBSTITUTE(VLOOKUP(A$2,convert!$A$1:$B$4,2,0),"@@@",A843))</f>
        <v>'0690N01'</v>
      </c>
      <c r="Q843" s="4" t="str">
        <f>IF(B843="",IF(ISNUMBER(SEARCH("NOT NULL",UPPER(B$3))),"''","null"),SUBSTITUTE(VLOOKUP(B$2,convert!$A$1:$B$4,2,0),"@@@",B843))</f>
        <v>'クズモー'</v>
      </c>
      <c r="R843" s="4" t="str">
        <f>IF(C843="",IF(ISNUMBER(SEARCH("NOT NULL",UPPER(C$3))),"''","null"),SUBSTITUTE(VLOOKUP(C$2,convert!$A$1:$B$4,2,0),"@@@",C843))</f>
        <v>50</v>
      </c>
      <c r="S843" s="4" t="str">
        <f>IF(D843="",IF(ISNUMBER(SEARCH("NOT NULL",UPPER(D$3))),"''","null"),SUBSTITUTE(VLOOKUP(D$2,convert!$A$1:$B$4,2,0),"@@@",D843))</f>
        <v>60</v>
      </c>
      <c r="T843" s="4" t="str">
        <f>IF(E843="",IF(ISNUMBER(SEARCH("NOT NULL",UPPER(E$3))),"''","null"),SUBSTITUTE(VLOOKUP(E$2,convert!$A$1:$B$4,2,0),"@@@",E843))</f>
        <v>60</v>
      </c>
      <c r="U843" s="4" t="str">
        <f>IF(F843="",IF(ISNUMBER(SEARCH("NOT NULL",UPPER(F$3))),"''","null"),SUBSTITUTE(VLOOKUP(F$2,convert!$A$1:$B$4,2,0),"@@@",F843))</f>
        <v>60</v>
      </c>
      <c r="V843" s="4" t="str">
        <f>IF(G843="",IF(ISNUMBER(SEARCH("NOT NULL",UPPER(G$3))),"''","null"),SUBSTITUTE(VLOOKUP(G$2,convert!$A$1:$B$4,2,0),"@@@",G843))</f>
        <v>60</v>
      </c>
      <c r="W843" s="4" t="str">
        <f>IF(H843="",IF(ISNUMBER(SEARCH("NOT NULL",UPPER(H$3))),"''","null"),SUBSTITUTE(VLOOKUP(H$2,convert!$A$1:$B$4,2,0),"@@@",H843))</f>
        <v>30</v>
      </c>
      <c r="X843" s="4" t="str">
        <f>IF(I843="",IF(ISNUMBER(SEARCH("NOT NULL",UPPER(I$3))),"''","null"),SUBSTITUTE(VLOOKUP(I$2,convert!$A$1:$B$4,2,0),"@@@",I843))</f>
        <v>''</v>
      </c>
      <c r="Y843" s="4" t="str">
        <f>IF(J843="",IF(ISNUMBER(SEARCH("NOT NULL",UPPER(J$3))),"''","null"),SUBSTITUTE(VLOOKUP(J$2,convert!$A$1:$B$4,2,0),"@@@",J843))</f>
        <v>'poison'</v>
      </c>
      <c r="Z843" s="4" t="str">
        <f>IF(K843="",IF(ISNUMBER(SEARCH("NOT NULL",UPPER(K$3))),"''","null"),SUBSTITUTE(VLOOKUP(K$2,convert!$A$1:$B$4,2,0),"@@@",K843))</f>
        <v>'water'</v>
      </c>
      <c r="AA843" s="4" t="str">
        <f>IF(L843="",IF(ISNUMBER(SEARCH("NOT NULL",UPPER(L$3))),"''","null"),SUBSTITUTE(VLOOKUP(L$2,convert!$A$1:$B$4,2,0),"@@@",L843))</f>
        <v>'g6'</v>
      </c>
      <c r="AB843" s="4" t="str">
        <f>IF(M843="",IF(ISNUMBER(SEARCH("NOT NULL",UPPER(M$3))),"''","null"),SUBSTITUTE(VLOOKUP(M$2,convert!$A$1:$B$4,2,0),"@@@",M843))</f>
        <v>null</v>
      </c>
      <c r="AC843" s="4" t="str">
        <f>IF(N843="",IF(ISNUMBER(SEARCH("NOT NULL",UPPER(N$3))),"''","null"),SUBSTITUTE(VLOOKUP(N$2,convert!$A$1:$B$4,2,0),"@@@",N843))</f>
        <v>null</v>
      </c>
      <c r="AD843" s="4" t="str">
        <f>IF(O843="",IF(ISNUMBER(SEARCH("NOT NULL",UPPER(O$3))),"''","null"),SUBSTITUTE(VLOOKUP(O$2,convert!$A$1:$B$4,2,0),"@@@",O843))</f>
        <v>TRUE</v>
      </c>
      <c r="AE843" s="4" t="str">
        <f t="shared" si="13"/>
        <v>    ('0690N01', 'クズモー', 50, 60, 60, 60, 60, 30, '', 'poison', 'water', 'g6', null, null, TRUE),</v>
      </c>
    </row>
    <row r="844" spans="1:31">
      <c r="A844" s="4" t="s">
        <v>1692</v>
      </c>
      <c r="B844" s="4" t="s">
        <v>1693</v>
      </c>
      <c r="C844" s="5">
        <v>65</v>
      </c>
      <c r="D844" s="5">
        <v>75</v>
      </c>
      <c r="E844" s="5">
        <v>90</v>
      </c>
      <c r="F844" s="5">
        <v>97</v>
      </c>
      <c r="G844" s="5">
        <v>123</v>
      </c>
      <c r="H844" s="5">
        <v>44</v>
      </c>
      <c r="I844" s="5"/>
      <c r="J844" s="4" t="s">
        <v>31</v>
      </c>
      <c r="K844" s="4" t="s">
        <v>50</v>
      </c>
      <c r="L844" s="4" t="s">
        <v>39</v>
      </c>
      <c r="M844" s="5"/>
      <c r="N844" s="5"/>
      <c r="O844" s="5" t="b">
        <v>1</v>
      </c>
      <c r="P844" s="4" t="str">
        <f>IF(A844="",IF(ISNUMBER(SEARCH("NOT NULL",UPPER(A$3))),"''","null"),SUBSTITUTE(VLOOKUP(A$2,convert!$A$1:$B$4,2,0),"@@@",A844))</f>
        <v>'0691N01'</v>
      </c>
      <c r="Q844" s="4" t="str">
        <f>IF(B844="",IF(ISNUMBER(SEARCH("NOT NULL",UPPER(B$3))),"''","null"),SUBSTITUTE(VLOOKUP(B$2,convert!$A$1:$B$4,2,0),"@@@",B844))</f>
        <v>'ドラミドロ'</v>
      </c>
      <c r="R844" s="4" t="str">
        <f>IF(C844="",IF(ISNUMBER(SEARCH("NOT NULL",UPPER(C$3))),"''","null"),SUBSTITUTE(VLOOKUP(C$2,convert!$A$1:$B$4,2,0),"@@@",C844))</f>
        <v>65</v>
      </c>
      <c r="S844" s="4" t="str">
        <f>IF(D844="",IF(ISNUMBER(SEARCH("NOT NULL",UPPER(D$3))),"''","null"),SUBSTITUTE(VLOOKUP(D$2,convert!$A$1:$B$4,2,0),"@@@",D844))</f>
        <v>75</v>
      </c>
      <c r="T844" s="4" t="str">
        <f>IF(E844="",IF(ISNUMBER(SEARCH("NOT NULL",UPPER(E$3))),"''","null"),SUBSTITUTE(VLOOKUP(E$2,convert!$A$1:$B$4,2,0),"@@@",E844))</f>
        <v>90</v>
      </c>
      <c r="U844" s="4" t="str">
        <f>IF(F844="",IF(ISNUMBER(SEARCH("NOT NULL",UPPER(F$3))),"''","null"),SUBSTITUTE(VLOOKUP(F$2,convert!$A$1:$B$4,2,0),"@@@",F844))</f>
        <v>97</v>
      </c>
      <c r="V844" s="4" t="str">
        <f>IF(G844="",IF(ISNUMBER(SEARCH("NOT NULL",UPPER(G$3))),"''","null"),SUBSTITUTE(VLOOKUP(G$2,convert!$A$1:$B$4,2,0),"@@@",G844))</f>
        <v>123</v>
      </c>
      <c r="W844" s="4" t="str">
        <f>IF(H844="",IF(ISNUMBER(SEARCH("NOT NULL",UPPER(H$3))),"''","null"),SUBSTITUTE(VLOOKUP(H$2,convert!$A$1:$B$4,2,0),"@@@",H844))</f>
        <v>44</v>
      </c>
      <c r="X844" s="4" t="str">
        <f>IF(I844="",IF(ISNUMBER(SEARCH("NOT NULL",UPPER(I$3))),"''","null"),SUBSTITUTE(VLOOKUP(I$2,convert!$A$1:$B$4,2,0),"@@@",I844))</f>
        <v>''</v>
      </c>
      <c r="Y844" s="4" t="str">
        <f>IF(J844="",IF(ISNUMBER(SEARCH("NOT NULL",UPPER(J$3))),"''","null"),SUBSTITUTE(VLOOKUP(J$2,convert!$A$1:$B$4,2,0),"@@@",J844))</f>
        <v>'poison'</v>
      </c>
      <c r="Z844" s="4" t="str">
        <f>IF(K844="",IF(ISNUMBER(SEARCH("NOT NULL",UPPER(K$3))),"''","null"),SUBSTITUTE(VLOOKUP(K$2,convert!$A$1:$B$4,2,0),"@@@",K844))</f>
        <v>'dragon'</v>
      </c>
      <c r="AA844" s="4" t="str">
        <f>IF(L844="",IF(ISNUMBER(SEARCH("NOT NULL",UPPER(L$3))),"''","null"),SUBSTITUTE(VLOOKUP(L$2,convert!$A$1:$B$4,2,0),"@@@",L844))</f>
        <v>'g6'</v>
      </c>
      <c r="AB844" s="4" t="str">
        <f>IF(M844="",IF(ISNUMBER(SEARCH("NOT NULL",UPPER(M$3))),"''","null"),SUBSTITUTE(VLOOKUP(M$2,convert!$A$1:$B$4,2,0),"@@@",M844))</f>
        <v>null</v>
      </c>
      <c r="AC844" s="4" t="str">
        <f>IF(N844="",IF(ISNUMBER(SEARCH("NOT NULL",UPPER(N$3))),"''","null"),SUBSTITUTE(VLOOKUP(N$2,convert!$A$1:$B$4,2,0),"@@@",N844))</f>
        <v>null</v>
      </c>
      <c r="AD844" s="4" t="str">
        <f>IF(O844="",IF(ISNUMBER(SEARCH("NOT NULL",UPPER(O$3))),"''","null"),SUBSTITUTE(VLOOKUP(O$2,convert!$A$1:$B$4,2,0),"@@@",O844))</f>
        <v>TRUE</v>
      </c>
      <c r="AE844" s="4" t="str">
        <f t="shared" si="13"/>
        <v>    ('0691N01', 'ドラミドロ', 65, 75, 90, 97, 123, 44, '', 'poison', 'dragon', 'g6', null, null, TRUE),</v>
      </c>
    </row>
    <row r="845" spans="1:31">
      <c r="A845" s="4" t="s">
        <v>1694</v>
      </c>
      <c r="B845" s="4" t="s">
        <v>1695</v>
      </c>
      <c r="C845" s="5">
        <v>50</v>
      </c>
      <c r="D845" s="5">
        <v>53</v>
      </c>
      <c r="E845" s="5">
        <v>62</v>
      </c>
      <c r="F845" s="5">
        <v>58</v>
      </c>
      <c r="G845" s="5">
        <v>63</v>
      </c>
      <c r="H845" s="5">
        <v>44</v>
      </c>
      <c r="I845" s="5"/>
      <c r="J845" s="4" t="s">
        <v>55</v>
      </c>
      <c r="K845" s="5"/>
      <c r="L845" s="4" t="s">
        <v>39</v>
      </c>
      <c r="M845" s="5"/>
      <c r="N845" s="5"/>
      <c r="O845" s="5" t="b">
        <v>1</v>
      </c>
      <c r="P845" s="4" t="str">
        <f>IF(A845="",IF(ISNUMBER(SEARCH("NOT NULL",UPPER(A$3))),"''","null"),SUBSTITUTE(VLOOKUP(A$2,convert!$A$1:$B$4,2,0),"@@@",A845))</f>
        <v>'0692N01'</v>
      </c>
      <c r="Q845" s="4" t="str">
        <f>IF(B845="",IF(ISNUMBER(SEARCH("NOT NULL",UPPER(B$3))),"''","null"),SUBSTITUTE(VLOOKUP(B$2,convert!$A$1:$B$4,2,0),"@@@",B845))</f>
        <v>'ウデッポウ'</v>
      </c>
      <c r="R845" s="4" t="str">
        <f>IF(C845="",IF(ISNUMBER(SEARCH("NOT NULL",UPPER(C$3))),"''","null"),SUBSTITUTE(VLOOKUP(C$2,convert!$A$1:$B$4,2,0),"@@@",C845))</f>
        <v>50</v>
      </c>
      <c r="S845" s="4" t="str">
        <f>IF(D845="",IF(ISNUMBER(SEARCH("NOT NULL",UPPER(D$3))),"''","null"),SUBSTITUTE(VLOOKUP(D$2,convert!$A$1:$B$4,2,0),"@@@",D845))</f>
        <v>53</v>
      </c>
      <c r="T845" s="4" t="str">
        <f>IF(E845="",IF(ISNUMBER(SEARCH("NOT NULL",UPPER(E$3))),"''","null"),SUBSTITUTE(VLOOKUP(E$2,convert!$A$1:$B$4,2,0),"@@@",E845))</f>
        <v>62</v>
      </c>
      <c r="U845" s="4" t="str">
        <f>IF(F845="",IF(ISNUMBER(SEARCH("NOT NULL",UPPER(F$3))),"''","null"),SUBSTITUTE(VLOOKUP(F$2,convert!$A$1:$B$4,2,0),"@@@",F845))</f>
        <v>58</v>
      </c>
      <c r="V845" s="4" t="str">
        <f>IF(G845="",IF(ISNUMBER(SEARCH("NOT NULL",UPPER(G$3))),"''","null"),SUBSTITUTE(VLOOKUP(G$2,convert!$A$1:$B$4,2,0),"@@@",G845))</f>
        <v>63</v>
      </c>
      <c r="W845" s="4" t="str">
        <f>IF(H845="",IF(ISNUMBER(SEARCH("NOT NULL",UPPER(H$3))),"''","null"),SUBSTITUTE(VLOOKUP(H$2,convert!$A$1:$B$4,2,0),"@@@",H845))</f>
        <v>44</v>
      </c>
      <c r="X845" s="4" t="str">
        <f>IF(I845="",IF(ISNUMBER(SEARCH("NOT NULL",UPPER(I$3))),"''","null"),SUBSTITUTE(VLOOKUP(I$2,convert!$A$1:$B$4,2,0),"@@@",I845))</f>
        <v>''</v>
      </c>
      <c r="Y845" s="4" t="str">
        <f>IF(J845="",IF(ISNUMBER(SEARCH("NOT NULL",UPPER(J$3))),"''","null"),SUBSTITUTE(VLOOKUP(J$2,convert!$A$1:$B$4,2,0),"@@@",J845))</f>
        <v>'water'</v>
      </c>
      <c r="Z845" s="4" t="str">
        <f>IF(K845="",IF(ISNUMBER(SEARCH("NOT NULL",UPPER(K$3))),"''","null"),SUBSTITUTE(VLOOKUP(K$2,convert!$A$1:$B$4,2,0),"@@@",K845))</f>
        <v>null</v>
      </c>
      <c r="AA845" s="4" t="str">
        <f>IF(L845="",IF(ISNUMBER(SEARCH("NOT NULL",UPPER(L$3))),"''","null"),SUBSTITUTE(VLOOKUP(L$2,convert!$A$1:$B$4,2,0),"@@@",L845))</f>
        <v>'g6'</v>
      </c>
      <c r="AB845" s="4" t="str">
        <f>IF(M845="",IF(ISNUMBER(SEARCH("NOT NULL",UPPER(M$3))),"''","null"),SUBSTITUTE(VLOOKUP(M$2,convert!$A$1:$B$4,2,0),"@@@",M845))</f>
        <v>null</v>
      </c>
      <c r="AC845" s="4" t="str">
        <f>IF(N845="",IF(ISNUMBER(SEARCH("NOT NULL",UPPER(N$3))),"''","null"),SUBSTITUTE(VLOOKUP(N$2,convert!$A$1:$B$4,2,0),"@@@",N845))</f>
        <v>null</v>
      </c>
      <c r="AD845" s="4" t="str">
        <f>IF(O845="",IF(ISNUMBER(SEARCH("NOT NULL",UPPER(O$3))),"''","null"),SUBSTITUTE(VLOOKUP(O$2,convert!$A$1:$B$4,2,0),"@@@",O845))</f>
        <v>TRUE</v>
      </c>
      <c r="AE845" s="4" t="str">
        <f t="shared" si="13"/>
        <v>    ('0692N01', 'ウデッポウ', 50, 53, 62, 58, 63, 44, '', 'water', null, 'g6', null, null, TRUE),</v>
      </c>
    </row>
    <row r="846" spans="1:31">
      <c r="A846" s="4" t="s">
        <v>1696</v>
      </c>
      <c r="B846" s="4" t="s">
        <v>1697</v>
      </c>
      <c r="C846" s="5">
        <v>71</v>
      </c>
      <c r="D846" s="5">
        <v>73</v>
      </c>
      <c r="E846" s="5">
        <v>88</v>
      </c>
      <c r="F846" s="5">
        <v>120</v>
      </c>
      <c r="G846" s="5">
        <v>89</v>
      </c>
      <c r="H846" s="5">
        <v>59</v>
      </c>
      <c r="I846" s="5"/>
      <c r="J846" s="4" t="s">
        <v>55</v>
      </c>
      <c r="K846" s="5"/>
      <c r="L846" s="4" t="s">
        <v>39</v>
      </c>
      <c r="M846" s="5"/>
      <c r="N846" s="5"/>
      <c r="O846" s="5" t="b">
        <v>1</v>
      </c>
      <c r="P846" s="4" t="str">
        <f>IF(A846="",IF(ISNUMBER(SEARCH("NOT NULL",UPPER(A$3))),"''","null"),SUBSTITUTE(VLOOKUP(A$2,convert!$A$1:$B$4,2,0),"@@@",A846))</f>
        <v>'0693N01'</v>
      </c>
      <c r="Q846" s="4" t="str">
        <f>IF(B846="",IF(ISNUMBER(SEARCH("NOT NULL",UPPER(B$3))),"''","null"),SUBSTITUTE(VLOOKUP(B$2,convert!$A$1:$B$4,2,0),"@@@",B846))</f>
        <v>'ブロスター'</v>
      </c>
      <c r="R846" s="4" t="str">
        <f>IF(C846="",IF(ISNUMBER(SEARCH("NOT NULL",UPPER(C$3))),"''","null"),SUBSTITUTE(VLOOKUP(C$2,convert!$A$1:$B$4,2,0),"@@@",C846))</f>
        <v>71</v>
      </c>
      <c r="S846" s="4" t="str">
        <f>IF(D846="",IF(ISNUMBER(SEARCH("NOT NULL",UPPER(D$3))),"''","null"),SUBSTITUTE(VLOOKUP(D$2,convert!$A$1:$B$4,2,0),"@@@",D846))</f>
        <v>73</v>
      </c>
      <c r="T846" s="4" t="str">
        <f>IF(E846="",IF(ISNUMBER(SEARCH("NOT NULL",UPPER(E$3))),"''","null"),SUBSTITUTE(VLOOKUP(E$2,convert!$A$1:$B$4,2,0),"@@@",E846))</f>
        <v>88</v>
      </c>
      <c r="U846" s="4" t="str">
        <f>IF(F846="",IF(ISNUMBER(SEARCH("NOT NULL",UPPER(F$3))),"''","null"),SUBSTITUTE(VLOOKUP(F$2,convert!$A$1:$B$4,2,0),"@@@",F846))</f>
        <v>120</v>
      </c>
      <c r="V846" s="4" t="str">
        <f>IF(G846="",IF(ISNUMBER(SEARCH("NOT NULL",UPPER(G$3))),"''","null"),SUBSTITUTE(VLOOKUP(G$2,convert!$A$1:$B$4,2,0),"@@@",G846))</f>
        <v>89</v>
      </c>
      <c r="W846" s="4" t="str">
        <f>IF(H846="",IF(ISNUMBER(SEARCH("NOT NULL",UPPER(H$3))),"''","null"),SUBSTITUTE(VLOOKUP(H$2,convert!$A$1:$B$4,2,0),"@@@",H846))</f>
        <v>59</v>
      </c>
      <c r="X846" s="4" t="str">
        <f>IF(I846="",IF(ISNUMBER(SEARCH("NOT NULL",UPPER(I$3))),"''","null"),SUBSTITUTE(VLOOKUP(I$2,convert!$A$1:$B$4,2,0),"@@@",I846))</f>
        <v>''</v>
      </c>
      <c r="Y846" s="4" t="str">
        <f>IF(J846="",IF(ISNUMBER(SEARCH("NOT NULL",UPPER(J$3))),"''","null"),SUBSTITUTE(VLOOKUP(J$2,convert!$A$1:$B$4,2,0),"@@@",J846))</f>
        <v>'water'</v>
      </c>
      <c r="Z846" s="4" t="str">
        <f>IF(K846="",IF(ISNUMBER(SEARCH("NOT NULL",UPPER(K$3))),"''","null"),SUBSTITUTE(VLOOKUP(K$2,convert!$A$1:$B$4,2,0),"@@@",K846))</f>
        <v>null</v>
      </c>
      <c r="AA846" s="4" t="str">
        <f>IF(L846="",IF(ISNUMBER(SEARCH("NOT NULL",UPPER(L$3))),"''","null"),SUBSTITUTE(VLOOKUP(L$2,convert!$A$1:$B$4,2,0),"@@@",L846))</f>
        <v>'g6'</v>
      </c>
      <c r="AB846" s="4" t="str">
        <f>IF(M846="",IF(ISNUMBER(SEARCH("NOT NULL",UPPER(M$3))),"''","null"),SUBSTITUTE(VLOOKUP(M$2,convert!$A$1:$B$4,2,0),"@@@",M846))</f>
        <v>null</v>
      </c>
      <c r="AC846" s="4" t="str">
        <f>IF(N846="",IF(ISNUMBER(SEARCH("NOT NULL",UPPER(N$3))),"''","null"),SUBSTITUTE(VLOOKUP(N$2,convert!$A$1:$B$4,2,0),"@@@",N846))</f>
        <v>null</v>
      </c>
      <c r="AD846" s="4" t="str">
        <f>IF(O846="",IF(ISNUMBER(SEARCH("NOT NULL",UPPER(O$3))),"''","null"),SUBSTITUTE(VLOOKUP(O$2,convert!$A$1:$B$4,2,0),"@@@",O846))</f>
        <v>TRUE</v>
      </c>
      <c r="AE846" s="4" t="str">
        <f t="shared" si="13"/>
        <v>    ('0693N01', 'ブロスター', 71, 73, 88, 120, 89, 59, '', 'water', null, 'g6', null, null, TRUE),</v>
      </c>
    </row>
    <row r="847" spans="1:31">
      <c r="A847" s="4" t="s">
        <v>1698</v>
      </c>
      <c r="B847" s="4" t="s">
        <v>1699</v>
      </c>
      <c r="C847" s="5">
        <v>44</v>
      </c>
      <c r="D847" s="5">
        <v>38</v>
      </c>
      <c r="E847" s="5">
        <v>33</v>
      </c>
      <c r="F847" s="5">
        <v>61</v>
      </c>
      <c r="G847" s="5">
        <v>43</v>
      </c>
      <c r="H847" s="5">
        <v>70</v>
      </c>
      <c r="I847" s="5"/>
      <c r="J847" s="4" t="s">
        <v>106</v>
      </c>
      <c r="K847" s="4" t="s">
        <v>80</v>
      </c>
      <c r="L847" s="4" t="s">
        <v>39</v>
      </c>
      <c r="M847" s="5"/>
      <c r="N847" s="5"/>
      <c r="O847" s="5" t="b">
        <v>1</v>
      </c>
      <c r="P847" s="4" t="str">
        <f>IF(A847="",IF(ISNUMBER(SEARCH("NOT NULL",UPPER(A$3))),"''","null"),SUBSTITUTE(VLOOKUP(A$2,convert!$A$1:$B$4,2,0),"@@@",A847))</f>
        <v>'0694N01'</v>
      </c>
      <c r="Q847" s="4" t="str">
        <f>IF(B847="",IF(ISNUMBER(SEARCH("NOT NULL",UPPER(B$3))),"''","null"),SUBSTITUTE(VLOOKUP(B$2,convert!$A$1:$B$4,2,0),"@@@",B847))</f>
        <v>'エリキテル'</v>
      </c>
      <c r="R847" s="4" t="str">
        <f>IF(C847="",IF(ISNUMBER(SEARCH("NOT NULL",UPPER(C$3))),"''","null"),SUBSTITUTE(VLOOKUP(C$2,convert!$A$1:$B$4,2,0),"@@@",C847))</f>
        <v>44</v>
      </c>
      <c r="S847" s="4" t="str">
        <f>IF(D847="",IF(ISNUMBER(SEARCH("NOT NULL",UPPER(D$3))),"''","null"),SUBSTITUTE(VLOOKUP(D$2,convert!$A$1:$B$4,2,0),"@@@",D847))</f>
        <v>38</v>
      </c>
      <c r="T847" s="4" t="str">
        <f>IF(E847="",IF(ISNUMBER(SEARCH("NOT NULL",UPPER(E$3))),"''","null"),SUBSTITUTE(VLOOKUP(E$2,convert!$A$1:$B$4,2,0),"@@@",E847))</f>
        <v>33</v>
      </c>
      <c r="U847" s="4" t="str">
        <f>IF(F847="",IF(ISNUMBER(SEARCH("NOT NULL",UPPER(F$3))),"''","null"),SUBSTITUTE(VLOOKUP(F$2,convert!$A$1:$B$4,2,0),"@@@",F847))</f>
        <v>61</v>
      </c>
      <c r="V847" s="4" t="str">
        <f>IF(G847="",IF(ISNUMBER(SEARCH("NOT NULL",UPPER(G$3))),"''","null"),SUBSTITUTE(VLOOKUP(G$2,convert!$A$1:$B$4,2,0),"@@@",G847))</f>
        <v>43</v>
      </c>
      <c r="W847" s="4" t="str">
        <f>IF(H847="",IF(ISNUMBER(SEARCH("NOT NULL",UPPER(H$3))),"''","null"),SUBSTITUTE(VLOOKUP(H$2,convert!$A$1:$B$4,2,0),"@@@",H847))</f>
        <v>70</v>
      </c>
      <c r="X847" s="4" t="str">
        <f>IF(I847="",IF(ISNUMBER(SEARCH("NOT NULL",UPPER(I$3))),"''","null"),SUBSTITUTE(VLOOKUP(I$2,convert!$A$1:$B$4,2,0),"@@@",I847))</f>
        <v>''</v>
      </c>
      <c r="Y847" s="4" t="str">
        <f>IF(J847="",IF(ISNUMBER(SEARCH("NOT NULL",UPPER(J$3))),"''","null"),SUBSTITUTE(VLOOKUP(J$2,convert!$A$1:$B$4,2,0),"@@@",J847))</f>
        <v>'electric'</v>
      </c>
      <c r="Z847" s="4" t="str">
        <f>IF(K847="",IF(ISNUMBER(SEARCH("NOT NULL",UPPER(K$3))),"''","null"),SUBSTITUTE(VLOOKUP(K$2,convert!$A$1:$B$4,2,0),"@@@",K847))</f>
        <v>'normal'</v>
      </c>
      <c r="AA847" s="4" t="str">
        <f>IF(L847="",IF(ISNUMBER(SEARCH("NOT NULL",UPPER(L$3))),"''","null"),SUBSTITUTE(VLOOKUP(L$2,convert!$A$1:$B$4,2,0),"@@@",L847))</f>
        <v>'g6'</v>
      </c>
      <c r="AB847" s="4" t="str">
        <f>IF(M847="",IF(ISNUMBER(SEARCH("NOT NULL",UPPER(M$3))),"''","null"),SUBSTITUTE(VLOOKUP(M$2,convert!$A$1:$B$4,2,0),"@@@",M847))</f>
        <v>null</v>
      </c>
      <c r="AC847" s="4" t="str">
        <f>IF(N847="",IF(ISNUMBER(SEARCH("NOT NULL",UPPER(N$3))),"''","null"),SUBSTITUTE(VLOOKUP(N$2,convert!$A$1:$B$4,2,0),"@@@",N847))</f>
        <v>null</v>
      </c>
      <c r="AD847" s="4" t="str">
        <f>IF(O847="",IF(ISNUMBER(SEARCH("NOT NULL",UPPER(O$3))),"''","null"),SUBSTITUTE(VLOOKUP(O$2,convert!$A$1:$B$4,2,0),"@@@",O847))</f>
        <v>TRUE</v>
      </c>
      <c r="AE847" s="4" t="str">
        <f t="shared" si="13"/>
        <v>    ('0694N01', 'エリキテル', 44, 38, 33, 61, 43, 70, '', 'electric', 'normal', 'g6', null, null, TRUE),</v>
      </c>
    </row>
    <row r="848" spans="1:31">
      <c r="A848" s="4" t="s">
        <v>1700</v>
      </c>
      <c r="B848" s="4" t="s">
        <v>1701</v>
      </c>
      <c r="C848" s="5">
        <v>62</v>
      </c>
      <c r="D848" s="5">
        <v>55</v>
      </c>
      <c r="E848" s="5">
        <v>52</v>
      </c>
      <c r="F848" s="5">
        <v>109</v>
      </c>
      <c r="G848" s="5">
        <v>94</v>
      </c>
      <c r="H848" s="5">
        <v>109</v>
      </c>
      <c r="I848" s="5"/>
      <c r="J848" s="4" t="s">
        <v>106</v>
      </c>
      <c r="K848" s="4" t="s">
        <v>80</v>
      </c>
      <c r="L848" s="4" t="s">
        <v>39</v>
      </c>
      <c r="M848" s="5"/>
      <c r="N848" s="5"/>
      <c r="O848" s="5" t="b">
        <v>1</v>
      </c>
      <c r="P848" s="4" t="str">
        <f>IF(A848="",IF(ISNUMBER(SEARCH("NOT NULL",UPPER(A$3))),"''","null"),SUBSTITUTE(VLOOKUP(A$2,convert!$A$1:$B$4,2,0),"@@@",A848))</f>
        <v>'0695N01'</v>
      </c>
      <c r="Q848" s="4" t="str">
        <f>IF(B848="",IF(ISNUMBER(SEARCH("NOT NULL",UPPER(B$3))),"''","null"),SUBSTITUTE(VLOOKUP(B$2,convert!$A$1:$B$4,2,0),"@@@",B848))</f>
        <v>'エレザード'</v>
      </c>
      <c r="R848" s="4" t="str">
        <f>IF(C848="",IF(ISNUMBER(SEARCH("NOT NULL",UPPER(C$3))),"''","null"),SUBSTITUTE(VLOOKUP(C$2,convert!$A$1:$B$4,2,0),"@@@",C848))</f>
        <v>62</v>
      </c>
      <c r="S848" s="4" t="str">
        <f>IF(D848="",IF(ISNUMBER(SEARCH("NOT NULL",UPPER(D$3))),"''","null"),SUBSTITUTE(VLOOKUP(D$2,convert!$A$1:$B$4,2,0),"@@@",D848))</f>
        <v>55</v>
      </c>
      <c r="T848" s="4" t="str">
        <f>IF(E848="",IF(ISNUMBER(SEARCH("NOT NULL",UPPER(E$3))),"''","null"),SUBSTITUTE(VLOOKUP(E$2,convert!$A$1:$B$4,2,0),"@@@",E848))</f>
        <v>52</v>
      </c>
      <c r="U848" s="4" t="str">
        <f>IF(F848="",IF(ISNUMBER(SEARCH("NOT NULL",UPPER(F$3))),"''","null"),SUBSTITUTE(VLOOKUP(F$2,convert!$A$1:$B$4,2,0),"@@@",F848))</f>
        <v>109</v>
      </c>
      <c r="V848" s="4" t="str">
        <f>IF(G848="",IF(ISNUMBER(SEARCH("NOT NULL",UPPER(G$3))),"''","null"),SUBSTITUTE(VLOOKUP(G$2,convert!$A$1:$B$4,2,0),"@@@",G848))</f>
        <v>94</v>
      </c>
      <c r="W848" s="4" t="str">
        <f>IF(H848="",IF(ISNUMBER(SEARCH("NOT NULL",UPPER(H$3))),"''","null"),SUBSTITUTE(VLOOKUP(H$2,convert!$A$1:$B$4,2,0),"@@@",H848))</f>
        <v>109</v>
      </c>
      <c r="X848" s="4" t="str">
        <f>IF(I848="",IF(ISNUMBER(SEARCH("NOT NULL",UPPER(I$3))),"''","null"),SUBSTITUTE(VLOOKUP(I$2,convert!$A$1:$B$4,2,0),"@@@",I848))</f>
        <v>''</v>
      </c>
      <c r="Y848" s="4" t="str">
        <f>IF(J848="",IF(ISNUMBER(SEARCH("NOT NULL",UPPER(J$3))),"''","null"),SUBSTITUTE(VLOOKUP(J$2,convert!$A$1:$B$4,2,0),"@@@",J848))</f>
        <v>'electric'</v>
      </c>
      <c r="Z848" s="4" t="str">
        <f>IF(K848="",IF(ISNUMBER(SEARCH("NOT NULL",UPPER(K$3))),"''","null"),SUBSTITUTE(VLOOKUP(K$2,convert!$A$1:$B$4,2,0),"@@@",K848))</f>
        <v>'normal'</v>
      </c>
      <c r="AA848" s="4" t="str">
        <f>IF(L848="",IF(ISNUMBER(SEARCH("NOT NULL",UPPER(L$3))),"''","null"),SUBSTITUTE(VLOOKUP(L$2,convert!$A$1:$B$4,2,0),"@@@",L848))</f>
        <v>'g6'</v>
      </c>
      <c r="AB848" s="4" t="str">
        <f>IF(M848="",IF(ISNUMBER(SEARCH("NOT NULL",UPPER(M$3))),"''","null"),SUBSTITUTE(VLOOKUP(M$2,convert!$A$1:$B$4,2,0),"@@@",M848))</f>
        <v>null</v>
      </c>
      <c r="AC848" s="4" t="str">
        <f>IF(N848="",IF(ISNUMBER(SEARCH("NOT NULL",UPPER(N$3))),"''","null"),SUBSTITUTE(VLOOKUP(N$2,convert!$A$1:$B$4,2,0),"@@@",N848))</f>
        <v>null</v>
      </c>
      <c r="AD848" s="4" t="str">
        <f>IF(O848="",IF(ISNUMBER(SEARCH("NOT NULL",UPPER(O$3))),"''","null"),SUBSTITUTE(VLOOKUP(O$2,convert!$A$1:$B$4,2,0),"@@@",O848))</f>
        <v>TRUE</v>
      </c>
      <c r="AE848" s="4" t="str">
        <f t="shared" si="13"/>
        <v>    ('0695N01', 'エレザード', 62, 55, 52, 109, 94, 109, '', 'electric', 'normal', 'g6', null, null, TRUE),</v>
      </c>
    </row>
    <row r="849" spans="1:31">
      <c r="A849" s="4" t="s">
        <v>1702</v>
      </c>
      <c r="B849" s="4" t="s">
        <v>1703</v>
      </c>
      <c r="C849" s="5">
        <v>58</v>
      </c>
      <c r="D849" s="5">
        <v>89</v>
      </c>
      <c r="E849" s="5">
        <v>77</v>
      </c>
      <c r="F849" s="5">
        <v>45</v>
      </c>
      <c r="G849" s="5">
        <v>45</v>
      </c>
      <c r="H849" s="5">
        <v>48</v>
      </c>
      <c r="I849" s="5"/>
      <c r="J849" s="4" t="s">
        <v>196</v>
      </c>
      <c r="K849" s="4" t="s">
        <v>50</v>
      </c>
      <c r="L849" s="4" t="s">
        <v>39</v>
      </c>
      <c r="M849" s="5"/>
      <c r="N849" s="5"/>
      <c r="O849" s="5" t="b">
        <v>1</v>
      </c>
      <c r="P849" s="4" t="str">
        <f>IF(A849="",IF(ISNUMBER(SEARCH("NOT NULL",UPPER(A$3))),"''","null"),SUBSTITUTE(VLOOKUP(A$2,convert!$A$1:$B$4,2,0),"@@@",A849))</f>
        <v>'0696N01'</v>
      </c>
      <c r="Q849" s="4" t="str">
        <f>IF(B849="",IF(ISNUMBER(SEARCH("NOT NULL",UPPER(B$3))),"''","null"),SUBSTITUTE(VLOOKUP(B$2,convert!$A$1:$B$4,2,0),"@@@",B849))</f>
        <v>'チゴラス'</v>
      </c>
      <c r="R849" s="4" t="str">
        <f>IF(C849="",IF(ISNUMBER(SEARCH("NOT NULL",UPPER(C$3))),"''","null"),SUBSTITUTE(VLOOKUP(C$2,convert!$A$1:$B$4,2,0),"@@@",C849))</f>
        <v>58</v>
      </c>
      <c r="S849" s="4" t="str">
        <f>IF(D849="",IF(ISNUMBER(SEARCH("NOT NULL",UPPER(D$3))),"''","null"),SUBSTITUTE(VLOOKUP(D$2,convert!$A$1:$B$4,2,0),"@@@",D849))</f>
        <v>89</v>
      </c>
      <c r="T849" s="4" t="str">
        <f>IF(E849="",IF(ISNUMBER(SEARCH("NOT NULL",UPPER(E$3))),"''","null"),SUBSTITUTE(VLOOKUP(E$2,convert!$A$1:$B$4,2,0),"@@@",E849))</f>
        <v>77</v>
      </c>
      <c r="U849" s="4" t="str">
        <f>IF(F849="",IF(ISNUMBER(SEARCH("NOT NULL",UPPER(F$3))),"''","null"),SUBSTITUTE(VLOOKUP(F$2,convert!$A$1:$B$4,2,0),"@@@",F849))</f>
        <v>45</v>
      </c>
      <c r="V849" s="4" t="str">
        <f>IF(G849="",IF(ISNUMBER(SEARCH("NOT NULL",UPPER(G$3))),"''","null"),SUBSTITUTE(VLOOKUP(G$2,convert!$A$1:$B$4,2,0),"@@@",G849))</f>
        <v>45</v>
      </c>
      <c r="W849" s="4" t="str">
        <f>IF(H849="",IF(ISNUMBER(SEARCH("NOT NULL",UPPER(H$3))),"''","null"),SUBSTITUTE(VLOOKUP(H$2,convert!$A$1:$B$4,2,0),"@@@",H849))</f>
        <v>48</v>
      </c>
      <c r="X849" s="4" t="str">
        <f>IF(I849="",IF(ISNUMBER(SEARCH("NOT NULL",UPPER(I$3))),"''","null"),SUBSTITUTE(VLOOKUP(I$2,convert!$A$1:$B$4,2,0),"@@@",I849))</f>
        <v>''</v>
      </c>
      <c r="Y849" s="4" t="str">
        <f>IF(J849="",IF(ISNUMBER(SEARCH("NOT NULL",UPPER(J$3))),"''","null"),SUBSTITUTE(VLOOKUP(J$2,convert!$A$1:$B$4,2,0),"@@@",J849))</f>
        <v>'rock'</v>
      </c>
      <c r="Z849" s="4" t="str">
        <f>IF(K849="",IF(ISNUMBER(SEARCH("NOT NULL",UPPER(K$3))),"''","null"),SUBSTITUTE(VLOOKUP(K$2,convert!$A$1:$B$4,2,0),"@@@",K849))</f>
        <v>'dragon'</v>
      </c>
      <c r="AA849" s="4" t="str">
        <f>IF(L849="",IF(ISNUMBER(SEARCH("NOT NULL",UPPER(L$3))),"''","null"),SUBSTITUTE(VLOOKUP(L$2,convert!$A$1:$B$4,2,0),"@@@",L849))</f>
        <v>'g6'</v>
      </c>
      <c r="AB849" s="4" t="str">
        <f>IF(M849="",IF(ISNUMBER(SEARCH("NOT NULL",UPPER(M$3))),"''","null"),SUBSTITUTE(VLOOKUP(M$2,convert!$A$1:$B$4,2,0),"@@@",M849))</f>
        <v>null</v>
      </c>
      <c r="AC849" s="4" t="str">
        <f>IF(N849="",IF(ISNUMBER(SEARCH("NOT NULL",UPPER(N$3))),"''","null"),SUBSTITUTE(VLOOKUP(N$2,convert!$A$1:$B$4,2,0),"@@@",N849))</f>
        <v>null</v>
      </c>
      <c r="AD849" s="4" t="str">
        <f>IF(O849="",IF(ISNUMBER(SEARCH("NOT NULL",UPPER(O$3))),"''","null"),SUBSTITUTE(VLOOKUP(O$2,convert!$A$1:$B$4,2,0),"@@@",O849))</f>
        <v>TRUE</v>
      </c>
      <c r="AE849" s="4" t="str">
        <f t="shared" si="13"/>
        <v>    ('0696N01', 'チゴラス', 58, 89, 77, 45, 45, 48, '', 'rock', 'dragon', 'g6', null, null, TRUE),</v>
      </c>
    </row>
    <row r="850" spans="1:31">
      <c r="A850" s="4" t="s">
        <v>1704</v>
      </c>
      <c r="B850" s="4" t="s">
        <v>1705</v>
      </c>
      <c r="C850" s="5">
        <v>82</v>
      </c>
      <c r="D850" s="5">
        <v>121</v>
      </c>
      <c r="E850" s="5">
        <v>119</v>
      </c>
      <c r="F850" s="5">
        <v>69</v>
      </c>
      <c r="G850" s="5">
        <v>59</v>
      </c>
      <c r="H850" s="5">
        <v>71</v>
      </c>
      <c r="I850" s="5"/>
      <c r="J850" s="4" t="s">
        <v>196</v>
      </c>
      <c r="K850" s="4" t="s">
        <v>50</v>
      </c>
      <c r="L850" s="4" t="s">
        <v>39</v>
      </c>
      <c r="M850" s="5"/>
      <c r="N850" s="5"/>
      <c r="O850" s="5" t="b">
        <v>1</v>
      </c>
      <c r="P850" s="4" t="str">
        <f>IF(A850="",IF(ISNUMBER(SEARCH("NOT NULL",UPPER(A$3))),"''","null"),SUBSTITUTE(VLOOKUP(A$2,convert!$A$1:$B$4,2,0),"@@@",A850))</f>
        <v>'0697N01'</v>
      </c>
      <c r="Q850" s="4" t="str">
        <f>IF(B850="",IF(ISNUMBER(SEARCH("NOT NULL",UPPER(B$3))),"''","null"),SUBSTITUTE(VLOOKUP(B$2,convert!$A$1:$B$4,2,0),"@@@",B850))</f>
        <v>'ガチゴラス'</v>
      </c>
      <c r="R850" s="4" t="str">
        <f>IF(C850="",IF(ISNUMBER(SEARCH("NOT NULL",UPPER(C$3))),"''","null"),SUBSTITUTE(VLOOKUP(C$2,convert!$A$1:$B$4,2,0),"@@@",C850))</f>
        <v>82</v>
      </c>
      <c r="S850" s="4" t="str">
        <f>IF(D850="",IF(ISNUMBER(SEARCH("NOT NULL",UPPER(D$3))),"''","null"),SUBSTITUTE(VLOOKUP(D$2,convert!$A$1:$B$4,2,0),"@@@",D850))</f>
        <v>121</v>
      </c>
      <c r="T850" s="4" t="str">
        <f>IF(E850="",IF(ISNUMBER(SEARCH("NOT NULL",UPPER(E$3))),"''","null"),SUBSTITUTE(VLOOKUP(E$2,convert!$A$1:$B$4,2,0),"@@@",E850))</f>
        <v>119</v>
      </c>
      <c r="U850" s="4" t="str">
        <f>IF(F850="",IF(ISNUMBER(SEARCH("NOT NULL",UPPER(F$3))),"''","null"),SUBSTITUTE(VLOOKUP(F$2,convert!$A$1:$B$4,2,0),"@@@",F850))</f>
        <v>69</v>
      </c>
      <c r="V850" s="4" t="str">
        <f>IF(G850="",IF(ISNUMBER(SEARCH("NOT NULL",UPPER(G$3))),"''","null"),SUBSTITUTE(VLOOKUP(G$2,convert!$A$1:$B$4,2,0),"@@@",G850))</f>
        <v>59</v>
      </c>
      <c r="W850" s="4" t="str">
        <f>IF(H850="",IF(ISNUMBER(SEARCH("NOT NULL",UPPER(H$3))),"''","null"),SUBSTITUTE(VLOOKUP(H$2,convert!$A$1:$B$4,2,0),"@@@",H850))</f>
        <v>71</v>
      </c>
      <c r="X850" s="4" t="str">
        <f>IF(I850="",IF(ISNUMBER(SEARCH("NOT NULL",UPPER(I$3))),"''","null"),SUBSTITUTE(VLOOKUP(I$2,convert!$A$1:$B$4,2,0),"@@@",I850))</f>
        <v>''</v>
      </c>
      <c r="Y850" s="4" t="str">
        <f>IF(J850="",IF(ISNUMBER(SEARCH("NOT NULL",UPPER(J$3))),"''","null"),SUBSTITUTE(VLOOKUP(J$2,convert!$A$1:$B$4,2,0),"@@@",J850))</f>
        <v>'rock'</v>
      </c>
      <c r="Z850" s="4" t="str">
        <f>IF(K850="",IF(ISNUMBER(SEARCH("NOT NULL",UPPER(K$3))),"''","null"),SUBSTITUTE(VLOOKUP(K$2,convert!$A$1:$B$4,2,0),"@@@",K850))</f>
        <v>'dragon'</v>
      </c>
      <c r="AA850" s="4" t="str">
        <f>IF(L850="",IF(ISNUMBER(SEARCH("NOT NULL",UPPER(L$3))),"''","null"),SUBSTITUTE(VLOOKUP(L$2,convert!$A$1:$B$4,2,0),"@@@",L850))</f>
        <v>'g6'</v>
      </c>
      <c r="AB850" s="4" t="str">
        <f>IF(M850="",IF(ISNUMBER(SEARCH("NOT NULL",UPPER(M$3))),"''","null"),SUBSTITUTE(VLOOKUP(M$2,convert!$A$1:$B$4,2,0),"@@@",M850))</f>
        <v>null</v>
      </c>
      <c r="AC850" s="4" t="str">
        <f>IF(N850="",IF(ISNUMBER(SEARCH("NOT NULL",UPPER(N$3))),"''","null"),SUBSTITUTE(VLOOKUP(N$2,convert!$A$1:$B$4,2,0),"@@@",N850))</f>
        <v>null</v>
      </c>
      <c r="AD850" s="4" t="str">
        <f>IF(O850="",IF(ISNUMBER(SEARCH("NOT NULL",UPPER(O$3))),"''","null"),SUBSTITUTE(VLOOKUP(O$2,convert!$A$1:$B$4,2,0),"@@@",O850))</f>
        <v>TRUE</v>
      </c>
      <c r="AE850" s="4" t="str">
        <f t="shared" si="13"/>
        <v>    ('0697N01', 'ガチゴラス', 82, 121, 119, 69, 59, 71, '', 'rock', 'dragon', 'g6', null, null, TRUE),</v>
      </c>
    </row>
    <row r="851" spans="1:31">
      <c r="A851" s="4" t="s">
        <v>1706</v>
      </c>
      <c r="B851" s="4" t="s">
        <v>1707</v>
      </c>
      <c r="C851" s="5">
        <v>77</v>
      </c>
      <c r="D851" s="5">
        <v>59</v>
      </c>
      <c r="E851" s="5">
        <v>50</v>
      </c>
      <c r="F851" s="5">
        <v>67</v>
      </c>
      <c r="G851" s="5">
        <v>63</v>
      </c>
      <c r="H851" s="5">
        <v>46</v>
      </c>
      <c r="I851" s="5"/>
      <c r="J851" s="4" t="s">
        <v>196</v>
      </c>
      <c r="K851" s="4" t="s">
        <v>118</v>
      </c>
      <c r="L851" s="4" t="s">
        <v>39</v>
      </c>
      <c r="M851" s="5"/>
      <c r="N851" s="5"/>
      <c r="O851" s="5" t="b">
        <v>1</v>
      </c>
      <c r="P851" s="4" t="str">
        <f>IF(A851="",IF(ISNUMBER(SEARCH("NOT NULL",UPPER(A$3))),"''","null"),SUBSTITUTE(VLOOKUP(A$2,convert!$A$1:$B$4,2,0),"@@@",A851))</f>
        <v>'0698N01'</v>
      </c>
      <c r="Q851" s="4" t="str">
        <f>IF(B851="",IF(ISNUMBER(SEARCH("NOT NULL",UPPER(B$3))),"''","null"),SUBSTITUTE(VLOOKUP(B$2,convert!$A$1:$B$4,2,0),"@@@",B851))</f>
        <v>'アマルス'</v>
      </c>
      <c r="R851" s="4" t="str">
        <f>IF(C851="",IF(ISNUMBER(SEARCH("NOT NULL",UPPER(C$3))),"''","null"),SUBSTITUTE(VLOOKUP(C$2,convert!$A$1:$B$4,2,0),"@@@",C851))</f>
        <v>77</v>
      </c>
      <c r="S851" s="4" t="str">
        <f>IF(D851="",IF(ISNUMBER(SEARCH("NOT NULL",UPPER(D$3))),"''","null"),SUBSTITUTE(VLOOKUP(D$2,convert!$A$1:$B$4,2,0),"@@@",D851))</f>
        <v>59</v>
      </c>
      <c r="T851" s="4" t="str">
        <f>IF(E851="",IF(ISNUMBER(SEARCH("NOT NULL",UPPER(E$3))),"''","null"),SUBSTITUTE(VLOOKUP(E$2,convert!$A$1:$B$4,2,0),"@@@",E851))</f>
        <v>50</v>
      </c>
      <c r="U851" s="4" t="str">
        <f>IF(F851="",IF(ISNUMBER(SEARCH("NOT NULL",UPPER(F$3))),"''","null"),SUBSTITUTE(VLOOKUP(F$2,convert!$A$1:$B$4,2,0),"@@@",F851))</f>
        <v>67</v>
      </c>
      <c r="V851" s="4" t="str">
        <f>IF(G851="",IF(ISNUMBER(SEARCH("NOT NULL",UPPER(G$3))),"''","null"),SUBSTITUTE(VLOOKUP(G$2,convert!$A$1:$B$4,2,0),"@@@",G851))</f>
        <v>63</v>
      </c>
      <c r="W851" s="4" t="str">
        <f>IF(H851="",IF(ISNUMBER(SEARCH("NOT NULL",UPPER(H$3))),"''","null"),SUBSTITUTE(VLOOKUP(H$2,convert!$A$1:$B$4,2,0),"@@@",H851))</f>
        <v>46</v>
      </c>
      <c r="X851" s="4" t="str">
        <f>IF(I851="",IF(ISNUMBER(SEARCH("NOT NULL",UPPER(I$3))),"''","null"),SUBSTITUTE(VLOOKUP(I$2,convert!$A$1:$B$4,2,0),"@@@",I851))</f>
        <v>''</v>
      </c>
      <c r="Y851" s="4" t="str">
        <f>IF(J851="",IF(ISNUMBER(SEARCH("NOT NULL",UPPER(J$3))),"''","null"),SUBSTITUTE(VLOOKUP(J$2,convert!$A$1:$B$4,2,0),"@@@",J851))</f>
        <v>'rock'</v>
      </c>
      <c r="Z851" s="4" t="str">
        <f>IF(K851="",IF(ISNUMBER(SEARCH("NOT NULL",UPPER(K$3))),"''","null"),SUBSTITUTE(VLOOKUP(K$2,convert!$A$1:$B$4,2,0),"@@@",K851))</f>
        <v>'ice'</v>
      </c>
      <c r="AA851" s="4" t="str">
        <f>IF(L851="",IF(ISNUMBER(SEARCH("NOT NULL",UPPER(L$3))),"''","null"),SUBSTITUTE(VLOOKUP(L$2,convert!$A$1:$B$4,2,0),"@@@",L851))</f>
        <v>'g6'</v>
      </c>
      <c r="AB851" s="4" t="str">
        <f>IF(M851="",IF(ISNUMBER(SEARCH("NOT NULL",UPPER(M$3))),"''","null"),SUBSTITUTE(VLOOKUP(M$2,convert!$A$1:$B$4,2,0),"@@@",M851))</f>
        <v>null</v>
      </c>
      <c r="AC851" s="4" t="str">
        <f>IF(N851="",IF(ISNUMBER(SEARCH("NOT NULL",UPPER(N$3))),"''","null"),SUBSTITUTE(VLOOKUP(N$2,convert!$A$1:$B$4,2,0),"@@@",N851))</f>
        <v>null</v>
      </c>
      <c r="AD851" s="4" t="str">
        <f>IF(O851="",IF(ISNUMBER(SEARCH("NOT NULL",UPPER(O$3))),"''","null"),SUBSTITUTE(VLOOKUP(O$2,convert!$A$1:$B$4,2,0),"@@@",O851))</f>
        <v>TRUE</v>
      </c>
      <c r="AE851" s="4" t="str">
        <f t="shared" si="13"/>
        <v>    ('0698N01', 'アマルス', 77, 59, 50, 67, 63, 46, '', 'rock', 'ice', 'g6', null, null, TRUE),</v>
      </c>
    </row>
    <row r="852" spans="1:31">
      <c r="A852" s="4" t="s">
        <v>1708</v>
      </c>
      <c r="B852" s="4" t="s">
        <v>1709</v>
      </c>
      <c r="C852" s="5">
        <v>123</v>
      </c>
      <c r="D852" s="5">
        <v>77</v>
      </c>
      <c r="E852" s="5">
        <v>72</v>
      </c>
      <c r="F852" s="5">
        <v>99</v>
      </c>
      <c r="G852" s="5">
        <v>92</v>
      </c>
      <c r="H852" s="5">
        <v>58</v>
      </c>
      <c r="I852" s="5"/>
      <c r="J852" s="4" t="s">
        <v>196</v>
      </c>
      <c r="K852" s="4" t="s">
        <v>118</v>
      </c>
      <c r="L852" s="4" t="s">
        <v>39</v>
      </c>
      <c r="M852" s="5"/>
      <c r="N852" s="5"/>
      <c r="O852" s="5" t="b">
        <v>1</v>
      </c>
      <c r="P852" s="4" t="str">
        <f>IF(A852="",IF(ISNUMBER(SEARCH("NOT NULL",UPPER(A$3))),"''","null"),SUBSTITUTE(VLOOKUP(A$2,convert!$A$1:$B$4,2,0),"@@@",A852))</f>
        <v>'0699N01'</v>
      </c>
      <c r="Q852" s="4" t="str">
        <f>IF(B852="",IF(ISNUMBER(SEARCH("NOT NULL",UPPER(B$3))),"''","null"),SUBSTITUTE(VLOOKUP(B$2,convert!$A$1:$B$4,2,0),"@@@",B852))</f>
        <v>'アマルルガ'</v>
      </c>
      <c r="R852" s="4" t="str">
        <f>IF(C852="",IF(ISNUMBER(SEARCH("NOT NULL",UPPER(C$3))),"''","null"),SUBSTITUTE(VLOOKUP(C$2,convert!$A$1:$B$4,2,0),"@@@",C852))</f>
        <v>123</v>
      </c>
      <c r="S852" s="4" t="str">
        <f>IF(D852="",IF(ISNUMBER(SEARCH("NOT NULL",UPPER(D$3))),"''","null"),SUBSTITUTE(VLOOKUP(D$2,convert!$A$1:$B$4,2,0),"@@@",D852))</f>
        <v>77</v>
      </c>
      <c r="T852" s="4" t="str">
        <f>IF(E852="",IF(ISNUMBER(SEARCH("NOT NULL",UPPER(E$3))),"''","null"),SUBSTITUTE(VLOOKUP(E$2,convert!$A$1:$B$4,2,0),"@@@",E852))</f>
        <v>72</v>
      </c>
      <c r="U852" s="4" t="str">
        <f>IF(F852="",IF(ISNUMBER(SEARCH("NOT NULL",UPPER(F$3))),"''","null"),SUBSTITUTE(VLOOKUP(F$2,convert!$A$1:$B$4,2,0),"@@@",F852))</f>
        <v>99</v>
      </c>
      <c r="V852" s="4" t="str">
        <f>IF(G852="",IF(ISNUMBER(SEARCH("NOT NULL",UPPER(G$3))),"''","null"),SUBSTITUTE(VLOOKUP(G$2,convert!$A$1:$B$4,2,0),"@@@",G852))</f>
        <v>92</v>
      </c>
      <c r="W852" s="4" t="str">
        <f>IF(H852="",IF(ISNUMBER(SEARCH("NOT NULL",UPPER(H$3))),"''","null"),SUBSTITUTE(VLOOKUP(H$2,convert!$A$1:$B$4,2,0),"@@@",H852))</f>
        <v>58</v>
      </c>
      <c r="X852" s="4" t="str">
        <f>IF(I852="",IF(ISNUMBER(SEARCH("NOT NULL",UPPER(I$3))),"''","null"),SUBSTITUTE(VLOOKUP(I$2,convert!$A$1:$B$4,2,0),"@@@",I852))</f>
        <v>''</v>
      </c>
      <c r="Y852" s="4" t="str">
        <f>IF(J852="",IF(ISNUMBER(SEARCH("NOT NULL",UPPER(J$3))),"''","null"),SUBSTITUTE(VLOOKUP(J$2,convert!$A$1:$B$4,2,0),"@@@",J852))</f>
        <v>'rock'</v>
      </c>
      <c r="Z852" s="4" t="str">
        <f>IF(K852="",IF(ISNUMBER(SEARCH("NOT NULL",UPPER(K$3))),"''","null"),SUBSTITUTE(VLOOKUP(K$2,convert!$A$1:$B$4,2,0),"@@@",K852))</f>
        <v>'ice'</v>
      </c>
      <c r="AA852" s="4" t="str">
        <f>IF(L852="",IF(ISNUMBER(SEARCH("NOT NULL",UPPER(L$3))),"''","null"),SUBSTITUTE(VLOOKUP(L$2,convert!$A$1:$B$4,2,0),"@@@",L852))</f>
        <v>'g6'</v>
      </c>
      <c r="AB852" s="4" t="str">
        <f>IF(M852="",IF(ISNUMBER(SEARCH("NOT NULL",UPPER(M$3))),"''","null"),SUBSTITUTE(VLOOKUP(M$2,convert!$A$1:$B$4,2,0),"@@@",M852))</f>
        <v>null</v>
      </c>
      <c r="AC852" s="4" t="str">
        <f>IF(N852="",IF(ISNUMBER(SEARCH("NOT NULL",UPPER(N$3))),"''","null"),SUBSTITUTE(VLOOKUP(N$2,convert!$A$1:$B$4,2,0),"@@@",N852))</f>
        <v>null</v>
      </c>
      <c r="AD852" s="4" t="str">
        <f>IF(O852="",IF(ISNUMBER(SEARCH("NOT NULL",UPPER(O$3))),"''","null"),SUBSTITUTE(VLOOKUP(O$2,convert!$A$1:$B$4,2,0),"@@@",O852))</f>
        <v>TRUE</v>
      </c>
      <c r="AE852" s="4" t="str">
        <f t="shared" si="13"/>
        <v>    ('0699N01', 'アマルルガ', 123, 77, 72, 99, 92, 58, '', 'rock', 'ice', 'g6', null, null, TRUE),</v>
      </c>
    </row>
    <row r="853" spans="1:31">
      <c r="A853" s="4" t="s">
        <v>1710</v>
      </c>
      <c r="B853" s="4" t="s">
        <v>1711</v>
      </c>
      <c r="C853" s="5">
        <v>95</v>
      </c>
      <c r="D853" s="5">
        <v>65</v>
      </c>
      <c r="E853" s="5">
        <v>65</v>
      </c>
      <c r="F853" s="5">
        <v>110</v>
      </c>
      <c r="G853" s="5">
        <v>130</v>
      </c>
      <c r="H853" s="5">
        <v>60</v>
      </c>
      <c r="I853" s="5"/>
      <c r="J853" s="4" t="s">
        <v>137</v>
      </c>
      <c r="K853" s="5"/>
      <c r="L853" s="4" t="s">
        <v>39</v>
      </c>
      <c r="M853" s="5"/>
      <c r="N853" s="5"/>
      <c r="O853" s="5" t="b">
        <v>1</v>
      </c>
      <c r="P853" s="4" t="str">
        <f>IF(A853="",IF(ISNUMBER(SEARCH("NOT NULL",UPPER(A$3))),"''","null"),SUBSTITUTE(VLOOKUP(A$2,convert!$A$1:$B$4,2,0),"@@@",A853))</f>
        <v>'0700N01'</v>
      </c>
      <c r="Q853" s="4" t="str">
        <f>IF(B853="",IF(ISNUMBER(SEARCH("NOT NULL",UPPER(B$3))),"''","null"),SUBSTITUTE(VLOOKUP(B$2,convert!$A$1:$B$4,2,0),"@@@",B853))</f>
        <v>'ニンフィア'</v>
      </c>
      <c r="R853" s="4" t="str">
        <f>IF(C853="",IF(ISNUMBER(SEARCH("NOT NULL",UPPER(C$3))),"''","null"),SUBSTITUTE(VLOOKUP(C$2,convert!$A$1:$B$4,2,0),"@@@",C853))</f>
        <v>95</v>
      </c>
      <c r="S853" s="4" t="str">
        <f>IF(D853="",IF(ISNUMBER(SEARCH("NOT NULL",UPPER(D$3))),"''","null"),SUBSTITUTE(VLOOKUP(D$2,convert!$A$1:$B$4,2,0),"@@@",D853))</f>
        <v>65</v>
      </c>
      <c r="T853" s="4" t="str">
        <f>IF(E853="",IF(ISNUMBER(SEARCH("NOT NULL",UPPER(E$3))),"''","null"),SUBSTITUTE(VLOOKUP(E$2,convert!$A$1:$B$4,2,0),"@@@",E853))</f>
        <v>65</v>
      </c>
      <c r="U853" s="4" t="str">
        <f>IF(F853="",IF(ISNUMBER(SEARCH("NOT NULL",UPPER(F$3))),"''","null"),SUBSTITUTE(VLOOKUP(F$2,convert!$A$1:$B$4,2,0),"@@@",F853))</f>
        <v>110</v>
      </c>
      <c r="V853" s="4" t="str">
        <f>IF(G853="",IF(ISNUMBER(SEARCH("NOT NULL",UPPER(G$3))),"''","null"),SUBSTITUTE(VLOOKUP(G$2,convert!$A$1:$B$4,2,0),"@@@",G853))</f>
        <v>130</v>
      </c>
      <c r="W853" s="4" t="str">
        <f>IF(H853="",IF(ISNUMBER(SEARCH("NOT NULL",UPPER(H$3))),"''","null"),SUBSTITUTE(VLOOKUP(H$2,convert!$A$1:$B$4,2,0),"@@@",H853))</f>
        <v>60</v>
      </c>
      <c r="X853" s="4" t="str">
        <f>IF(I853="",IF(ISNUMBER(SEARCH("NOT NULL",UPPER(I$3))),"''","null"),SUBSTITUTE(VLOOKUP(I$2,convert!$A$1:$B$4,2,0),"@@@",I853))</f>
        <v>''</v>
      </c>
      <c r="Y853" s="4" t="str">
        <f>IF(J853="",IF(ISNUMBER(SEARCH("NOT NULL",UPPER(J$3))),"''","null"),SUBSTITUTE(VLOOKUP(J$2,convert!$A$1:$B$4,2,0),"@@@",J853))</f>
        <v>'fairy'</v>
      </c>
      <c r="Z853" s="4" t="str">
        <f>IF(K853="",IF(ISNUMBER(SEARCH("NOT NULL",UPPER(K$3))),"''","null"),SUBSTITUTE(VLOOKUP(K$2,convert!$A$1:$B$4,2,0),"@@@",K853))</f>
        <v>null</v>
      </c>
      <c r="AA853" s="4" t="str">
        <f>IF(L853="",IF(ISNUMBER(SEARCH("NOT NULL",UPPER(L$3))),"''","null"),SUBSTITUTE(VLOOKUP(L$2,convert!$A$1:$B$4,2,0),"@@@",L853))</f>
        <v>'g6'</v>
      </c>
      <c r="AB853" s="4" t="str">
        <f>IF(M853="",IF(ISNUMBER(SEARCH("NOT NULL",UPPER(M$3))),"''","null"),SUBSTITUTE(VLOOKUP(M$2,convert!$A$1:$B$4,2,0),"@@@",M853))</f>
        <v>null</v>
      </c>
      <c r="AC853" s="4" t="str">
        <f>IF(N853="",IF(ISNUMBER(SEARCH("NOT NULL",UPPER(N$3))),"''","null"),SUBSTITUTE(VLOOKUP(N$2,convert!$A$1:$B$4,2,0),"@@@",N853))</f>
        <v>null</v>
      </c>
      <c r="AD853" s="4" t="str">
        <f>IF(O853="",IF(ISNUMBER(SEARCH("NOT NULL",UPPER(O$3))),"''","null"),SUBSTITUTE(VLOOKUP(O$2,convert!$A$1:$B$4,2,0),"@@@",O853))</f>
        <v>TRUE</v>
      </c>
      <c r="AE853" s="4" t="str">
        <f t="shared" si="13"/>
        <v>    ('0700N01', 'ニンフィア', 95, 65, 65, 110, 130, 60, '', 'fairy', null, 'g6', null, null, TRUE),</v>
      </c>
    </row>
    <row r="854" spans="1:31">
      <c r="A854" s="4" t="s">
        <v>1712</v>
      </c>
      <c r="B854" s="4" t="s">
        <v>1713</v>
      </c>
      <c r="C854" s="5">
        <v>78</v>
      </c>
      <c r="D854" s="5">
        <v>92</v>
      </c>
      <c r="E854" s="5">
        <v>75</v>
      </c>
      <c r="F854" s="5">
        <v>74</v>
      </c>
      <c r="G854" s="5">
        <v>63</v>
      </c>
      <c r="H854" s="5">
        <v>118</v>
      </c>
      <c r="I854" s="5"/>
      <c r="J854" s="4" t="s">
        <v>189</v>
      </c>
      <c r="K854" s="4" t="s">
        <v>47</v>
      </c>
      <c r="L854" s="4" t="s">
        <v>39</v>
      </c>
      <c r="M854" s="5"/>
      <c r="N854" s="5"/>
      <c r="O854" s="5" t="b">
        <v>0</v>
      </c>
      <c r="P854" s="4" t="str">
        <f>IF(A854="",IF(ISNUMBER(SEARCH("NOT NULL",UPPER(A$3))),"''","null"),SUBSTITUTE(VLOOKUP(A$2,convert!$A$1:$B$4,2,0),"@@@",A854))</f>
        <v>'0701N01'</v>
      </c>
      <c r="Q854" s="4" t="str">
        <f>IF(B854="",IF(ISNUMBER(SEARCH("NOT NULL",UPPER(B$3))),"''","null"),SUBSTITUTE(VLOOKUP(B$2,convert!$A$1:$B$4,2,0),"@@@",B854))</f>
        <v>'ルチャブル'</v>
      </c>
      <c r="R854" s="4" t="str">
        <f>IF(C854="",IF(ISNUMBER(SEARCH("NOT NULL",UPPER(C$3))),"''","null"),SUBSTITUTE(VLOOKUP(C$2,convert!$A$1:$B$4,2,0),"@@@",C854))</f>
        <v>78</v>
      </c>
      <c r="S854" s="4" t="str">
        <f>IF(D854="",IF(ISNUMBER(SEARCH("NOT NULL",UPPER(D$3))),"''","null"),SUBSTITUTE(VLOOKUP(D$2,convert!$A$1:$B$4,2,0),"@@@",D854))</f>
        <v>92</v>
      </c>
      <c r="T854" s="4" t="str">
        <f>IF(E854="",IF(ISNUMBER(SEARCH("NOT NULL",UPPER(E$3))),"''","null"),SUBSTITUTE(VLOOKUP(E$2,convert!$A$1:$B$4,2,0),"@@@",E854))</f>
        <v>75</v>
      </c>
      <c r="U854" s="4" t="str">
        <f>IF(F854="",IF(ISNUMBER(SEARCH("NOT NULL",UPPER(F$3))),"''","null"),SUBSTITUTE(VLOOKUP(F$2,convert!$A$1:$B$4,2,0),"@@@",F854))</f>
        <v>74</v>
      </c>
      <c r="V854" s="4" t="str">
        <f>IF(G854="",IF(ISNUMBER(SEARCH("NOT NULL",UPPER(G$3))),"''","null"),SUBSTITUTE(VLOOKUP(G$2,convert!$A$1:$B$4,2,0),"@@@",G854))</f>
        <v>63</v>
      </c>
      <c r="W854" s="4" t="str">
        <f>IF(H854="",IF(ISNUMBER(SEARCH("NOT NULL",UPPER(H$3))),"''","null"),SUBSTITUTE(VLOOKUP(H$2,convert!$A$1:$B$4,2,0),"@@@",H854))</f>
        <v>118</v>
      </c>
      <c r="X854" s="4" t="str">
        <f>IF(I854="",IF(ISNUMBER(SEARCH("NOT NULL",UPPER(I$3))),"''","null"),SUBSTITUTE(VLOOKUP(I$2,convert!$A$1:$B$4,2,0),"@@@",I854))</f>
        <v>''</v>
      </c>
      <c r="Y854" s="4" t="str">
        <f>IF(J854="",IF(ISNUMBER(SEARCH("NOT NULL",UPPER(J$3))),"''","null"),SUBSTITUTE(VLOOKUP(J$2,convert!$A$1:$B$4,2,0),"@@@",J854))</f>
        <v>'fighting'</v>
      </c>
      <c r="Z854" s="4" t="str">
        <f>IF(K854="",IF(ISNUMBER(SEARCH("NOT NULL",UPPER(K$3))),"''","null"),SUBSTITUTE(VLOOKUP(K$2,convert!$A$1:$B$4,2,0),"@@@",K854))</f>
        <v>'flying'</v>
      </c>
      <c r="AA854" s="4" t="str">
        <f>IF(L854="",IF(ISNUMBER(SEARCH("NOT NULL",UPPER(L$3))),"''","null"),SUBSTITUTE(VLOOKUP(L$2,convert!$A$1:$B$4,2,0),"@@@",L854))</f>
        <v>'g6'</v>
      </c>
      <c r="AB854" s="4" t="str">
        <f>IF(M854="",IF(ISNUMBER(SEARCH("NOT NULL",UPPER(M$3))),"''","null"),SUBSTITUTE(VLOOKUP(M$2,convert!$A$1:$B$4,2,0),"@@@",M854))</f>
        <v>null</v>
      </c>
      <c r="AC854" s="4" t="str">
        <f>IF(N854="",IF(ISNUMBER(SEARCH("NOT NULL",UPPER(N$3))),"''","null"),SUBSTITUTE(VLOOKUP(N$2,convert!$A$1:$B$4,2,0),"@@@",N854))</f>
        <v>null</v>
      </c>
      <c r="AD854" s="4" t="str">
        <f>IF(O854="",IF(ISNUMBER(SEARCH("NOT NULL",UPPER(O$3))),"''","null"),SUBSTITUTE(VLOOKUP(O$2,convert!$A$1:$B$4,2,0),"@@@",O854))</f>
        <v>FALSE</v>
      </c>
      <c r="AE854" s="4" t="str">
        <f t="shared" si="13"/>
        <v>    ('0701N01', 'ルチャブル', 78, 92, 75, 74, 63, 118, '', 'fighting', 'flying', 'g6', null, null, FALSE),</v>
      </c>
    </row>
    <row r="855" spans="1:31">
      <c r="A855" s="4" t="s">
        <v>1714</v>
      </c>
      <c r="B855" s="4" t="s">
        <v>1715</v>
      </c>
      <c r="C855" s="5">
        <v>67</v>
      </c>
      <c r="D855" s="5">
        <v>58</v>
      </c>
      <c r="E855" s="5">
        <v>57</v>
      </c>
      <c r="F855" s="5">
        <v>81</v>
      </c>
      <c r="G855" s="5">
        <v>67</v>
      </c>
      <c r="H855" s="5">
        <v>101</v>
      </c>
      <c r="I855" s="5"/>
      <c r="J855" s="4" t="s">
        <v>106</v>
      </c>
      <c r="K855" s="4" t="s">
        <v>137</v>
      </c>
      <c r="L855" s="4" t="s">
        <v>39</v>
      </c>
      <c r="M855" s="5"/>
      <c r="N855" s="5"/>
      <c r="O855" s="5" t="b">
        <v>1</v>
      </c>
      <c r="P855" s="4" t="str">
        <f>IF(A855="",IF(ISNUMBER(SEARCH("NOT NULL",UPPER(A$3))),"''","null"),SUBSTITUTE(VLOOKUP(A$2,convert!$A$1:$B$4,2,0),"@@@",A855))</f>
        <v>'0702N01'</v>
      </c>
      <c r="Q855" s="4" t="str">
        <f>IF(B855="",IF(ISNUMBER(SEARCH("NOT NULL",UPPER(B$3))),"''","null"),SUBSTITUTE(VLOOKUP(B$2,convert!$A$1:$B$4,2,0),"@@@",B855))</f>
        <v>'デデンネ'</v>
      </c>
      <c r="R855" s="4" t="str">
        <f>IF(C855="",IF(ISNUMBER(SEARCH("NOT NULL",UPPER(C$3))),"''","null"),SUBSTITUTE(VLOOKUP(C$2,convert!$A$1:$B$4,2,0),"@@@",C855))</f>
        <v>67</v>
      </c>
      <c r="S855" s="4" t="str">
        <f>IF(D855="",IF(ISNUMBER(SEARCH("NOT NULL",UPPER(D$3))),"''","null"),SUBSTITUTE(VLOOKUP(D$2,convert!$A$1:$B$4,2,0),"@@@",D855))</f>
        <v>58</v>
      </c>
      <c r="T855" s="4" t="str">
        <f>IF(E855="",IF(ISNUMBER(SEARCH("NOT NULL",UPPER(E$3))),"''","null"),SUBSTITUTE(VLOOKUP(E$2,convert!$A$1:$B$4,2,0),"@@@",E855))</f>
        <v>57</v>
      </c>
      <c r="U855" s="4" t="str">
        <f>IF(F855="",IF(ISNUMBER(SEARCH("NOT NULL",UPPER(F$3))),"''","null"),SUBSTITUTE(VLOOKUP(F$2,convert!$A$1:$B$4,2,0),"@@@",F855))</f>
        <v>81</v>
      </c>
      <c r="V855" s="4" t="str">
        <f>IF(G855="",IF(ISNUMBER(SEARCH("NOT NULL",UPPER(G$3))),"''","null"),SUBSTITUTE(VLOOKUP(G$2,convert!$A$1:$B$4,2,0),"@@@",G855))</f>
        <v>67</v>
      </c>
      <c r="W855" s="4" t="str">
        <f>IF(H855="",IF(ISNUMBER(SEARCH("NOT NULL",UPPER(H$3))),"''","null"),SUBSTITUTE(VLOOKUP(H$2,convert!$A$1:$B$4,2,0),"@@@",H855))</f>
        <v>101</v>
      </c>
      <c r="X855" s="4" t="str">
        <f>IF(I855="",IF(ISNUMBER(SEARCH("NOT NULL",UPPER(I$3))),"''","null"),SUBSTITUTE(VLOOKUP(I$2,convert!$A$1:$B$4,2,0),"@@@",I855))</f>
        <v>''</v>
      </c>
      <c r="Y855" s="4" t="str">
        <f>IF(J855="",IF(ISNUMBER(SEARCH("NOT NULL",UPPER(J$3))),"''","null"),SUBSTITUTE(VLOOKUP(J$2,convert!$A$1:$B$4,2,0),"@@@",J855))</f>
        <v>'electric'</v>
      </c>
      <c r="Z855" s="4" t="str">
        <f>IF(K855="",IF(ISNUMBER(SEARCH("NOT NULL",UPPER(K$3))),"''","null"),SUBSTITUTE(VLOOKUP(K$2,convert!$A$1:$B$4,2,0),"@@@",K855))</f>
        <v>'fairy'</v>
      </c>
      <c r="AA855" s="4" t="str">
        <f>IF(L855="",IF(ISNUMBER(SEARCH("NOT NULL",UPPER(L$3))),"''","null"),SUBSTITUTE(VLOOKUP(L$2,convert!$A$1:$B$4,2,0),"@@@",L855))</f>
        <v>'g6'</v>
      </c>
      <c r="AB855" s="4" t="str">
        <f>IF(M855="",IF(ISNUMBER(SEARCH("NOT NULL",UPPER(M$3))),"''","null"),SUBSTITUTE(VLOOKUP(M$2,convert!$A$1:$B$4,2,0),"@@@",M855))</f>
        <v>null</v>
      </c>
      <c r="AC855" s="4" t="str">
        <f>IF(N855="",IF(ISNUMBER(SEARCH("NOT NULL",UPPER(N$3))),"''","null"),SUBSTITUTE(VLOOKUP(N$2,convert!$A$1:$B$4,2,0),"@@@",N855))</f>
        <v>null</v>
      </c>
      <c r="AD855" s="4" t="str">
        <f>IF(O855="",IF(ISNUMBER(SEARCH("NOT NULL",UPPER(O$3))),"''","null"),SUBSTITUTE(VLOOKUP(O$2,convert!$A$1:$B$4,2,0),"@@@",O855))</f>
        <v>TRUE</v>
      </c>
      <c r="AE855" s="4" t="str">
        <f t="shared" si="13"/>
        <v>    ('0702N01', 'デデンネ', 67, 58, 57, 81, 67, 101, '', 'electric', 'fairy', 'g6', null, null, TRUE),</v>
      </c>
    </row>
    <row r="856" spans="1:31">
      <c r="A856" s="4" t="s">
        <v>1716</v>
      </c>
      <c r="B856" s="4" t="s">
        <v>1717</v>
      </c>
      <c r="C856" s="5">
        <v>50</v>
      </c>
      <c r="D856" s="5">
        <v>50</v>
      </c>
      <c r="E856" s="5">
        <v>150</v>
      </c>
      <c r="F856" s="5">
        <v>50</v>
      </c>
      <c r="G856" s="5">
        <v>150</v>
      </c>
      <c r="H856" s="5">
        <v>50</v>
      </c>
      <c r="I856" s="5"/>
      <c r="J856" s="4" t="s">
        <v>196</v>
      </c>
      <c r="K856" s="4" t="s">
        <v>137</v>
      </c>
      <c r="L856" s="4" t="s">
        <v>39</v>
      </c>
      <c r="M856" s="5"/>
      <c r="N856" s="5"/>
      <c r="O856" s="5" t="b">
        <v>1</v>
      </c>
      <c r="P856" s="4" t="str">
        <f>IF(A856="",IF(ISNUMBER(SEARCH("NOT NULL",UPPER(A$3))),"''","null"),SUBSTITUTE(VLOOKUP(A$2,convert!$A$1:$B$4,2,0),"@@@",A856))</f>
        <v>'0703N01'</v>
      </c>
      <c r="Q856" s="4" t="str">
        <f>IF(B856="",IF(ISNUMBER(SEARCH("NOT NULL",UPPER(B$3))),"''","null"),SUBSTITUTE(VLOOKUP(B$2,convert!$A$1:$B$4,2,0),"@@@",B856))</f>
        <v>'メレシー'</v>
      </c>
      <c r="R856" s="4" t="str">
        <f>IF(C856="",IF(ISNUMBER(SEARCH("NOT NULL",UPPER(C$3))),"''","null"),SUBSTITUTE(VLOOKUP(C$2,convert!$A$1:$B$4,2,0),"@@@",C856))</f>
        <v>50</v>
      </c>
      <c r="S856" s="4" t="str">
        <f>IF(D856="",IF(ISNUMBER(SEARCH("NOT NULL",UPPER(D$3))),"''","null"),SUBSTITUTE(VLOOKUP(D$2,convert!$A$1:$B$4,2,0),"@@@",D856))</f>
        <v>50</v>
      </c>
      <c r="T856" s="4" t="str">
        <f>IF(E856="",IF(ISNUMBER(SEARCH("NOT NULL",UPPER(E$3))),"''","null"),SUBSTITUTE(VLOOKUP(E$2,convert!$A$1:$B$4,2,0),"@@@",E856))</f>
        <v>150</v>
      </c>
      <c r="U856" s="4" t="str">
        <f>IF(F856="",IF(ISNUMBER(SEARCH("NOT NULL",UPPER(F$3))),"''","null"),SUBSTITUTE(VLOOKUP(F$2,convert!$A$1:$B$4,2,0),"@@@",F856))</f>
        <v>50</v>
      </c>
      <c r="V856" s="4" t="str">
        <f>IF(G856="",IF(ISNUMBER(SEARCH("NOT NULL",UPPER(G$3))),"''","null"),SUBSTITUTE(VLOOKUP(G$2,convert!$A$1:$B$4,2,0),"@@@",G856))</f>
        <v>150</v>
      </c>
      <c r="W856" s="4" t="str">
        <f>IF(H856="",IF(ISNUMBER(SEARCH("NOT NULL",UPPER(H$3))),"''","null"),SUBSTITUTE(VLOOKUP(H$2,convert!$A$1:$B$4,2,0),"@@@",H856))</f>
        <v>50</v>
      </c>
      <c r="X856" s="4" t="str">
        <f>IF(I856="",IF(ISNUMBER(SEARCH("NOT NULL",UPPER(I$3))),"''","null"),SUBSTITUTE(VLOOKUP(I$2,convert!$A$1:$B$4,2,0),"@@@",I856))</f>
        <v>''</v>
      </c>
      <c r="Y856" s="4" t="str">
        <f>IF(J856="",IF(ISNUMBER(SEARCH("NOT NULL",UPPER(J$3))),"''","null"),SUBSTITUTE(VLOOKUP(J$2,convert!$A$1:$B$4,2,0),"@@@",J856))</f>
        <v>'rock'</v>
      </c>
      <c r="Z856" s="4" t="str">
        <f>IF(K856="",IF(ISNUMBER(SEARCH("NOT NULL",UPPER(K$3))),"''","null"),SUBSTITUTE(VLOOKUP(K$2,convert!$A$1:$B$4,2,0),"@@@",K856))</f>
        <v>'fairy'</v>
      </c>
      <c r="AA856" s="4" t="str">
        <f>IF(L856="",IF(ISNUMBER(SEARCH("NOT NULL",UPPER(L$3))),"''","null"),SUBSTITUTE(VLOOKUP(L$2,convert!$A$1:$B$4,2,0),"@@@",L856))</f>
        <v>'g6'</v>
      </c>
      <c r="AB856" s="4" t="str">
        <f>IF(M856="",IF(ISNUMBER(SEARCH("NOT NULL",UPPER(M$3))),"''","null"),SUBSTITUTE(VLOOKUP(M$2,convert!$A$1:$B$4,2,0),"@@@",M856))</f>
        <v>null</v>
      </c>
      <c r="AC856" s="4" t="str">
        <f>IF(N856="",IF(ISNUMBER(SEARCH("NOT NULL",UPPER(N$3))),"''","null"),SUBSTITUTE(VLOOKUP(N$2,convert!$A$1:$B$4,2,0),"@@@",N856))</f>
        <v>null</v>
      </c>
      <c r="AD856" s="4" t="str">
        <f>IF(O856="",IF(ISNUMBER(SEARCH("NOT NULL",UPPER(O$3))),"''","null"),SUBSTITUTE(VLOOKUP(O$2,convert!$A$1:$B$4,2,0),"@@@",O856))</f>
        <v>TRUE</v>
      </c>
      <c r="AE856" s="4" t="str">
        <f t="shared" si="13"/>
        <v>    ('0703N01', 'メレシー', 50, 50, 150, 50, 150, 50, '', 'rock', 'fairy', 'g6', null, null, TRUE),</v>
      </c>
    </row>
    <row r="857" spans="1:31">
      <c r="A857" s="4" t="s">
        <v>1718</v>
      </c>
      <c r="B857" s="4" t="s">
        <v>1719</v>
      </c>
      <c r="C857" s="5">
        <v>45</v>
      </c>
      <c r="D857" s="5">
        <v>50</v>
      </c>
      <c r="E857" s="5">
        <v>35</v>
      </c>
      <c r="F857" s="5">
        <v>55</v>
      </c>
      <c r="G857" s="5">
        <v>75</v>
      </c>
      <c r="H857" s="5">
        <v>40</v>
      </c>
      <c r="I857" s="5"/>
      <c r="J857" s="4" t="s">
        <v>50</v>
      </c>
      <c r="K857" s="5"/>
      <c r="L857" s="4" t="s">
        <v>39</v>
      </c>
      <c r="M857" s="5"/>
      <c r="N857" s="5"/>
      <c r="O857" s="5" t="b">
        <v>1</v>
      </c>
      <c r="P857" s="4" t="str">
        <f>IF(A857="",IF(ISNUMBER(SEARCH("NOT NULL",UPPER(A$3))),"''","null"),SUBSTITUTE(VLOOKUP(A$2,convert!$A$1:$B$4,2,0),"@@@",A857))</f>
        <v>'0704N01'</v>
      </c>
      <c r="Q857" s="4" t="str">
        <f>IF(B857="",IF(ISNUMBER(SEARCH("NOT NULL",UPPER(B$3))),"''","null"),SUBSTITUTE(VLOOKUP(B$2,convert!$A$1:$B$4,2,0),"@@@",B857))</f>
        <v>'ヌメラ'</v>
      </c>
      <c r="R857" s="4" t="str">
        <f>IF(C857="",IF(ISNUMBER(SEARCH("NOT NULL",UPPER(C$3))),"''","null"),SUBSTITUTE(VLOOKUP(C$2,convert!$A$1:$B$4,2,0),"@@@",C857))</f>
        <v>45</v>
      </c>
      <c r="S857" s="4" t="str">
        <f>IF(D857="",IF(ISNUMBER(SEARCH("NOT NULL",UPPER(D$3))),"''","null"),SUBSTITUTE(VLOOKUP(D$2,convert!$A$1:$B$4,2,0),"@@@",D857))</f>
        <v>50</v>
      </c>
      <c r="T857" s="4" t="str">
        <f>IF(E857="",IF(ISNUMBER(SEARCH("NOT NULL",UPPER(E$3))),"''","null"),SUBSTITUTE(VLOOKUP(E$2,convert!$A$1:$B$4,2,0),"@@@",E857))</f>
        <v>35</v>
      </c>
      <c r="U857" s="4" t="str">
        <f>IF(F857="",IF(ISNUMBER(SEARCH("NOT NULL",UPPER(F$3))),"''","null"),SUBSTITUTE(VLOOKUP(F$2,convert!$A$1:$B$4,2,0),"@@@",F857))</f>
        <v>55</v>
      </c>
      <c r="V857" s="4" t="str">
        <f>IF(G857="",IF(ISNUMBER(SEARCH("NOT NULL",UPPER(G$3))),"''","null"),SUBSTITUTE(VLOOKUP(G$2,convert!$A$1:$B$4,2,0),"@@@",G857))</f>
        <v>75</v>
      </c>
      <c r="W857" s="4" t="str">
        <f>IF(H857="",IF(ISNUMBER(SEARCH("NOT NULL",UPPER(H$3))),"''","null"),SUBSTITUTE(VLOOKUP(H$2,convert!$A$1:$B$4,2,0),"@@@",H857))</f>
        <v>40</v>
      </c>
      <c r="X857" s="4" t="str">
        <f>IF(I857="",IF(ISNUMBER(SEARCH("NOT NULL",UPPER(I$3))),"''","null"),SUBSTITUTE(VLOOKUP(I$2,convert!$A$1:$B$4,2,0),"@@@",I857))</f>
        <v>''</v>
      </c>
      <c r="Y857" s="4" t="str">
        <f>IF(J857="",IF(ISNUMBER(SEARCH("NOT NULL",UPPER(J$3))),"''","null"),SUBSTITUTE(VLOOKUP(J$2,convert!$A$1:$B$4,2,0),"@@@",J857))</f>
        <v>'dragon'</v>
      </c>
      <c r="Z857" s="4" t="str">
        <f>IF(K857="",IF(ISNUMBER(SEARCH("NOT NULL",UPPER(K$3))),"''","null"),SUBSTITUTE(VLOOKUP(K$2,convert!$A$1:$B$4,2,0),"@@@",K857))</f>
        <v>null</v>
      </c>
      <c r="AA857" s="4" t="str">
        <f>IF(L857="",IF(ISNUMBER(SEARCH("NOT NULL",UPPER(L$3))),"''","null"),SUBSTITUTE(VLOOKUP(L$2,convert!$A$1:$B$4,2,0),"@@@",L857))</f>
        <v>'g6'</v>
      </c>
      <c r="AB857" s="4" t="str">
        <f>IF(M857="",IF(ISNUMBER(SEARCH("NOT NULL",UPPER(M$3))),"''","null"),SUBSTITUTE(VLOOKUP(M$2,convert!$A$1:$B$4,2,0),"@@@",M857))</f>
        <v>null</v>
      </c>
      <c r="AC857" s="4" t="str">
        <f>IF(N857="",IF(ISNUMBER(SEARCH("NOT NULL",UPPER(N$3))),"''","null"),SUBSTITUTE(VLOOKUP(N$2,convert!$A$1:$B$4,2,0),"@@@",N857))</f>
        <v>null</v>
      </c>
      <c r="AD857" s="4" t="str">
        <f>IF(O857="",IF(ISNUMBER(SEARCH("NOT NULL",UPPER(O$3))),"''","null"),SUBSTITUTE(VLOOKUP(O$2,convert!$A$1:$B$4,2,0),"@@@",O857))</f>
        <v>TRUE</v>
      </c>
      <c r="AE857" s="4" t="str">
        <f t="shared" si="13"/>
        <v>    ('0704N01', 'ヌメラ', 45, 50, 35, 55, 75, 40, '', 'dragon', null, 'g6', null, null, TRUE),</v>
      </c>
    </row>
    <row r="858" spans="1:31">
      <c r="A858" s="4" t="s">
        <v>1720</v>
      </c>
      <c r="B858" s="4" t="s">
        <v>1721</v>
      </c>
      <c r="C858" s="5">
        <v>68</v>
      </c>
      <c r="D858" s="5">
        <v>75</v>
      </c>
      <c r="E858" s="5">
        <v>53</v>
      </c>
      <c r="F858" s="5">
        <v>83</v>
      </c>
      <c r="G858" s="5">
        <v>113</v>
      </c>
      <c r="H858" s="5">
        <v>60</v>
      </c>
      <c r="I858" s="5"/>
      <c r="J858" s="4" t="s">
        <v>50</v>
      </c>
      <c r="K858" s="5"/>
      <c r="L858" s="4" t="s">
        <v>39</v>
      </c>
      <c r="M858" s="5"/>
      <c r="N858" s="5"/>
      <c r="O858" s="5" t="b">
        <v>1</v>
      </c>
      <c r="P858" s="4" t="str">
        <f>IF(A858="",IF(ISNUMBER(SEARCH("NOT NULL",UPPER(A$3))),"''","null"),SUBSTITUTE(VLOOKUP(A$2,convert!$A$1:$B$4,2,0),"@@@",A858))</f>
        <v>'0705N01'</v>
      </c>
      <c r="Q858" s="4" t="str">
        <f>IF(B858="",IF(ISNUMBER(SEARCH("NOT NULL",UPPER(B$3))),"''","null"),SUBSTITUTE(VLOOKUP(B$2,convert!$A$1:$B$4,2,0),"@@@",B858))</f>
        <v>'ヌメイル'</v>
      </c>
      <c r="R858" s="4" t="str">
        <f>IF(C858="",IF(ISNUMBER(SEARCH("NOT NULL",UPPER(C$3))),"''","null"),SUBSTITUTE(VLOOKUP(C$2,convert!$A$1:$B$4,2,0),"@@@",C858))</f>
        <v>68</v>
      </c>
      <c r="S858" s="4" t="str">
        <f>IF(D858="",IF(ISNUMBER(SEARCH("NOT NULL",UPPER(D$3))),"''","null"),SUBSTITUTE(VLOOKUP(D$2,convert!$A$1:$B$4,2,0),"@@@",D858))</f>
        <v>75</v>
      </c>
      <c r="T858" s="4" t="str">
        <f>IF(E858="",IF(ISNUMBER(SEARCH("NOT NULL",UPPER(E$3))),"''","null"),SUBSTITUTE(VLOOKUP(E$2,convert!$A$1:$B$4,2,0),"@@@",E858))</f>
        <v>53</v>
      </c>
      <c r="U858" s="4" t="str">
        <f>IF(F858="",IF(ISNUMBER(SEARCH("NOT NULL",UPPER(F$3))),"''","null"),SUBSTITUTE(VLOOKUP(F$2,convert!$A$1:$B$4,2,0),"@@@",F858))</f>
        <v>83</v>
      </c>
      <c r="V858" s="4" t="str">
        <f>IF(G858="",IF(ISNUMBER(SEARCH("NOT NULL",UPPER(G$3))),"''","null"),SUBSTITUTE(VLOOKUP(G$2,convert!$A$1:$B$4,2,0),"@@@",G858))</f>
        <v>113</v>
      </c>
      <c r="W858" s="4" t="str">
        <f>IF(H858="",IF(ISNUMBER(SEARCH("NOT NULL",UPPER(H$3))),"''","null"),SUBSTITUTE(VLOOKUP(H$2,convert!$A$1:$B$4,2,0),"@@@",H858))</f>
        <v>60</v>
      </c>
      <c r="X858" s="4" t="str">
        <f>IF(I858="",IF(ISNUMBER(SEARCH("NOT NULL",UPPER(I$3))),"''","null"),SUBSTITUTE(VLOOKUP(I$2,convert!$A$1:$B$4,2,0),"@@@",I858))</f>
        <v>''</v>
      </c>
      <c r="Y858" s="4" t="str">
        <f>IF(J858="",IF(ISNUMBER(SEARCH("NOT NULL",UPPER(J$3))),"''","null"),SUBSTITUTE(VLOOKUP(J$2,convert!$A$1:$B$4,2,0),"@@@",J858))</f>
        <v>'dragon'</v>
      </c>
      <c r="Z858" s="4" t="str">
        <f>IF(K858="",IF(ISNUMBER(SEARCH("NOT NULL",UPPER(K$3))),"''","null"),SUBSTITUTE(VLOOKUP(K$2,convert!$A$1:$B$4,2,0),"@@@",K858))</f>
        <v>null</v>
      </c>
      <c r="AA858" s="4" t="str">
        <f>IF(L858="",IF(ISNUMBER(SEARCH("NOT NULL",UPPER(L$3))),"''","null"),SUBSTITUTE(VLOOKUP(L$2,convert!$A$1:$B$4,2,0),"@@@",L858))</f>
        <v>'g6'</v>
      </c>
      <c r="AB858" s="4" t="str">
        <f>IF(M858="",IF(ISNUMBER(SEARCH("NOT NULL",UPPER(M$3))),"''","null"),SUBSTITUTE(VLOOKUP(M$2,convert!$A$1:$B$4,2,0),"@@@",M858))</f>
        <v>null</v>
      </c>
      <c r="AC858" s="4" t="str">
        <f>IF(N858="",IF(ISNUMBER(SEARCH("NOT NULL",UPPER(N$3))),"''","null"),SUBSTITUTE(VLOOKUP(N$2,convert!$A$1:$B$4,2,0),"@@@",N858))</f>
        <v>null</v>
      </c>
      <c r="AD858" s="4" t="str">
        <f>IF(O858="",IF(ISNUMBER(SEARCH("NOT NULL",UPPER(O$3))),"''","null"),SUBSTITUTE(VLOOKUP(O$2,convert!$A$1:$B$4,2,0),"@@@",O858))</f>
        <v>TRUE</v>
      </c>
      <c r="AE858" s="4" t="str">
        <f t="shared" si="13"/>
        <v>    ('0705N01', 'ヌメイル', 68, 75, 53, 83, 113, 60, '', 'dragon', null, 'g6', null, null, TRUE),</v>
      </c>
    </row>
    <row r="859" spans="1:31">
      <c r="A859" s="4" t="s">
        <v>1722</v>
      </c>
      <c r="B859" s="4" t="s">
        <v>1721</v>
      </c>
      <c r="C859" s="5">
        <v>58</v>
      </c>
      <c r="D859" s="5">
        <v>75</v>
      </c>
      <c r="E859" s="5">
        <v>83</v>
      </c>
      <c r="F859" s="5">
        <v>83</v>
      </c>
      <c r="G859" s="5">
        <v>113</v>
      </c>
      <c r="H859" s="5">
        <v>40</v>
      </c>
      <c r="I859" s="4" t="s">
        <v>195</v>
      </c>
      <c r="J859" s="4" t="s">
        <v>119</v>
      </c>
      <c r="K859" s="4" t="s">
        <v>50</v>
      </c>
      <c r="L859" s="4" t="s">
        <v>197</v>
      </c>
      <c r="M859" s="5"/>
      <c r="N859" s="5"/>
      <c r="O859" s="5" t="b">
        <v>0</v>
      </c>
      <c r="P859" s="4" t="str">
        <f>IF(A859="",IF(ISNUMBER(SEARCH("NOT NULL",UPPER(A$3))),"''","null"),SUBSTITUTE(VLOOKUP(A$2,convert!$A$1:$B$4,2,0),"@@@",A859))</f>
        <v>'0705H01'</v>
      </c>
      <c r="Q859" s="4" t="str">
        <f>IF(B859="",IF(ISNUMBER(SEARCH("NOT NULL",UPPER(B$3))),"''","null"),SUBSTITUTE(VLOOKUP(B$2,convert!$A$1:$B$4,2,0),"@@@",B859))</f>
        <v>'ヌメイル'</v>
      </c>
      <c r="R859" s="4" t="str">
        <f>IF(C859="",IF(ISNUMBER(SEARCH("NOT NULL",UPPER(C$3))),"''","null"),SUBSTITUTE(VLOOKUP(C$2,convert!$A$1:$B$4,2,0),"@@@",C859))</f>
        <v>58</v>
      </c>
      <c r="S859" s="4" t="str">
        <f>IF(D859="",IF(ISNUMBER(SEARCH("NOT NULL",UPPER(D$3))),"''","null"),SUBSTITUTE(VLOOKUP(D$2,convert!$A$1:$B$4,2,0),"@@@",D859))</f>
        <v>75</v>
      </c>
      <c r="T859" s="4" t="str">
        <f>IF(E859="",IF(ISNUMBER(SEARCH("NOT NULL",UPPER(E$3))),"''","null"),SUBSTITUTE(VLOOKUP(E$2,convert!$A$1:$B$4,2,0),"@@@",E859))</f>
        <v>83</v>
      </c>
      <c r="U859" s="4" t="str">
        <f>IF(F859="",IF(ISNUMBER(SEARCH("NOT NULL",UPPER(F$3))),"''","null"),SUBSTITUTE(VLOOKUP(F$2,convert!$A$1:$B$4,2,0),"@@@",F859))</f>
        <v>83</v>
      </c>
      <c r="V859" s="4" t="str">
        <f>IF(G859="",IF(ISNUMBER(SEARCH("NOT NULL",UPPER(G$3))),"''","null"),SUBSTITUTE(VLOOKUP(G$2,convert!$A$1:$B$4,2,0),"@@@",G859))</f>
        <v>113</v>
      </c>
      <c r="W859" s="4" t="str">
        <f>IF(H859="",IF(ISNUMBER(SEARCH("NOT NULL",UPPER(H$3))),"''","null"),SUBSTITUTE(VLOOKUP(H$2,convert!$A$1:$B$4,2,0),"@@@",H859))</f>
        <v>40</v>
      </c>
      <c r="X859" s="4" t="str">
        <f>IF(I859="",IF(ISNUMBER(SEARCH("NOT NULL",UPPER(I$3))),"''","null"),SUBSTITUTE(VLOOKUP(I$2,convert!$A$1:$B$4,2,0),"@@@",I859))</f>
        <v>'ヒスイのすがた'</v>
      </c>
      <c r="Y859" s="4" t="str">
        <f>IF(J859="",IF(ISNUMBER(SEARCH("NOT NULL",UPPER(J$3))),"''","null"),SUBSTITUTE(VLOOKUP(J$2,convert!$A$1:$B$4,2,0),"@@@",J859))</f>
        <v>'steel'</v>
      </c>
      <c r="Z859" s="4" t="str">
        <f>IF(K859="",IF(ISNUMBER(SEARCH("NOT NULL",UPPER(K$3))),"''","null"),SUBSTITUTE(VLOOKUP(K$2,convert!$A$1:$B$4,2,0),"@@@",K859))</f>
        <v>'dragon'</v>
      </c>
      <c r="AA859" s="4" t="str">
        <f>IF(L859="",IF(ISNUMBER(SEARCH("NOT NULL",UPPER(L$3))),"''","null"),SUBSTITUTE(VLOOKUP(L$2,convert!$A$1:$B$4,2,0),"@@@",L859))</f>
        <v>'g8arceus'</v>
      </c>
      <c r="AB859" s="4" t="str">
        <f>IF(M859="",IF(ISNUMBER(SEARCH("NOT NULL",UPPER(M$3))),"''","null"),SUBSTITUTE(VLOOKUP(M$2,convert!$A$1:$B$4,2,0),"@@@",M859))</f>
        <v>null</v>
      </c>
      <c r="AC859" s="4" t="str">
        <f>IF(N859="",IF(ISNUMBER(SEARCH("NOT NULL",UPPER(N$3))),"''","null"),SUBSTITUTE(VLOOKUP(N$2,convert!$A$1:$B$4,2,0),"@@@",N859))</f>
        <v>null</v>
      </c>
      <c r="AD859" s="4" t="str">
        <f>IF(O859="",IF(ISNUMBER(SEARCH("NOT NULL",UPPER(O$3))),"''","null"),SUBSTITUTE(VLOOKUP(O$2,convert!$A$1:$B$4,2,0),"@@@",O859))</f>
        <v>FALSE</v>
      </c>
      <c r="AE859" s="4" t="str">
        <f t="shared" si="13"/>
        <v>    ('0705H01', 'ヌメイル', 58, 75, 83, 83, 113, 40, 'ヒスイのすがた', 'steel', 'dragon', 'g8arceus', null, null, FALSE),</v>
      </c>
    </row>
    <row r="860" spans="1:31">
      <c r="A860" s="4" t="s">
        <v>1723</v>
      </c>
      <c r="B860" s="4" t="s">
        <v>1724</v>
      </c>
      <c r="C860" s="5">
        <v>90</v>
      </c>
      <c r="D860" s="5">
        <v>100</v>
      </c>
      <c r="E860" s="5">
        <v>70</v>
      </c>
      <c r="F860" s="5">
        <v>110</v>
      </c>
      <c r="G860" s="5">
        <v>150</v>
      </c>
      <c r="H860" s="5">
        <v>80</v>
      </c>
      <c r="I860" s="5"/>
      <c r="J860" s="4" t="s">
        <v>50</v>
      </c>
      <c r="K860" s="5"/>
      <c r="L860" s="4" t="s">
        <v>39</v>
      </c>
      <c r="M860" s="5"/>
      <c r="N860" s="5"/>
      <c r="O860" s="5" t="b">
        <v>1</v>
      </c>
      <c r="P860" s="4" t="str">
        <f>IF(A860="",IF(ISNUMBER(SEARCH("NOT NULL",UPPER(A$3))),"''","null"),SUBSTITUTE(VLOOKUP(A$2,convert!$A$1:$B$4,2,0),"@@@",A860))</f>
        <v>'0706N01'</v>
      </c>
      <c r="Q860" s="4" t="str">
        <f>IF(B860="",IF(ISNUMBER(SEARCH("NOT NULL",UPPER(B$3))),"''","null"),SUBSTITUTE(VLOOKUP(B$2,convert!$A$1:$B$4,2,0),"@@@",B860))</f>
        <v>'ヌメルゴン'</v>
      </c>
      <c r="R860" s="4" t="str">
        <f>IF(C860="",IF(ISNUMBER(SEARCH("NOT NULL",UPPER(C$3))),"''","null"),SUBSTITUTE(VLOOKUP(C$2,convert!$A$1:$B$4,2,0),"@@@",C860))</f>
        <v>90</v>
      </c>
      <c r="S860" s="4" t="str">
        <f>IF(D860="",IF(ISNUMBER(SEARCH("NOT NULL",UPPER(D$3))),"''","null"),SUBSTITUTE(VLOOKUP(D$2,convert!$A$1:$B$4,2,0),"@@@",D860))</f>
        <v>100</v>
      </c>
      <c r="T860" s="4" t="str">
        <f>IF(E860="",IF(ISNUMBER(SEARCH("NOT NULL",UPPER(E$3))),"''","null"),SUBSTITUTE(VLOOKUP(E$2,convert!$A$1:$B$4,2,0),"@@@",E860))</f>
        <v>70</v>
      </c>
      <c r="U860" s="4" t="str">
        <f>IF(F860="",IF(ISNUMBER(SEARCH("NOT NULL",UPPER(F$3))),"''","null"),SUBSTITUTE(VLOOKUP(F$2,convert!$A$1:$B$4,2,0),"@@@",F860))</f>
        <v>110</v>
      </c>
      <c r="V860" s="4" t="str">
        <f>IF(G860="",IF(ISNUMBER(SEARCH("NOT NULL",UPPER(G$3))),"''","null"),SUBSTITUTE(VLOOKUP(G$2,convert!$A$1:$B$4,2,0),"@@@",G860))</f>
        <v>150</v>
      </c>
      <c r="W860" s="4" t="str">
        <f>IF(H860="",IF(ISNUMBER(SEARCH("NOT NULL",UPPER(H$3))),"''","null"),SUBSTITUTE(VLOOKUP(H$2,convert!$A$1:$B$4,2,0),"@@@",H860))</f>
        <v>80</v>
      </c>
      <c r="X860" s="4" t="str">
        <f>IF(I860="",IF(ISNUMBER(SEARCH("NOT NULL",UPPER(I$3))),"''","null"),SUBSTITUTE(VLOOKUP(I$2,convert!$A$1:$B$4,2,0),"@@@",I860))</f>
        <v>''</v>
      </c>
      <c r="Y860" s="4" t="str">
        <f>IF(J860="",IF(ISNUMBER(SEARCH("NOT NULL",UPPER(J$3))),"''","null"),SUBSTITUTE(VLOOKUP(J$2,convert!$A$1:$B$4,2,0),"@@@",J860))</f>
        <v>'dragon'</v>
      </c>
      <c r="Z860" s="4" t="str">
        <f>IF(K860="",IF(ISNUMBER(SEARCH("NOT NULL",UPPER(K$3))),"''","null"),SUBSTITUTE(VLOOKUP(K$2,convert!$A$1:$B$4,2,0),"@@@",K860))</f>
        <v>null</v>
      </c>
      <c r="AA860" s="4" t="str">
        <f>IF(L860="",IF(ISNUMBER(SEARCH("NOT NULL",UPPER(L$3))),"''","null"),SUBSTITUTE(VLOOKUP(L$2,convert!$A$1:$B$4,2,0),"@@@",L860))</f>
        <v>'g6'</v>
      </c>
      <c r="AB860" s="4" t="str">
        <f>IF(M860="",IF(ISNUMBER(SEARCH("NOT NULL",UPPER(M$3))),"''","null"),SUBSTITUTE(VLOOKUP(M$2,convert!$A$1:$B$4,2,0),"@@@",M860))</f>
        <v>null</v>
      </c>
      <c r="AC860" s="4" t="str">
        <f>IF(N860="",IF(ISNUMBER(SEARCH("NOT NULL",UPPER(N$3))),"''","null"),SUBSTITUTE(VLOOKUP(N$2,convert!$A$1:$B$4,2,0),"@@@",N860))</f>
        <v>null</v>
      </c>
      <c r="AD860" s="4" t="str">
        <f>IF(O860="",IF(ISNUMBER(SEARCH("NOT NULL",UPPER(O$3))),"''","null"),SUBSTITUTE(VLOOKUP(O$2,convert!$A$1:$B$4,2,0),"@@@",O860))</f>
        <v>TRUE</v>
      </c>
      <c r="AE860" s="4" t="str">
        <f t="shared" si="13"/>
        <v>    ('0706N01', 'ヌメルゴン', 90, 100, 70, 110, 150, 80, '', 'dragon', null, 'g6', null, null, TRUE),</v>
      </c>
    </row>
    <row r="861" spans="1:31">
      <c r="A861" s="4" t="s">
        <v>1725</v>
      </c>
      <c r="B861" s="4" t="s">
        <v>1724</v>
      </c>
      <c r="C861" s="5">
        <v>80</v>
      </c>
      <c r="D861" s="5">
        <v>100</v>
      </c>
      <c r="E861" s="5">
        <v>100</v>
      </c>
      <c r="F861" s="5">
        <v>110</v>
      </c>
      <c r="G861" s="5">
        <v>150</v>
      </c>
      <c r="H861" s="5">
        <v>60</v>
      </c>
      <c r="I861" s="4" t="s">
        <v>195</v>
      </c>
      <c r="J861" s="4" t="s">
        <v>119</v>
      </c>
      <c r="K861" s="4" t="s">
        <v>50</v>
      </c>
      <c r="L861" s="4" t="s">
        <v>197</v>
      </c>
      <c r="M861" s="5"/>
      <c r="N861" s="5"/>
      <c r="O861" s="5" t="b">
        <v>0</v>
      </c>
      <c r="P861" s="4" t="str">
        <f>IF(A861="",IF(ISNUMBER(SEARCH("NOT NULL",UPPER(A$3))),"''","null"),SUBSTITUTE(VLOOKUP(A$2,convert!$A$1:$B$4,2,0),"@@@",A861))</f>
        <v>'0706H01'</v>
      </c>
      <c r="Q861" s="4" t="str">
        <f>IF(B861="",IF(ISNUMBER(SEARCH("NOT NULL",UPPER(B$3))),"''","null"),SUBSTITUTE(VLOOKUP(B$2,convert!$A$1:$B$4,2,0),"@@@",B861))</f>
        <v>'ヌメルゴン'</v>
      </c>
      <c r="R861" s="4" t="str">
        <f>IF(C861="",IF(ISNUMBER(SEARCH("NOT NULL",UPPER(C$3))),"''","null"),SUBSTITUTE(VLOOKUP(C$2,convert!$A$1:$B$4,2,0),"@@@",C861))</f>
        <v>80</v>
      </c>
      <c r="S861" s="4" t="str">
        <f>IF(D861="",IF(ISNUMBER(SEARCH("NOT NULL",UPPER(D$3))),"''","null"),SUBSTITUTE(VLOOKUP(D$2,convert!$A$1:$B$4,2,0),"@@@",D861))</f>
        <v>100</v>
      </c>
      <c r="T861" s="4" t="str">
        <f>IF(E861="",IF(ISNUMBER(SEARCH("NOT NULL",UPPER(E$3))),"''","null"),SUBSTITUTE(VLOOKUP(E$2,convert!$A$1:$B$4,2,0),"@@@",E861))</f>
        <v>100</v>
      </c>
      <c r="U861" s="4" t="str">
        <f>IF(F861="",IF(ISNUMBER(SEARCH("NOT NULL",UPPER(F$3))),"''","null"),SUBSTITUTE(VLOOKUP(F$2,convert!$A$1:$B$4,2,0),"@@@",F861))</f>
        <v>110</v>
      </c>
      <c r="V861" s="4" t="str">
        <f>IF(G861="",IF(ISNUMBER(SEARCH("NOT NULL",UPPER(G$3))),"''","null"),SUBSTITUTE(VLOOKUP(G$2,convert!$A$1:$B$4,2,0),"@@@",G861))</f>
        <v>150</v>
      </c>
      <c r="W861" s="4" t="str">
        <f>IF(H861="",IF(ISNUMBER(SEARCH("NOT NULL",UPPER(H$3))),"''","null"),SUBSTITUTE(VLOOKUP(H$2,convert!$A$1:$B$4,2,0),"@@@",H861))</f>
        <v>60</v>
      </c>
      <c r="X861" s="4" t="str">
        <f>IF(I861="",IF(ISNUMBER(SEARCH("NOT NULL",UPPER(I$3))),"''","null"),SUBSTITUTE(VLOOKUP(I$2,convert!$A$1:$B$4,2,0),"@@@",I861))</f>
        <v>'ヒスイのすがた'</v>
      </c>
      <c r="Y861" s="4" t="str">
        <f>IF(J861="",IF(ISNUMBER(SEARCH("NOT NULL",UPPER(J$3))),"''","null"),SUBSTITUTE(VLOOKUP(J$2,convert!$A$1:$B$4,2,0),"@@@",J861))</f>
        <v>'steel'</v>
      </c>
      <c r="Z861" s="4" t="str">
        <f>IF(K861="",IF(ISNUMBER(SEARCH("NOT NULL",UPPER(K$3))),"''","null"),SUBSTITUTE(VLOOKUP(K$2,convert!$A$1:$B$4,2,0),"@@@",K861))</f>
        <v>'dragon'</v>
      </c>
      <c r="AA861" s="4" t="str">
        <f>IF(L861="",IF(ISNUMBER(SEARCH("NOT NULL",UPPER(L$3))),"''","null"),SUBSTITUTE(VLOOKUP(L$2,convert!$A$1:$B$4,2,0),"@@@",L861))</f>
        <v>'g8arceus'</v>
      </c>
      <c r="AB861" s="4" t="str">
        <f>IF(M861="",IF(ISNUMBER(SEARCH("NOT NULL",UPPER(M$3))),"''","null"),SUBSTITUTE(VLOOKUP(M$2,convert!$A$1:$B$4,2,0),"@@@",M861))</f>
        <v>null</v>
      </c>
      <c r="AC861" s="4" t="str">
        <f>IF(N861="",IF(ISNUMBER(SEARCH("NOT NULL",UPPER(N$3))),"''","null"),SUBSTITUTE(VLOOKUP(N$2,convert!$A$1:$B$4,2,0),"@@@",N861))</f>
        <v>null</v>
      </c>
      <c r="AD861" s="4" t="str">
        <f>IF(O861="",IF(ISNUMBER(SEARCH("NOT NULL",UPPER(O$3))),"''","null"),SUBSTITUTE(VLOOKUP(O$2,convert!$A$1:$B$4,2,0),"@@@",O861))</f>
        <v>FALSE</v>
      </c>
      <c r="AE861" s="4" t="str">
        <f t="shared" si="13"/>
        <v>    ('0706H01', 'ヌメルゴン', 80, 100, 100, 110, 150, 60, 'ヒスイのすがた', 'steel', 'dragon', 'g8arceus', null, null, FALSE),</v>
      </c>
    </row>
    <row r="862" spans="1:31">
      <c r="A862" s="4" t="s">
        <v>1726</v>
      </c>
      <c r="B862" s="4" t="s">
        <v>1727</v>
      </c>
      <c r="C862" s="5">
        <v>57</v>
      </c>
      <c r="D862" s="5">
        <v>80</v>
      </c>
      <c r="E862" s="5">
        <v>91</v>
      </c>
      <c r="F862" s="5">
        <v>80</v>
      </c>
      <c r="G862" s="5">
        <v>87</v>
      </c>
      <c r="H862" s="5">
        <v>75</v>
      </c>
      <c r="I862" s="5"/>
      <c r="J862" s="4" t="s">
        <v>119</v>
      </c>
      <c r="K862" s="4" t="s">
        <v>137</v>
      </c>
      <c r="L862" s="4" t="s">
        <v>39</v>
      </c>
      <c r="M862" s="5"/>
      <c r="N862" s="5"/>
      <c r="O862" s="5" t="b">
        <v>1</v>
      </c>
      <c r="P862" s="4" t="str">
        <f>IF(A862="",IF(ISNUMBER(SEARCH("NOT NULL",UPPER(A$3))),"''","null"),SUBSTITUTE(VLOOKUP(A$2,convert!$A$1:$B$4,2,0),"@@@",A862))</f>
        <v>'0707N01'</v>
      </c>
      <c r="Q862" s="4" t="str">
        <f>IF(B862="",IF(ISNUMBER(SEARCH("NOT NULL",UPPER(B$3))),"''","null"),SUBSTITUTE(VLOOKUP(B$2,convert!$A$1:$B$4,2,0),"@@@",B862))</f>
        <v>'クレッフィ'</v>
      </c>
      <c r="R862" s="4" t="str">
        <f>IF(C862="",IF(ISNUMBER(SEARCH("NOT NULL",UPPER(C$3))),"''","null"),SUBSTITUTE(VLOOKUP(C$2,convert!$A$1:$B$4,2,0),"@@@",C862))</f>
        <v>57</v>
      </c>
      <c r="S862" s="4" t="str">
        <f>IF(D862="",IF(ISNUMBER(SEARCH("NOT NULL",UPPER(D$3))),"''","null"),SUBSTITUTE(VLOOKUP(D$2,convert!$A$1:$B$4,2,0),"@@@",D862))</f>
        <v>80</v>
      </c>
      <c r="T862" s="4" t="str">
        <f>IF(E862="",IF(ISNUMBER(SEARCH("NOT NULL",UPPER(E$3))),"''","null"),SUBSTITUTE(VLOOKUP(E$2,convert!$A$1:$B$4,2,0),"@@@",E862))</f>
        <v>91</v>
      </c>
      <c r="U862" s="4" t="str">
        <f>IF(F862="",IF(ISNUMBER(SEARCH("NOT NULL",UPPER(F$3))),"''","null"),SUBSTITUTE(VLOOKUP(F$2,convert!$A$1:$B$4,2,0),"@@@",F862))</f>
        <v>80</v>
      </c>
      <c r="V862" s="4" t="str">
        <f>IF(G862="",IF(ISNUMBER(SEARCH("NOT NULL",UPPER(G$3))),"''","null"),SUBSTITUTE(VLOOKUP(G$2,convert!$A$1:$B$4,2,0),"@@@",G862))</f>
        <v>87</v>
      </c>
      <c r="W862" s="4" t="str">
        <f>IF(H862="",IF(ISNUMBER(SEARCH("NOT NULL",UPPER(H$3))),"''","null"),SUBSTITUTE(VLOOKUP(H$2,convert!$A$1:$B$4,2,0),"@@@",H862))</f>
        <v>75</v>
      </c>
      <c r="X862" s="4" t="str">
        <f>IF(I862="",IF(ISNUMBER(SEARCH("NOT NULL",UPPER(I$3))),"''","null"),SUBSTITUTE(VLOOKUP(I$2,convert!$A$1:$B$4,2,0),"@@@",I862))</f>
        <v>''</v>
      </c>
      <c r="Y862" s="4" t="str">
        <f>IF(J862="",IF(ISNUMBER(SEARCH("NOT NULL",UPPER(J$3))),"''","null"),SUBSTITUTE(VLOOKUP(J$2,convert!$A$1:$B$4,2,0),"@@@",J862))</f>
        <v>'steel'</v>
      </c>
      <c r="Z862" s="4" t="str">
        <f>IF(K862="",IF(ISNUMBER(SEARCH("NOT NULL",UPPER(K$3))),"''","null"),SUBSTITUTE(VLOOKUP(K$2,convert!$A$1:$B$4,2,0),"@@@",K862))</f>
        <v>'fairy'</v>
      </c>
      <c r="AA862" s="4" t="str">
        <f>IF(L862="",IF(ISNUMBER(SEARCH("NOT NULL",UPPER(L$3))),"''","null"),SUBSTITUTE(VLOOKUP(L$2,convert!$A$1:$B$4,2,0),"@@@",L862))</f>
        <v>'g6'</v>
      </c>
      <c r="AB862" s="4" t="str">
        <f>IF(M862="",IF(ISNUMBER(SEARCH("NOT NULL",UPPER(M$3))),"''","null"),SUBSTITUTE(VLOOKUP(M$2,convert!$A$1:$B$4,2,0),"@@@",M862))</f>
        <v>null</v>
      </c>
      <c r="AC862" s="4" t="str">
        <f>IF(N862="",IF(ISNUMBER(SEARCH("NOT NULL",UPPER(N$3))),"''","null"),SUBSTITUTE(VLOOKUP(N$2,convert!$A$1:$B$4,2,0),"@@@",N862))</f>
        <v>null</v>
      </c>
      <c r="AD862" s="4" t="str">
        <f>IF(O862="",IF(ISNUMBER(SEARCH("NOT NULL",UPPER(O$3))),"''","null"),SUBSTITUTE(VLOOKUP(O$2,convert!$A$1:$B$4,2,0),"@@@",O862))</f>
        <v>TRUE</v>
      </c>
      <c r="AE862" s="4" t="str">
        <f t="shared" si="13"/>
        <v>    ('0707N01', 'クレッフィ', 57, 80, 91, 80, 87, 75, '', 'steel', 'fairy', 'g6', null, null, TRUE),</v>
      </c>
    </row>
    <row r="863" spans="1:31">
      <c r="A863" s="4" t="s">
        <v>1728</v>
      </c>
      <c r="B863" s="4" t="s">
        <v>1729</v>
      </c>
      <c r="C863" s="5">
        <v>43</v>
      </c>
      <c r="D863" s="5">
        <v>70</v>
      </c>
      <c r="E863" s="5">
        <v>48</v>
      </c>
      <c r="F863" s="5">
        <v>50</v>
      </c>
      <c r="G863" s="5">
        <v>60</v>
      </c>
      <c r="H863" s="5">
        <v>38</v>
      </c>
      <c r="I863" s="5"/>
      <c r="J863" s="4" t="s">
        <v>281</v>
      </c>
      <c r="K863" s="4" t="s">
        <v>30</v>
      </c>
      <c r="L863" s="4" t="s">
        <v>39</v>
      </c>
      <c r="M863" s="5"/>
      <c r="N863" s="5"/>
      <c r="O863" s="5" t="b">
        <v>1</v>
      </c>
      <c r="P863" s="4" t="str">
        <f>IF(A863="",IF(ISNUMBER(SEARCH("NOT NULL",UPPER(A$3))),"''","null"),SUBSTITUTE(VLOOKUP(A$2,convert!$A$1:$B$4,2,0),"@@@",A863))</f>
        <v>'0708N01'</v>
      </c>
      <c r="Q863" s="4" t="str">
        <f>IF(B863="",IF(ISNUMBER(SEARCH("NOT NULL",UPPER(B$3))),"''","null"),SUBSTITUTE(VLOOKUP(B$2,convert!$A$1:$B$4,2,0),"@@@",B863))</f>
        <v>'ボクレー'</v>
      </c>
      <c r="R863" s="4" t="str">
        <f>IF(C863="",IF(ISNUMBER(SEARCH("NOT NULL",UPPER(C$3))),"''","null"),SUBSTITUTE(VLOOKUP(C$2,convert!$A$1:$B$4,2,0),"@@@",C863))</f>
        <v>43</v>
      </c>
      <c r="S863" s="4" t="str">
        <f>IF(D863="",IF(ISNUMBER(SEARCH("NOT NULL",UPPER(D$3))),"''","null"),SUBSTITUTE(VLOOKUP(D$2,convert!$A$1:$B$4,2,0),"@@@",D863))</f>
        <v>70</v>
      </c>
      <c r="T863" s="4" t="str">
        <f>IF(E863="",IF(ISNUMBER(SEARCH("NOT NULL",UPPER(E$3))),"''","null"),SUBSTITUTE(VLOOKUP(E$2,convert!$A$1:$B$4,2,0),"@@@",E863))</f>
        <v>48</v>
      </c>
      <c r="U863" s="4" t="str">
        <f>IF(F863="",IF(ISNUMBER(SEARCH("NOT NULL",UPPER(F$3))),"''","null"),SUBSTITUTE(VLOOKUP(F$2,convert!$A$1:$B$4,2,0),"@@@",F863))</f>
        <v>50</v>
      </c>
      <c r="V863" s="4" t="str">
        <f>IF(G863="",IF(ISNUMBER(SEARCH("NOT NULL",UPPER(G$3))),"''","null"),SUBSTITUTE(VLOOKUP(G$2,convert!$A$1:$B$4,2,0),"@@@",G863))</f>
        <v>60</v>
      </c>
      <c r="W863" s="4" t="str">
        <f>IF(H863="",IF(ISNUMBER(SEARCH("NOT NULL",UPPER(H$3))),"''","null"),SUBSTITUTE(VLOOKUP(H$2,convert!$A$1:$B$4,2,0),"@@@",H863))</f>
        <v>38</v>
      </c>
      <c r="X863" s="4" t="str">
        <f>IF(I863="",IF(ISNUMBER(SEARCH("NOT NULL",UPPER(I$3))),"''","null"),SUBSTITUTE(VLOOKUP(I$2,convert!$A$1:$B$4,2,0),"@@@",I863))</f>
        <v>''</v>
      </c>
      <c r="Y863" s="4" t="str">
        <f>IF(J863="",IF(ISNUMBER(SEARCH("NOT NULL",UPPER(J$3))),"''","null"),SUBSTITUTE(VLOOKUP(J$2,convert!$A$1:$B$4,2,0),"@@@",J863))</f>
        <v>'ghost'</v>
      </c>
      <c r="Z863" s="4" t="str">
        <f>IF(K863="",IF(ISNUMBER(SEARCH("NOT NULL",UPPER(K$3))),"''","null"),SUBSTITUTE(VLOOKUP(K$2,convert!$A$1:$B$4,2,0),"@@@",K863))</f>
        <v>'grass'</v>
      </c>
      <c r="AA863" s="4" t="str">
        <f>IF(L863="",IF(ISNUMBER(SEARCH("NOT NULL",UPPER(L$3))),"''","null"),SUBSTITUTE(VLOOKUP(L$2,convert!$A$1:$B$4,2,0),"@@@",L863))</f>
        <v>'g6'</v>
      </c>
      <c r="AB863" s="4" t="str">
        <f>IF(M863="",IF(ISNUMBER(SEARCH("NOT NULL",UPPER(M$3))),"''","null"),SUBSTITUTE(VLOOKUP(M$2,convert!$A$1:$B$4,2,0),"@@@",M863))</f>
        <v>null</v>
      </c>
      <c r="AC863" s="4" t="str">
        <f>IF(N863="",IF(ISNUMBER(SEARCH("NOT NULL",UPPER(N$3))),"''","null"),SUBSTITUTE(VLOOKUP(N$2,convert!$A$1:$B$4,2,0),"@@@",N863))</f>
        <v>null</v>
      </c>
      <c r="AD863" s="4" t="str">
        <f>IF(O863="",IF(ISNUMBER(SEARCH("NOT NULL",UPPER(O$3))),"''","null"),SUBSTITUTE(VLOOKUP(O$2,convert!$A$1:$B$4,2,0),"@@@",O863))</f>
        <v>TRUE</v>
      </c>
      <c r="AE863" s="4" t="str">
        <f t="shared" si="13"/>
        <v>    ('0708N01', 'ボクレー', 43, 70, 48, 50, 60, 38, '', 'ghost', 'grass', 'g6', null, null, TRUE),</v>
      </c>
    </row>
    <row r="864" spans="1:31">
      <c r="A864" s="4" t="s">
        <v>1730</v>
      </c>
      <c r="B864" s="4" t="s">
        <v>1731</v>
      </c>
      <c r="C864" s="5">
        <v>85</v>
      </c>
      <c r="D864" s="5">
        <v>110</v>
      </c>
      <c r="E864" s="5">
        <v>76</v>
      </c>
      <c r="F864" s="5">
        <v>65</v>
      </c>
      <c r="G864" s="5">
        <v>82</v>
      </c>
      <c r="H864" s="5">
        <v>56</v>
      </c>
      <c r="I864" s="5"/>
      <c r="J864" s="4" t="s">
        <v>281</v>
      </c>
      <c r="K864" s="4" t="s">
        <v>30</v>
      </c>
      <c r="L864" s="4" t="s">
        <v>39</v>
      </c>
      <c r="M864" s="5"/>
      <c r="N864" s="5"/>
      <c r="O864" s="5" t="b">
        <v>1</v>
      </c>
      <c r="P864" s="4" t="str">
        <f>IF(A864="",IF(ISNUMBER(SEARCH("NOT NULL",UPPER(A$3))),"''","null"),SUBSTITUTE(VLOOKUP(A$2,convert!$A$1:$B$4,2,0),"@@@",A864))</f>
        <v>'0709N01'</v>
      </c>
      <c r="Q864" s="4" t="str">
        <f>IF(B864="",IF(ISNUMBER(SEARCH("NOT NULL",UPPER(B$3))),"''","null"),SUBSTITUTE(VLOOKUP(B$2,convert!$A$1:$B$4,2,0),"@@@",B864))</f>
        <v>'オーロット'</v>
      </c>
      <c r="R864" s="4" t="str">
        <f>IF(C864="",IF(ISNUMBER(SEARCH("NOT NULL",UPPER(C$3))),"''","null"),SUBSTITUTE(VLOOKUP(C$2,convert!$A$1:$B$4,2,0),"@@@",C864))</f>
        <v>85</v>
      </c>
      <c r="S864" s="4" t="str">
        <f>IF(D864="",IF(ISNUMBER(SEARCH("NOT NULL",UPPER(D$3))),"''","null"),SUBSTITUTE(VLOOKUP(D$2,convert!$A$1:$B$4,2,0),"@@@",D864))</f>
        <v>110</v>
      </c>
      <c r="T864" s="4" t="str">
        <f>IF(E864="",IF(ISNUMBER(SEARCH("NOT NULL",UPPER(E$3))),"''","null"),SUBSTITUTE(VLOOKUP(E$2,convert!$A$1:$B$4,2,0),"@@@",E864))</f>
        <v>76</v>
      </c>
      <c r="U864" s="4" t="str">
        <f>IF(F864="",IF(ISNUMBER(SEARCH("NOT NULL",UPPER(F$3))),"''","null"),SUBSTITUTE(VLOOKUP(F$2,convert!$A$1:$B$4,2,0),"@@@",F864))</f>
        <v>65</v>
      </c>
      <c r="V864" s="4" t="str">
        <f>IF(G864="",IF(ISNUMBER(SEARCH("NOT NULL",UPPER(G$3))),"''","null"),SUBSTITUTE(VLOOKUP(G$2,convert!$A$1:$B$4,2,0),"@@@",G864))</f>
        <v>82</v>
      </c>
      <c r="W864" s="4" t="str">
        <f>IF(H864="",IF(ISNUMBER(SEARCH("NOT NULL",UPPER(H$3))),"''","null"),SUBSTITUTE(VLOOKUP(H$2,convert!$A$1:$B$4,2,0),"@@@",H864))</f>
        <v>56</v>
      </c>
      <c r="X864" s="4" t="str">
        <f>IF(I864="",IF(ISNUMBER(SEARCH("NOT NULL",UPPER(I$3))),"''","null"),SUBSTITUTE(VLOOKUP(I$2,convert!$A$1:$B$4,2,0),"@@@",I864))</f>
        <v>''</v>
      </c>
      <c r="Y864" s="4" t="str">
        <f>IF(J864="",IF(ISNUMBER(SEARCH("NOT NULL",UPPER(J$3))),"''","null"),SUBSTITUTE(VLOOKUP(J$2,convert!$A$1:$B$4,2,0),"@@@",J864))</f>
        <v>'ghost'</v>
      </c>
      <c r="Z864" s="4" t="str">
        <f>IF(K864="",IF(ISNUMBER(SEARCH("NOT NULL",UPPER(K$3))),"''","null"),SUBSTITUTE(VLOOKUP(K$2,convert!$A$1:$B$4,2,0),"@@@",K864))</f>
        <v>'grass'</v>
      </c>
      <c r="AA864" s="4" t="str">
        <f>IF(L864="",IF(ISNUMBER(SEARCH("NOT NULL",UPPER(L$3))),"''","null"),SUBSTITUTE(VLOOKUP(L$2,convert!$A$1:$B$4,2,0),"@@@",L864))</f>
        <v>'g6'</v>
      </c>
      <c r="AB864" s="4" t="str">
        <f>IF(M864="",IF(ISNUMBER(SEARCH("NOT NULL",UPPER(M$3))),"''","null"),SUBSTITUTE(VLOOKUP(M$2,convert!$A$1:$B$4,2,0),"@@@",M864))</f>
        <v>null</v>
      </c>
      <c r="AC864" s="4" t="str">
        <f>IF(N864="",IF(ISNUMBER(SEARCH("NOT NULL",UPPER(N$3))),"''","null"),SUBSTITUTE(VLOOKUP(N$2,convert!$A$1:$B$4,2,0),"@@@",N864))</f>
        <v>null</v>
      </c>
      <c r="AD864" s="4" t="str">
        <f>IF(O864="",IF(ISNUMBER(SEARCH("NOT NULL",UPPER(O$3))),"''","null"),SUBSTITUTE(VLOOKUP(O$2,convert!$A$1:$B$4,2,0),"@@@",O864))</f>
        <v>TRUE</v>
      </c>
      <c r="AE864" s="4" t="str">
        <f t="shared" si="13"/>
        <v>    ('0709N01', 'オーロット', 85, 110, 76, 65, 82, 56, '', 'ghost', 'grass', 'g6', null, null, TRUE),</v>
      </c>
    </row>
    <row r="865" spans="1:31">
      <c r="A865" s="4" t="s">
        <v>1732</v>
      </c>
      <c r="B865" s="4" t="s">
        <v>1733</v>
      </c>
      <c r="C865" s="5">
        <v>49</v>
      </c>
      <c r="D865" s="5">
        <v>66</v>
      </c>
      <c r="E865" s="5">
        <v>70</v>
      </c>
      <c r="F865" s="5">
        <v>44</v>
      </c>
      <c r="G865" s="5">
        <v>55</v>
      </c>
      <c r="H865" s="5">
        <v>51</v>
      </c>
      <c r="I865" s="4" t="s">
        <v>1734</v>
      </c>
      <c r="J865" s="4" t="s">
        <v>281</v>
      </c>
      <c r="K865" s="4" t="s">
        <v>30</v>
      </c>
      <c r="L865" s="4" t="s">
        <v>39</v>
      </c>
      <c r="M865" s="5"/>
      <c r="N865" s="5"/>
      <c r="O865" s="5" t="b">
        <v>1</v>
      </c>
      <c r="P865" s="4" t="str">
        <f>IF(A865="",IF(ISNUMBER(SEARCH("NOT NULL",UPPER(A$3))),"''","null"),SUBSTITUTE(VLOOKUP(A$2,convert!$A$1:$B$4,2,0),"@@@",A865))</f>
        <v>'0710N01'</v>
      </c>
      <c r="Q865" s="4" t="str">
        <f>IF(B865="",IF(ISNUMBER(SEARCH("NOT NULL",UPPER(B$3))),"''","null"),SUBSTITUTE(VLOOKUP(B$2,convert!$A$1:$B$4,2,0),"@@@",B865))</f>
        <v>'バケッチャ'</v>
      </c>
      <c r="R865" s="4" t="str">
        <f>IF(C865="",IF(ISNUMBER(SEARCH("NOT NULL",UPPER(C$3))),"''","null"),SUBSTITUTE(VLOOKUP(C$2,convert!$A$1:$B$4,2,0),"@@@",C865))</f>
        <v>49</v>
      </c>
      <c r="S865" s="4" t="str">
        <f>IF(D865="",IF(ISNUMBER(SEARCH("NOT NULL",UPPER(D$3))),"''","null"),SUBSTITUTE(VLOOKUP(D$2,convert!$A$1:$B$4,2,0),"@@@",D865))</f>
        <v>66</v>
      </c>
      <c r="T865" s="4" t="str">
        <f>IF(E865="",IF(ISNUMBER(SEARCH("NOT NULL",UPPER(E$3))),"''","null"),SUBSTITUTE(VLOOKUP(E$2,convert!$A$1:$B$4,2,0),"@@@",E865))</f>
        <v>70</v>
      </c>
      <c r="U865" s="4" t="str">
        <f>IF(F865="",IF(ISNUMBER(SEARCH("NOT NULL",UPPER(F$3))),"''","null"),SUBSTITUTE(VLOOKUP(F$2,convert!$A$1:$B$4,2,0),"@@@",F865))</f>
        <v>44</v>
      </c>
      <c r="V865" s="4" t="str">
        <f>IF(G865="",IF(ISNUMBER(SEARCH("NOT NULL",UPPER(G$3))),"''","null"),SUBSTITUTE(VLOOKUP(G$2,convert!$A$1:$B$4,2,0),"@@@",G865))</f>
        <v>55</v>
      </c>
      <c r="W865" s="4" t="str">
        <f>IF(H865="",IF(ISNUMBER(SEARCH("NOT NULL",UPPER(H$3))),"''","null"),SUBSTITUTE(VLOOKUP(H$2,convert!$A$1:$B$4,2,0),"@@@",H865))</f>
        <v>51</v>
      </c>
      <c r="X865" s="4" t="str">
        <f>IF(I865="",IF(ISNUMBER(SEARCH("NOT NULL",UPPER(I$3))),"''","null"),SUBSTITUTE(VLOOKUP(I$2,convert!$A$1:$B$4,2,0),"@@@",I865))</f>
        <v>'ふつうのサイズ'</v>
      </c>
      <c r="Y865" s="4" t="str">
        <f>IF(J865="",IF(ISNUMBER(SEARCH("NOT NULL",UPPER(J$3))),"''","null"),SUBSTITUTE(VLOOKUP(J$2,convert!$A$1:$B$4,2,0),"@@@",J865))</f>
        <v>'ghost'</v>
      </c>
      <c r="Z865" s="4" t="str">
        <f>IF(K865="",IF(ISNUMBER(SEARCH("NOT NULL",UPPER(K$3))),"''","null"),SUBSTITUTE(VLOOKUP(K$2,convert!$A$1:$B$4,2,0),"@@@",K865))</f>
        <v>'grass'</v>
      </c>
      <c r="AA865" s="4" t="str">
        <f>IF(L865="",IF(ISNUMBER(SEARCH("NOT NULL",UPPER(L$3))),"''","null"),SUBSTITUTE(VLOOKUP(L$2,convert!$A$1:$B$4,2,0),"@@@",L865))</f>
        <v>'g6'</v>
      </c>
      <c r="AB865" s="4" t="str">
        <f>IF(M865="",IF(ISNUMBER(SEARCH("NOT NULL",UPPER(M$3))),"''","null"),SUBSTITUTE(VLOOKUP(M$2,convert!$A$1:$B$4,2,0),"@@@",M865))</f>
        <v>null</v>
      </c>
      <c r="AC865" s="4" t="str">
        <f>IF(N865="",IF(ISNUMBER(SEARCH("NOT NULL",UPPER(N$3))),"''","null"),SUBSTITUTE(VLOOKUP(N$2,convert!$A$1:$B$4,2,0),"@@@",N865))</f>
        <v>null</v>
      </c>
      <c r="AD865" s="4" t="str">
        <f>IF(O865="",IF(ISNUMBER(SEARCH("NOT NULL",UPPER(O$3))),"''","null"),SUBSTITUTE(VLOOKUP(O$2,convert!$A$1:$B$4,2,0),"@@@",O865))</f>
        <v>TRUE</v>
      </c>
      <c r="AE865" s="4" t="str">
        <f t="shared" si="13"/>
        <v>    ('0710N01', 'バケッチャ', 49, 66, 70, 44, 55, 51, 'ふつうのサイズ', 'ghost', 'grass', 'g6', null, null, TRUE),</v>
      </c>
    </row>
    <row r="866" spans="1:31">
      <c r="A866" s="4" t="s">
        <v>1735</v>
      </c>
      <c r="B866" s="4" t="s">
        <v>1733</v>
      </c>
      <c r="C866" s="5">
        <v>44</v>
      </c>
      <c r="D866" s="5">
        <v>66</v>
      </c>
      <c r="E866" s="5">
        <v>70</v>
      </c>
      <c r="F866" s="5">
        <v>44</v>
      </c>
      <c r="G866" s="5">
        <v>55</v>
      </c>
      <c r="H866" s="5">
        <v>56</v>
      </c>
      <c r="I866" s="4" t="s">
        <v>1736</v>
      </c>
      <c r="J866" s="4" t="s">
        <v>281</v>
      </c>
      <c r="K866" s="4" t="s">
        <v>30</v>
      </c>
      <c r="L866" s="4" t="s">
        <v>39</v>
      </c>
      <c r="M866" s="5"/>
      <c r="N866" s="5"/>
      <c r="O866" s="5" t="b">
        <v>1</v>
      </c>
      <c r="P866" s="4" t="str">
        <f>IF(A866="",IF(ISNUMBER(SEARCH("NOT NULL",UPPER(A$3))),"''","null"),SUBSTITUTE(VLOOKUP(A$2,convert!$A$1:$B$4,2,0),"@@@",A866))</f>
        <v>'0710N02'</v>
      </c>
      <c r="Q866" s="4" t="str">
        <f>IF(B866="",IF(ISNUMBER(SEARCH("NOT NULL",UPPER(B$3))),"''","null"),SUBSTITUTE(VLOOKUP(B$2,convert!$A$1:$B$4,2,0),"@@@",B866))</f>
        <v>'バケッチャ'</v>
      </c>
      <c r="R866" s="4" t="str">
        <f>IF(C866="",IF(ISNUMBER(SEARCH("NOT NULL",UPPER(C$3))),"''","null"),SUBSTITUTE(VLOOKUP(C$2,convert!$A$1:$B$4,2,0),"@@@",C866))</f>
        <v>44</v>
      </c>
      <c r="S866" s="4" t="str">
        <f>IF(D866="",IF(ISNUMBER(SEARCH("NOT NULL",UPPER(D$3))),"''","null"),SUBSTITUTE(VLOOKUP(D$2,convert!$A$1:$B$4,2,0),"@@@",D866))</f>
        <v>66</v>
      </c>
      <c r="T866" s="4" t="str">
        <f>IF(E866="",IF(ISNUMBER(SEARCH("NOT NULL",UPPER(E$3))),"''","null"),SUBSTITUTE(VLOOKUP(E$2,convert!$A$1:$B$4,2,0),"@@@",E866))</f>
        <v>70</v>
      </c>
      <c r="U866" s="4" t="str">
        <f>IF(F866="",IF(ISNUMBER(SEARCH("NOT NULL",UPPER(F$3))),"''","null"),SUBSTITUTE(VLOOKUP(F$2,convert!$A$1:$B$4,2,0),"@@@",F866))</f>
        <v>44</v>
      </c>
      <c r="V866" s="4" t="str">
        <f>IF(G866="",IF(ISNUMBER(SEARCH("NOT NULL",UPPER(G$3))),"''","null"),SUBSTITUTE(VLOOKUP(G$2,convert!$A$1:$B$4,2,0),"@@@",G866))</f>
        <v>55</v>
      </c>
      <c r="W866" s="4" t="str">
        <f>IF(H866="",IF(ISNUMBER(SEARCH("NOT NULL",UPPER(H$3))),"''","null"),SUBSTITUTE(VLOOKUP(H$2,convert!$A$1:$B$4,2,0),"@@@",H866))</f>
        <v>56</v>
      </c>
      <c r="X866" s="4" t="str">
        <f>IF(I866="",IF(ISNUMBER(SEARCH("NOT NULL",UPPER(I$3))),"''","null"),SUBSTITUTE(VLOOKUP(I$2,convert!$A$1:$B$4,2,0),"@@@",I866))</f>
        <v>'ちいさいサイズ'</v>
      </c>
      <c r="Y866" s="4" t="str">
        <f>IF(J866="",IF(ISNUMBER(SEARCH("NOT NULL",UPPER(J$3))),"''","null"),SUBSTITUTE(VLOOKUP(J$2,convert!$A$1:$B$4,2,0),"@@@",J866))</f>
        <v>'ghost'</v>
      </c>
      <c r="Z866" s="4" t="str">
        <f>IF(K866="",IF(ISNUMBER(SEARCH("NOT NULL",UPPER(K$3))),"''","null"),SUBSTITUTE(VLOOKUP(K$2,convert!$A$1:$B$4,2,0),"@@@",K866))</f>
        <v>'grass'</v>
      </c>
      <c r="AA866" s="4" t="str">
        <f>IF(L866="",IF(ISNUMBER(SEARCH("NOT NULL",UPPER(L$3))),"''","null"),SUBSTITUTE(VLOOKUP(L$2,convert!$A$1:$B$4,2,0),"@@@",L866))</f>
        <v>'g6'</v>
      </c>
      <c r="AB866" s="4" t="str">
        <f>IF(M866="",IF(ISNUMBER(SEARCH("NOT NULL",UPPER(M$3))),"''","null"),SUBSTITUTE(VLOOKUP(M$2,convert!$A$1:$B$4,2,0),"@@@",M866))</f>
        <v>null</v>
      </c>
      <c r="AC866" s="4" t="str">
        <f>IF(N866="",IF(ISNUMBER(SEARCH("NOT NULL",UPPER(N$3))),"''","null"),SUBSTITUTE(VLOOKUP(N$2,convert!$A$1:$B$4,2,0),"@@@",N866))</f>
        <v>null</v>
      </c>
      <c r="AD866" s="4" t="str">
        <f>IF(O866="",IF(ISNUMBER(SEARCH("NOT NULL",UPPER(O$3))),"''","null"),SUBSTITUTE(VLOOKUP(O$2,convert!$A$1:$B$4,2,0),"@@@",O866))</f>
        <v>TRUE</v>
      </c>
      <c r="AE866" s="4" t="str">
        <f t="shared" si="13"/>
        <v>    ('0710N02', 'バケッチャ', 44, 66, 70, 44, 55, 56, 'ちいさいサイズ', 'ghost', 'grass', 'g6', null, null, TRUE),</v>
      </c>
    </row>
    <row r="867" spans="1:31">
      <c r="A867" s="4" t="s">
        <v>1737</v>
      </c>
      <c r="B867" s="4" t="s">
        <v>1733</v>
      </c>
      <c r="C867" s="5">
        <v>54</v>
      </c>
      <c r="D867" s="5">
        <v>66</v>
      </c>
      <c r="E867" s="5">
        <v>70</v>
      </c>
      <c r="F867" s="5">
        <v>44</v>
      </c>
      <c r="G867" s="5">
        <v>55</v>
      </c>
      <c r="H867" s="5">
        <v>46</v>
      </c>
      <c r="I867" s="4" t="s">
        <v>1738</v>
      </c>
      <c r="J867" s="4" t="s">
        <v>281</v>
      </c>
      <c r="K867" s="4" t="s">
        <v>30</v>
      </c>
      <c r="L867" s="4" t="s">
        <v>39</v>
      </c>
      <c r="M867" s="5"/>
      <c r="N867" s="5"/>
      <c r="O867" s="5" t="b">
        <v>1</v>
      </c>
      <c r="P867" s="4" t="str">
        <f>IF(A867="",IF(ISNUMBER(SEARCH("NOT NULL",UPPER(A$3))),"''","null"),SUBSTITUTE(VLOOKUP(A$2,convert!$A$1:$B$4,2,0),"@@@",A867))</f>
        <v>'0710N03'</v>
      </c>
      <c r="Q867" s="4" t="str">
        <f>IF(B867="",IF(ISNUMBER(SEARCH("NOT NULL",UPPER(B$3))),"''","null"),SUBSTITUTE(VLOOKUP(B$2,convert!$A$1:$B$4,2,0),"@@@",B867))</f>
        <v>'バケッチャ'</v>
      </c>
      <c r="R867" s="4" t="str">
        <f>IF(C867="",IF(ISNUMBER(SEARCH("NOT NULL",UPPER(C$3))),"''","null"),SUBSTITUTE(VLOOKUP(C$2,convert!$A$1:$B$4,2,0),"@@@",C867))</f>
        <v>54</v>
      </c>
      <c r="S867" s="4" t="str">
        <f>IF(D867="",IF(ISNUMBER(SEARCH("NOT NULL",UPPER(D$3))),"''","null"),SUBSTITUTE(VLOOKUP(D$2,convert!$A$1:$B$4,2,0),"@@@",D867))</f>
        <v>66</v>
      </c>
      <c r="T867" s="4" t="str">
        <f>IF(E867="",IF(ISNUMBER(SEARCH("NOT NULL",UPPER(E$3))),"''","null"),SUBSTITUTE(VLOOKUP(E$2,convert!$A$1:$B$4,2,0),"@@@",E867))</f>
        <v>70</v>
      </c>
      <c r="U867" s="4" t="str">
        <f>IF(F867="",IF(ISNUMBER(SEARCH("NOT NULL",UPPER(F$3))),"''","null"),SUBSTITUTE(VLOOKUP(F$2,convert!$A$1:$B$4,2,0),"@@@",F867))</f>
        <v>44</v>
      </c>
      <c r="V867" s="4" t="str">
        <f>IF(G867="",IF(ISNUMBER(SEARCH("NOT NULL",UPPER(G$3))),"''","null"),SUBSTITUTE(VLOOKUP(G$2,convert!$A$1:$B$4,2,0),"@@@",G867))</f>
        <v>55</v>
      </c>
      <c r="W867" s="4" t="str">
        <f>IF(H867="",IF(ISNUMBER(SEARCH("NOT NULL",UPPER(H$3))),"''","null"),SUBSTITUTE(VLOOKUP(H$2,convert!$A$1:$B$4,2,0),"@@@",H867))</f>
        <v>46</v>
      </c>
      <c r="X867" s="4" t="str">
        <f>IF(I867="",IF(ISNUMBER(SEARCH("NOT NULL",UPPER(I$3))),"''","null"),SUBSTITUTE(VLOOKUP(I$2,convert!$A$1:$B$4,2,0),"@@@",I867))</f>
        <v>'おおきいサイズ'</v>
      </c>
      <c r="Y867" s="4" t="str">
        <f>IF(J867="",IF(ISNUMBER(SEARCH("NOT NULL",UPPER(J$3))),"''","null"),SUBSTITUTE(VLOOKUP(J$2,convert!$A$1:$B$4,2,0),"@@@",J867))</f>
        <v>'ghost'</v>
      </c>
      <c r="Z867" s="4" t="str">
        <f>IF(K867="",IF(ISNUMBER(SEARCH("NOT NULL",UPPER(K$3))),"''","null"),SUBSTITUTE(VLOOKUP(K$2,convert!$A$1:$B$4,2,0),"@@@",K867))</f>
        <v>'grass'</v>
      </c>
      <c r="AA867" s="4" t="str">
        <f>IF(L867="",IF(ISNUMBER(SEARCH("NOT NULL",UPPER(L$3))),"''","null"),SUBSTITUTE(VLOOKUP(L$2,convert!$A$1:$B$4,2,0),"@@@",L867))</f>
        <v>'g6'</v>
      </c>
      <c r="AB867" s="4" t="str">
        <f>IF(M867="",IF(ISNUMBER(SEARCH("NOT NULL",UPPER(M$3))),"''","null"),SUBSTITUTE(VLOOKUP(M$2,convert!$A$1:$B$4,2,0),"@@@",M867))</f>
        <v>null</v>
      </c>
      <c r="AC867" s="4" t="str">
        <f>IF(N867="",IF(ISNUMBER(SEARCH("NOT NULL",UPPER(N$3))),"''","null"),SUBSTITUTE(VLOOKUP(N$2,convert!$A$1:$B$4,2,0),"@@@",N867))</f>
        <v>null</v>
      </c>
      <c r="AD867" s="4" t="str">
        <f>IF(O867="",IF(ISNUMBER(SEARCH("NOT NULL",UPPER(O$3))),"''","null"),SUBSTITUTE(VLOOKUP(O$2,convert!$A$1:$B$4,2,0),"@@@",O867))</f>
        <v>TRUE</v>
      </c>
      <c r="AE867" s="4" t="str">
        <f t="shared" si="13"/>
        <v>    ('0710N03', 'バケッチャ', 54, 66, 70, 44, 55, 46, 'おおきいサイズ', 'ghost', 'grass', 'g6', null, null, TRUE),</v>
      </c>
    </row>
    <row r="868" spans="1:31">
      <c r="A868" s="4" t="s">
        <v>1739</v>
      </c>
      <c r="B868" s="4" t="s">
        <v>1733</v>
      </c>
      <c r="C868" s="5">
        <v>59</v>
      </c>
      <c r="D868" s="5">
        <v>66</v>
      </c>
      <c r="E868" s="5">
        <v>70</v>
      </c>
      <c r="F868" s="5">
        <v>44</v>
      </c>
      <c r="G868" s="5">
        <v>55</v>
      </c>
      <c r="H868" s="5">
        <v>41</v>
      </c>
      <c r="I868" s="4" t="s">
        <v>1740</v>
      </c>
      <c r="J868" s="4" t="s">
        <v>281</v>
      </c>
      <c r="K868" s="4" t="s">
        <v>30</v>
      </c>
      <c r="L868" s="4" t="s">
        <v>39</v>
      </c>
      <c r="M868" s="5"/>
      <c r="N868" s="5"/>
      <c r="O868" s="5" t="b">
        <v>1</v>
      </c>
      <c r="P868" s="4" t="str">
        <f>IF(A868="",IF(ISNUMBER(SEARCH("NOT NULL",UPPER(A$3))),"''","null"),SUBSTITUTE(VLOOKUP(A$2,convert!$A$1:$B$4,2,0),"@@@",A868))</f>
        <v>'0710N04'</v>
      </c>
      <c r="Q868" s="4" t="str">
        <f>IF(B868="",IF(ISNUMBER(SEARCH("NOT NULL",UPPER(B$3))),"''","null"),SUBSTITUTE(VLOOKUP(B$2,convert!$A$1:$B$4,2,0),"@@@",B868))</f>
        <v>'バケッチャ'</v>
      </c>
      <c r="R868" s="4" t="str">
        <f>IF(C868="",IF(ISNUMBER(SEARCH("NOT NULL",UPPER(C$3))),"''","null"),SUBSTITUTE(VLOOKUP(C$2,convert!$A$1:$B$4,2,0),"@@@",C868))</f>
        <v>59</v>
      </c>
      <c r="S868" s="4" t="str">
        <f>IF(D868="",IF(ISNUMBER(SEARCH("NOT NULL",UPPER(D$3))),"''","null"),SUBSTITUTE(VLOOKUP(D$2,convert!$A$1:$B$4,2,0),"@@@",D868))</f>
        <v>66</v>
      </c>
      <c r="T868" s="4" t="str">
        <f>IF(E868="",IF(ISNUMBER(SEARCH("NOT NULL",UPPER(E$3))),"''","null"),SUBSTITUTE(VLOOKUP(E$2,convert!$A$1:$B$4,2,0),"@@@",E868))</f>
        <v>70</v>
      </c>
      <c r="U868" s="4" t="str">
        <f>IF(F868="",IF(ISNUMBER(SEARCH("NOT NULL",UPPER(F$3))),"''","null"),SUBSTITUTE(VLOOKUP(F$2,convert!$A$1:$B$4,2,0),"@@@",F868))</f>
        <v>44</v>
      </c>
      <c r="V868" s="4" t="str">
        <f>IF(G868="",IF(ISNUMBER(SEARCH("NOT NULL",UPPER(G$3))),"''","null"),SUBSTITUTE(VLOOKUP(G$2,convert!$A$1:$B$4,2,0),"@@@",G868))</f>
        <v>55</v>
      </c>
      <c r="W868" s="4" t="str">
        <f>IF(H868="",IF(ISNUMBER(SEARCH("NOT NULL",UPPER(H$3))),"''","null"),SUBSTITUTE(VLOOKUP(H$2,convert!$A$1:$B$4,2,0),"@@@",H868))</f>
        <v>41</v>
      </c>
      <c r="X868" s="4" t="str">
        <f>IF(I868="",IF(ISNUMBER(SEARCH("NOT NULL",UPPER(I$3))),"''","null"),SUBSTITUTE(VLOOKUP(I$2,convert!$A$1:$B$4,2,0),"@@@",I868))</f>
        <v>'とくだいサイズ'</v>
      </c>
      <c r="Y868" s="4" t="str">
        <f>IF(J868="",IF(ISNUMBER(SEARCH("NOT NULL",UPPER(J$3))),"''","null"),SUBSTITUTE(VLOOKUP(J$2,convert!$A$1:$B$4,2,0),"@@@",J868))</f>
        <v>'ghost'</v>
      </c>
      <c r="Z868" s="4" t="str">
        <f>IF(K868="",IF(ISNUMBER(SEARCH("NOT NULL",UPPER(K$3))),"''","null"),SUBSTITUTE(VLOOKUP(K$2,convert!$A$1:$B$4,2,0),"@@@",K868))</f>
        <v>'grass'</v>
      </c>
      <c r="AA868" s="4" t="str">
        <f>IF(L868="",IF(ISNUMBER(SEARCH("NOT NULL",UPPER(L$3))),"''","null"),SUBSTITUTE(VLOOKUP(L$2,convert!$A$1:$B$4,2,0),"@@@",L868))</f>
        <v>'g6'</v>
      </c>
      <c r="AB868" s="4" t="str">
        <f>IF(M868="",IF(ISNUMBER(SEARCH("NOT NULL",UPPER(M$3))),"''","null"),SUBSTITUTE(VLOOKUP(M$2,convert!$A$1:$B$4,2,0),"@@@",M868))</f>
        <v>null</v>
      </c>
      <c r="AC868" s="4" t="str">
        <f>IF(N868="",IF(ISNUMBER(SEARCH("NOT NULL",UPPER(N$3))),"''","null"),SUBSTITUTE(VLOOKUP(N$2,convert!$A$1:$B$4,2,0),"@@@",N868))</f>
        <v>null</v>
      </c>
      <c r="AD868" s="4" t="str">
        <f>IF(O868="",IF(ISNUMBER(SEARCH("NOT NULL",UPPER(O$3))),"''","null"),SUBSTITUTE(VLOOKUP(O$2,convert!$A$1:$B$4,2,0),"@@@",O868))</f>
        <v>TRUE</v>
      </c>
      <c r="AE868" s="4" t="str">
        <f t="shared" si="13"/>
        <v>    ('0710N04', 'バケッチャ', 59, 66, 70, 44, 55, 41, 'とくだいサイズ', 'ghost', 'grass', 'g6', null, null, TRUE),</v>
      </c>
    </row>
    <row r="869" spans="1:31">
      <c r="A869" s="4" t="s">
        <v>1741</v>
      </c>
      <c r="B869" s="4" t="s">
        <v>1742</v>
      </c>
      <c r="C869" s="5">
        <v>65</v>
      </c>
      <c r="D869" s="5">
        <v>90</v>
      </c>
      <c r="E869" s="5">
        <v>122</v>
      </c>
      <c r="F869" s="5">
        <v>58</v>
      </c>
      <c r="G869" s="5">
        <v>75</v>
      </c>
      <c r="H869" s="5">
        <v>84</v>
      </c>
      <c r="I869" s="4" t="s">
        <v>1734</v>
      </c>
      <c r="J869" s="4" t="s">
        <v>281</v>
      </c>
      <c r="K869" s="4" t="s">
        <v>30</v>
      </c>
      <c r="L869" s="4" t="s">
        <v>39</v>
      </c>
      <c r="M869" s="5"/>
      <c r="N869" s="5"/>
      <c r="O869" s="5" t="b">
        <v>1</v>
      </c>
      <c r="P869" s="4" t="str">
        <f>IF(A869="",IF(ISNUMBER(SEARCH("NOT NULL",UPPER(A$3))),"''","null"),SUBSTITUTE(VLOOKUP(A$2,convert!$A$1:$B$4,2,0),"@@@",A869))</f>
        <v>'0711N01'</v>
      </c>
      <c r="Q869" s="4" t="str">
        <f>IF(B869="",IF(ISNUMBER(SEARCH("NOT NULL",UPPER(B$3))),"''","null"),SUBSTITUTE(VLOOKUP(B$2,convert!$A$1:$B$4,2,0),"@@@",B869))</f>
        <v>'パンプジン'</v>
      </c>
      <c r="R869" s="4" t="str">
        <f>IF(C869="",IF(ISNUMBER(SEARCH("NOT NULL",UPPER(C$3))),"''","null"),SUBSTITUTE(VLOOKUP(C$2,convert!$A$1:$B$4,2,0),"@@@",C869))</f>
        <v>65</v>
      </c>
      <c r="S869" s="4" t="str">
        <f>IF(D869="",IF(ISNUMBER(SEARCH("NOT NULL",UPPER(D$3))),"''","null"),SUBSTITUTE(VLOOKUP(D$2,convert!$A$1:$B$4,2,0),"@@@",D869))</f>
        <v>90</v>
      </c>
      <c r="T869" s="4" t="str">
        <f>IF(E869="",IF(ISNUMBER(SEARCH("NOT NULL",UPPER(E$3))),"''","null"),SUBSTITUTE(VLOOKUP(E$2,convert!$A$1:$B$4,2,0),"@@@",E869))</f>
        <v>122</v>
      </c>
      <c r="U869" s="4" t="str">
        <f>IF(F869="",IF(ISNUMBER(SEARCH("NOT NULL",UPPER(F$3))),"''","null"),SUBSTITUTE(VLOOKUP(F$2,convert!$A$1:$B$4,2,0),"@@@",F869))</f>
        <v>58</v>
      </c>
      <c r="V869" s="4" t="str">
        <f>IF(G869="",IF(ISNUMBER(SEARCH("NOT NULL",UPPER(G$3))),"''","null"),SUBSTITUTE(VLOOKUP(G$2,convert!$A$1:$B$4,2,0),"@@@",G869))</f>
        <v>75</v>
      </c>
      <c r="W869" s="4" t="str">
        <f>IF(H869="",IF(ISNUMBER(SEARCH("NOT NULL",UPPER(H$3))),"''","null"),SUBSTITUTE(VLOOKUP(H$2,convert!$A$1:$B$4,2,0),"@@@",H869))</f>
        <v>84</v>
      </c>
      <c r="X869" s="4" t="str">
        <f>IF(I869="",IF(ISNUMBER(SEARCH("NOT NULL",UPPER(I$3))),"''","null"),SUBSTITUTE(VLOOKUP(I$2,convert!$A$1:$B$4,2,0),"@@@",I869))</f>
        <v>'ふつうのサイズ'</v>
      </c>
      <c r="Y869" s="4" t="str">
        <f>IF(J869="",IF(ISNUMBER(SEARCH("NOT NULL",UPPER(J$3))),"''","null"),SUBSTITUTE(VLOOKUP(J$2,convert!$A$1:$B$4,2,0),"@@@",J869))</f>
        <v>'ghost'</v>
      </c>
      <c r="Z869" s="4" t="str">
        <f>IF(K869="",IF(ISNUMBER(SEARCH("NOT NULL",UPPER(K$3))),"''","null"),SUBSTITUTE(VLOOKUP(K$2,convert!$A$1:$B$4,2,0),"@@@",K869))</f>
        <v>'grass'</v>
      </c>
      <c r="AA869" s="4" t="str">
        <f>IF(L869="",IF(ISNUMBER(SEARCH("NOT NULL",UPPER(L$3))),"''","null"),SUBSTITUTE(VLOOKUP(L$2,convert!$A$1:$B$4,2,0),"@@@",L869))</f>
        <v>'g6'</v>
      </c>
      <c r="AB869" s="4" t="str">
        <f>IF(M869="",IF(ISNUMBER(SEARCH("NOT NULL",UPPER(M$3))),"''","null"),SUBSTITUTE(VLOOKUP(M$2,convert!$A$1:$B$4,2,0),"@@@",M869))</f>
        <v>null</v>
      </c>
      <c r="AC869" s="4" t="str">
        <f>IF(N869="",IF(ISNUMBER(SEARCH("NOT NULL",UPPER(N$3))),"''","null"),SUBSTITUTE(VLOOKUP(N$2,convert!$A$1:$B$4,2,0),"@@@",N869))</f>
        <v>null</v>
      </c>
      <c r="AD869" s="4" t="str">
        <f>IF(O869="",IF(ISNUMBER(SEARCH("NOT NULL",UPPER(O$3))),"''","null"),SUBSTITUTE(VLOOKUP(O$2,convert!$A$1:$B$4,2,0),"@@@",O869))</f>
        <v>TRUE</v>
      </c>
      <c r="AE869" s="4" t="str">
        <f t="shared" si="13"/>
        <v>    ('0711N01', 'パンプジン', 65, 90, 122, 58, 75, 84, 'ふつうのサイズ', 'ghost', 'grass', 'g6', null, null, TRUE),</v>
      </c>
    </row>
    <row r="870" spans="1:31">
      <c r="A870" s="4" t="s">
        <v>1743</v>
      </c>
      <c r="B870" s="4" t="s">
        <v>1742</v>
      </c>
      <c r="C870" s="5">
        <v>55</v>
      </c>
      <c r="D870" s="5">
        <v>85</v>
      </c>
      <c r="E870" s="5">
        <v>122</v>
      </c>
      <c r="F870" s="5">
        <v>58</v>
      </c>
      <c r="G870" s="5">
        <v>75</v>
      </c>
      <c r="H870" s="5">
        <v>99</v>
      </c>
      <c r="I870" s="4" t="s">
        <v>1736</v>
      </c>
      <c r="J870" s="4" t="s">
        <v>281</v>
      </c>
      <c r="K870" s="4" t="s">
        <v>30</v>
      </c>
      <c r="L870" s="4" t="s">
        <v>39</v>
      </c>
      <c r="M870" s="5"/>
      <c r="N870" s="5"/>
      <c r="O870" s="5" t="b">
        <v>1</v>
      </c>
      <c r="P870" s="4" t="str">
        <f>IF(A870="",IF(ISNUMBER(SEARCH("NOT NULL",UPPER(A$3))),"''","null"),SUBSTITUTE(VLOOKUP(A$2,convert!$A$1:$B$4,2,0),"@@@",A870))</f>
        <v>'0711N02'</v>
      </c>
      <c r="Q870" s="4" t="str">
        <f>IF(B870="",IF(ISNUMBER(SEARCH("NOT NULL",UPPER(B$3))),"''","null"),SUBSTITUTE(VLOOKUP(B$2,convert!$A$1:$B$4,2,0),"@@@",B870))</f>
        <v>'パンプジン'</v>
      </c>
      <c r="R870" s="4" t="str">
        <f>IF(C870="",IF(ISNUMBER(SEARCH("NOT NULL",UPPER(C$3))),"''","null"),SUBSTITUTE(VLOOKUP(C$2,convert!$A$1:$B$4,2,0),"@@@",C870))</f>
        <v>55</v>
      </c>
      <c r="S870" s="4" t="str">
        <f>IF(D870="",IF(ISNUMBER(SEARCH("NOT NULL",UPPER(D$3))),"''","null"),SUBSTITUTE(VLOOKUP(D$2,convert!$A$1:$B$4,2,0),"@@@",D870))</f>
        <v>85</v>
      </c>
      <c r="T870" s="4" t="str">
        <f>IF(E870="",IF(ISNUMBER(SEARCH("NOT NULL",UPPER(E$3))),"''","null"),SUBSTITUTE(VLOOKUP(E$2,convert!$A$1:$B$4,2,0),"@@@",E870))</f>
        <v>122</v>
      </c>
      <c r="U870" s="4" t="str">
        <f>IF(F870="",IF(ISNUMBER(SEARCH("NOT NULL",UPPER(F$3))),"''","null"),SUBSTITUTE(VLOOKUP(F$2,convert!$A$1:$B$4,2,0),"@@@",F870))</f>
        <v>58</v>
      </c>
      <c r="V870" s="4" t="str">
        <f>IF(G870="",IF(ISNUMBER(SEARCH("NOT NULL",UPPER(G$3))),"''","null"),SUBSTITUTE(VLOOKUP(G$2,convert!$A$1:$B$4,2,0),"@@@",G870))</f>
        <v>75</v>
      </c>
      <c r="W870" s="4" t="str">
        <f>IF(H870="",IF(ISNUMBER(SEARCH("NOT NULL",UPPER(H$3))),"''","null"),SUBSTITUTE(VLOOKUP(H$2,convert!$A$1:$B$4,2,0),"@@@",H870))</f>
        <v>99</v>
      </c>
      <c r="X870" s="4" t="str">
        <f>IF(I870="",IF(ISNUMBER(SEARCH("NOT NULL",UPPER(I$3))),"''","null"),SUBSTITUTE(VLOOKUP(I$2,convert!$A$1:$B$4,2,0),"@@@",I870))</f>
        <v>'ちいさいサイズ'</v>
      </c>
      <c r="Y870" s="4" t="str">
        <f>IF(J870="",IF(ISNUMBER(SEARCH("NOT NULL",UPPER(J$3))),"''","null"),SUBSTITUTE(VLOOKUP(J$2,convert!$A$1:$B$4,2,0),"@@@",J870))</f>
        <v>'ghost'</v>
      </c>
      <c r="Z870" s="4" t="str">
        <f>IF(K870="",IF(ISNUMBER(SEARCH("NOT NULL",UPPER(K$3))),"''","null"),SUBSTITUTE(VLOOKUP(K$2,convert!$A$1:$B$4,2,0),"@@@",K870))</f>
        <v>'grass'</v>
      </c>
      <c r="AA870" s="4" t="str">
        <f>IF(L870="",IF(ISNUMBER(SEARCH("NOT NULL",UPPER(L$3))),"''","null"),SUBSTITUTE(VLOOKUP(L$2,convert!$A$1:$B$4,2,0),"@@@",L870))</f>
        <v>'g6'</v>
      </c>
      <c r="AB870" s="4" t="str">
        <f>IF(M870="",IF(ISNUMBER(SEARCH("NOT NULL",UPPER(M$3))),"''","null"),SUBSTITUTE(VLOOKUP(M$2,convert!$A$1:$B$4,2,0),"@@@",M870))</f>
        <v>null</v>
      </c>
      <c r="AC870" s="4" t="str">
        <f>IF(N870="",IF(ISNUMBER(SEARCH("NOT NULL",UPPER(N$3))),"''","null"),SUBSTITUTE(VLOOKUP(N$2,convert!$A$1:$B$4,2,0),"@@@",N870))</f>
        <v>null</v>
      </c>
      <c r="AD870" s="4" t="str">
        <f>IF(O870="",IF(ISNUMBER(SEARCH("NOT NULL",UPPER(O$3))),"''","null"),SUBSTITUTE(VLOOKUP(O$2,convert!$A$1:$B$4,2,0),"@@@",O870))</f>
        <v>TRUE</v>
      </c>
      <c r="AE870" s="4" t="str">
        <f t="shared" si="13"/>
        <v>    ('0711N02', 'パンプジン', 55, 85, 122, 58, 75, 99, 'ちいさいサイズ', 'ghost', 'grass', 'g6', null, null, TRUE),</v>
      </c>
    </row>
    <row r="871" spans="1:31">
      <c r="A871" s="4" t="s">
        <v>1744</v>
      </c>
      <c r="B871" s="4" t="s">
        <v>1742</v>
      </c>
      <c r="C871" s="5">
        <v>75</v>
      </c>
      <c r="D871" s="5">
        <v>95</v>
      </c>
      <c r="E871" s="5">
        <v>122</v>
      </c>
      <c r="F871" s="5">
        <v>58</v>
      </c>
      <c r="G871" s="5">
        <v>75</v>
      </c>
      <c r="H871" s="5">
        <v>69</v>
      </c>
      <c r="I871" s="4" t="s">
        <v>1738</v>
      </c>
      <c r="J871" s="4" t="s">
        <v>281</v>
      </c>
      <c r="K871" s="4" t="s">
        <v>30</v>
      </c>
      <c r="L871" s="4" t="s">
        <v>39</v>
      </c>
      <c r="M871" s="5"/>
      <c r="N871" s="5"/>
      <c r="O871" s="5" t="b">
        <v>1</v>
      </c>
      <c r="P871" s="4" t="str">
        <f>IF(A871="",IF(ISNUMBER(SEARCH("NOT NULL",UPPER(A$3))),"''","null"),SUBSTITUTE(VLOOKUP(A$2,convert!$A$1:$B$4,2,0),"@@@",A871))</f>
        <v>'0711N03'</v>
      </c>
      <c r="Q871" s="4" t="str">
        <f>IF(B871="",IF(ISNUMBER(SEARCH("NOT NULL",UPPER(B$3))),"''","null"),SUBSTITUTE(VLOOKUP(B$2,convert!$A$1:$B$4,2,0),"@@@",B871))</f>
        <v>'パンプジン'</v>
      </c>
      <c r="R871" s="4" t="str">
        <f>IF(C871="",IF(ISNUMBER(SEARCH("NOT NULL",UPPER(C$3))),"''","null"),SUBSTITUTE(VLOOKUP(C$2,convert!$A$1:$B$4,2,0),"@@@",C871))</f>
        <v>75</v>
      </c>
      <c r="S871" s="4" t="str">
        <f>IF(D871="",IF(ISNUMBER(SEARCH("NOT NULL",UPPER(D$3))),"''","null"),SUBSTITUTE(VLOOKUP(D$2,convert!$A$1:$B$4,2,0),"@@@",D871))</f>
        <v>95</v>
      </c>
      <c r="T871" s="4" t="str">
        <f>IF(E871="",IF(ISNUMBER(SEARCH("NOT NULL",UPPER(E$3))),"''","null"),SUBSTITUTE(VLOOKUP(E$2,convert!$A$1:$B$4,2,0),"@@@",E871))</f>
        <v>122</v>
      </c>
      <c r="U871" s="4" t="str">
        <f>IF(F871="",IF(ISNUMBER(SEARCH("NOT NULL",UPPER(F$3))),"''","null"),SUBSTITUTE(VLOOKUP(F$2,convert!$A$1:$B$4,2,0),"@@@",F871))</f>
        <v>58</v>
      </c>
      <c r="V871" s="4" t="str">
        <f>IF(G871="",IF(ISNUMBER(SEARCH("NOT NULL",UPPER(G$3))),"''","null"),SUBSTITUTE(VLOOKUP(G$2,convert!$A$1:$B$4,2,0),"@@@",G871))</f>
        <v>75</v>
      </c>
      <c r="W871" s="4" t="str">
        <f>IF(H871="",IF(ISNUMBER(SEARCH("NOT NULL",UPPER(H$3))),"''","null"),SUBSTITUTE(VLOOKUP(H$2,convert!$A$1:$B$4,2,0),"@@@",H871))</f>
        <v>69</v>
      </c>
      <c r="X871" s="4" t="str">
        <f>IF(I871="",IF(ISNUMBER(SEARCH("NOT NULL",UPPER(I$3))),"''","null"),SUBSTITUTE(VLOOKUP(I$2,convert!$A$1:$B$4,2,0),"@@@",I871))</f>
        <v>'おおきいサイズ'</v>
      </c>
      <c r="Y871" s="4" t="str">
        <f>IF(J871="",IF(ISNUMBER(SEARCH("NOT NULL",UPPER(J$3))),"''","null"),SUBSTITUTE(VLOOKUP(J$2,convert!$A$1:$B$4,2,0),"@@@",J871))</f>
        <v>'ghost'</v>
      </c>
      <c r="Z871" s="4" t="str">
        <f>IF(K871="",IF(ISNUMBER(SEARCH("NOT NULL",UPPER(K$3))),"''","null"),SUBSTITUTE(VLOOKUP(K$2,convert!$A$1:$B$4,2,0),"@@@",K871))</f>
        <v>'grass'</v>
      </c>
      <c r="AA871" s="4" t="str">
        <f>IF(L871="",IF(ISNUMBER(SEARCH("NOT NULL",UPPER(L$3))),"''","null"),SUBSTITUTE(VLOOKUP(L$2,convert!$A$1:$B$4,2,0),"@@@",L871))</f>
        <v>'g6'</v>
      </c>
      <c r="AB871" s="4" t="str">
        <f>IF(M871="",IF(ISNUMBER(SEARCH("NOT NULL",UPPER(M$3))),"''","null"),SUBSTITUTE(VLOOKUP(M$2,convert!$A$1:$B$4,2,0),"@@@",M871))</f>
        <v>null</v>
      </c>
      <c r="AC871" s="4" t="str">
        <f>IF(N871="",IF(ISNUMBER(SEARCH("NOT NULL",UPPER(N$3))),"''","null"),SUBSTITUTE(VLOOKUP(N$2,convert!$A$1:$B$4,2,0),"@@@",N871))</f>
        <v>null</v>
      </c>
      <c r="AD871" s="4" t="str">
        <f>IF(O871="",IF(ISNUMBER(SEARCH("NOT NULL",UPPER(O$3))),"''","null"),SUBSTITUTE(VLOOKUP(O$2,convert!$A$1:$B$4,2,0),"@@@",O871))</f>
        <v>TRUE</v>
      </c>
      <c r="AE871" s="4" t="str">
        <f t="shared" si="13"/>
        <v>    ('0711N03', 'パンプジン', 75, 95, 122, 58, 75, 69, 'おおきいサイズ', 'ghost', 'grass', 'g6', null, null, TRUE),</v>
      </c>
    </row>
    <row r="872" spans="1:31">
      <c r="A872" s="4" t="s">
        <v>1745</v>
      </c>
      <c r="B872" s="4" t="s">
        <v>1742</v>
      </c>
      <c r="C872" s="5">
        <v>85</v>
      </c>
      <c r="D872" s="5">
        <v>100</v>
      </c>
      <c r="E872" s="5">
        <v>122</v>
      </c>
      <c r="F872" s="5">
        <v>58</v>
      </c>
      <c r="G872" s="5">
        <v>75</v>
      </c>
      <c r="H872" s="5">
        <v>54</v>
      </c>
      <c r="I872" s="4" t="s">
        <v>1740</v>
      </c>
      <c r="J872" s="4" t="s">
        <v>281</v>
      </c>
      <c r="K872" s="4" t="s">
        <v>30</v>
      </c>
      <c r="L872" s="4" t="s">
        <v>39</v>
      </c>
      <c r="M872" s="5"/>
      <c r="N872" s="5"/>
      <c r="O872" s="5" t="b">
        <v>1</v>
      </c>
      <c r="P872" s="4" t="str">
        <f>IF(A872="",IF(ISNUMBER(SEARCH("NOT NULL",UPPER(A$3))),"''","null"),SUBSTITUTE(VLOOKUP(A$2,convert!$A$1:$B$4,2,0),"@@@",A872))</f>
        <v>'0711N04'</v>
      </c>
      <c r="Q872" s="4" t="str">
        <f>IF(B872="",IF(ISNUMBER(SEARCH("NOT NULL",UPPER(B$3))),"''","null"),SUBSTITUTE(VLOOKUP(B$2,convert!$A$1:$B$4,2,0),"@@@",B872))</f>
        <v>'パンプジン'</v>
      </c>
      <c r="R872" s="4" t="str">
        <f>IF(C872="",IF(ISNUMBER(SEARCH("NOT NULL",UPPER(C$3))),"''","null"),SUBSTITUTE(VLOOKUP(C$2,convert!$A$1:$B$4,2,0),"@@@",C872))</f>
        <v>85</v>
      </c>
      <c r="S872" s="4" t="str">
        <f>IF(D872="",IF(ISNUMBER(SEARCH("NOT NULL",UPPER(D$3))),"''","null"),SUBSTITUTE(VLOOKUP(D$2,convert!$A$1:$B$4,2,0),"@@@",D872))</f>
        <v>100</v>
      </c>
      <c r="T872" s="4" t="str">
        <f>IF(E872="",IF(ISNUMBER(SEARCH("NOT NULL",UPPER(E$3))),"''","null"),SUBSTITUTE(VLOOKUP(E$2,convert!$A$1:$B$4,2,0),"@@@",E872))</f>
        <v>122</v>
      </c>
      <c r="U872" s="4" t="str">
        <f>IF(F872="",IF(ISNUMBER(SEARCH("NOT NULL",UPPER(F$3))),"''","null"),SUBSTITUTE(VLOOKUP(F$2,convert!$A$1:$B$4,2,0),"@@@",F872))</f>
        <v>58</v>
      </c>
      <c r="V872" s="4" t="str">
        <f>IF(G872="",IF(ISNUMBER(SEARCH("NOT NULL",UPPER(G$3))),"''","null"),SUBSTITUTE(VLOOKUP(G$2,convert!$A$1:$B$4,2,0),"@@@",G872))</f>
        <v>75</v>
      </c>
      <c r="W872" s="4" t="str">
        <f>IF(H872="",IF(ISNUMBER(SEARCH("NOT NULL",UPPER(H$3))),"''","null"),SUBSTITUTE(VLOOKUP(H$2,convert!$A$1:$B$4,2,0),"@@@",H872))</f>
        <v>54</v>
      </c>
      <c r="X872" s="4" t="str">
        <f>IF(I872="",IF(ISNUMBER(SEARCH("NOT NULL",UPPER(I$3))),"''","null"),SUBSTITUTE(VLOOKUP(I$2,convert!$A$1:$B$4,2,0),"@@@",I872))</f>
        <v>'とくだいサイズ'</v>
      </c>
      <c r="Y872" s="4" t="str">
        <f>IF(J872="",IF(ISNUMBER(SEARCH("NOT NULL",UPPER(J$3))),"''","null"),SUBSTITUTE(VLOOKUP(J$2,convert!$A$1:$B$4,2,0),"@@@",J872))</f>
        <v>'ghost'</v>
      </c>
      <c r="Z872" s="4" t="str">
        <f>IF(K872="",IF(ISNUMBER(SEARCH("NOT NULL",UPPER(K$3))),"''","null"),SUBSTITUTE(VLOOKUP(K$2,convert!$A$1:$B$4,2,0),"@@@",K872))</f>
        <v>'grass'</v>
      </c>
      <c r="AA872" s="4" t="str">
        <f>IF(L872="",IF(ISNUMBER(SEARCH("NOT NULL",UPPER(L$3))),"''","null"),SUBSTITUTE(VLOOKUP(L$2,convert!$A$1:$B$4,2,0),"@@@",L872))</f>
        <v>'g6'</v>
      </c>
      <c r="AB872" s="4" t="str">
        <f>IF(M872="",IF(ISNUMBER(SEARCH("NOT NULL",UPPER(M$3))),"''","null"),SUBSTITUTE(VLOOKUP(M$2,convert!$A$1:$B$4,2,0),"@@@",M872))</f>
        <v>null</v>
      </c>
      <c r="AC872" s="4" t="str">
        <f>IF(N872="",IF(ISNUMBER(SEARCH("NOT NULL",UPPER(N$3))),"''","null"),SUBSTITUTE(VLOOKUP(N$2,convert!$A$1:$B$4,2,0),"@@@",N872))</f>
        <v>null</v>
      </c>
      <c r="AD872" s="4" t="str">
        <f>IF(O872="",IF(ISNUMBER(SEARCH("NOT NULL",UPPER(O$3))),"''","null"),SUBSTITUTE(VLOOKUP(O$2,convert!$A$1:$B$4,2,0),"@@@",O872))</f>
        <v>TRUE</v>
      </c>
      <c r="AE872" s="4" t="str">
        <f t="shared" si="13"/>
        <v>    ('0711N04', 'パンプジン', 85, 100, 122, 58, 75, 54, 'とくだいサイズ', 'ghost', 'grass', 'g6', null, null, TRUE),</v>
      </c>
    </row>
    <row r="873" spans="1:31">
      <c r="A873" s="4" t="s">
        <v>1746</v>
      </c>
      <c r="B873" s="4" t="s">
        <v>1747</v>
      </c>
      <c r="C873" s="5">
        <v>55</v>
      </c>
      <c r="D873" s="5">
        <v>69</v>
      </c>
      <c r="E873" s="5">
        <v>85</v>
      </c>
      <c r="F873" s="5">
        <v>32</v>
      </c>
      <c r="G873" s="5">
        <v>35</v>
      </c>
      <c r="H873" s="5">
        <v>28</v>
      </c>
      <c r="I873" s="5"/>
      <c r="J873" s="4" t="s">
        <v>118</v>
      </c>
      <c r="K873" s="5"/>
      <c r="L873" s="4" t="s">
        <v>39</v>
      </c>
      <c r="M873" s="5"/>
      <c r="N873" s="5"/>
      <c r="O873" s="5" t="b">
        <v>1</v>
      </c>
      <c r="P873" s="4" t="str">
        <f>IF(A873="",IF(ISNUMBER(SEARCH("NOT NULL",UPPER(A$3))),"''","null"),SUBSTITUTE(VLOOKUP(A$2,convert!$A$1:$B$4,2,0),"@@@",A873))</f>
        <v>'0712N01'</v>
      </c>
      <c r="Q873" s="4" t="str">
        <f>IF(B873="",IF(ISNUMBER(SEARCH("NOT NULL",UPPER(B$3))),"''","null"),SUBSTITUTE(VLOOKUP(B$2,convert!$A$1:$B$4,2,0),"@@@",B873))</f>
        <v>'カチコール'</v>
      </c>
      <c r="R873" s="4" t="str">
        <f>IF(C873="",IF(ISNUMBER(SEARCH("NOT NULL",UPPER(C$3))),"''","null"),SUBSTITUTE(VLOOKUP(C$2,convert!$A$1:$B$4,2,0),"@@@",C873))</f>
        <v>55</v>
      </c>
      <c r="S873" s="4" t="str">
        <f>IF(D873="",IF(ISNUMBER(SEARCH("NOT NULL",UPPER(D$3))),"''","null"),SUBSTITUTE(VLOOKUP(D$2,convert!$A$1:$B$4,2,0),"@@@",D873))</f>
        <v>69</v>
      </c>
      <c r="T873" s="4" t="str">
        <f>IF(E873="",IF(ISNUMBER(SEARCH("NOT NULL",UPPER(E$3))),"''","null"),SUBSTITUTE(VLOOKUP(E$2,convert!$A$1:$B$4,2,0),"@@@",E873))</f>
        <v>85</v>
      </c>
      <c r="U873" s="4" t="str">
        <f>IF(F873="",IF(ISNUMBER(SEARCH("NOT NULL",UPPER(F$3))),"''","null"),SUBSTITUTE(VLOOKUP(F$2,convert!$A$1:$B$4,2,0),"@@@",F873))</f>
        <v>32</v>
      </c>
      <c r="V873" s="4" t="str">
        <f>IF(G873="",IF(ISNUMBER(SEARCH("NOT NULL",UPPER(G$3))),"''","null"),SUBSTITUTE(VLOOKUP(G$2,convert!$A$1:$B$4,2,0),"@@@",G873))</f>
        <v>35</v>
      </c>
      <c r="W873" s="4" t="str">
        <f>IF(H873="",IF(ISNUMBER(SEARCH("NOT NULL",UPPER(H$3))),"''","null"),SUBSTITUTE(VLOOKUP(H$2,convert!$A$1:$B$4,2,0),"@@@",H873))</f>
        <v>28</v>
      </c>
      <c r="X873" s="4" t="str">
        <f>IF(I873="",IF(ISNUMBER(SEARCH("NOT NULL",UPPER(I$3))),"''","null"),SUBSTITUTE(VLOOKUP(I$2,convert!$A$1:$B$4,2,0),"@@@",I873))</f>
        <v>''</v>
      </c>
      <c r="Y873" s="4" t="str">
        <f>IF(J873="",IF(ISNUMBER(SEARCH("NOT NULL",UPPER(J$3))),"''","null"),SUBSTITUTE(VLOOKUP(J$2,convert!$A$1:$B$4,2,0),"@@@",J873))</f>
        <v>'ice'</v>
      </c>
      <c r="Z873" s="4" t="str">
        <f>IF(K873="",IF(ISNUMBER(SEARCH("NOT NULL",UPPER(K$3))),"''","null"),SUBSTITUTE(VLOOKUP(K$2,convert!$A$1:$B$4,2,0),"@@@",K873))</f>
        <v>null</v>
      </c>
      <c r="AA873" s="4" t="str">
        <f>IF(L873="",IF(ISNUMBER(SEARCH("NOT NULL",UPPER(L$3))),"''","null"),SUBSTITUTE(VLOOKUP(L$2,convert!$A$1:$B$4,2,0),"@@@",L873))</f>
        <v>'g6'</v>
      </c>
      <c r="AB873" s="4" t="str">
        <f>IF(M873="",IF(ISNUMBER(SEARCH("NOT NULL",UPPER(M$3))),"''","null"),SUBSTITUTE(VLOOKUP(M$2,convert!$A$1:$B$4,2,0),"@@@",M873))</f>
        <v>null</v>
      </c>
      <c r="AC873" s="4" t="str">
        <f>IF(N873="",IF(ISNUMBER(SEARCH("NOT NULL",UPPER(N$3))),"''","null"),SUBSTITUTE(VLOOKUP(N$2,convert!$A$1:$B$4,2,0),"@@@",N873))</f>
        <v>null</v>
      </c>
      <c r="AD873" s="4" t="str">
        <f>IF(O873="",IF(ISNUMBER(SEARCH("NOT NULL",UPPER(O$3))),"''","null"),SUBSTITUTE(VLOOKUP(O$2,convert!$A$1:$B$4,2,0),"@@@",O873))</f>
        <v>TRUE</v>
      </c>
      <c r="AE873" s="4" t="str">
        <f t="shared" si="13"/>
        <v>    ('0712N01', 'カチコール', 55, 69, 85, 32, 35, 28, '', 'ice', null, 'g6', null, null, TRUE),</v>
      </c>
    </row>
    <row r="874" spans="1:31">
      <c r="A874" s="4" t="s">
        <v>1748</v>
      </c>
      <c r="B874" s="4" t="s">
        <v>1749</v>
      </c>
      <c r="C874" s="5">
        <v>95</v>
      </c>
      <c r="D874" s="5">
        <v>117</v>
      </c>
      <c r="E874" s="5">
        <v>184</v>
      </c>
      <c r="F874" s="5">
        <v>44</v>
      </c>
      <c r="G874" s="5">
        <v>46</v>
      </c>
      <c r="H874" s="5">
        <v>28</v>
      </c>
      <c r="I874" s="5"/>
      <c r="J874" s="4" t="s">
        <v>118</v>
      </c>
      <c r="K874" s="5"/>
      <c r="L874" s="4" t="s">
        <v>39</v>
      </c>
      <c r="M874" s="5"/>
      <c r="N874" s="5"/>
      <c r="O874" s="5" t="b">
        <v>1</v>
      </c>
      <c r="P874" s="4" t="str">
        <f>IF(A874="",IF(ISNUMBER(SEARCH("NOT NULL",UPPER(A$3))),"''","null"),SUBSTITUTE(VLOOKUP(A$2,convert!$A$1:$B$4,2,0),"@@@",A874))</f>
        <v>'0713N01'</v>
      </c>
      <c r="Q874" s="4" t="str">
        <f>IF(B874="",IF(ISNUMBER(SEARCH("NOT NULL",UPPER(B$3))),"''","null"),SUBSTITUTE(VLOOKUP(B$2,convert!$A$1:$B$4,2,0),"@@@",B874))</f>
        <v>'クレベース'</v>
      </c>
      <c r="R874" s="4" t="str">
        <f>IF(C874="",IF(ISNUMBER(SEARCH("NOT NULL",UPPER(C$3))),"''","null"),SUBSTITUTE(VLOOKUP(C$2,convert!$A$1:$B$4,2,0),"@@@",C874))</f>
        <v>95</v>
      </c>
      <c r="S874" s="4" t="str">
        <f>IF(D874="",IF(ISNUMBER(SEARCH("NOT NULL",UPPER(D$3))),"''","null"),SUBSTITUTE(VLOOKUP(D$2,convert!$A$1:$B$4,2,0),"@@@",D874))</f>
        <v>117</v>
      </c>
      <c r="T874" s="4" t="str">
        <f>IF(E874="",IF(ISNUMBER(SEARCH("NOT NULL",UPPER(E$3))),"''","null"),SUBSTITUTE(VLOOKUP(E$2,convert!$A$1:$B$4,2,0),"@@@",E874))</f>
        <v>184</v>
      </c>
      <c r="U874" s="4" t="str">
        <f>IF(F874="",IF(ISNUMBER(SEARCH("NOT NULL",UPPER(F$3))),"''","null"),SUBSTITUTE(VLOOKUP(F$2,convert!$A$1:$B$4,2,0),"@@@",F874))</f>
        <v>44</v>
      </c>
      <c r="V874" s="4" t="str">
        <f>IF(G874="",IF(ISNUMBER(SEARCH("NOT NULL",UPPER(G$3))),"''","null"),SUBSTITUTE(VLOOKUP(G$2,convert!$A$1:$B$4,2,0),"@@@",G874))</f>
        <v>46</v>
      </c>
      <c r="W874" s="4" t="str">
        <f>IF(H874="",IF(ISNUMBER(SEARCH("NOT NULL",UPPER(H$3))),"''","null"),SUBSTITUTE(VLOOKUP(H$2,convert!$A$1:$B$4,2,0),"@@@",H874))</f>
        <v>28</v>
      </c>
      <c r="X874" s="4" t="str">
        <f>IF(I874="",IF(ISNUMBER(SEARCH("NOT NULL",UPPER(I$3))),"''","null"),SUBSTITUTE(VLOOKUP(I$2,convert!$A$1:$B$4,2,0),"@@@",I874))</f>
        <v>''</v>
      </c>
      <c r="Y874" s="4" t="str">
        <f>IF(J874="",IF(ISNUMBER(SEARCH("NOT NULL",UPPER(J$3))),"''","null"),SUBSTITUTE(VLOOKUP(J$2,convert!$A$1:$B$4,2,0),"@@@",J874))</f>
        <v>'ice'</v>
      </c>
      <c r="Z874" s="4" t="str">
        <f>IF(K874="",IF(ISNUMBER(SEARCH("NOT NULL",UPPER(K$3))),"''","null"),SUBSTITUTE(VLOOKUP(K$2,convert!$A$1:$B$4,2,0),"@@@",K874))</f>
        <v>null</v>
      </c>
      <c r="AA874" s="4" t="str">
        <f>IF(L874="",IF(ISNUMBER(SEARCH("NOT NULL",UPPER(L$3))),"''","null"),SUBSTITUTE(VLOOKUP(L$2,convert!$A$1:$B$4,2,0),"@@@",L874))</f>
        <v>'g6'</v>
      </c>
      <c r="AB874" s="4" t="str">
        <f>IF(M874="",IF(ISNUMBER(SEARCH("NOT NULL",UPPER(M$3))),"''","null"),SUBSTITUTE(VLOOKUP(M$2,convert!$A$1:$B$4,2,0),"@@@",M874))</f>
        <v>null</v>
      </c>
      <c r="AC874" s="4" t="str">
        <f>IF(N874="",IF(ISNUMBER(SEARCH("NOT NULL",UPPER(N$3))),"''","null"),SUBSTITUTE(VLOOKUP(N$2,convert!$A$1:$B$4,2,0),"@@@",N874))</f>
        <v>null</v>
      </c>
      <c r="AD874" s="4" t="str">
        <f>IF(O874="",IF(ISNUMBER(SEARCH("NOT NULL",UPPER(O$3))),"''","null"),SUBSTITUTE(VLOOKUP(O$2,convert!$A$1:$B$4,2,0),"@@@",O874))</f>
        <v>TRUE</v>
      </c>
      <c r="AE874" s="4" t="str">
        <f t="shared" si="13"/>
        <v>    ('0713N01', 'クレベース', 95, 117, 184, 44, 46, 28, '', 'ice', null, 'g6', null, null, TRUE),</v>
      </c>
    </row>
    <row r="875" spans="1:31">
      <c r="A875" s="4" t="s">
        <v>1750</v>
      </c>
      <c r="B875" s="4" t="s">
        <v>1749</v>
      </c>
      <c r="C875" s="5">
        <v>95</v>
      </c>
      <c r="D875" s="5">
        <v>127</v>
      </c>
      <c r="E875" s="5">
        <v>184</v>
      </c>
      <c r="F875" s="5">
        <v>34</v>
      </c>
      <c r="G875" s="5">
        <v>36</v>
      </c>
      <c r="H875" s="5">
        <v>38</v>
      </c>
      <c r="I875" s="4" t="s">
        <v>195</v>
      </c>
      <c r="J875" s="4" t="s">
        <v>118</v>
      </c>
      <c r="K875" s="4" t="s">
        <v>196</v>
      </c>
      <c r="L875" s="4" t="s">
        <v>39</v>
      </c>
      <c r="M875" s="5"/>
      <c r="N875" s="5"/>
      <c r="O875" s="5" t="b">
        <v>1</v>
      </c>
      <c r="P875" s="4" t="str">
        <f>IF(A875="",IF(ISNUMBER(SEARCH("NOT NULL",UPPER(A$3))),"''","null"),SUBSTITUTE(VLOOKUP(A$2,convert!$A$1:$B$4,2,0),"@@@",A875))</f>
        <v>'0713H01'</v>
      </c>
      <c r="Q875" s="4" t="str">
        <f>IF(B875="",IF(ISNUMBER(SEARCH("NOT NULL",UPPER(B$3))),"''","null"),SUBSTITUTE(VLOOKUP(B$2,convert!$A$1:$B$4,2,0),"@@@",B875))</f>
        <v>'クレベース'</v>
      </c>
      <c r="R875" s="4" t="str">
        <f>IF(C875="",IF(ISNUMBER(SEARCH("NOT NULL",UPPER(C$3))),"''","null"),SUBSTITUTE(VLOOKUP(C$2,convert!$A$1:$B$4,2,0),"@@@",C875))</f>
        <v>95</v>
      </c>
      <c r="S875" s="4" t="str">
        <f>IF(D875="",IF(ISNUMBER(SEARCH("NOT NULL",UPPER(D$3))),"''","null"),SUBSTITUTE(VLOOKUP(D$2,convert!$A$1:$B$4,2,0),"@@@",D875))</f>
        <v>127</v>
      </c>
      <c r="T875" s="4" t="str">
        <f>IF(E875="",IF(ISNUMBER(SEARCH("NOT NULL",UPPER(E$3))),"''","null"),SUBSTITUTE(VLOOKUP(E$2,convert!$A$1:$B$4,2,0),"@@@",E875))</f>
        <v>184</v>
      </c>
      <c r="U875" s="4" t="str">
        <f>IF(F875="",IF(ISNUMBER(SEARCH("NOT NULL",UPPER(F$3))),"''","null"),SUBSTITUTE(VLOOKUP(F$2,convert!$A$1:$B$4,2,0),"@@@",F875))</f>
        <v>34</v>
      </c>
      <c r="V875" s="4" t="str">
        <f>IF(G875="",IF(ISNUMBER(SEARCH("NOT NULL",UPPER(G$3))),"''","null"),SUBSTITUTE(VLOOKUP(G$2,convert!$A$1:$B$4,2,0),"@@@",G875))</f>
        <v>36</v>
      </c>
      <c r="W875" s="4" t="str">
        <f>IF(H875="",IF(ISNUMBER(SEARCH("NOT NULL",UPPER(H$3))),"''","null"),SUBSTITUTE(VLOOKUP(H$2,convert!$A$1:$B$4,2,0),"@@@",H875))</f>
        <v>38</v>
      </c>
      <c r="X875" s="4" t="str">
        <f>IF(I875="",IF(ISNUMBER(SEARCH("NOT NULL",UPPER(I$3))),"''","null"),SUBSTITUTE(VLOOKUP(I$2,convert!$A$1:$B$4,2,0),"@@@",I875))</f>
        <v>'ヒスイのすがた'</v>
      </c>
      <c r="Y875" s="4" t="str">
        <f>IF(J875="",IF(ISNUMBER(SEARCH("NOT NULL",UPPER(J$3))),"''","null"),SUBSTITUTE(VLOOKUP(J$2,convert!$A$1:$B$4,2,0),"@@@",J875))</f>
        <v>'ice'</v>
      </c>
      <c r="Z875" s="4" t="str">
        <f>IF(K875="",IF(ISNUMBER(SEARCH("NOT NULL",UPPER(K$3))),"''","null"),SUBSTITUTE(VLOOKUP(K$2,convert!$A$1:$B$4,2,0),"@@@",K875))</f>
        <v>'rock'</v>
      </c>
      <c r="AA875" s="4" t="str">
        <f>IF(L875="",IF(ISNUMBER(SEARCH("NOT NULL",UPPER(L$3))),"''","null"),SUBSTITUTE(VLOOKUP(L$2,convert!$A$1:$B$4,2,0),"@@@",L875))</f>
        <v>'g6'</v>
      </c>
      <c r="AB875" s="4" t="str">
        <f>IF(M875="",IF(ISNUMBER(SEARCH("NOT NULL",UPPER(M$3))),"''","null"),SUBSTITUTE(VLOOKUP(M$2,convert!$A$1:$B$4,2,0),"@@@",M875))</f>
        <v>null</v>
      </c>
      <c r="AC875" s="4" t="str">
        <f>IF(N875="",IF(ISNUMBER(SEARCH("NOT NULL",UPPER(N$3))),"''","null"),SUBSTITUTE(VLOOKUP(N$2,convert!$A$1:$B$4,2,0),"@@@",N875))</f>
        <v>null</v>
      </c>
      <c r="AD875" s="4" t="str">
        <f>IF(O875="",IF(ISNUMBER(SEARCH("NOT NULL",UPPER(O$3))),"''","null"),SUBSTITUTE(VLOOKUP(O$2,convert!$A$1:$B$4,2,0),"@@@",O875))</f>
        <v>TRUE</v>
      </c>
      <c r="AE875" s="4" t="str">
        <f t="shared" si="13"/>
        <v>    ('0713H01', 'クレベース', 95, 127, 184, 34, 36, 38, 'ヒスイのすがた', 'ice', 'rock', 'g6', null, null, TRUE),</v>
      </c>
    </row>
    <row r="876" spans="1:31">
      <c r="A876" s="4" t="s">
        <v>1751</v>
      </c>
      <c r="B876" s="4" t="s">
        <v>1752</v>
      </c>
      <c r="C876" s="5">
        <v>40</v>
      </c>
      <c r="D876" s="5">
        <v>30</v>
      </c>
      <c r="E876" s="5">
        <v>35</v>
      </c>
      <c r="F876" s="5">
        <v>45</v>
      </c>
      <c r="G876" s="5">
        <v>40</v>
      </c>
      <c r="H876" s="5">
        <v>55</v>
      </c>
      <c r="I876" s="5"/>
      <c r="J876" s="4" t="s">
        <v>47</v>
      </c>
      <c r="K876" s="4" t="s">
        <v>50</v>
      </c>
      <c r="L876" s="4" t="s">
        <v>39</v>
      </c>
      <c r="M876" s="5"/>
      <c r="N876" s="5"/>
      <c r="O876" s="5" t="b">
        <v>1</v>
      </c>
      <c r="P876" s="4" t="str">
        <f>IF(A876="",IF(ISNUMBER(SEARCH("NOT NULL",UPPER(A$3))),"''","null"),SUBSTITUTE(VLOOKUP(A$2,convert!$A$1:$B$4,2,0),"@@@",A876))</f>
        <v>'0714N01'</v>
      </c>
      <c r="Q876" s="4" t="str">
        <f>IF(B876="",IF(ISNUMBER(SEARCH("NOT NULL",UPPER(B$3))),"''","null"),SUBSTITUTE(VLOOKUP(B$2,convert!$A$1:$B$4,2,0),"@@@",B876))</f>
        <v>'オンバット'</v>
      </c>
      <c r="R876" s="4" t="str">
        <f>IF(C876="",IF(ISNUMBER(SEARCH("NOT NULL",UPPER(C$3))),"''","null"),SUBSTITUTE(VLOOKUP(C$2,convert!$A$1:$B$4,2,0),"@@@",C876))</f>
        <v>40</v>
      </c>
      <c r="S876" s="4" t="str">
        <f>IF(D876="",IF(ISNUMBER(SEARCH("NOT NULL",UPPER(D$3))),"''","null"),SUBSTITUTE(VLOOKUP(D$2,convert!$A$1:$B$4,2,0),"@@@",D876))</f>
        <v>30</v>
      </c>
      <c r="T876" s="4" t="str">
        <f>IF(E876="",IF(ISNUMBER(SEARCH("NOT NULL",UPPER(E$3))),"''","null"),SUBSTITUTE(VLOOKUP(E$2,convert!$A$1:$B$4,2,0),"@@@",E876))</f>
        <v>35</v>
      </c>
      <c r="U876" s="4" t="str">
        <f>IF(F876="",IF(ISNUMBER(SEARCH("NOT NULL",UPPER(F$3))),"''","null"),SUBSTITUTE(VLOOKUP(F$2,convert!$A$1:$B$4,2,0),"@@@",F876))</f>
        <v>45</v>
      </c>
      <c r="V876" s="4" t="str">
        <f>IF(G876="",IF(ISNUMBER(SEARCH("NOT NULL",UPPER(G$3))),"''","null"),SUBSTITUTE(VLOOKUP(G$2,convert!$A$1:$B$4,2,0),"@@@",G876))</f>
        <v>40</v>
      </c>
      <c r="W876" s="4" t="str">
        <f>IF(H876="",IF(ISNUMBER(SEARCH("NOT NULL",UPPER(H$3))),"''","null"),SUBSTITUTE(VLOOKUP(H$2,convert!$A$1:$B$4,2,0),"@@@",H876))</f>
        <v>55</v>
      </c>
      <c r="X876" s="4" t="str">
        <f>IF(I876="",IF(ISNUMBER(SEARCH("NOT NULL",UPPER(I$3))),"''","null"),SUBSTITUTE(VLOOKUP(I$2,convert!$A$1:$B$4,2,0),"@@@",I876))</f>
        <v>''</v>
      </c>
      <c r="Y876" s="4" t="str">
        <f>IF(J876="",IF(ISNUMBER(SEARCH("NOT NULL",UPPER(J$3))),"''","null"),SUBSTITUTE(VLOOKUP(J$2,convert!$A$1:$B$4,2,0),"@@@",J876))</f>
        <v>'flying'</v>
      </c>
      <c r="Z876" s="4" t="str">
        <f>IF(K876="",IF(ISNUMBER(SEARCH("NOT NULL",UPPER(K$3))),"''","null"),SUBSTITUTE(VLOOKUP(K$2,convert!$A$1:$B$4,2,0),"@@@",K876))</f>
        <v>'dragon'</v>
      </c>
      <c r="AA876" s="4" t="str">
        <f>IF(L876="",IF(ISNUMBER(SEARCH("NOT NULL",UPPER(L$3))),"''","null"),SUBSTITUTE(VLOOKUP(L$2,convert!$A$1:$B$4,2,0),"@@@",L876))</f>
        <v>'g6'</v>
      </c>
      <c r="AB876" s="4" t="str">
        <f>IF(M876="",IF(ISNUMBER(SEARCH("NOT NULL",UPPER(M$3))),"''","null"),SUBSTITUTE(VLOOKUP(M$2,convert!$A$1:$B$4,2,0),"@@@",M876))</f>
        <v>null</v>
      </c>
      <c r="AC876" s="4" t="str">
        <f>IF(N876="",IF(ISNUMBER(SEARCH("NOT NULL",UPPER(N$3))),"''","null"),SUBSTITUTE(VLOOKUP(N$2,convert!$A$1:$B$4,2,0),"@@@",N876))</f>
        <v>null</v>
      </c>
      <c r="AD876" s="4" t="str">
        <f>IF(O876="",IF(ISNUMBER(SEARCH("NOT NULL",UPPER(O$3))),"''","null"),SUBSTITUTE(VLOOKUP(O$2,convert!$A$1:$B$4,2,0),"@@@",O876))</f>
        <v>TRUE</v>
      </c>
      <c r="AE876" s="4" t="str">
        <f t="shared" si="13"/>
        <v>    ('0714N01', 'オンバット', 40, 30, 35, 45, 40, 55, '', 'flying', 'dragon', 'g6', null, null, TRUE),</v>
      </c>
    </row>
    <row r="877" spans="1:31">
      <c r="A877" s="4" t="s">
        <v>1753</v>
      </c>
      <c r="B877" s="4" t="s">
        <v>1754</v>
      </c>
      <c r="C877" s="5">
        <v>85</v>
      </c>
      <c r="D877" s="5">
        <v>70</v>
      </c>
      <c r="E877" s="5">
        <v>80</v>
      </c>
      <c r="F877" s="5">
        <v>97</v>
      </c>
      <c r="G877" s="5">
        <v>80</v>
      </c>
      <c r="H877" s="5">
        <v>123</v>
      </c>
      <c r="I877" s="5"/>
      <c r="J877" s="4" t="s">
        <v>47</v>
      </c>
      <c r="K877" s="4" t="s">
        <v>50</v>
      </c>
      <c r="L877" s="4" t="s">
        <v>39</v>
      </c>
      <c r="M877" s="5"/>
      <c r="N877" s="5"/>
      <c r="O877" s="5" t="b">
        <v>1</v>
      </c>
      <c r="P877" s="4" t="str">
        <f>IF(A877="",IF(ISNUMBER(SEARCH("NOT NULL",UPPER(A$3))),"''","null"),SUBSTITUTE(VLOOKUP(A$2,convert!$A$1:$B$4,2,0),"@@@",A877))</f>
        <v>'0715N01'</v>
      </c>
      <c r="Q877" s="4" t="str">
        <f>IF(B877="",IF(ISNUMBER(SEARCH("NOT NULL",UPPER(B$3))),"''","null"),SUBSTITUTE(VLOOKUP(B$2,convert!$A$1:$B$4,2,0),"@@@",B877))</f>
        <v>'オンバーン'</v>
      </c>
      <c r="R877" s="4" t="str">
        <f>IF(C877="",IF(ISNUMBER(SEARCH("NOT NULL",UPPER(C$3))),"''","null"),SUBSTITUTE(VLOOKUP(C$2,convert!$A$1:$B$4,2,0),"@@@",C877))</f>
        <v>85</v>
      </c>
      <c r="S877" s="4" t="str">
        <f>IF(D877="",IF(ISNUMBER(SEARCH("NOT NULL",UPPER(D$3))),"''","null"),SUBSTITUTE(VLOOKUP(D$2,convert!$A$1:$B$4,2,0),"@@@",D877))</f>
        <v>70</v>
      </c>
      <c r="T877" s="4" t="str">
        <f>IF(E877="",IF(ISNUMBER(SEARCH("NOT NULL",UPPER(E$3))),"''","null"),SUBSTITUTE(VLOOKUP(E$2,convert!$A$1:$B$4,2,0),"@@@",E877))</f>
        <v>80</v>
      </c>
      <c r="U877" s="4" t="str">
        <f>IF(F877="",IF(ISNUMBER(SEARCH("NOT NULL",UPPER(F$3))),"''","null"),SUBSTITUTE(VLOOKUP(F$2,convert!$A$1:$B$4,2,0),"@@@",F877))</f>
        <v>97</v>
      </c>
      <c r="V877" s="4" t="str">
        <f>IF(G877="",IF(ISNUMBER(SEARCH("NOT NULL",UPPER(G$3))),"''","null"),SUBSTITUTE(VLOOKUP(G$2,convert!$A$1:$B$4,2,0),"@@@",G877))</f>
        <v>80</v>
      </c>
      <c r="W877" s="4" t="str">
        <f>IF(H877="",IF(ISNUMBER(SEARCH("NOT NULL",UPPER(H$3))),"''","null"),SUBSTITUTE(VLOOKUP(H$2,convert!$A$1:$B$4,2,0),"@@@",H877))</f>
        <v>123</v>
      </c>
      <c r="X877" s="4" t="str">
        <f>IF(I877="",IF(ISNUMBER(SEARCH("NOT NULL",UPPER(I$3))),"''","null"),SUBSTITUTE(VLOOKUP(I$2,convert!$A$1:$B$4,2,0),"@@@",I877))</f>
        <v>''</v>
      </c>
      <c r="Y877" s="4" t="str">
        <f>IF(J877="",IF(ISNUMBER(SEARCH("NOT NULL",UPPER(J$3))),"''","null"),SUBSTITUTE(VLOOKUP(J$2,convert!$A$1:$B$4,2,0),"@@@",J877))</f>
        <v>'flying'</v>
      </c>
      <c r="Z877" s="4" t="str">
        <f>IF(K877="",IF(ISNUMBER(SEARCH("NOT NULL",UPPER(K$3))),"''","null"),SUBSTITUTE(VLOOKUP(K$2,convert!$A$1:$B$4,2,0),"@@@",K877))</f>
        <v>'dragon'</v>
      </c>
      <c r="AA877" s="4" t="str">
        <f>IF(L877="",IF(ISNUMBER(SEARCH("NOT NULL",UPPER(L$3))),"''","null"),SUBSTITUTE(VLOOKUP(L$2,convert!$A$1:$B$4,2,0),"@@@",L877))</f>
        <v>'g6'</v>
      </c>
      <c r="AB877" s="4" t="str">
        <f>IF(M877="",IF(ISNUMBER(SEARCH("NOT NULL",UPPER(M$3))),"''","null"),SUBSTITUTE(VLOOKUP(M$2,convert!$A$1:$B$4,2,0),"@@@",M877))</f>
        <v>null</v>
      </c>
      <c r="AC877" s="4" t="str">
        <f>IF(N877="",IF(ISNUMBER(SEARCH("NOT NULL",UPPER(N$3))),"''","null"),SUBSTITUTE(VLOOKUP(N$2,convert!$A$1:$B$4,2,0),"@@@",N877))</f>
        <v>null</v>
      </c>
      <c r="AD877" s="4" t="str">
        <f>IF(O877="",IF(ISNUMBER(SEARCH("NOT NULL",UPPER(O$3))),"''","null"),SUBSTITUTE(VLOOKUP(O$2,convert!$A$1:$B$4,2,0),"@@@",O877))</f>
        <v>TRUE</v>
      </c>
      <c r="AE877" s="4" t="str">
        <f t="shared" si="13"/>
        <v>    ('0715N01', 'オンバーン', 85, 70, 80, 97, 80, 123, '', 'flying', 'dragon', 'g6', null, null, TRUE),</v>
      </c>
    </row>
    <row r="878" spans="1:31">
      <c r="A878" s="4" t="s">
        <v>1755</v>
      </c>
      <c r="B878" s="4" t="s">
        <v>1756</v>
      </c>
      <c r="C878" s="5">
        <v>126</v>
      </c>
      <c r="D878" s="5">
        <v>131</v>
      </c>
      <c r="E878" s="5">
        <v>95</v>
      </c>
      <c r="F878" s="5">
        <v>131</v>
      </c>
      <c r="G878" s="5">
        <v>98</v>
      </c>
      <c r="H878" s="5">
        <v>99</v>
      </c>
      <c r="I878" s="5"/>
      <c r="J878" s="4" t="s">
        <v>137</v>
      </c>
      <c r="K878" s="5"/>
      <c r="L878" s="4" t="s">
        <v>39</v>
      </c>
      <c r="M878" s="5"/>
      <c r="N878" s="5"/>
      <c r="O878" s="5" t="b">
        <v>1</v>
      </c>
      <c r="P878" s="4" t="str">
        <f>IF(A878="",IF(ISNUMBER(SEARCH("NOT NULL",UPPER(A$3))),"''","null"),SUBSTITUTE(VLOOKUP(A$2,convert!$A$1:$B$4,2,0),"@@@",A878))</f>
        <v>'0716N01'</v>
      </c>
      <c r="Q878" s="4" t="str">
        <f>IF(B878="",IF(ISNUMBER(SEARCH("NOT NULL",UPPER(B$3))),"''","null"),SUBSTITUTE(VLOOKUP(B$2,convert!$A$1:$B$4,2,0),"@@@",B878))</f>
        <v>'ゼルネアス'</v>
      </c>
      <c r="R878" s="4" t="str">
        <f>IF(C878="",IF(ISNUMBER(SEARCH("NOT NULL",UPPER(C$3))),"''","null"),SUBSTITUTE(VLOOKUP(C$2,convert!$A$1:$B$4,2,0),"@@@",C878))</f>
        <v>126</v>
      </c>
      <c r="S878" s="4" t="str">
        <f>IF(D878="",IF(ISNUMBER(SEARCH("NOT NULL",UPPER(D$3))),"''","null"),SUBSTITUTE(VLOOKUP(D$2,convert!$A$1:$B$4,2,0),"@@@",D878))</f>
        <v>131</v>
      </c>
      <c r="T878" s="4" t="str">
        <f>IF(E878="",IF(ISNUMBER(SEARCH("NOT NULL",UPPER(E$3))),"''","null"),SUBSTITUTE(VLOOKUP(E$2,convert!$A$1:$B$4,2,0),"@@@",E878))</f>
        <v>95</v>
      </c>
      <c r="U878" s="4" t="str">
        <f>IF(F878="",IF(ISNUMBER(SEARCH("NOT NULL",UPPER(F$3))),"''","null"),SUBSTITUTE(VLOOKUP(F$2,convert!$A$1:$B$4,2,0),"@@@",F878))</f>
        <v>131</v>
      </c>
      <c r="V878" s="4" t="str">
        <f>IF(G878="",IF(ISNUMBER(SEARCH("NOT NULL",UPPER(G$3))),"''","null"),SUBSTITUTE(VLOOKUP(G$2,convert!$A$1:$B$4,2,0),"@@@",G878))</f>
        <v>98</v>
      </c>
      <c r="W878" s="4" t="str">
        <f>IF(H878="",IF(ISNUMBER(SEARCH("NOT NULL",UPPER(H$3))),"''","null"),SUBSTITUTE(VLOOKUP(H$2,convert!$A$1:$B$4,2,0),"@@@",H878))</f>
        <v>99</v>
      </c>
      <c r="X878" s="4" t="str">
        <f>IF(I878="",IF(ISNUMBER(SEARCH("NOT NULL",UPPER(I$3))),"''","null"),SUBSTITUTE(VLOOKUP(I$2,convert!$A$1:$B$4,2,0),"@@@",I878))</f>
        <v>''</v>
      </c>
      <c r="Y878" s="4" t="str">
        <f>IF(J878="",IF(ISNUMBER(SEARCH("NOT NULL",UPPER(J$3))),"''","null"),SUBSTITUTE(VLOOKUP(J$2,convert!$A$1:$B$4,2,0),"@@@",J878))</f>
        <v>'fairy'</v>
      </c>
      <c r="Z878" s="4" t="str">
        <f>IF(K878="",IF(ISNUMBER(SEARCH("NOT NULL",UPPER(K$3))),"''","null"),SUBSTITUTE(VLOOKUP(K$2,convert!$A$1:$B$4,2,0),"@@@",K878))</f>
        <v>null</v>
      </c>
      <c r="AA878" s="4" t="str">
        <f>IF(L878="",IF(ISNUMBER(SEARCH("NOT NULL",UPPER(L$3))),"''","null"),SUBSTITUTE(VLOOKUP(L$2,convert!$A$1:$B$4,2,0),"@@@",L878))</f>
        <v>'g6'</v>
      </c>
      <c r="AB878" s="4" t="str">
        <f>IF(M878="",IF(ISNUMBER(SEARCH("NOT NULL",UPPER(M$3))),"''","null"),SUBSTITUTE(VLOOKUP(M$2,convert!$A$1:$B$4,2,0),"@@@",M878))</f>
        <v>null</v>
      </c>
      <c r="AC878" s="4" t="str">
        <f>IF(N878="",IF(ISNUMBER(SEARCH("NOT NULL",UPPER(N$3))),"''","null"),SUBSTITUTE(VLOOKUP(N$2,convert!$A$1:$B$4,2,0),"@@@",N878))</f>
        <v>null</v>
      </c>
      <c r="AD878" s="4" t="str">
        <f>IF(O878="",IF(ISNUMBER(SEARCH("NOT NULL",UPPER(O$3))),"''","null"),SUBSTITUTE(VLOOKUP(O$2,convert!$A$1:$B$4,2,0),"@@@",O878))</f>
        <v>TRUE</v>
      </c>
      <c r="AE878" s="4" t="str">
        <f t="shared" si="13"/>
        <v>    ('0716N01', 'ゼルネアス', 126, 131, 95, 131, 98, 99, '', 'fairy', null, 'g6', null, null, TRUE),</v>
      </c>
    </row>
    <row r="879" spans="1:31">
      <c r="A879" s="4" t="s">
        <v>1757</v>
      </c>
      <c r="B879" s="4" t="s">
        <v>1758</v>
      </c>
      <c r="C879" s="5">
        <v>126</v>
      </c>
      <c r="D879" s="5">
        <v>131</v>
      </c>
      <c r="E879" s="5">
        <v>95</v>
      </c>
      <c r="F879" s="5">
        <v>131</v>
      </c>
      <c r="G879" s="5">
        <v>98</v>
      </c>
      <c r="H879" s="5">
        <v>99</v>
      </c>
      <c r="I879" s="5"/>
      <c r="J879" s="4" t="s">
        <v>91</v>
      </c>
      <c r="K879" s="4" t="s">
        <v>47</v>
      </c>
      <c r="L879" s="4" t="s">
        <v>39</v>
      </c>
      <c r="M879" s="5"/>
      <c r="N879" s="5"/>
      <c r="O879" s="5" t="b">
        <v>1</v>
      </c>
      <c r="P879" s="4" t="str">
        <f>IF(A879="",IF(ISNUMBER(SEARCH("NOT NULL",UPPER(A$3))),"''","null"),SUBSTITUTE(VLOOKUP(A$2,convert!$A$1:$B$4,2,0),"@@@",A879))</f>
        <v>'0717N01'</v>
      </c>
      <c r="Q879" s="4" t="str">
        <f>IF(B879="",IF(ISNUMBER(SEARCH("NOT NULL",UPPER(B$3))),"''","null"),SUBSTITUTE(VLOOKUP(B$2,convert!$A$1:$B$4,2,0),"@@@",B879))</f>
        <v>'イベルタル'</v>
      </c>
      <c r="R879" s="4" t="str">
        <f>IF(C879="",IF(ISNUMBER(SEARCH("NOT NULL",UPPER(C$3))),"''","null"),SUBSTITUTE(VLOOKUP(C$2,convert!$A$1:$B$4,2,0),"@@@",C879))</f>
        <v>126</v>
      </c>
      <c r="S879" s="4" t="str">
        <f>IF(D879="",IF(ISNUMBER(SEARCH("NOT NULL",UPPER(D$3))),"''","null"),SUBSTITUTE(VLOOKUP(D$2,convert!$A$1:$B$4,2,0),"@@@",D879))</f>
        <v>131</v>
      </c>
      <c r="T879" s="4" t="str">
        <f>IF(E879="",IF(ISNUMBER(SEARCH("NOT NULL",UPPER(E$3))),"''","null"),SUBSTITUTE(VLOOKUP(E$2,convert!$A$1:$B$4,2,0),"@@@",E879))</f>
        <v>95</v>
      </c>
      <c r="U879" s="4" t="str">
        <f>IF(F879="",IF(ISNUMBER(SEARCH("NOT NULL",UPPER(F$3))),"''","null"),SUBSTITUTE(VLOOKUP(F$2,convert!$A$1:$B$4,2,0),"@@@",F879))</f>
        <v>131</v>
      </c>
      <c r="V879" s="4" t="str">
        <f>IF(G879="",IF(ISNUMBER(SEARCH("NOT NULL",UPPER(G$3))),"''","null"),SUBSTITUTE(VLOOKUP(G$2,convert!$A$1:$B$4,2,0),"@@@",G879))</f>
        <v>98</v>
      </c>
      <c r="W879" s="4" t="str">
        <f>IF(H879="",IF(ISNUMBER(SEARCH("NOT NULL",UPPER(H$3))),"''","null"),SUBSTITUTE(VLOOKUP(H$2,convert!$A$1:$B$4,2,0),"@@@",H879))</f>
        <v>99</v>
      </c>
      <c r="X879" s="4" t="str">
        <f>IF(I879="",IF(ISNUMBER(SEARCH("NOT NULL",UPPER(I$3))),"''","null"),SUBSTITUTE(VLOOKUP(I$2,convert!$A$1:$B$4,2,0),"@@@",I879))</f>
        <v>''</v>
      </c>
      <c r="Y879" s="4" t="str">
        <f>IF(J879="",IF(ISNUMBER(SEARCH("NOT NULL",UPPER(J$3))),"''","null"),SUBSTITUTE(VLOOKUP(J$2,convert!$A$1:$B$4,2,0),"@@@",J879))</f>
        <v>'dark'</v>
      </c>
      <c r="Z879" s="4" t="str">
        <f>IF(K879="",IF(ISNUMBER(SEARCH("NOT NULL",UPPER(K$3))),"''","null"),SUBSTITUTE(VLOOKUP(K$2,convert!$A$1:$B$4,2,0),"@@@",K879))</f>
        <v>'flying'</v>
      </c>
      <c r="AA879" s="4" t="str">
        <f>IF(L879="",IF(ISNUMBER(SEARCH("NOT NULL",UPPER(L$3))),"''","null"),SUBSTITUTE(VLOOKUP(L$2,convert!$A$1:$B$4,2,0),"@@@",L879))</f>
        <v>'g6'</v>
      </c>
      <c r="AB879" s="4" t="str">
        <f>IF(M879="",IF(ISNUMBER(SEARCH("NOT NULL",UPPER(M$3))),"''","null"),SUBSTITUTE(VLOOKUP(M$2,convert!$A$1:$B$4,2,0),"@@@",M879))</f>
        <v>null</v>
      </c>
      <c r="AC879" s="4" t="str">
        <f>IF(N879="",IF(ISNUMBER(SEARCH("NOT NULL",UPPER(N$3))),"''","null"),SUBSTITUTE(VLOOKUP(N$2,convert!$A$1:$B$4,2,0),"@@@",N879))</f>
        <v>null</v>
      </c>
      <c r="AD879" s="4" t="str">
        <f>IF(O879="",IF(ISNUMBER(SEARCH("NOT NULL",UPPER(O$3))),"''","null"),SUBSTITUTE(VLOOKUP(O$2,convert!$A$1:$B$4,2,0),"@@@",O879))</f>
        <v>TRUE</v>
      </c>
      <c r="AE879" s="4" t="str">
        <f t="shared" si="13"/>
        <v>    ('0717N01', 'イベルタル', 126, 131, 95, 131, 98, 99, '', 'dark', 'flying', 'g6', null, null, TRUE),</v>
      </c>
    </row>
    <row r="880" spans="1:31">
      <c r="A880" s="4" t="s">
        <v>1759</v>
      </c>
      <c r="B880" s="4" t="s">
        <v>1760</v>
      </c>
      <c r="C880" s="5">
        <v>108</v>
      </c>
      <c r="D880" s="5">
        <v>100</v>
      </c>
      <c r="E880" s="5">
        <v>121</v>
      </c>
      <c r="F880" s="5">
        <v>81</v>
      </c>
      <c r="G880" s="5">
        <v>95</v>
      </c>
      <c r="H880" s="5">
        <v>95</v>
      </c>
      <c r="I880" s="4" t="s">
        <v>1761</v>
      </c>
      <c r="J880" s="4" t="s">
        <v>50</v>
      </c>
      <c r="K880" s="4" t="s">
        <v>116</v>
      </c>
      <c r="L880" s="4" t="s">
        <v>39</v>
      </c>
      <c r="M880" s="5"/>
      <c r="N880" s="5"/>
      <c r="O880" s="5" t="b">
        <v>1</v>
      </c>
      <c r="P880" s="4" t="str">
        <f>IF(A880="",IF(ISNUMBER(SEARCH("NOT NULL",UPPER(A$3))),"''","null"),SUBSTITUTE(VLOOKUP(A$2,convert!$A$1:$B$4,2,0),"@@@",A880))</f>
        <v>'0718N01'</v>
      </c>
      <c r="Q880" s="4" t="str">
        <f>IF(B880="",IF(ISNUMBER(SEARCH("NOT NULL",UPPER(B$3))),"''","null"),SUBSTITUTE(VLOOKUP(B$2,convert!$A$1:$B$4,2,0),"@@@",B880))</f>
        <v>'ジガルデ'</v>
      </c>
      <c r="R880" s="4" t="str">
        <f>IF(C880="",IF(ISNUMBER(SEARCH("NOT NULL",UPPER(C$3))),"''","null"),SUBSTITUTE(VLOOKUP(C$2,convert!$A$1:$B$4,2,0),"@@@",C880))</f>
        <v>108</v>
      </c>
      <c r="S880" s="4" t="str">
        <f>IF(D880="",IF(ISNUMBER(SEARCH("NOT NULL",UPPER(D$3))),"''","null"),SUBSTITUTE(VLOOKUP(D$2,convert!$A$1:$B$4,2,0),"@@@",D880))</f>
        <v>100</v>
      </c>
      <c r="T880" s="4" t="str">
        <f>IF(E880="",IF(ISNUMBER(SEARCH("NOT NULL",UPPER(E$3))),"''","null"),SUBSTITUTE(VLOOKUP(E$2,convert!$A$1:$B$4,2,0),"@@@",E880))</f>
        <v>121</v>
      </c>
      <c r="U880" s="4" t="str">
        <f>IF(F880="",IF(ISNUMBER(SEARCH("NOT NULL",UPPER(F$3))),"''","null"),SUBSTITUTE(VLOOKUP(F$2,convert!$A$1:$B$4,2,0),"@@@",F880))</f>
        <v>81</v>
      </c>
      <c r="V880" s="4" t="str">
        <f>IF(G880="",IF(ISNUMBER(SEARCH("NOT NULL",UPPER(G$3))),"''","null"),SUBSTITUTE(VLOOKUP(G$2,convert!$A$1:$B$4,2,0),"@@@",G880))</f>
        <v>95</v>
      </c>
      <c r="W880" s="4" t="str">
        <f>IF(H880="",IF(ISNUMBER(SEARCH("NOT NULL",UPPER(H$3))),"''","null"),SUBSTITUTE(VLOOKUP(H$2,convert!$A$1:$B$4,2,0),"@@@",H880))</f>
        <v>95</v>
      </c>
      <c r="X880" s="4" t="str">
        <f>IF(I880="",IF(ISNUMBER(SEARCH("NOT NULL",UPPER(I$3))),"''","null"),SUBSTITUTE(VLOOKUP(I$2,convert!$A$1:$B$4,2,0),"@@@",I880))</f>
        <v>'50%フォルム'</v>
      </c>
      <c r="Y880" s="4" t="str">
        <f>IF(J880="",IF(ISNUMBER(SEARCH("NOT NULL",UPPER(J$3))),"''","null"),SUBSTITUTE(VLOOKUP(J$2,convert!$A$1:$B$4,2,0),"@@@",J880))</f>
        <v>'dragon'</v>
      </c>
      <c r="Z880" s="4" t="str">
        <f>IF(K880="",IF(ISNUMBER(SEARCH("NOT NULL",UPPER(K$3))),"''","null"),SUBSTITUTE(VLOOKUP(K$2,convert!$A$1:$B$4,2,0),"@@@",K880))</f>
        <v>'ground'</v>
      </c>
      <c r="AA880" s="4" t="str">
        <f>IF(L880="",IF(ISNUMBER(SEARCH("NOT NULL",UPPER(L$3))),"''","null"),SUBSTITUTE(VLOOKUP(L$2,convert!$A$1:$B$4,2,0),"@@@",L880))</f>
        <v>'g6'</v>
      </c>
      <c r="AB880" s="4" t="str">
        <f>IF(M880="",IF(ISNUMBER(SEARCH("NOT NULL",UPPER(M$3))),"''","null"),SUBSTITUTE(VLOOKUP(M$2,convert!$A$1:$B$4,2,0),"@@@",M880))</f>
        <v>null</v>
      </c>
      <c r="AC880" s="4" t="str">
        <f>IF(N880="",IF(ISNUMBER(SEARCH("NOT NULL",UPPER(N$3))),"''","null"),SUBSTITUTE(VLOOKUP(N$2,convert!$A$1:$B$4,2,0),"@@@",N880))</f>
        <v>null</v>
      </c>
      <c r="AD880" s="4" t="str">
        <f>IF(O880="",IF(ISNUMBER(SEARCH("NOT NULL",UPPER(O$3))),"''","null"),SUBSTITUTE(VLOOKUP(O$2,convert!$A$1:$B$4,2,0),"@@@",O880))</f>
        <v>TRUE</v>
      </c>
      <c r="AE880" s="4" t="str">
        <f t="shared" si="13"/>
        <v>    ('0718N01', 'ジガルデ', 108, 100, 121, 81, 95, 95, '50%フォルム', 'dragon', 'ground', 'g6', null, null, TRUE),</v>
      </c>
    </row>
    <row r="881" spans="1:31">
      <c r="A881" s="4" t="s">
        <v>1762</v>
      </c>
      <c r="B881" s="4" t="s">
        <v>1760</v>
      </c>
      <c r="C881" s="5">
        <v>54</v>
      </c>
      <c r="D881" s="5">
        <v>100</v>
      </c>
      <c r="E881" s="5">
        <v>71</v>
      </c>
      <c r="F881" s="5">
        <v>61</v>
      </c>
      <c r="G881" s="5">
        <v>85</v>
      </c>
      <c r="H881" s="5">
        <v>115</v>
      </c>
      <c r="I881" s="4" t="s">
        <v>1763</v>
      </c>
      <c r="J881" s="4" t="s">
        <v>50</v>
      </c>
      <c r="K881" s="4" t="s">
        <v>116</v>
      </c>
      <c r="L881" s="4" t="s">
        <v>39</v>
      </c>
      <c r="M881" s="5"/>
      <c r="N881" s="5"/>
      <c r="O881" s="5" t="b">
        <v>1</v>
      </c>
      <c r="P881" s="4" t="str">
        <f>IF(A881="",IF(ISNUMBER(SEARCH("NOT NULL",UPPER(A$3))),"''","null"),SUBSTITUTE(VLOOKUP(A$2,convert!$A$1:$B$4,2,0),"@@@",A881))</f>
        <v>'0718N02'</v>
      </c>
      <c r="Q881" s="4" t="str">
        <f>IF(B881="",IF(ISNUMBER(SEARCH("NOT NULL",UPPER(B$3))),"''","null"),SUBSTITUTE(VLOOKUP(B$2,convert!$A$1:$B$4,2,0),"@@@",B881))</f>
        <v>'ジガルデ'</v>
      </c>
      <c r="R881" s="4" t="str">
        <f>IF(C881="",IF(ISNUMBER(SEARCH("NOT NULL",UPPER(C$3))),"''","null"),SUBSTITUTE(VLOOKUP(C$2,convert!$A$1:$B$4,2,0),"@@@",C881))</f>
        <v>54</v>
      </c>
      <c r="S881" s="4" t="str">
        <f>IF(D881="",IF(ISNUMBER(SEARCH("NOT NULL",UPPER(D$3))),"''","null"),SUBSTITUTE(VLOOKUP(D$2,convert!$A$1:$B$4,2,0),"@@@",D881))</f>
        <v>100</v>
      </c>
      <c r="T881" s="4" t="str">
        <f>IF(E881="",IF(ISNUMBER(SEARCH("NOT NULL",UPPER(E$3))),"''","null"),SUBSTITUTE(VLOOKUP(E$2,convert!$A$1:$B$4,2,0),"@@@",E881))</f>
        <v>71</v>
      </c>
      <c r="U881" s="4" t="str">
        <f>IF(F881="",IF(ISNUMBER(SEARCH("NOT NULL",UPPER(F$3))),"''","null"),SUBSTITUTE(VLOOKUP(F$2,convert!$A$1:$B$4,2,0),"@@@",F881))</f>
        <v>61</v>
      </c>
      <c r="V881" s="4" t="str">
        <f>IF(G881="",IF(ISNUMBER(SEARCH("NOT NULL",UPPER(G$3))),"''","null"),SUBSTITUTE(VLOOKUP(G$2,convert!$A$1:$B$4,2,0),"@@@",G881))</f>
        <v>85</v>
      </c>
      <c r="W881" s="4" t="str">
        <f>IF(H881="",IF(ISNUMBER(SEARCH("NOT NULL",UPPER(H$3))),"''","null"),SUBSTITUTE(VLOOKUP(H$2,convert!$A$1:$B$4,2,0),"@@@",H881))</f>
        <v>115</v>
      </c>
      <c r="X881" s="4" t="str">
        <f>IF(I881="",IF(ISNUMBER(SEARCH("NOT NULL",UPPER(I$3))),"''","null"),SUBSTITUTE(VLOOKUP(I$2,convert!$A$1:$B$4,2,0),"@@@",I881))</f>
        <v>'10%フォルム'</v>
      </c>
      <c r="Y881" s="4" t="str">
        <f>IF(J881="",IF(ISNUMBER(SEARCH("NOT NULL",UPPER(J$3))),"''","null"),SUBSTITUTE(VLOOKUP(J$2,convert!$A$1:$B$4,2,0),"@@@",J881))</f>
        <v>'dragon'</v>
      </c>
      <c r="Z881" s="4" t="str">
        <f>IF(K881="",IF(ISNUMBER(SEARCH("NOT NULL",UPPER(K$3))),"''","null"),SUBSTITUTE(VLOOKUP(K$2,convert!$A$1:$B$4,2,0),"@@@",K881))</f>
        <v>'ground'</v>
      </c>
      <c r="AA881" s="4" t="str">
        <f>IF(L881="",IF(ISNUMBER(SEARCH("NOT NULL",UPPER(L$3))),"''","null"),SUBSTITUTE(VLOOKUP(L$2,convert!$A$1:$B$4,2,0),"@@@",L881))</f>
        <v>'g6'</v>
      </c>
      <c r="AB881" s="4" t="str">
        <f>IF(M881="",IF(ISNUMBER(SEARCH("NOT NULL",UPPER(M$3))),"''","null"),SUBSTITUTE(VLOOKUP(M$2,convert!$A$1:$B$4,2,0),"@@@",M881))</f>
        <v>null</v>
      </c>
      <c r="AC881" s="4" t="str">
        <f>IF(N881="",IF(ISNUMBER(SEARCH("NOT NULL",UPPER(N$3))),"''","null"),SUBSTITUTE(VLOOKUP(N$2,convert!$A$1:$B$4,2,0),"@@@",N881))</f>
        <v>null</v>
      </c>
      <c r="AD881" s="4" t="str">
        <f>IF(O881="",IF(ISNUMBER(SEARCH("NOT NULL",UPPER(O$3))),"''","null"),SUBSTITUTE(VLOOKUP(O$2,convert!$A$1:$B$4,2,0),"@@@",O881))</f>
        <v>TRUE</v>
      </c>
      <c r="AE881" s="4" t="str">
        <f t="shared" si="13"/>
        <v>    ('0718N02', 'ジガルデ', 54, 100, 71, 61, 85, 115, '10%フォルム', 'dragon', 'ground', 'g6', null, null, TRUE),</v>
      </c>
    </row>
    <row r="882" spans="1:31">
      <c r="A882" s="4" t="s">
        <v>1764</v>
      </c>
      <c r="B882" s="4" t="s">
        <v>1760</v>
      </c>
      <c r="C882" s="5">
        <v>216</v>
      </c>
      <c r="D882" s="5">
        <v>100</v>
      </c>
      <c r="E882" s="5">
        <v>121</v>
      </c>
      <c r="F882" s="5">
        <v>91</v>
      </c>
      <c r="G882" s="5">
        <v>95</v>
      </c>
      <c r="H882" s="5">
        <v>85</v>
      </c>
      <c r="I882" s="4" t="s">
        <v>1765</v>
      </c>
      <c r="J882" s="4" t="s">
        <v>50</v>
      </c>
      <c r="K882" s="4" t="s">
        <v>116</v>
      </c>
      <c r="L882" s="4" t="s">
        <v>39</v>
      </c>
      <c r="M882" s="5"/>
      <c r="N882" s="5"/>
      <c r="O882" s="5" t="b">
        <v>1</v>
      </c>
      <c r="P882" s="4" t="str">
        <f>IF(A882="",IF(ISNUMBER(SEARCH("NOT NULL",UPPER(A$3))),"''","null"),SUBSTITUTE(VLOOKUP(A$2,convert!$A$1:$B$4,2,0),"@@@",A882))</f>
        <v>'0718N03'</v>
      </c>
      <c r="Q882" s="4" t="str">
        <f>IF(B882="",IF(ISNUMBER(SEARCH("NOT NULL",UPPER(B$3))),"''","null"),SUBSTITUTE(VLOOKUP(B$2,convert!$A$1:$B$4,2,0),"@@@",B882))</f>
        <v>'ジガルデ'</v>
      </c>
      <c r="R882" s="4" t="str">
        <f>IF(C882="",IF(ISNUMBER(SEARCH("NOT NULL",UPPER(C$3))),"''","null"),SUBSTITUTE(VLOOKUP(C$2,convert!$A$1:$B$4,2,0),"@@@",C882))</f>
        <v>216</v>
      </c>
      <c r="S882" s="4" t="str">
        <f>IF(D882="",IF(ISNUMBER(SEARCH("NOT NULL",UPPER(D$3))),"''","null"),SUBSTITUTE(VLOOKUP(D$2,convert!$A$1:$B$4,2,0),"@@@",D882))</f>
        <v>100</v>
      </c>
      <c r="T882" s="4" t="str">
        <f>IF(E882="",IF(ISNUMBER(SEARCH("NOT NULL",UPPER(E$3))),"''","null"),SUBSTITUTE(VLOOKUP(E$2,convert!$A$1:$B$4,2,0),"@@@",E882))</f>
        <v>121</v>
      </c>
      <c r="U882" s="4" t="str">
        <f>IF(F882="",IF(ISNUMBER(SEARCH("NOT NULL",UPPER(F$3))),"''","null"),SUBSTITUTE(VLOOKUP(F$2,convert!$A$1:$B$4,2,0),"@@@",F882))</f>
        <v>91</v>
      </c>
      <c r="V882" s="4" t="str">
        <f>IF(G882="",IF(ISNUMBER(SEARCH("NOT NULL",UPPER(G$3))),"''","null"),SUBSTITUTE(VLOOKUP(G$2,convert!$A$1:$B$4,2,0),"@@@",G882))</f>
        <v>95</v>
      </c>
      <c r="W882" s="4" t="str">
        <f>IF(H882="",IF(ISNUMBER(SEARCH("NOT NULL",UPPER(H$3))),"''","null"),SUBSTITUTE(VLOOKUP(H$2,convert!$A$1:$B$4,2,0),"@@@",H882))</f>
        <v>85</v>
      </c>
      <c r="X882" s="4" t="str">
        <f>IF(I882="",IF(ISNUMBER(SEARCH("NOT NULL",UPPER(I$3))),"''","null"),SUBSTITUTE(VLOOKUP(I$2,convert!$A$1:$B$4,2,0),"@@@",I882))</f>
        <v>'パーフェクトフォルム'</v>
      </c>
      <c r="Y882" s="4" t="str">
        <f>IF(J882="",IF(ISNUMBER(SEARCH("NOT NULL",UPPER(J$3))),"''","null"),SUBSTITUTE(VLOOKUP(J$2,convert!$A$1:$B$4,2,0),"@@@",J882))</f>
        <v>'dragon'</v>
      </c>
      <c r="Z882" s="4" t="str">
        <f>IF(K882="",IF(ISNUMBER(SEARCH("NOT NULL",UPPER(K$3))),"''","null"),SUBSTITUTE(VLOOKUP(K$2,convert!$A$1:$B$4,2,0),"@@@",K882))</f>
        <v>'ground'</v>
      </c>
      <c r="AA882" s="4" t="str">
        <f>IF(L882="",IF(ISNUMBER(SEARCH("NOT NULL",UPPER(L$3))),"''","null"),SUBSTITUTE(VLOOKUP(L$2,convert!$A$1:$B$4,2,0),"@@@",L882))</f>
        <v>'g6'</v>
      </c>
      <c r="AB882" s="4" t="str">
        <f>IF(M882="",IF(ISNUMBER(SEARCH("NOT NULL",UPPER(M$3))),"''","null"),SUBSTITUTE(VLOOKUP(M$2,convert!$A$1:$B$4,2,0),"@@@",M882))</f>
        <v>null</v>
      </c>
      <c r="AC882" s="4" t="str">
        <f>IF(N882="",IF(ISNUMBER(SEARCH("NOT NULL",UPPER(N$3))),"''","null"),SUBSTITUTE(VLOOKUP(N$2,convert!$A$1:$B$4,2,0),"@@@",N882))</f>
        <v>null</v>
      </c>
      <c r="AD882" s="4" t="str">
        <f>IF(O882="",IF(ISNUMBER(SEARCH("NOT NULL",UPPER(O$3))),"''","null"),SUBSTITUTE(VLOOKUP(O$2,convert!$A$1:$B$4,2,0),"@@@",O882))</f>
        <v>TRUE</v>
      </c>
      <c r="AE882" s="4" t="str">
        <f t="shared" si="13"/>
        <v>    ('0718N03', 'ジガルデ', 216, 100, 121, 91, 95, 85, 'パーフェクトフォルム', 'dragon', 'ground', 'g6', null, null, TRUE),</v>
      </c>
    </row>
    <row r="883" spans="1:31">
      <c r="A883" s="4" t="s">
        <v>1766</v>
      </c>
      <c r="B883" s="4" t="s">
        <v>1767</v>
      </c>
      <c r="C883" s="5">
        <v>50</v>
      </c>
      <c r="D883" s="5">
        <v>100</v>
      </c>
      <c r="E883" s="5">
        <v>150</v>
      </c>
      <c r="F883" s="5">
        <v>100</v>
      </c>
      <c r="G883" s="5">
        <v>150</v>
      </c>
      <c r="H883" s="5">
        <v>50</v>
      </c>
      <c r="I883" s="5"/>
      <c r="J883" s="4" t="s">
        <v>196</v>
      </c>
      <c r="K883" s="4" t="s">
        <v>137</v>
      </c>
      <c r="L883" s="4" t="s">
        <v>77</v>
      </c>
      <c r="M883" s="5"/>
      <c r="N883" s="5"/>
      <c r="O883" s="5" t="b">
        <v>1</v>
      </c>
      <c r="P883" s="4" t="str">
        <f>IF(A883="",IF(ISNUMBER(SEARCH("NOT NULL",UPPER(A$3))),"''","null"),SUBSTITUTE(VLOOKUP(A$2,convert!$A$1:$B$4,2,0),"@@@",A883))</f>
        <v>'0719N01'</v>
      </c>
      <c r="Q883" s="4" t="str">
        <f>IF(B883="",IF(ISNUMBER(SEARCH("NOT NULL",UPPER(B$3))),"''","null"),SUBSTITUTE(VLOOKUP(B$2,convert!$A$1:$B$4,2,0),"@@@",B883))</f>
        <v>'ディアンシー'</v>
      </c>
      <c r="R883" s="4" t="str">
        <f>IF(C883="",IF(ISNUMBER(SEARCH("NOT NULL",UPPER(C$3))),"''","null"),SUBSTITUTE(VLOOKUP(C$2,convert!$A$1:$B$4,2,0),"@@@",C883))</f>
        <v>50</v>
      </c>
      <c r="S883" s="4" t="str">
        <f>IF(D883="",IF(ISNUMBER(SEARCH("NOT NULL",UPPER(D$3))),"''","null"),SUBSTITUTE(VLOOKUP(D$2,convert!$A$1:$B$4,2,0),"@@@",D883))</f>
        <v>100</v>
      </c>
      <c r="T883" s="4" t="str">
        <f>IF(E883="",IF(ISNUMBER(SEARCH("NOT NULL",UPPER(E$3))),"''","null"),SUBSTITUTE(VLOOKUP(E$2,convert!$A$1:$B$4,2,0),"@@@",E883))</f>
        <v>150</v>
      </c>
      <c r="U883" s="4" t="str">
        <f>IF(F883="",IF(ISNUMBER(SEARCH("NOT NULL",UPPER(F$3))),"''","null"),SUBSTITUTE(VLOOKUP(F$2,convert!$A$1:$B$4,2,0),"@@@",F883))</f>
        <v>100</v>
      </c>
      <c r="V883" s="4" t="str">
        <f>IF(G883="",IF(ISNUMBER(SEARCH("NOT NULL",UPPER(G$3))),"''","null"),SUBSTITUTE(VLOOKUP(G$2,convert!$A$1:$B$4,2,0),"@@@",G883))</f>
        <v>150</v>
      </c>
      <c r="W883" s="4" t="str">
        <f>IF(H883="",IF(ISNUMBER(SEARCH("NOT NULL",UPPER(H$3))),"''","null"),SUBSTITUTE(VLOOKUP(H$2,convert!$A$1:$B$4,2,0),"@@@",H883))</f>
        <v>50</v>
      </c>
      <c r="X883" s="4" t="str">
        <f>IF(I883="",IF(ISNUMBER(SEARCH("NOT NULL",UPPER(I$3))),"''","null"),SUBSTITUTE(VLOOKUP(I$2,convert!$A$1:$B$4,2,0),"@@@",I883))</f>
        <v>''</v>
      </c>
      <c r="Y883" s="4" t="str">
        <f>IF(J883="",IF(ISNUMBER(SEARCH("NOT NULL",UPPER(J$3))),"''","null"),SUBSTITUTE(VLOOKUP(J$2,convert!$A$1:$B$4,2,0),"@@@",J883))</f>
        <v>'rock'</v>
      </c>
      <c r="Z883" s="4" t="str">
        <f>IF(K883="",IF(ISNUMBER(SEARCH("NOT NULL",UPPER(K$3))),"''","null"),SUBSTITUTE(VLOOKUP(K$2,convert!$A$1:$B$4,2,0),"@@@",K883))</f>
        <v>'fairy'</v>
      </c>
      <c r="AA883" s="4" t="str">
        <f>IF(L883="",IF(ISNUMBER(SEARCH("NOT NULL",UPPER(L$3))),"''","null"),SUBSTITUTE(VLOOKUP(L$2,convert!$A$1:$B$4,2,0),"@@@",L883))</f>
        <v>'g6oras'</v>
      </c>
      <c r="AB883" s="4" t="str">
        <f>IF(M883="",IF(ISNUMBER(SEARCH("NOT NULL",UPPER(M$3))),"''","null"),SUBSTITUTE(VLOOKUP(M$2,convert!$A$1:$B$4,2,0),"@@@",M883))</f>
        <v>null</v>
      </c>
      <c r="AC883" s="4" t="str">
        <f>IF(N883="",IF(ISNUMBER(SEARCH("NOT NULL",UPPER(N$3))),"''","null"),SUBSTITUTE(VLOOKUP(N$2,convert!$A$1:$B$4,2,0),"@@@",N883))</f>
        <v>null</v>
      </c>
      <c r="AD883" s="4" t="str">
        <f>IF(O883="",IF(ISNUMBER(SEARCH("NOT NULL",UPPER(O$3))),"''","null"),SUBSTITUTE(VLOOKUP(O$2,convert!$A$1:$B$4,2,0),"@@@",O883))</f>
        <v>TRUE</v>
      </c>
      <c r="AE883" s="4" t="str">
        <f t="shared" si="13"/>
        <v>    ('0719N01', 'ディアンシー', 50, 100, 150, 100, 150, 50, '', 'rock', 'fairy', 'g6oras', null, null, TRUE),</v>
      </c>
    </row>
    <row r="884" spans="1:31">
      <c r="A884" s="4" t="s">
        <v>1768</v>
      </c>
      <c r="B884" s="4" t="s">
        <v>1769</v>
      </c>
      <c r="C884" s="5">
        <v>50</v>
      </c>
      <c r="D884" s="5">
        <v>160</v>
      </c>
      <c r="E884" s="5">
        <v>110</v>
      </c>
      <c r="F884" s="5">
        <v>160</v>
      </c>
      <c r="G884" s="5">
        <v>110</v>
      </c>
      <c r="H884" s="5">
        <v>110</v>
      </c>
      <c r="I884" s="5"/>
      <c r="J884" s="4" t="s">
        <v>196</v>
      </c>
      <c r="K884" s="4" t="s">
        <v>137</v>
      </c>
      <c r="L884" s="4" t="s">
        <v>39</v>
      </c>
      <c r="M884" s="5"/>
      <c r="N884" s="5"/>
      <c r="O884" s="5" t="b">
        <v>1</v>
      </c>
      <c r="P884" s="4" t="str">
        <f>IF(A884="",IF(ISNUMBER(SEARCH("NOT NULL",UPPER(A$3))),"''","null"),SUBSTITUTE(VLOOKUP(A$2,convert!$A$1:$B$4,2,0),"@@@",A884))</f>
        <v>'0719M01'</v>
      </c>
      <c r="Q884" s="4" t="str">
        <f>IF(B884="",IF(ISNUMBER(SEARCH("NOT NULL",UPPER(B$3))),"''","null"),SUBSTITUTE(VLOOKUP(B$2,convert!$A$1:$B$4,2,0),"@@@",B884))</f>
        <v>'メガディアンシー'</v>
      </c>
      <c r="R884" s="4" t="str">
        <f>IF(C884="",IF(ISNUMBER(SEARCH("NOT NULL",UPPER(C$3))),"''","null"),SUBSTITUTE(VLOOKUP(C$2,convert!$A$1:$B$4,2,0),"@@@",C884))</f>
        <v>50</v>
      </c>
      <c r="S884" s="4" t="str">
        <f>IF(D884="",IF(ISNUMBER(SEARCH("NOT NULL",UPPER(D$3))),"''","null"),SUBSTITUTE(VLOOKUP(D$2,convert!$A$1:$B$4,2,0),"@@@",D884))</f>
        <v>160</v>
      </c>
      <c r="T884" s="4" t="str">
        <f>IF(E884="",IF(ISNUMBER(SEARCH("NOT NULL",UPPER(E$3))),"''","null"),SUBSTITUTE(VLOOKUP(E$2,convert!$A$1:$B$4,2,0),"@@@",E884))</f>
        <v>110</v>
      </c>
      <c r="U884" s="4" t="str">
        <f>IF(F884="",IF(ISNUMBER(SEARCH("NOT NULL",UPPER(F$3))),"''","null"),SUBSTITUTE(VLOOKUP(F$2,convert!$A$1:$B$4,2,0),"@@@",F884))</f>
        <v>160</v>
      </c>
      <c r="V884" s="4" t="str">
        <f>IF(G884="",IF(ISNUMBER(SEARCH("NOT NULL",UPPER(G$3))),"''","null"),SUBSTITUTE(VLOOKUP(G$2,convert!$A$1:$B$4,2,0),"@@@",G884))</f>
        <v>110</v>
      </c>
      <c r="W884" s="4" t="str">
        <f>IF(H884="",IF(ISNUMBER(SEARCH("NOT NULL",UPPER(H$3))),"''","null"),SUBSTITUTE(VLOOKUP(H$2,convert!$A$1:$B$4,2,0),"@@@",H884))</f>
        <v>110</v>
      </c>
      <c r="X884" s="4" t="str">
        <f>IF(I884="",IF(ISNUMBER(SEARCH("NOT NULL",UPPER(I$3))),"''","null"),SUBSTITUTE(VLOOKUP(I$2,convert!$A$1:$B$4,2,0),"@@@",I884))</f>
        <v>''</v>
      </c>
      <c r="Y884" s="4" t="str">
        <f>IF(J884="",IF(ISNUMBER(SEARCH("NOT NULL",UPPER(J$3))),"''","null"),SUBSTITUTE(VLOOKUP(J$2,convert!$A$1:$B$4,2,0),"@@@",J884))</f>
        <v>'rock'</v>
      </c>
      <c r="Z884" s="4" t="str">
        <f>IF(K884="",IF(ISNUMBER(SEARCH("NOT NULL",UPPER(K$3))),"''","null"),SUBSTITUTE(VLOOKUP(K$2,convert!$A$1:$B$4,2,0),"@@@",K884))</f>
        <v>'fairy'</v>
      </c>
      <c r="AA884" s="4" t="str">
        <f>IF(L884="",IF(ISNUMBER(SEARCH("NOT NULL",UPPER(L$3))),"''","null"),SUBSTITUTE(VLOOKUP(L$2,convert!$A$1:$B$4,2,0),"@@@",L884))</f>
        <v>'g6'</v>
      </c>
      <c r="AB884" s="4" t="str">
        <f>IF(M884="",IF(ISNUMBER(SEARCH("NOT NULL",UPPER(M$3))),"''","null"),SUBSTITUTE(VLOOKUP(M$2,convert!$A$1:$B$4,2,0),"@@@",M884))</f>
        <v>null</v>
      </c>
      <c r="AC884" s="4" t="str">
        <f>IF(N884="",IF(ISNUMBER(SEARCH("NOT NULL",UPPER(N$3))),"''","null"),SUBSTITUTE(VLOOKUP(N$2,convert!$A$1:$B$4,2,0),"@@@",N884))</f>
        <v>null</v>
      </c>
      <c r="AD884" s="4" t="str">
        <f>IF(O884="",IF(ISNUMBER(SEARCH("NOT NULL",UPPER(O$3))),"''","null"),SUBSTITUTE(VLOOKUP(O$2,convert!$A$1:$B$4,2,0),"@@@",O884))</f>
        <v>TRUE</v>
      </c>
      <c r="AE884" s="4" t="str">
        <f t="shared" si="13"/>
        <v>    ('0719M01', 'メガディアンシー', 50, 160, 110, 160, 110, 110, '', 'rock', 'fairy', 'g6', null, null, TRUE),</v>
      </c>
    </row>
    <row r="885" spans="1:31">
      <c r="A885" s="4" t="s">
        <v>1770</v>
      </c>
      <c r="B885" s="4" t="s">
        <v>1771</v>
      </c>
      <c r="C885" s="5">
        <v>80</v>
      </c>
      <c r="D885" s="5">
        <v>110</v>
      </c>
      <c r="E885" s="5">
        <v>60</v>
      </c>
      <c r="F885" s="5">
        <v>150</v>
      </c>
      <c r="G885" s="5">
        <v>130</v>
      </c>
      <c r="H885" s="5">
        <v>70</v>
      </c>
      <c r="I885" s="4" t="s">
        <v>1772</v>
      </c>
      <c r="J885" s="4" t="s">
        <v>113</v>
      </c>
      <c r="K885" s="4" t="s">
        <v>281</v>
      </c>
      <c r="L885" s="4" t="s">
        <v>39</v>
      </c>
      <c r="M885" s="5"/>
      <c r="N885" s="5"/>
      <c r="O885" s="5" t="b">
        <v>1</v>
      </c>
      <c r="P885" s="4" t="str">
        <f>IF(A885="",IF(ISNUMBER(SEARCH("NOT NULL",UPPER(A$3))),"''","null"),SUBSTITUTE(VLOOKUP(A$2,convert!$A$1:$B$4,2,0),"@@@",A885))</f>
        <v>'0720N01'</v>
      </c>
      <c r="Q885" s="4" t="str">
        <f>IF(B885="",IF(ISNUMBER(SEARCH("NOT NULL",UPPER(B$3))),"''","null"),SUBSTITUTE(VLOOKUP(B$2,convert!$A$1:$B$4,2,0),"@@@",B885))</f>
        <v>'フーパ'</v>
      </c>
      <c r="R885" s="4" t="str">
        <f>IF(C885="",IF(ISNUMBER(SEARCH("NOT NULL",UPPER(C$3))),"''","null"),SUBSTITUTE(VLOOKUP(C$2,convert!$A$1:$B$4,2,0),"@@@",C885))</f>
        <v>80</v>
      </c>
      <c r="S885" s="4" t="str">
        <f>IF(D885="",IF(ISNUMBER(SEARCH("NOT NULL",UPPER(D$3))),"''","null"),SUBSTITUTE(VLOOKUP(D$2,convert!$A$1:$B$4,2,0),"@@@",D885))</f>
        <v>110</v>
      </c>
      <c r="T885" s="4" t="str">
        <f>IF(E885="",IF(ISNUMBER(SEARCH("NOT NULL",UPPER(E$3))),"''","null"),SUBSTITUTE(VLOOKUP(E$2,convert!$A$1:$B$4,2,0),"@@@",E885))</f>
        <v>60</v>
      </c>
      <c r="U885" s="4" t="str">
        <f>IF(F885="",IF(ISNUMBER(SEARCH("NOT NULL",UPPER(F$3))),"''","null"),SUBSTITUTE(VLOOKUP(F$2,convert!$A$1:$B$4,2,0),"@@@",F885))</f>
        <v>150</v>
      </c>
      <c r="V885" s="4" t="str">
        <f>IF(G885="",IF(ISNUMBER(SEARCH("NOT NULL",UPPER(G$3))),"''","null"),SUBSTITUTE(VLOOKUP(G$2,convert!$A$1:$B$4,2,0),"@@@",G885))</f>
        <v>130</v>
      </c>
      <c r="W885" s="4" t="str">
        <f>IF(H885="",IF(ISNUMBER(SEARCH("NOT NULL",UPPER(H$3))),"''","null"),SUBSTITUTE(VLOOKUP(H$2,convert!$A$1:$B$4,2,0),"@@@",H885))</f>
        <v>70</v>
      </c>
      <c r="X885" s="4" t="str">
        <f>IF(I885="",IF(ISNUMBER(SEARCH("NOT NULL",UPPER(I$3))),"''","null"),SUBSTITUTE(VLOOKUP(I$2,convert!$A$1:$B$4,2,0),"@@@",I885))</f>
        <v>'いましめられしフーパ'</v>
      </c>
      <c r="Y885" s="4" t="str">
        <f>IF(J885="",IF(ISNUMBER(SEARCH("NOT NULL",UPPER(J$3))),"''","null"),SUBSTITUTE(VLOOKUP(J$2,convert!$A$1:$B$4,2,0),"@@@",J885))</f>
        <v>'psychic'</v>
      </c>
      <c r="Z885" s="4" t="str">
        <f>IF(K885="",IF(ISNUMBER(SEARCH("NOT NULL",UPPER(K$3))),"''","null"),SUBSTITUTE(VLOOKUP(K$2,convert!$A$1:$B$4,2,0),"@@@",K885))</f>
        <v>'ghost'</v>
      </c>
      <c r="AA885" s="4" t="str">
        <f>IF(L885="",IF(ISNUMBER(SEARCH("NOT NULL",UPPER(L$3))),"''","null"),SUBSTITUTE(VLOOKUP(L$2,convert!$A$1:$B$4,2,0),"@@@",L885))</f>
        <v>'g6'</v>
      </c>
      <c r="AB885" s="4" t="str">
        <f>IF(M885="",IF(ISNUMBER(SEARCH("NOT NULL",UPPER(M$3))),"''","null"),SUBSTITUTE(VLOOKUP(M$2,convert!$A$1:$B$4,2,0),"@@@",M885))</f>
        <v>null</v>
      </c>
      <c r="AC885" s="4" t="str">
        <f>IF(N885="",IF(ISNUMBER(SEARCH("NOT NULL",UPPER(N$3))),"''","null"),SUBSTITUTE(VLOOKUP(N$2,convert!$A$1:$B$4,2,0),"@@@",N885))</f>
        <v>null</v>
      </c>
      <c r="AD885" s="4" t="str">
        <f>IF(O885="",IF(ISNUMBER(SEARCH("NOT NULL",UPPER(O$3))),"''","null"),SUBSTITUTE(VLOOKUP(O$2,convert!$A$1:$B$4,2,0),"@@@",O885))</f>
        <v>TRUE</v>
      </c>
      <c r="AE885" s="4" t="str">
        <f t="shared" si="13"/>
        <v>    ('0720N01', 'フーパ', 80, 110, 60, 150, 130, 70, 'いましめられしフーパ', 'psychic', 'ghost', 'g6', null, null, TRUE),</v>
      </c>
    </row>
    <row r="886" spans="1:31">
      <c r="A886" s="4" t="s">
        <v>1773</v>
      </c>
      <c r="B886" s="4" t="s">
        <v>1771</v>
      </c>
      <c r="C886" s="5">
        <v>80</v>
      </c>
      <c r="D886" s="5">
        <v>160</v>
      </c>
      <c r="E886" s="5">
        <v>60</v>
      </c>
      <c r="F886" s="5">
        <v>170</v>
      </c>
      <c r="G886" s="5">
        <v>130</v>
      </c>
      <c r="H886" s="5">
        <v>80</v>
      </c>
      <c r="I886" s="4" t="s">
        <v>1774</v>
      </c>
      <c r="J886" s="4" t="s">
        <v>113</v>
      </c>
      <c r="K886" s="4" t="s">
        <v>91</v>
      </c>
      <c r="L886" s="4" t="s">
        <v>39</v>
      </c>
      <c r="M886" s="5"/>
      <c r="N886" s="5"/>
      <c r="O886" s="5" t="b">
        <v>1</v>
      </c>
      <c r="P886" s="4" t="str">
        <f>IF(A886="",IF(ISNUMBER(SEARCH("NOT NULL",UPPER(A$3))),"''","null"),SUBSTITUTE(VLOOKUP(A$2,convert!$A$1:$B$4,2,0),"@@@",A886))</f>
        <v>'0720N02'</v>
      </c>
      <c r="Q886" s="4" t="str">
        <f>IF(B886="",IF(ISNUMBER(SEARCH("NOT NULL",UPPER(B$3))),"''","null"),SUBSTITUTE(VLOOKUP(B$2,convert!$A$1:$B$4,2,0),"@@@",B886))</f>
        <v>'フーパ'</v>
      </c>
      <c r="R886" s="4" t="str">
        <f>IF(C886="",IF(ISNUMBER(SEARCH("NOT NULL",UPPER(C$3))),"''","null"),SUBSTITUTE(VLOOKUP(C$2,convert!$A$1:$B$4,2,0),"@@@",C886))</f>
        <v>80</v>
      </c>
      <c r="S886" s="4" t="str">
        <f>IF(D886="",IF(ISNUMBER(SEARCH("NOT NULL",UPPER(D$3))),"''","null"),SUBSTITUTE(VLOOKUP(D$2,convert!$A$1:$B$4,2,0),"@@@",D886))</f>
        <v>160</v>
      </c>
      <c r="T886" s="4" t="str">
        <f>IF(E886="",IF(ISNUMBER(SEARCH("NOT NULL",UPPER(E$3))),"''","null"),SUBSTITUTE(VLOOKUP(E$2,convert!$A$1:$B$4,2,0),"@@@",E886))</f>
        <v>60</v>
      </c>
      <c r="U886" s="4" t="str">
        <f>IF(F886="",IF(ISNUMBER(SEARCH("NOT NULL",UPPER(F$3))),"''","null"),SUBSTITUTE(VLOOKUP(F$2,convert!$A$1:$B$4,2,0),"@@@",F886))</f>
        <v>170</v>
      </c>
      <c r="V886" s="4" t="str">
        <f>IF(G886="",IF(ISNUMBER(SEARCH("NOT NULL",UPPER(G$3))),"''","null"),SUBSTITUTE(VLOOKUP(G$2,convert!$A$1:$B$4,2,0),"@@@",G886))</f>
        <v>130</v>
      </c>
      <c r="W886" s="4" t="str">
        <f>IF(H886="",IF(ISNUMBER(SEARCH("NOT NULL",UPPER(H$3))),"''","null"),SUBSTITUTE(VLOOKUP(H$2,convert!$A$1:$B$4,2,0),"@@@",H886))</f>
        <v>80</v>
      </c>
      <c r="X886" s="4" t="str">
        <f>IF(I886="",IF(ISNUMBER(SEARCH("NOT NULL",UPPER(I$3))),"''","null"),SUBSTITUTE(VLOOKUP(I$2,convert!$A$1:$B$4,2,0),"@@@",I886))</f>
        <v>'ときはなたれしフーパ'</v>
      </c>
      <c r="Y886" s="4" t="str">
        <f>IF(J886="",IF(ISNUMBER(SEARCH("NOT NULL",UPPER(J$3))),"''","null"),SUBSTITUTE(VLOOKUP(J$2,convert!$A$1:$B$4,2,0),"@@@",J886))</f>
        <v>'psychic'</v>
      </c>
      <c r="Z886" s="4" t="str">
        <f>IF(K886="",IF(ISNUMBER(SEARCH("NOT NULL",UPPER(K$3))),"''","null"),SUBSTITUTE(VLOOKUP(K$2,convert!$A$1:$B$4,2,0),"@@@",K886))</f>
        <v>'dark'</v>
      </c>
      <c r="AA886" s="4" t="str">
        <f>IF(L886="",IF(ISNUMBER(SEARCH("NOT NULL",UPPER(L$3))),"''","null"),SUBSTITUTE(VLOOKUP(L$2,convert!$A$1:$B$4,2,0),"@@@",L886))</f>
        <v>'g6'</v>
      </c>
      <c r="AB886" s="4" t="str">
        <f>IF(M886="",IF(ISNUMBER(SEARCH("NOT NULL",UPPER(M$3))),"''","null"),SUBSTITUTE(VLOOKUP(M$2,convert!$A$1:$B$4,2,0),"@@@",M886))</f>
        <v>null</v>
      </c>
      <c r="AC886" s="4" t="str">
        <f>IF(N886="",IF(ISNUMBER(SEARCH("NOT NULL",UPPER(N$3))),"''","null"),SUBSTITUTE(VLOOKUP(N$2,convert!$A$1:$B$4,2,0),"@@@",N886))</f>
        <v>null</v>
      </c>
      <c r="AD886" s="4" t="str">
        <f>IF(O886="",IF(ISNUMBER(SEARCH("NOT NULL",UPPER(O$3))),"''","null"),SUBSTITUTE(VLOOKUP(O$2,convert!$A$1:$B$4,2,0),"@@@",O886))</f>
        <v>TRUE</v>
      </c>
      <c r="AE886" s="4" t="str">
        <f t="shared" si="13"/>
        <v>    ('0720N02', 'フーパ', 80, 160, 60, 170, 130, 80, 'ときはなたれしフーパ', 'psychic', 'dark', 'g6', null, null, TRUE),</v>
      </c>
    </row>
    <row r="887" spans="1:31">
      <c r="A887" s="4" t="s">
        <v>1775</v>
      </c>
      <c r="B887" s="4" t="s">
        <v>1776</v>
      </c>
      <c r="C887" s="5">
        <v>80</v>
      </c>
      <c r="D887" s="5">
        <v>110</v>
      </c>
      <c r="E887" s="5">
        <v>120</v>
      </c>
      <c r="F887" s="5">
        <v>130</v>
      </c>
      <c r="G887" s="5">
        <v>90</v>
      </c>
      <c r="H887" s="5">
        <v>70</v>
      </c>
      <c r="I887" s="5"/>
      <c r="J887" s="4" t="s">
        <v>42</v>
      </c>
      <c r="K887" s="4" t="s">
        <v>55</v>
      </c>
      <c r="L887" s="4" t="s">
        <v>39</v>
      </c>
      <c r="M887" s="5"/>
      <c r="N887" s="5"/>
      <c r="O887" s="5" t="b">
        <v>0</v>
      </c>
      <c r="P887" s="4" t="str">
        <f>IF(A887="",IF(ISNUMBER(SEARCH("NOT NULL",UPPER(A$3))),"''","null"),SUBSTITUTE(VLOOKUP(A$2,convert!$A$1:$B$4,2,0),"@@@",A887))</f>
        <v>'0721N01'</v>
      </c>
      <c r="Q887" s="4" t="str">
        <f>IF(B887="",IF(ISNUMBER(SEARCH("NOT NULL",UPPER(B$3))),"''","null"),SUBSTITUTE(VLOOKUP(B$2,convert!$A$1:$B$4,2,0),"@@@",B887))</f>
        <v>'ボルケニオン'</v>
      </c>
      <c r="R887" s="4" t="str">
        <f>IF(C887="",IF(ISNUMBER(SEARCH("NOT NULL",UPPER(C$3))),"''","null"),SUBSTITUTE(VLOOKUP(C$2,convert!$A$1:$B$4,2,0),"@@@",C887))</f>
        <v>80</v>
      </c>
      <c r="S887" s="4" t="str">
        <f>IF(D887="",IF(ISNUMBER(SEARCH("NOT NULL",UPPER(D$3))),"''","null"),SUBSTITUTE(VLOOKUP(D$2,convert!$A$1:$B$4,2,0),"@@@",D887))</f>
        <v>110</v>
      </c>
      <c r="T887" s="4" t="str">
        <f>IF(E887="",IF(ISNUMBER(SEARCH("NOT NULL",UPPER(E$3))),"''","null"),SUBSTITUTE(VLOOKUP(E$2,convert!$A$1:$B$4,2,0),"@@@",E887))</f>
        <v>120</v>
      </c>
      <c r="U887" s="4" t="str">
        <f>IF(F887="",IF(ISNUMBER(SEARCH("NOT NULL",UPPER(F$3))),"''","null"),SUBSTITUTE(VLOOKUP(F$2,convert!$A$1:$B$4,2,0),"@@@",F887))</f>
        <v>130</v>
      </c>
      <c r="V887" s="4" t="str">
        <f>IF(G887="",IF(ISNUMBER(SEARCH("NOT NULL",UPPER(G$3))),"''","null"),SUBSTITUTE(VLOOKUP(G$2,convert!$A$1:$B$4,2,0),"@@@",G887))</f>
        <v>90</v>
      </c>
      <c r="W887" s="4" t="str">
        <f>IF(H887="",IF(ISNUMBER(SEARCH("NOT NULL",UPPER(H$3))),"''","null"),SUBSTITUTE(VLOOKUP(H$2,convert!$A$1:$B$4,2,0),"@@@",H887))</f>
        <v>70</v>
      </c>
      <c r="X887" s="4" t="str">
        <f>IF(I887="",IF(ISNUMBER(SEARCH("NOT NULL",UPPER(I$3))),"''","null"),SUBSTITUTE(VLOOKUP(I$2,convert!$A$1:$B$4,2,0),"@@@",I887))</f>
        <v>''</v>
      </c>
      <c r="Y887" s="4" t="str">
        <f>IF(J887="",IF(ISNUMBER(SEARCH("NOT NULL",UPPER(J$3))),"''","null"),SUBSTITUTE(VLOOKUP(J$2,convert!$A$1:$B$4,2,0),"@@@",J887))</f>
        <v>'fire'</v>
      </c>
      <c r="Z887" s="4" t="str">
        <f>IF(K887="",IF(ISNUMBER(SEARCH("NOT NULL",UPPER(K$3))),"''","null"),SUBSTITUTE(VLOOKUP(K$2,convert!$A$1:$B$4,2,0),"@@@",K887))</f>
        <v>'water'</v>
      </c>
      <c r="AA887" s="4" t="str">
        <f>IF(L887="",IF(ISNUMBER(SEARCH("NOT NULL",UPPER(L$3))),"''","null"),SUBSTITUTE(VLOOKUP(L$2,convert!$A$1:$B$4,2,0),"@@@",L887))</f>
        <v>'g6'</v>
      </c>
      <c r="AB887" s="4" t="str">
        <f>IF(M887="",IF(ISNUMBER(SEARCH("NOT NULL",UPPER(M$3))),"''","null"),SUBSTITUTE(VLOOKUP(M$2,convert!$A$1:$B$4,2,0),"@@@",M887))</f>
        <v>null</v>
      </c>
      <c r="AC887" s="4" t="str">
        <f>IF(N887="",IF(ISNUMBER(SEARCH("NOT NULL",UPPER(N$3))),"''","null"),SUBSTITUTE(VLOOKUP(N$2,convert!$A$1:$B$4,2,0),"@@@",N887))</f>
        <v>null</v>
      </c>
      <c r="AD887" s="4" t="str">
        <f>IF(O887="",IF(ISNUMBER(SEARCH("NOT NULL",UPPER(O$3))),"''","null"),SUBSTITUTE(VLOOKUP(O$2,convert!$A$1:$B$4,2,0),"@@@",O887))</f>
        <v>FALSE</v>
      </c>
      <c r="AE887" s="4" t="str">
        <f t="shared" si="13"/>
        <v>    ('0721N01', 'ボルケニオン', 80, 110, 120, 130, 90, 70, '', 'fire', 'water', 'g6', null, null, FALSE),</v>
      </c>
    </row>
    <row r="888" spans="1:31">
      <c r="A888" s="4" t="s">
        <v>1777</v>
      </c>
      <c r="B888" s="4" t="s">
        <v>1778</v>
      </c>
      <c r="C888" s="5">
        <v>68</v>
      </c>
      <c r="D888" s="5">
        <v>55</v>
      </c>
      <c r="E888" s="5">
        <v>55</v>
      </c>
      <c r="F888" s="5">
        <v>50</v>
      </c>
      <c r="G888" s="5">
        <v>50</v>
      </c>
      <c r="H888" s="5">
        <v>42</v>
      </c>
      <c r="I888" s="5"/>
      <c r="J888" s="4" t="s">
        <v>30</v>
      </c>
      <c r="K888" s="4" t="s">
        <v>47</v>
      </c>
      <c r="L888" s="4" t="s">
        <v>92</v>
      </c>
      <c r="M888" s="4" t="s">
        <v>1779</v>
      </c>
      <c r="N888" s="4" t="s">
        <v>1780</v>
      </c>
      <c r="O888" s="5" t="b">
        <v>1</v>
      </c>
      <c r="P888" s="4" t="str">
        <f>IF(A888="",IF(ISNUMBER(SEARCH("NOT NULL",UPPER(A$3))),"''","null"),SUBSTITUTE(VLOOKUP(A$2,convert!$A$1:$B$4,2,0),"@@@",A888))</f>
        <v>'0722N01'</v>
      </c>
      <c r="Q888" s="4" t="str">
        <f>IF(B888="",IF(ISNUMBER(SEARCH("NOT NULL",UPPER(B$3))),"''","null"),SUBSTITUTE(VLOOKUP(B$2,convert!$A$1:$B$4,2,0),"@@@",B888))</f>
        <v>'モクロー'</v>
      </c>
      <c r="R888" s="4" t="str">
        <f>IF(C888="",IF(ISNUMBER(SEARCH("NOT NULL",UPPER(C$3))),"''","null"),SUBSTITUTE(VLOOKUP(C$2,convert!$A$1:$B$4,2,0),"@@@",C888))</f>
        <v>68</v>
      </c>
      <c r="S888" s="4" t="str">
        <f>IF(D888="",IF(ISNUMBER(SEARCH("NOT NULL",UPPER(D$3))),"''","null"),SUBSTITUTE(VLOOKUP(D$2,convert!$A$1:$B$4,2,0),"@@@",D888))</f>
        <v>55</v>
      </c>
      <c r="T888" s="4" t="str">
        <f>IF(E888="",IF(ISNUMBER(SEARCH("NOT NULL",UPPER(E$3))),"''","null"),SUBSTITUTE(VLOOKUP(E$2,convert!$A$1:$B$4,2,0),"@@@",E888))</f>
        <v>55</v>
      </c>
      <c r="U888" s="4" t="str">
        <f>IF(F888="",IF(ISNUMBER(SEARCH("NOT NULL",UPPER(F$3))),"''","null"),SUBSTITUTE(VLOOKUP(F$2,convert!$A$1:$B$4,2,0),"@@@",F888))</f>
        <v>50</v>
      </c>
      <c r="V888" s="4" t="str">
        <f>IF(G888="",IF(ISNUMBER(SEARCH("NOT NULL",UPPER(G$3))),"''","null"),SUBSTITUTE(VLOOKUP(G$2,convert!$A$1:$B$4,2,0),"@@@",G888))</f>
        <v>50</v>
      </c>
      <c r="W888" s="4" t="str">
        <f>IF(H888="",IF(ISNUMBER(SEARCH("NOT NULL",UPPER(H$3))),"''","null"),SUBSTITUTE(VLOOKUP(H$2,convert!$A$1:$B$4,2,0),"@@@",H888))</f>
        <v>42</v>
      </c>
      <c r="X888" s="4" t="str">
        <f>IF(I888="",IF(ISNUMBER(SEARCH("NOT NULL",UPPER(I$3))),"''","null"),SUBSTITUTE(VLOOKUP(I$2,convert!$A$1:$B$4,2,0),"@@@",I888))</f>
        <v>''</v>
      </c>
      <c r="Y888" s="4" t="str">
        <f>IF(J888="",IF(ISNUMBER(SEARCH("NOT NULL",UPPER(J$3))),"''","null"),SUBSTITUTE(VLOOKUP(J$2,convert!$A$1:$B$4,2,0),"@@@",J888))</f>
        <v>'grass'</v>
      </c>
      <c r="Z888" s="4" t="str">
        <f>IF(K888="",IF(ISNUMBER(SEARCH("NOT NULL",UPPER(K$3))),"''","null"),SUBSTITUTE(VLOOKUP(K$2,convert!$A$1:$B$4,2,0),"@@@",K888))</f>
        <v>'flying'</v>
      </c>
      <c r="AA888" s="4" t="str">
        <f>IF(L888="",IF(ISNUMBER(SEARCH("NOT NULL",UPPER(L$3))),"''","null"),SUBSTITUTE(VLOOKUP(L$2,convert!$A$1:$B$4,2,0),"@@@",L888))</f>
        <v>'g7'</v>
      </c>
      <c r="AB888" s="4" t="str">
        <f>IF(M888="",IF(ISNUMBER(SEARCH("NOT NULL",UPPER(M$3))),"''","null"),SUBSTITUTE(VLOOKUP(M$2,convert!$A$1:$B$4,2,0),"@@@",M888))</f>
        <v>'pokego/pokemon/0772_rowlet/rowlet_300.jpg'</v>
      </c>
      <c r="AC888" s="4" t="str">
        <f>IF(N888="",IF(ISNUMBER(SEARCH("NOT NULL",UPPER(N$3))),"''","null"),SUBSTITUTE(VLOOKUP(N$2,convert!$A$1:$B$4,2,0),"@@@",N888))</f>
        <v>'pokego/pokemon/0772_rowlet/rowlet_motion.gif'</v>
      </c>
      <c r="AD888" s="4" t="str">
        <f>IF(O888="",IF(ISNUMBER(SEARCH("NOT NULL",UPPER(O$3))),"''","null"),SUBSTITUTE(VLOOKUP(O$2,convert!$A$1:$B$4,2,0),"@@@",O888))</f>
        <v>TRUE</v>
      </c>
      <c r="AE888" s="4" t="str">
        <f t="shared" si="13"/>
        <v>    ('0722N01', 'モクロー', 68, 55, 55, 50, 50, 42, '', 'grass', 'flying', 'g7', 'pokego/pokemon/0772_rowlet/rowlet_300.jpg', 'pokego/pokemon/0772_rowlet/rowlet_motion.gif', TRUE),</v>
      </c>
    </row>
    <row r="889" spans="1:31">
      <c r="A889" s="4" t="s">
        <v>1781</v>
      </c>
      <c r="B889" s="4" t="s">
        <v>1782</v>
      </c>
      <c r="C889" s="5">
        <v>78</v>
      </c>
      <c r="D889" s="5">
        <v>75</v>
      </c>
      <c r="E889" s="5">
        <v>75</v>
      </c>
      <c r="F889" s="5">
        <v>70</v>
      </c>
      <c r="G889" s="5">
        <v>70</v>
      </c>
      <c r="H889" s="5">
        <v>52</v>
      </c>
      <c r="I889" s="5"/>
      <c r="J889" s="4" t="s">
        <v>30</v>
      </c>
      <c r="K889" s="4" t="s">
        <v>47</v>
      </c>
      <c r="L889" s="4" t="s">
        <v>92</v>
      </c>
      <c r="M889" s="5"/>
      <c r="N889" s="5"/>
      <c r="O889" s="5" t="b">
        <v>1</v>
      </c>
      <c r="P889" s="4" t="str">
        <f>IF(A889="",IF(ISNUMBER(SEARCH("NOT NULL",UPPER(A$3))),"''","null"),SUBSTITUTE(VLOOKUP(A$2,convert!$A$1:$B$4,2,0),"@@@",A889))</f>
        <v>'0723N01'</v>
      </c>
      <c r="Q889" s="4" t="str">
        <f>IF(B889="",IF(ISNUMBER(SEARCH("NOT NULL",UPPER(B$3))),"''","null"),SUBSTITUTE(VLOOKUP(B$2,convert!$A$1:$B$4,2,0),"@@@",B889))</f>
        <v>'フクスロー'</v>
      </c>
      <c r="R889" s="4" t="str">
        <f>IF(C889="",IF(ISNUMBER(SEARCH("NOT NULL",UPPER(C$3))),"''","null"),SUBSTITUTE(VLOOKUP(C$2,convert!$A$1:$B$4,2,0),"@@@",C889))</f>
        <v>78</v>
      </c>
      <c r="S889" s="4" t="str">
        <f>IF(D889="",IF(ISNUMBER(SEARCH("NOT NULL",UPPER(D$3))),"''","null"),SUBSTITUTE(VLOOKUP(D$2,convert!$A$1:$B$4,2,0),"@@@",D889))</f>
        <v>75</v>
      </c>
      <c r="T889" s="4" t="str">
        <f>IF(E889="",IF(ISNUMBER(SEARCH("NOT NULL",UPPER(E$3))),"''","null"),SUBSTITUTE(VLOOKUP(E$2,convert!$A$1:$B$4,2,0),"@@@",E889))</f>
        <v>75</v>
      </c>
      <c r="U889" s="4" t="str">
        <f>IF(F889="",IF(ISNUMBER(SEARCH("NOT NULL",UPPER(F$3))),"''","null"),SUBSTITUTE(VLOOKUP(F$2,convert!$A$1:$B$4,2,0),"@@@",F889))</f>
        <v>70</v>
      </c>
      <c r="V889" s="4" t="str">
        <f>IF(G889="",IF(ISNUMBER(SEARCH("NOT NULL",UPPER(G$3))),"''","null"),SUBSTITUTE(VLOOKUP(G$2,convert!$A$1:$B$4,2,0),"@@@",G889))</f>
        <v>70</v>
      </c>
      <c r="W889" s="4" t="str">
        <f>IF(H889="",IF(ISNUMBER(SEARCH("NOT NULL",UPPER(H$3))),"''","null"),SUBSTITUTE(VLOOKUP(H$2,convert!$A$1:$B$4,2,0),"@@@",H889))</f>
        <v>52</v>
      </c>
      <c r="X889" s="4" t="str">
        <f>IF(I889="",IF(ISNUMBER(SEARCH("NOT NULL",UPPER(I$3))),"''","null"),SUBSTITUTE(VLOOKUP(I$2,convert!$A$1:$B$4,2,0),"@@@",I889))</f>
        <v>''</v>
      </c>
      <c r="Y889" s="4" t="str">
        <f>IF(J889="",IF(ISNUMBER(SEARCH("NOT NULL",UPPER(J$3))),"''","null"),SUBSTITUTE(VLOOKUP(J$2,convert!$A$1:$B$4,2,0),"@@@",J889))</f>
        <v>'grass'</v>
      </c>
      <c r="Z889" s="4" t="str">
        <f>IF(K889="",IF(ISNUMBER(SEARCH("NOT NULL",UPPER(K$3))),"''","null"),SUBSTITUTE(VLOOKUP(K$2,convert!$A$1:$B$4,2,0),"@@@",K889))</f>
        <v>'flying'</v>
      </c>
      <c r="AA889" s="4" t="str">
        <f>IF(L889="",IF(ISNUMBER(SEARCH("NOT NULL",UPPER(L$3))),"''","null"),SUBSTITUTE(VLOOKUP(L$2,convert!$A$1:$B$4,2,0),"@@@",L889))</f>
        <v>'g7'</v>
      </c>
      <c r="AB889" s="4" t="str">
        <f>IF(M889="",IF(ISNUMBER(SEARCH("NOT NULL",UPPER(M$3))),"''","null"),SUBSTITUTE(VLOOKUP(M$2,convert!$A$1:$B$4,2,0),"@@@",M889))</f>
        <v>null</v>
      </c>
      <c r="AC889" s="4" t="str">
        <f>IF(N889="",IF(ISNUMBER(SEARCH("NOT NULL",UPPER(N$3))),"''","null"),SUBSTITUTE(VLOOKUP(N$2,convert!$A$1:$B$4,2,0),"@@@",N889))</f>
        <v>null</v>
      </c>
      <c r="AD889" s="4" t="str">
        <f>IF(O889="",IF(ISNUMBER(SEARCH("NOT NULL",UPPER(O$3))),"''","null"),SUBSTITUTE(VLOOKUP(O$2,convert!$A$1:$B$4,2,0),"@@@",O889))</f>
        <v>TRUE</v>
      </c>
      <c r="AE889" s="4" t="str">
        <f t="shared" si="13"/>
        <v>    ('0723N01', 'フクスロー', 78, 75, 75, 70, 70, 52, '', 'grass', 'flying', 'g7', null, null, TRUE),</v>
      </c>
    </row>
    <row r="890" spans="1:31">
      <c r="A890" s="4" t="s">
        <v>1783</v>
      </c>
      <c r="B890" s="4" t="s">
        <v>1784</v>
      </c>
      <c r="C890" s="5">
        <v>78</v>
      </c>
      <c r="D890" s="5">
        <v>107</v>
      </c>
      <c r="E890" s="5">
        <v>75</v>
      </c>
      <c r="F890" s="5">
        <v>100</v>
      </c>
      <c r="G890" s="5">
        <v>100</v>
      </c>
      <c r="H890" s="5">
        <v>70</v>
      </c>
      <c r="I890" s="5"/>
      <c r="J890" s="4" t="s">
        <v>30</v>
      </c>
      <c r="K890" s="4" t="s">
        <v>281</v>
      </c>
      <c r="L890" s="4" t="s">
        <v>92</v>
      </c>
      <c r="M890" s="5"/>
      <c r="N890" s="5"/>
      <c r="O890" s="5" t="b">
        <v>1</v>
      </c>
      <c r="P890" s="4" t="str">
        <f>IF(A890="",IF(ISNUMBER(SEARCH("NOT NULL",UPPER(A$3))),"''","null"),SUBSTITUTE(VLOOKUP(A$2,convert!$A$1:$B$4,2,0),"@@@",A890))</f>
        <v>'0724N01'</v>
      </c>
      <c r="Q890" s="4" t="str">
        <f>IF(B890="",IF(ISNUMBER(SEARCH("NOT NULL",UPPER(B$3))),"''","null"),SUBSTITUTE(VLOOKUP(B$2,convert!$A$1:$B$4,2,0),"@@@",B890))</f>
        <v>'ジュナイパー'</v>
      </c>
      <c r="R890" s="4" t="str">
        <f>IF(C890="",IF(ISNUMBER(SEARCH("NOT NULL",UPPER(C$3))),"''","null"),SUBSTITUTE(VLOOKUP(C$2,convert!$A$1:$B$4,2,0),"@@@",C890))</f>
        <v>78</v>
      </c>
      <c r="S890" s="4" t="str">
        <f>IF(D890="",IF(ISNUMBER(SEARCH("NOT NULL",UPPER(D$3))),"''","null"),SUBSTITUTE(VLOOKUP(D$2,convert!$A$1:$B$4,2,0),"@@@",D890))</f>
        <v>107</v>
      </c>
      <c r="T890" s="4" t="str">
        <f>IF(E890="",IF(ISNUMBER(SEARCH("NOT NULL",UPPER(E$3))),"''","null"),SUBSTITUTE(VLOOKUP(E$2,convert!$A$1:$B$4,2,0),"@@@",E890))</f>
        <v>75</v>
      </c>
      <c r="U890" s="4" t="str">
        <f>IF(F890="",IF(ISNUMBER(SEARCH("NOT NULL",UPPER(F$3))),"''","null"),SUBSTITUTE(VLOOKUP(F$2,convert!$A$1:$B$4,2,0),"@@@",F890))</f>
        <v>100</v>
      </c>
      <c r="V890" s="4" t="str">
        <f>IF(G890="",IF(ISNUMBER(SEARCH("NOT NULL",UPPER(G$3))),"''","null"),SUBSTITUTE(VLOOKUP(G$2,convert!$A$1:$B$4,2,0),"@@@",G890))</f>
        <v>100</v>
      </c>
      <c r="W890" s="4" t="str">
        <f>IF(H890="",IF(ISNUMBER(SEARCH("NOT NULL",UPPER(H$3))),"''","null"),SUBSTITUTE(VLOOKUP(H$2,convert!$A$1:$B$4,2,0),"@@@",H890))</f>
        <v>70</v>
      </c>
      <c r="X890" s="4" t="str">
        <f>IF(I890="",IF(ISNUMBER(SEARCH("NOT NULL",UPPER(I$3))),"''","null"),SUBSTITUTE(VLOOKUP(I$2,convert!$A$1:$B$4,2,0),"@@@",I890))</f>
        <v>''</v>
      </c>
      <c r="Y890" s="4" t="str">
        <f>IF(J890="",IF(ISNUMBER(SEARCH("NOT NULL",UPPER(J$3))),"''","null"),SUBSTITUTE(VLOOKUP(J$2,convert!$A$1:$B$4,2,0),"@@@",J890))</f>
        <v>'grass'</v>
      </c>
      <c r="Z890" s="4" t="str">
        <f>IF(K890="",IF(ISNUMBER(SEARCH("NOT NULL",UPPER(K$3))),"''","null"),SUBSTITUTE(VLOOKUP(K$2,convert!$A$1:$B$4,2,0),"@@@",K890))</f>
        <v>'ghost'</v>
      </c>
      <c r="AA890" s="4" t="str">
        <f>IF(L890="",IF(ISNUMBER(SEARCH("NOT NULL",UPPER(L$3))),"''","null"),SUBSTITUTE(VLOOKUP(L$2,convert!$A$1:$B$4,2,0),"@@@",L890))</f>
        <v>'g7'</v>
      </c>
      <c r="AB890" s="4" t="str">
        <f>IF(M890="",IF(ISNUMBER(SEARCH("NOT NULL",UPPER(M$3))),"''","null"),SUBSTITUTE(VLOOKUP(M$2,convert!$A$1:$B$4,2,0),"@@@",M890))</f>
        <v>null</v>
      </c>
      <c r="AC890" s="4" t="str">
        <f>IF(N890="",IF(ISNUMBER(SEARCH("NOT NULL",UPPER(N$3))),"''","null"),SUBSTITUTE(VLOOKUP(N$2,convert!$A$1:$B$4,2,0),"@@@",N890))</f>
        <v>null</v>
      </c>
      <c r="AD890" s="4" t="str">
        <f>IF(O890="",IF(ISNUMBER(SEARCH("NOT NULL",UPPER(O$3))),"''","null"),SUBSTITUTE(VLOOKUP(O$2,convert!$A$1:$B$4,2,0),"@@@",O890))</f>
        <v>TRUE</v>
      </c>
      <c r="AE890" s="4" t="str">
        <f t="shared" si="13"/>
        <v>    ('0724N01', 'ジュナイパー', 78, 107, 75, 100, 100, 70, '', 'grass', 'ghost', 'g7', null, null, TRUE),</v>
      </c>
    </row>
    <row r="891" spans="1:31">
      <c r="A891" s="4" t="s">
        <v>1785</v>
      </c>
      <c r="B891" s="4" t="s">
        <v>1784</v>
      </c>
      <c r="C891" s="5">
        <v>88</v>
      </c>
      <c r="D891" s="5">
        <v>112</v>
      </c>
      <c r="E891" s="5">
        <v>80</v>
      </c>
      <c r="F891" s="5">
        <v>95</v>
      </c>
      <c r="G891" s="5">
        <v>95</v>
      </c>
      <c r="H891" s="5">
        <v>60</v>
      </c>
      <c r="I891" s="4" t="s">
        <v>195</v>
      </c>
      <c r="J891" s="4" t="s">
        <v>30</v>
      </c>
      <c r="K891" s="4" t="s">
        <v>189</v>
      </c>
      <c r="L891" s="4" t="s">
        <v>197</v>
      </c>
      <c r="M891" s="5"/>
      <c r="N891" s="5"/>
      <c r="O891" s="5" t="b">
        <v>1</v>
      </c>
      <c r="P891" s="4" t="str">
        <f>IF(A891="",IF(ISNUMBER(SEARCH("NOT NULL",UPPER(A$3))),"''","null"),SUBSTITUTE(VLOOKUP(A$2,convert!$A$1:$B$4,2,0),"@@@",A891))</f>
        <v>'0724H01'</v>
      </c>
      <c r="Q891" s="4" t="str">
        <f>IF(B891="",IF(ISNUMBER(SEARCH("NOT NULL",UPPER(B$3))),"''","null"),SUBSTITUTE(VLOOKUP(B$2,convert!$A$1:$B$4,2,0),"@@@",B891))</f>
        <v>'ジュナイパー'</v>
      </c>
      <c r="R891" s="4" t="str">
        <f>IF(C891="",IF(ISNUMBER(SEARCH("NOT NULL",UPPER(C$3))),"''","null"),SUBSTITUTE(VLOOKUP(C$2,convert!$A$1:$B$4,2,0),"@@@",C891))</f>
        <v>88</v>
      </c>
      <c r="S891" s="4" t="str">
        <f>IF(D891="",IF(ISNUMBER(SEARCH("NOT NULL",UPPER(D$3))),"''","null"),SUBSTITUTE(VLOOKUP(D$2,convert!$A$1:$B$4,2,0),"@@@",D891))</f>
        <v>112</v>
      </c>
      <c r="T891" s="4" t="str">
        <f>IF(E891="",IF(ISNUMBER(SEARCH("NOT NULL",UPPER(E$3))),"''","null"),SUBSTITUTE(VLOOKUP(E$2,convert!$A$1:$B$4,2,0),"@@@",E891))</f>
        <v>80</v>
      </c>
      <c r="U891" s="4" t="str">
        <f>IF(F891="",IF(ISNUMBER(SEARCH("NOT NULL",UPPER(F$3))),"''","null"),SUBSTITUTE(VLOOKUP(F$2,convert!$A$1:$B$4,2,0),"@@@",F891))</f>
        <v>95</v>
      </c>
      <c r="V891" s="4" t="str">
        <f>IF(G891="",IF(ISNUMBER(SEARCH("NOT NULL",UPPER(G$3))),"''","null"),SUBSTITUTE(VLOOKUP(G$2,convert!$A$1:$B$4,2,0),"@@@",G891))</f>
        <v>95</v>
      </c>
      <c r="W891" s="4" t="str">
        <f>IF(H891="",IF(ISNUMBER(SEARCH("NOT NULL",UPPER(H$3))),"''","null"),SUBSTITUTE(VLOOKUP(H$2,convert!$A$1:$B$4,2,0),"@@@",H891))</f>
        <v>60</v>
      </c>
      <c r="X891" s="4" t="str">
        <f>IF(I891="",IF(ISNUMBER(SEARCH("NOT NULL",UPPER(I$3))),"''","null"),SUBSTITUTE(VLOOKUP(I$2,convert!$A$1:$B$4,2,0),"@@@",I891))</f>
        <v>'ヒスイのすがた'</v>
      </c>
      <c r="Y891" s="4" t="str">
        <f>IF(J891="",IF(ISNUMBER(SEARCH("NOT NULL",UPPER(J$3))),"''","null"),SUBSTITUTE(VLOOKUP(J$2,convert!$A$1:$B$4,2,0),"@@@",J891))</f>
        <v>'grass'</v>
      </c>
      <c r="Z891" s="4" t="str">
        <f>IF(K891="",IF(ISNUMBER(SEARCH("NOT NULL",UPPER(K$3))),"''","null"),SUBSTITUTE(VLOOKUP(K$2,convert!$A$1:$B$4,2,0),"@@@",K891))</f>
        <v>'fighting'</v>
      </c>
      <c r="AA891" s="4" t="str">
        <f>IF(L891="",IF(ISNUMBER(SEARCH("NOT NULL",UPPER(L$3))),"''","null"),SUBSTITUTE(VLOOKUP(L$2,convert!$A$1:$B$4,2,0),"@@@",L891))</f>
        <v>'g8arceus'</v>
      </c>
      <c r="AB891" s="4" t="str">
        <f>IF(M891="",IF(ISNUMBER(SEARCH("NOT NULL",UPPER(M$3))),"''","null"),SUBSTITUTE(VLOOKUP(M$2,convert!$A$1:$B$4,2,0),"@@@",M891))</f>
        <v>null</v>
      </c>
      <c r="AC891" s="4" t="str">
        <f>IF(N891="",IF(ISNUMBER(SEARCH("NOT NULL",UPPER(N$3))),"''","null"),SUBSTITUTE(VLOOKUP(N$2,convert!$A$1:$B$4,2,0),"@@@",N891))</f>
        <v>null</v>
      </c>
      <c r="AD891" s="4" t="str">
        <f>IF(O891="",IF(ISNUMBER(SEARCH("NOT NULL",UPPER(O$3))),"''","null"),SUBSTITUTE(VLOOKUP(O$2,convert!$A$1:$B$4,2,0),"@@@",O891))</f>
        <v>TRUE</v>
      </c>
      <c r="AE891" s="4" t="str">
        <f t="shared" si="13"/>
        <v>    ('0724H01', 'ジュナイパー', 88, 112, 80, 95, 95, 60, 'ヒスイのすがた', 'grass', 'fighting', 'g8arceus', null, null, TRUE),</v>
      </c>
    </row>
    <row r="892" spans="1:31">
      <c r="A892" s="4" t="s">
        <v>1786</v>
      </c>
      <c r="B892" s="4" t="s">
        <v>1787</v>
      </c>
      <c r="C892" s="5">
        <v>45</v>
      </c>
      <c r="D892" s="5">
        <v>65</v>
      </c>
      <c r="E892" s="5">
        <v>40</v>
      </c>
      <c r="F892" s="5">
        <v>60</v>
      </c>
      <c r="G892" s="5">
        <v>40</v>
      </c>
      <c r="H892" s="5">
        <v>70</v>
      </c>
      <c r="I892" s="5"/>
      <c r="J892" s="4" t="s">
        <v>42</v>
      </c>
      <c r="K892" s="5"/>
      <c r="L892" s="4" t="s">
        <v>92</v>
      </c>
      <c r="M892" s="5"/>
      <c r="N892" s="5"/>
      <c r="O892" s="5" t="b">
        <v>1</v>
      </c>
      <c r="P892" s="4" t="str">
        <f>IF(A892="",IF(ISNUMBER(SEARCH("NOT NULL",UPPER(A$3))),"''","null"),SUBSTITUTE(VLOOKUP(A$2,convert!$A$1:$B$4,2,0),"@@@",A892))</f>
        <v>'0725N01'</v>
      </c>
      <c r="Q892" s="4" t="str">
        <f>IF(B892="",IF(ISNUMBER(SEARCH("NOT NULL",UPPER(B$3))),"''","null"),SUBSTITUTE(VLOOKUP(B$2,convert!$A$1:$B$4,2,0),"@@@",B892))</f>
        <v>'ニャビー'</v>
      </c>
      <c r="R892" s="4" t="str">
        <f>IF(C892="",IF(ISNUMBER(SEARCH("NOT NULL",UPPER(C$3))),"''","null"),SUBSTITUTE(VLOOKUP(C$2,convert!$A$1:$B$4,2,0),"@@@",C892))</f>
        <v>45</v>
      </c>
      <c r="S892" s="4" t="str">
        <f>IF(D892="",IF(ISNUMBER(SEARCH("NOT NULL",UPPER(D$3))),"''","null"),SUBSTITUTE(VLOOKUP(D$2,convert!$A$1:$B$4,2,0),"@@@",D892))</f>
        <v>65</v>
      </c>
      <c r="T892" s="4" t="str">
        <f>IF(E892="",IF(ISNUMBER(SEARCH("NOT NULL",UPPER(E$3))),"''","null"),SUBSTITUTE(VLOOKUP(E$2,convert!$A$1:$B$4,2,0),"@@@",E892))</f>
        <v>40</v>
      </c>
      <c r="U892" s="4" t="str">
        <f>IF(F892="",IF(ISNUMBER(SEARCH("NOT NULL",UPPER(F$3))),"''","null"),SUBSTITUTE(VLOOKUP(F$2,convert!$A$1:$B$4,2,0),"@@@",F892))</f>
        <v>60</v>
      </c>
      <c r="V892" s="4" t="str">
        <f>IF(G892="",IF(ISNUMBER(SEARCH("NOT NULL",UPPER(G$3))),"''","null"),SUBSTITUTE(VLOOKUP(G$2,convert!$A$1:$B$4,2,0),"@@@",G892))</f>
        <v>40</v>
      </c>
      <c r="W892" s="4" t="str">
        <f>IF(H892="",IF(ISNUMBER(SEARCH("NOT NULL",UPPER(H$3))),"''","null"),SUBSTITUTE(VLOOKUP(H$2,convert!$A$1:$B$4,2,0),"@@@",H892))</f>
        <v>70</v>
      </c>
      <c r="X892" s="4" t="str">
        <f>IF(I892="",IF(ISNUMBER(SEARCH("NOT NULL",UPPER(I$3))),"''","null"),SUBSTITUTE(VLOOKUP(I$2,convert!$A$1:$B$4,2,0),"@@@",I892))</f>
        <v>''</v>
      </c>
      <c r="Y892" s="4" t="str">
        <f>IF(J892="",IF(ISNUMBER(SEARCH("NOT NULL",UPPER(J$3))),"''","null"),SUBSTITUTE(VLOOKUP(J$2,convert!$A$1:$B$4,2,0),"@@@",J892))</f>
        <v>'fire'</v>
      </c>
      <c r="Z892" s="4" t="str">
        <f>IF(K892="",IF(ISNUMBER(SEARCH("NOT NULL",UPPER(K$3))),"''","null"),SUBSTITUTE(VLOOKUP(K$2,convert!$A$1:$B$4,2,0),"@@@",K892))</f>
        <v>null</v>
      </c>
      <c r="AA892" s="4" t="str">
        <f>IF(L892="",IF(ISNUMBER(SEARCH("NOT NULL",UPPER(L$3))),"''","null"),SUBSTITUTE(VLOOKUP(L$2,convert!$A$1:$B$4,2,0),"@@@",L892))</f>
        <v>'g7'</v>
      </c>
      <c r="AB892" s="4" t="str">
        <f>IF(M892="",IF(ISNUMBER(SEARCH("NOT NULL",UPPER(M$3))),"''","null"),SUBSTITUTE(VLOOKUP(M$2,convert!$A$1:$B$4,2,0),"@@@",M892))</f>
        <v>null</v>
      </c>
      <c r="AC892" s="4" t="str">
        <f>IF(N892="",IF(ISNUMBER(SEARCH("NOT NULL",UPPER(N$3))),"''","null"),SUBSTITUTE(VLOOKUP(N$2,convert!$A$1:$B$4,2,0),"@@@",N892))</f>
        <v>null</v>
      </c>
      <c r="AD892" s="4" t="str">
        <f>IF(O892="",IF(ISNUMBER(SEARCH("NOT NULL",UPPER(O$3))),"''","null"),SUBSTITUTE(VLOOKUP(O$2,convert!$A$1:$B$4,2,0),"@@@",O892))</f>
        <v>TRUE</v>
      </c>
      <c r="AE892" s="4" t="str">
        <f t="shared" si="13"/>
        <v>    ('0725N01', 'ニャビー', 45, 65, 40, 60, 40, 70, '', 'fire', null, 'g7', null, null, TRUE),</v>
      </c>
    </row>
    <row r="893" spans="1:31">
      <c r="A893" s="4" t="s">
        <v>1788</v>
      </c>
      <c r="B893" s="4" t="s">
        <v>1789</v>
      </c>
      <c r="C893" s="5">
        <v>65</v>
      </c>
      <c r="D893" s="5">
        <v>85</v>
      </c>
      <c r="E893" s="5">
        <v>50</v>
      </c>
      <c r="F893" s="5">
        <v>80</v>
      </c>
      <c r="G893" s="5">
        <v>50</v>
      </c>
      <c r="H893" s="5">
        <v>90</v>
      </c>
      <c r="I893" s="5"/>
      <c r="J893" s="4" t="s">
        <v>42</v>
      </c>
      <c r="K893" s="5"/>
      <c r="L893" s="4" t="s">
        <v>92</v>
      </c>
      <c r="M893" s="5"/>
      <c r="N893" s="5"/>
      <c r="O893" s="5" t="b">
        <v>1</v>
      </c>
      <c r="P893" s="4" t="str">
        <f>IF(A893="",IF(ISNUMBER(SEARCH("NOT NULL",UPPER(A$3))),"''","null"),SUBSTITUTE(VLOOKUP(A$2,convert!$A$1:$B$4,2,0),"@@@",A893))</f>
        <v>'0726N01'</v>
      </c>
      <c r="Q893" s="4" t="str">
        <f>IF(B893="",IF(ISNUMBER(SEARCH("NOT NULL",UPPER(B$3))),"''","null"),SUBSTITUTE(VLOOKUP(B$2,convert!$A$1:$B$4,2,0),"@@@",B893))</f>
        <v>'ニャヒート'</v>
      </c>
      <c r="R893" s="4" t="str">
        <f>IF(C893="",IF(ISNUMBER(SEARCH("NOT NULL",UPPER(C$3))),"''","null"),SUBSTITUTE(VLOOKUP(C$2,convert!$A$1:$B$4,2,0),"@@@",C893))</f>
        <v>65</v>
      </c>
      <c r="S893" s="4" t="str">
        <f>IF(D893="",IF(ISNUMBER(SEARCH("NOT NULL",UPPER(D$3))),"''","null"),SUBSTITUTE(VLOOKUP(D$2,convert!$A$1:$B$4,2,0),"@@@",D893))</f>
        <v>85</v>
      </c>
      <c r="T893" s="4" t="str">
        <f>IF(E893="",IF(ISNUMBER(SEARCH("NOT NULL",UPPER(E$3))),"''","null"),SUBSTITUTE(VLOOKUP(E$2,convert!$A$1:$B$4,2,0),"@@@",E893))</f>
        <v>50</v>
      </c>
      <c r="U893" s="4" t="str">
        <f>IF(F893="",IF(ISNUMBER(SEARCH("NOT NULL",UPPER(F$3))),"''","null"),SUBSTITUTE(VLOOKUP(F$2,convert!$A$1:$B$4,2,0),"@@@",F893))</f>
        <v>80</v>
      </c>
      <c r="V893" s="4" t="str">
        <f>IF(G893="",IF(ISNUMBER(SEARCH("NOT NULL",UPPER(G$3))),"''","null"),SUBSTITUTE(VLOOKUP(G$2,convert!$A$1:$B$4,2,0),"@@@",G893))</f>
        <v>50</v>
      </c>
      <c r="W893" s="4" t="str">
        <f>IF(H893="",IF(ISNUMBER(SEARCH("NOT NULL",UPPER(H$3))),"''","null"),SUBSTITUTE(VLOOKUP(H$2,convert!$A$1:$B$4,2,0),"@@@",H893))</f>
        <v>90</v>
      </c>
      <c r="X893" s="4" t="str">
        <f>IF(I893="",IF(ISNUMBER(SEARCH("NOT NULL",UPPER(I$3))),"''","null"),SUBSTITUTE(VLOOKUP(I$2,convert!$A$1:$B$4,2,0),"@@@",I893))</f>
        <v>''</v>
      </c>
      <c r="Y893" s="4" t="str">
        <f>IF(J893="",IF(ISNUMBER(SEARCH("NOT NULL",UPPER(J$3))),"''","null"),SUBSTITUTE(VLOOKUP(J$2,convert!$A$1:$B$4,2,0),"@@@",J893))</f>
        <v>'fire'</v>
      </c>
      <c r="Z893" s="4" t="str">
        <f>IF(K893="",IF(ISNUMBER(SEARCH("NOT NULL",UPPER(K$3))),"''","null"),SUBSTITUTE(VLOOKUP(K$2,convert!$A$1:$B$4,2,0),"@@@",K893))</f>
        <v>null</v>
      </c>
      <c r="AA893" s="4" t="str">
        <f>IF(L893="",IF(ISNUMBER(SEARCH("NOT NULL",UPPER(L$3))),"''","null"),SUBSTITUTE(VLOOKUP(L$2,convert!$A$1:$B$4,2,0),"@@@",L893))</f>
        <v>'g7'</v>
      </c>
      <c r="AB893" s="4" t="str">
        <f>IF(M893="",IF(ISNUMBER(SEARCH("NOT NULL",UPPER(M$3))),"''","null"),SUBSTITUTE(VLOOKUP(M$2,convert!$A$1:$B$4,2,0),"@@@",M893))</f>
        <v>null</v>
      </c>
      <c r="AC893" s="4" t="str">
        <f>IF(N893="",IF(ISNUMBER(SEARCH("NOT NULL",UPPER(N$3))),"''","null"),SUBSTITUTE(VLOOKUP(N$2,convert!$A$1:$B$4,2,0),"@@@",N893))</f>
        <v>null</v>
      </c>
      <c r="AD893" s="4" t="str">
        <f>IF(O893="",IF(ISNUMBER(SEARCH("NOT NULL",UPPER(O$3))),"''","null"),SUBSTITUTE(VLOOKUP(O$2,convert!$A$1:$B$4,2,0),"@@@",O893))</f>
        <v>TRUE</v>
      </c>
      <c r="AE893" s="4" t="str">
        <f t="shared" si="13"/>
        <v>    ('0726N01', 'ニャヒート', 65, 85, 50, 80, 50, 90, '', 'fire', null, 'g7', null, null, TRUE),</v>
      </c>
    </row>
    <row r="894" spans="1:31">
      <c r="A894" s="4" t="s">
        <v>1790</v>
      </c>
      <c r="B894" s="4" t="s">
        <v>1791</v>
      </c>
      <c r="C894" s="5">
        <v>95</v>
      </c>
      <c r="D894" s="5">
        <v>115</v>
      </c>
      <c r="E894" s="5">
        <v>90</v>
      </c>
      <c r="F894" s="5">
        <v>80</v>
      </c>
      <c r="G894" s="5">
        <v>90</v>
      </c>
      <c r="H894" s="5">
        <v>60</v>
      </c>
      <c r="I894" s="5"/>
      <c r="J894" s="4" t="s">
        <v>42</v>
      </c>
      <c r="K894" s="4" t="s">
        <v>91</v>
      </c>
      <c r="L894" s="4" t="s">
        <v>92</v>
      </c>
      <c r="M894" s="5"/>
      <c r="N894" s="5"/>
      <c r="O894" s="5" t="b">
        <v>1</v>
      </c>
      <c r="P894" s="4" t="str">
        <f>IF(A894="",IF(ISNUMBER(SEARCH("NOT NULL",UPPER(A$3))),"''","null"),SUBSTITUTE(VLOOKUP(A$2,convert!$A$1:$B$4,2,0),"@@@",A894))</f>
        <v>'0727N01'</v>
      </c>
      <c r="Q894" s="4" t="str">
        <f>IF(B894="",IF(ISNUMBER(SEARCH("NOT NULL",UPPER(B$3))),"''","null"),SUBSTITUTE(VLOOKUP(B$2,convert!$A$1:$B$4,2,0),"@@@",B894))</f>
        <v>'ガオガエン'</v>
      </c>
      <c r="R894" s="4" t="str">
        <f>IF(C894="",IF(ISNUMBER(SEARCH("NOT NULL",UPPER(C$3))),"''","null"),SUBSTITUTE(VLOOKUP(C$2,convert!$A$1:$B$4,2,0),"@@@",C894))</f>
        <v>95</v>
      </c>
      <c r="S894" s="4" t="str">
        <f>IF(D894="",IF(ISNUMBER(SEARCH("NOT NULL",UPPER(D$3))),"''","null"),SUBSTITUTE(VLOOKUP(D$2,convert!$A$1:$B$4,2,0),"@@@",D894))</f>
        <v>115</v>
      </c>
      <c r="T894" s="4" t="str">
        <f>IF(E894="",IF(ISNUMBER(SEARCH("NOT NULL",UPPER(E$3))),"''","null"),SUBSTITUTE(VLOOKUP(E$2,convert!$A$1:$B$4,2,0),"@@@",E894))</f>
        <v>90</v>
      </c>
      <c r="U894" s="4" t="str">
        <f>IF(F894="",IF(ISNUMBER(SEARCH("NOT NULL",UPPER(F$3))),"''","null"),SUBSTITUTE(VLOOKUP(F$2,convert!$A$1:$B$4,2,0),"@@@",F894))</f>
        <v>80</v>
      </c>
      <c r="V894" s="4" t="str">
        <f>IF(G894="",IF(ISNUMBER(SEARCH("NOT NULL",UPPER(G$3))),"''","null"),SUBSTITUTE(VLOOKUP(G$2,convert!$A$1:$B$4,2,0),"@@@",G894))</f>
        <v>90</v>
      </c>
      <c r="W894" s="4" t="str">
        <f>IF(H894="",IF(ISNUMBER(SEARCH("NOT NULL",UPPER(H$3))),"''","null"),SUBSTITUTE(VLOOKUP(H$2,convert!$A$1:$B$4,2,0),"@@@",H894))</f>
        <v>60</v>
      </c>
      <c r="X894" s="4" t="str">
        <f>IF(I894="",IF(ISNUMBER(SEARCH("NOT NULL",UPPER(I$3))),"''","null"),SUBSTITUTE(VLOOKUP(I$2,convert!$A$1:$B$4,2,0),"@@@",I894))</f>
        <v>''</v>
      </c>
      <c r="Y894" s="4" t="str">
        <f>IF(J894="",IF(ISNUMBER(SEARCH("NOT NULL",UPPER(J$3))),"''","null"),SUBSTITUTE(VLOOKUP(J$2,convert!$A$1:$B$4,2,0),"@@@",J894))</f>
        <v>'fire'</v>
      </c>
      <c r="Z894" s="4" t="str">
        <f>IF(K894="",IF(ISNUMBER(SEARCH("NOT NULL",UPPER(K$3))),"''","null"),SUBSTITUTE(VLOOKUP(K$2,convert!$A$1:$B$4,2,0),"@@@",K894))</f>
        <v>'dark'</v>
      </c>
      <c r="AA894" s="4" t="str">
        <f>IF(L894="",IF(ISNUMBER(SEARCH("NOT NULL",UPPER(L$3))),"''","null"),SUBSTITUTE(VLOOKUP(L$2,convert!$A$1:$B$4,2,0),"@@@",L894))</f>
        <v>'g7'</v>
      </c>
      <c r="AB894" s="4" t="str">
        <f>IF(M894="",IF(ISNUMBER(SEARCH("NOT NULL",UPPER(M$3))),"''","null"),SUBSTITUTE(VLOOKUP(M$2,convert!$A$1:$B$4,2,0),"@@@",M894))</f>
        <v>null</v>
      </c>
      <c r="AC894" s="4" t="str">
        <f>IF(N894="",IF(ISNUMBER(SEARCH("NOT NULL",UPPER(N$3))),"''","null"),SUBSTITUTE(VLOOKUP(N$2,convert!$A$1:$B$4,2,0),"@@@",N894))</f>
        <v>null</v>
      </c>
      <c r="AD894" s="4" t="str">
        <f>IF(O894="",IF(ISNUMBER(SEARCH("NOT NULL",UPPER(O$3))),"''","null"),SUBSTITUTE(VLOOKUP(O$2,convert!$A$1:$B$4,2,0),"@@@",O894))</f>
        <v>TRUE</v>
      </c>
      <c r="AE894" s="4" t="str">
        <f t="shared" si="13"/>
        <v>    ('0727N01', 'ガオガエン', 95, 115, 90, 80, 90, 60, '', 'fire', 'dark', 'g7', null, null, TRUE),</v>
      </c>
    </row>
    <row r="895" spans="1:31">
      <c r="A895" s="4" t="s">
        <v>1792</v>
      </c>
      <c r="B895" s="4" t="s">
        <v>1793</v>
      </c>
      <c r="C895" s="5">
        <v>50</v>
      </c>
      <c r="D895" s="5">
        <v>54</v>
      </c>
      <c r="E895" s="5">
        <v>54</v>
      </c>
      <c r="F895" s="5">
        <v>66</v>
      </c>
      <c r="G895" s="5">
        <v>56</v>
      </c>
      <c r="H895" s="5">
        <v>40</v>
      </c>
      <c r="I895" s="5"/>
      <c r="J895" s="4" t="s">
        <v>55</v>
      </c>
      <c r="K895" s="5"/>
      <c r="L895" s="4" t="s">
        <v>92</v>
      </c>
      <c r="M895" s="5"/>
      <c r="N895" s="5"/>
      <c r="O895" s="5" t="b">
        <v>1</v>
      </c>
      <c r="P895" s="4" t="str">
        <f>IF(A895="",IF(ISNUMBER(SEARCH("NOT NULL",UPPER(A$3))),"''","null"),SUBSTITUTE(VLOOKUP(A$2,convert!$A$1:$B$4,2,0),"@@@",A895))</f>
        <v>'0728N01'</v>
      </c>
      <c r="Q895" s="4" t="str">
        <f>IF(B895="",IF(ISNUMBER(SEARCH("NOT NULL",UPPER(B$3))),"''","null"),SUBSTITUTE(VLOOKUP(B$2,convert!$A$1:$B$4,2,0),"@@@",B895))</f>
        <v>'アシマリ'</v>
      </c>
      <c r="R895" s="4" t="str">
        <f>IF(C895="",IF(ISNUMBER(SEARCH("NOT NULL",UPPER(C$3))),"''","null"),SUBSTITUTE(VLOOKUP(C$2,convert!$A$1:$B$4,2,0),"@@@",C895))</f>
        <v>50</v>
      </c>
      <c r="S895" s="4" t="str">
        <f>IF(D895="",IF(ISNUMBER(SEARCH("NOT NULL",UPPER(D$3))),"''","null"),SUBSTITUTE(VLOOKUP(D$2,convert!$A$1:$B$4,2,0),"@@@",D895))</f>
        <v>54</v>
      </c>
      <c r="T895" s="4" t="str">
        <f>IF(E895="",IF(ISNUMBER(SEARCH("NOT NULL",UPPER(E$3))),"''","null"),SUBSTITUTE(VLOOKUP(E$2,convert!$A$1:$B$4,2,0),"@@@",E895))</f>
        <v>54</v>
      </c>
      <c r="U895" s="4" t="str">
        <f>IF(F895="",IF(ISNUMBER(SEARCH("NOT NULL",UPPER(F$3))),"''","null"),SUBSTITUTE(VLOOKUP(F$2,convert!$A$1:$B$4,2,0),"@@@",F895))</f>
        <v>66</v>
      </c>
      <c r="V895" s="4" t="str">
        <f>IF(G895="",IF(ISNUMBER(SEARCH("NOT NULL",UPPER(G$3))),"''","null"),SUBSTITUTE(VLOOKUP(G$2,convert!$A$1:$B$4,2,0),"@@@",G895))</f>
        <v>56</v>
      </c>
      <c r="W895" s="4" t="str">
        <f>IF(H895="",IF(ISNUMBER(SEARCH("NOT NULL",UPPER(H$3))),"''","null"),SUBSTITUTE(VLOOKUP(H$2,convert!$A$1:$B$4,2,0),"@@@",H895))</f>
        <v>40</v>
      </c>
      <c r="X895" s="4" t="str">
        <f>IF(I895="",IF(ISNUMBER(SEARCH("NOT NULL",UPPER(I$3))),"''","null"),SUBSTITUTE(VLOOKUP(I$2,convert!$A$1:$B$4,2,0),"@@@",I895))</f>
        <v>''</v>
      </c>
      <c r="Y895" s="4" t="str">
        <f>IF(J895="",IF(ISNUMBER(SEARCH("NOT NULL",UPPER(J$3))),"''","null"),SUBSTITUTE(VLOOKUP(J$2,convert!$A$1:$B$4,2,0),"@@@",J895))</f>
        <v>'water'</v>
      </c>
      <c r="Z895" s="4" t="str">
        <f>IF(K895="",IF(ISNUMBER(SEARCH("NOT NULL",UPPER(K$3))),"''","null"),SUBSTITUTE(VLOOKUP(K$2,convert!$A$1:$B$4,2,0),"@@@",K895))</f>
        <v>null</v>
      </c>
      <c r="AA895" s="4" t="str">
        <f>IF(L895="",IF(ISNUMBER(SEARCH("NOT NULL",UPPER(L$3))),"''","null"),SUBSTITUTE(VLOOKUP(L$2,convert!$A$1:$B$4,2,0),"@@@",L895))</f>
        <v>'g7'</v>
      </c>
      <c r="AB895" s="4" t="str">
        <f>IF(M895="",IF(ISNUMBER(SEARCH("NOT NULL",UPPER(M$3))),"''","null"),SUBSTITUTE(VLOOKUP(M$2,convert!$A$1:$B$4,2,0),"@@@",M895))</f>
        <v>null</v>
      </c>
      <c r="AC895" s="4" t="str">
        <f>IF(N895="",IF(ISNUMBER(SEARCH("NOT NULL",UPPER(N$3))),"''","null"),SUBSTITUTE(VLOOKUP(N$2,convert!$A$1:$B$4,2,0),"@@@",N895))</f>
        <v>null</v>
      </c>
      <c r="AD895" s="4" t="str">
        <f>IF(O895="",IF(ISNUMBER(SEARCH("NOT NULL",UPPER(O$3))),"''","null"),SUBSTITUTE(VLOOKUP(O$2,convert!$A$1:$B$4,2,0),"@@@",O895))</f>
        <v>TRUE</v>
      </c>
      <c r="AE895" s="4" t="str">
        <f t="shared" si="13"/>
        <v>    ('0728N01', 'アシマリ', 50, 54, 54, 66, 56, 40, '', 'water', null, 'g7', null, null, TRUE),</v>
      </c>
    </row>
    <row r="896" spans="1:31">
      <c r="A896" s="4" t="s">
        <v>1794</v>
      </c>
      <c r="B896" s="4" t="s">
        <v>1795</v>
      </c>
      <c r="C896" s="5">
        <v>60</v>
      </c>
      <c r="D896" s="5">
        <v>69</v>
      </c>
      <c r="E896" s="5">
        <v>69</v>
      </c>
      <c r="F896" s="5">
        <v>91</v>
      </c>
      <c r="G896" s="5">
        <v>81</v>
      </c>
      <c r="H896" s="5">
        <v>50</v>
      </c>
      <c r="I896" s="5"/>
      <c r="J896" s="4" t="s">
        <v>55</v>
      </c>
      <c r="K896" s="5"/>
      <c r="L896" s="4" t="s">
        <v>92</v>
      </c>
      <c r="M896" s="5"/>
      <c r="N896" s="5"/>
      <c r="O896" s="5" t="b">
        <v>1</v>
      </c>
      <c r="P896" s="4" t="str">
        <f>IF(A896="",IF(ISNUMBER(SEARCH("NOT NULL",UPPER(A$3))),"''","null"),SUBSTITUTE(VLOOKUP(A$2,convert!$A$1:$B$4,2,0),"@@@",A896))</f>
        <v>'0729N01'</v>
      </c>
      <c r="Q896" s="4" t="str">
        <f>IF(B896="",IF(ISNUMBER(SEARCH("NOT NULL",UPPER(B$3))),"''","null"),SUBSTITUTE(VLOOKUP(B$2,convert!$A$1:$B$4,2,0),"@@@",B896))</f>
        <v>'オシャマリ'</v>
      </c>
      <c r="R896" s="4" t="str">
        <f>IF(C896="",IF(ISNUMBER(SEARCH("NOT NULL",UPPER(C$3))),"''","null"),SUBSTITUTE(VLOOKUP(C$2,convert!$A$1:$B$4,2,0),"@@@",C896))</f>
        <v>60</v>
      </c>
      <c r="S896" s="4" t="str">
        <f>IF(D896="",IF(ISNUMBER(SEARCH("NOT NULL",UPPER(D$3))),"''","null"),SUBSTITUTE(VLOOKUP(D$2,convert!$A$1:$B$4,2,0),"@@@",D896))</f>
        <v>69</v>
      </c>
      <c r="T896" s="4" t="str">
        <f>IF(E896="",IF(ISNUMBER(SEARCH("NOT NULL",UPPER(E$3))),"''","null"),SUBSTITUTE(VLOOKUP(E$2,convert!$A$1:$B$4,2,0),"@@@",E896))</f>
        <v>69</v>
      </c>
      <c r="U896" s="4" t="str">
        <f>IF(F896="",IF(ISNUMBER(SEARCH("NOT NULL",UPPER(F$3))),"''","null"),SUBSTITUTE(VLOOKUP(F$2,convert!$A$1:$B$4,2,0),"@@@",F896))</f>
        <v>91</v>
      </c>
      <c r="V896" s="4" t="str">
        <f>IF(G896="",IF(ISNUMBER(SEARCH("NOT NULL",UPPER(G$3))),"''","null"),SUBSTITUTE(VLOOKUP(G$2,convert!$A$1:$B$4,2,0),"@@@",G896))</f>
        <v>81</v>
      </c>
      <c r="W896" s="4" t="str">
        <f>IF(H896="",IF(ISNUMBER(SEARCH("NOT NULL",UPPER(H$3))),"''","null"),SUBSTITUTE(VLOOKUP(H$2,convert!$A$1:$B$4,2,0),"@@@",H896))</f>
        <v>50</v>
      </c>
      <c r="X896" s="4" t="str">
        <f>IF(I896="",IF(ISNUMBER(SEARCH("NOT NULL",UPPER(I$3))),"''","null"),SUBSTITUTE(VLOOKUP(I$2,convert!$A$1:$B$4,2,0),"@@@",I896))</f>
        <v>''</v>
      </c>
      <c r="Y896" s="4" t="str">
        <f>IF(J896="",IF(ISNUMBER(SEARCH("NOT NULL",UPPER(J$3))),"''","null"),SUBSTITUTE(VLOOKUP(J$2,convert!$A$1:$B$4,2,0),"@@@",J896))</f>
        <v>'water'</v>
      </c>
      <c r="Z896" s="4" t="str">
        <f>IF(K896="",IF(ISNUMBER(SEARCH("NOT NULL",UPPER(K$3))),"''","null"),SUBSTITUTE(VLOOKUP(K$2,convert!$A$1:$B$4,2,0),"@@@",K896))</f>
        <v>null</v>
      </c>
      <c r="AA896" s="4" t="str">
        <f>IF(L896="",IF(ISNUMBER(SEARCH("NOT NULL",UPPER(L$3))),"''","null"),SUBSTITUTE(VLOOKUP(L$2,convert!$A$1:$B$4,2,0),"@@@",L896))</f>
        <v>'g7'</v>
      </c>
      <c r="AB896" s="4" t="str">
        <f>IF(M896="",IF(ISNUMBER(SEARCH("NOT NULL",UPPER(M$3))),"''","null"),SUBSTITUTE(VLOOKUP(M$2,convert!$A$1:$B$4,2,0),"@@@",M896))</f>
        <v>null</v>
      </c>
      <c r="AC896" s="4" t="str">
        <f>IF(N896="",IF(ISNUMBER(SEARCH("NOT NULL",UPPER(N$3))),"''","null"),SUBSTITUTE(VLOOKUP(N$2,convert!$A$1:$B$4,2,0),"@@@",N896))</f>
        <v>null</v>
      </c>
      <c r="AD896" s="4" t="str">
        <f>IF(O896="",IF(ISNUMBER(SEARCH("NOT NULL",UPPER(O$3))),"''","null"),SUBSTITUTE(VLOOKUP(O$2,convert!$A$1:$B$4,2,0),"@@@",O896))</f>
        <v>TRUE</v>
      </c>
      <c r="AE896" s="4" t="str">
        <f t="shared" si="13"/>
        <v>    ('0729N01', 'オシャマリ', 60, 69, 69, 91, 81, 50, '', 'water', null, 'g7', null, null, TRUE),</v>
      </c>
    </row>
    <row r="897" spans="1:31">
      <c r="A897" s="4" t="s">
        <v>1796</v>
      </c>
      <c r="B897" s="4" t="s">
        <v>1797</v>
      </c>
      <c r="C897" s="5">
        <v>80</v>
      </c>
      <c r="D897" s="5">
        <v>74</v>
      </c>
      <c r="E897" s="5">
        <v>74</v>
      </c>
      <c r="F897" s="5">
        <v>126</v>
      </c>
      <c r="G897" s="5">
        <v>116</v>
      </c>
      <c r="H897" s="5">
        <v>60</v>
      </c>
      <c r="I897" s="5"/>
      <c r="J897" s="4" t="s">
        <v>55</v>
      </c>
      <c r="K897" s="4" t="s">
        <v>137</v>
      </c>
      <c r="L897" s="4" t="s">
        <v>92</v>
      </c>
      <c r="M897" s="5"/>
      <c r="N897" s="5"/>
      <c r="O897" s="5" t="b">
        <v>1</v>
      </c>
      <c r="P897" s="4" t="str">
        <f>IF(A897="",IF(ISNUMBER(SEARCH("NOT NULL",UPPER(A$3))),"''","null"),SUBSTITUTE(VLOOKUP(A$2,convert!$A$1:$B$4,2,0),"@@@",A897))</f>
        <v>'0730N01'</v>
      </c>
      <c r="Q897" s="4" t="str">
        <f>IF(B897="",IF(ISNUMBER(SEARCH("NOT NULL",UPPER(B$3))),"''","null"),SUBSTITUTE(VLOOKUP(B$2,convert!$A$1:$B$4,2,0),"@@@",B897))</f>
        <v>'アシレーヌ'</v>
      </c>
      <c r="R897" s="4" t="str">
        <f>IF(C897="",IF(ISNUMBER(SEARCH("NOT NULL",UPPER(C$3))),"''","null"),SUBSTITUTE(VLOOKUP(C$2,convert!$A$1:$B$4,2,0),"@@@",C897))</f>
        <v>80</v>
      </c>
      <c r="S897" s="4" t="str">
        <f>IF(D897="",IF(ISNUMBER(SEARCH("NOT NULL",UPPER(D$3))),"''","null"),SUBSTITUTE(VLOOKUP(D$2,convert!$A$1:$B$4,2,0),"@@@",D897))</f>
        <v>74</v>
      </c>
      <c r="T897" s="4" t="str">
        <f>IF(E897="",IF(ISNUMBER(SEARCH("NOT NULL",UPPER(E$3))),"''","null"),SUBSTITUTE(VLOOKUP(E$2,convert!$A$1:$B$4,2,0),"@@@",E897))</f>
        <v>74</v>
      </c>
      <c r="U897" s="4" t="str">
        <f>IF(F897="",IF(ISNUMBER(SEARCH("NOT NULL",UPPER(F$3))),"''","null"),SUBSTITUTE(VLOOKUP(F$2,convert!$A$1:$B$4,2,0),"@@@",F897))</f>
        <v>126</v>
      </c>
      <c r="V897" s="4" t="str">
        <f>IF(G897="",IF(ISNUMBER(SEARCH("NOT NULL",UPPER(G$3))),"''","null"),SUBSTITUTE(VLOOKUP(G$2,convert!$A$1:$B$4,2,0),"@@@",G897))</f>
        <v>116</v>
      </c>
      <c r="W897" s="4" t="str">
        <f>IF(H897="",IF(ISNUMBER(SEARCH("NOT NULL",UPPER(H$3))),"''","null"),SUBSTITUTE(VLOOKUP(H$2,convert!$A$1:$B$4,2,0),"@@@",H897))</f>
        <v>60</v>
      </c>
      <c r="X897" s="4" t="str">
        <f>IF(I897="",IF(ISNUMBER(SEARCH("NOT NULL",UPPER(I$3))),"''","null"),SUBSTITUTE(VLOOKUP(I$2,convert!$A$1:$B$4,2,0),"@@@",I897))</f>
        <v>''</v>
      </c>
      <c r="Y897" s="4" t="str">
        <f>IF(J897="",IF(ISNUMBER(SEARCH("NOT NULL",UPPER(J$3))),"''","null"),SUBSTITUTE(VLOOKUP(J$2,convert!$A$1:$B$4,2,0),"@@@",J897))</f>
        <v>'water'</v>
      </c>
      <c r="Z897" s="4" t="str">
        <f>IF(K897="",IF(ISNUMBER(SEARCH("NOT NULL",UPPER(K$3))),"''","null"),SUBSTITUTE(VLOOKUP(K$2,convert!$A$1:$B$4,2,0),"@@@",K897))</f>
        <v>'fairy'</v>
      </c>
      <c r="AA897" s="4" t="str">
        <f>IF(L897="",IF(ISNUMBER(SEARCH("NOT NULL",UPPER(L$3))),"''","null"),SUBSTITUTE(VLOOKUP(L$2,convert!$A$1:$B$4,2,0),"@@@",L897))</f>
        <v>'g7'</v>
      </c>
      <c r="AB897" s="4" t="str">
        <f>IF(M897="",IF(ISNUMBER(SEARCH("NOT NULL",UPPER(M$3))),"''","null"),SUBSTITUTE(VLOOKUP(M$2,convert!$A$1:$B$4,2,0),"@@@",M897))</f>
        <v>null</v>
      </c>
      <c r="AC897" s="4" t="str">
        <f>IF(N897="",IF(ISNUMBER(SEARCH("NOT NULL",UPPER(N$3))),"''","null"),SUBSTITUTE(VLOOKUP(N$2,convert!$A$1:$B$4,2,0),"@@@",N897))</f>
        <v>null</v>
      </c>
      <c r="AD897" s="4" t="str">
        <f>IF(O897="",IF(ISNUMBER(SEARCH("NOT NULL",UPPER(O$3))),"''","null"),SUBSTITUTE(VLOOKUP(O$2,convert!$A$1:$B$4,2,0),"@@@",O897))</f>
        <v>TRUE</v>
      </c>
      <c r="AE897" s="4" t="str">
        <f t="shared" si="13"/>
        <v>    ('0730N01', 'アシレーヌ', 80, 74, 74, 126, 116, 60, '', 'water', 'fairy', 'g7', null, null, TRUE),</v>
      </c>
    </row>
    <row r="898" spans="1:31">
      <c r="A898" s="4" t="s">
        <v>1798</v>
      </c>
      <c r="B898" s="4" t="s">
        <v>1799</v>
      </c>
      <c r="C898" s="5">
        <v>35</v>
      </c>
      <c r="D898" s="5">
        <v>75</v>
      </c>
      <c r="E898" s="5">
        <v>30</v>
      </c>
      <c r="F898" s="5">
        <v>30</v>
      </c>
      <c r="G898" s="5">
        <v>30</v>
      </c>
      <c r="H898" s="5">
        <v>65</v>
      </c>
      <c r="I898" s="5"/>
      <c r="J898" s="4" t="s">
        <v>80</v>
      </c>
      <c r="K898" s="4" t="s">
        <v>47</v>
      </c>
      <c r="L898" s="4" t="s">
        <v>92</v>
      </c>
      <c r="M898" s="5"/>
      <c r="N898" s="5"/>
      <c r="O898" s="5" t="b">
        <v>1</v>
      </c>
      <c r="P898" s="4" t="str">
        <f>IF(A898="",IF(ISNUMBER(SEARCH("NOT NULL",UPPER(A$3))),"''","null"),SUBSTITUTE(VLOOKUP(A$2,convert!$A$1:$B$4,2,0),"@@@",A898))</f>
        <v>'0731N01'</v>
      </c>
      <c r="Q898" s="4" t="str">
        <f>IF(B898="",IF(ISNUMBER(SEARCH("NOT NULL",UPPER(B$3))),"''","null"),SUBSTITUTE(VLOOKUP(B$2,convert!$A$1:$B$4,2,0),"@@@",B898))</f>
        <v>'ツツケラ'</v>
      </c>
      <c r="R898" s="4" t="str">
        <f>IF(C898="",IF(ISNUMBER(SEARCH("NOT NULL",UPPER(C$3))),"''","null"),SUBSTITUTE(VLOOKUP(C$2,convert!$A$1:$B$4,2,0),"@@@",C898))</f>
        <v>35</v>
      </c>
      <c r="S898" s="4" t="str">
        <f>IF(D898="",IF(ISNUMBER(SEARCH("NOT NULL",UPPER(D$3))),"''","null"),SUBSTITUTE(VLOOKUP(D$2,convert!$A$1:$B$4,2,0),"@@@",D898))</f>
        <v>75</v>
      </c>
      <c r="T898" s="4" t="str">
        <f>IF(E898="",IF(ISNUMBER(SEARCH("NOT NULL",UPPER(E$3))),"''","null"),SUBSTITUTE(VLOOKUP(E$2,convert!$A$1:$B$4,2,0),"@@@",E898))</f>
        <v>30</v>
      </c>
      <c r="U898" s="4" t="str">
        <f>IF(F898="",IF(ISNUMBER(SEARCH("NOT NULL",UPPER(F$3))),"''","null"),SUBSTITUTE(VLOOKUP(F$2,convert!$A$1:$B$4,2,0),"@@@",F898))</f>
        <v>30</v>
      </c>
      <c r="V898" s="4" t="str">
        <f>IF(G898="",IF(ISNUMBER(SEARCH("NOT NULL",UPPER(G$3))),"''","null"),SUBSTITUTE(VLOOKUP(G$2,convert!$A$1:$B$4,2,0),"@@@",G898))</f>
        <v>30</v>
      </c>
      <c r="W898" s="4" t="str">
        <f>IF(H898="",IF(ISNUMBER(SEARCH("NOT NULL",UPPER(H$3))),"''","null"),SUBSTITUTE(VLOOKUP(H$2,convert!$A$1:$B$4,2,0),"@@@",H898))</f>
        <v>65</v>
      </c>
      <c r="X898" s="4" t="str">
        <f>IF(I898="",IF(ISNUMBER(SEARCH("NOT NULL",UPPER(I$3))),"''","null"),SUBSTITUTE(VLOOKUP(I$2,convert!$A$1:$B$4,2,0),"@@@",I898))</f>
        <v>''</v>
      </c>
      <c r="Y898" s="4" t="str">
        <f>IF(J898="",IF(ISNUMBER(SEARCH("NOT NULL",UPPER(J$3))),"''","null"),SUBSTITUTE(VLOOKUP(J$2,convert!$A$1:$B$4,2,0),"@@@",J898))</f>
        <v>'normal'</v>
      </c>
      <c r="Z898" s="4" t="str">
        <f>IF(K898="",IF(ISNUMBER(SEARCH("NOT NULL",UPPER(K$3))),"''","null"),SUBSTITUTE(VLOOKUP(K$2,convert!$A$1:$B$4,2,0),"@@@",K898))</f>
        <v>'flying'</v>
      </c>
      <c r="AA898" s="4" t="str">
        <f>IF(L898="",IF(ISNUMBER(SEARCH("NOT NULL",UPPER(L$3))),"''","null"),SUBSTITUTE(VLOOKUP(L$2,convert!$A$1:$B$4,2,0),"@@@",L898))</f>
        <v>'g7'</v>
      </c>
      <c r="AB898" s="4" t="str">
        <f>IF(M898="",IF(ISNUMBER(SEARCH("NOT NULL",UPPER(M$3))),"''","null"),SUBSTITUTE(VLOOKUP(M$2,convert!$A$1:$B$4,2,0),"@@@",M898))</f>
        <v>null</v>
      </c>
      <c r="AC898" s="4" t="str">
        <f>IF(N898="",IF(ISNUMBER(SEARCH("NOT NULL",UPPER(N$3))),"''","null"),SUBSTITUTE(VLOOKUP(N$2,convert!$A$1:$B$4,2,0),"@@@",N898))</f>
        <v>null</v>
      </c>
      <c r="AD898" s="4" t="str">
        <f>IF(O898="",IF(ISNUMBER(SEARCH("NOT NULL",UPPER(O$3))),"''","null"),SUBSTITUTE(VLOOKUP(O$2,convert!$A$1:$B$4,2,0),"@@@",O898))</f>
        <v>TRUE</v>
      </c>
      <c r="AE898" s="4" t="str">
        <f t="shared" si="13"/>
        <v>    ('0731N01', 'ツツケラ', 35, 75, 30, 30, 30, 65, '', 'normal', 'flying', 'g7', null, null, TRUE),</v>
      </c>
    </row>
    <row r="899" spans="1:31">
      <c r="A899" s="4" t="s">
        <v>1800</v>
      </c>
      <c r="B899" s="4" t="s">
        <v>1801</v>
      </c>
      <c r="C899" s="5">
        <v>55</v>
      </c>
      <c r="D899" s="5">
        <v>85</v>
      </c>
      <c r="E899" s="5">
        <v>50</v>
      </c>
      <c r="F899" s="5">
        <v>40</v>
      </c>
      <c r="G899" s="5">
        <v>50</v>
      </c>
      <c r="H899" s="5">
        <v>75</v>
      </c>
      <c r="I899" s="5"/>
      <c r="J899" s="4" t="s">
        <v>80</v>
      </c>
      <c r="K899" s="4" t="s">
        <v>47</v>
      </c>
      <c r="L899" s="4" t="s">
        <v>92</v>
      </c>
      <c r="M899" s="5"/>
      <c r="N899" s="5"/>
      <c r="O899" s="5" t="b">
        <v>1</v>
      </c>
      <c r="P899" s="4" t="str">
        <f>IF(A899="",IF(ISNUMBER(SEARCH("NOT NULL",UPPER(A$3))),"''","null"),SUBSTITUTE(VLOOKUP(A$2,convert!$A$1:$B$4,2,0),"@@@",A899))</f>
        <v>'0732N01'</v>
      </c>
      <c r="Q899" s="4" t="str">
        <f>IF(B899="",IF(ISNUMBER(SEARCH("NOT NULL",UPPER(B$3))),"''","null"),SUBSTITUTE(VLOOKUP(B$2,convert!$A$1:$B$4,2,0),"@@@",B899))</f>
        <v>'ケララッパ'</v>
      </c>
      <c r="R899" s="4" t="str">
        <f>IF(C899="",IF(ISNUMBER(SEARCH("NOT NULL",UPPER(C$3))),"''","null"),SUBSTITUTE(VLOOKUP(C$2,convert!$A$1:$B$4,2,0),"@@@",C899))</f>
        <v>55</v>
      </c>
      <c r="S899" s="4" t="str">
        <f>IF(D899="",IF(ISNUMBER(SEARCH("NOT NULL",UPPER(D$3))),"''","null"),SUBSTITUTE(VLOOKUP(D$2,convert!$A$1:$B$4,2,0),"@@@",D899))</f>
        <v>85</v>
      </c>
      <c r="T899" s="4" t="str">
        <f>IF(E899="",IF(ISNUMBER(SEARCH("NOT NULL",UPPER(E$3))),"''","null"),SUBSTITUTE(VLOOKUP(E$2,convert!$A$1:$B$4,2,0),"@@@",E899))</f>
        <v>50</v>
      </c>
      <c r="U899" s="4" t="str">
        <f>IF(F899="",IF(ISNUMBER(SEARCH("NOT NULL",UPPER(F$3))),"''","null"),SUBSTITUTE(VLOOKUP(F$2,convert!$A$1:$B$4,2,0),"@@@",F899))</f>
        <v>40</v>
      </c>
      <c r="V899" s="4" t="str">
        <f>IF(G899="",IF(ISNUMBER(SEARCH("NOT NULL",UPPER(G$3))),"''","null"),SUBSTITUTE(VLOOKUP(G$2,convert!$A$1:$B$4,2,0),"@@@",G899))</f>
        <v>50</v>
      </c>
      <c r="W899" s="4" t="str">
        <f>IF(H899="",IF(ISNUMBER(SEARCH("NOT NULL",UPPER(H$3))),"''","null"),SUBSTITUTE(VLOOKUP(H$2,convert!$A$1:$B$4,2,0),"@@@",H899))</f>
        <v>75</v>
      </c>
      <c r="X899" s="4" t="str">
        <f>IF(I899="",IF(ISNUMBER(SEARCH("NOT NULL",UPPER(I$3))),"''","null"),SUBSTITUTE(VLOOKUP(I$2,convert!$A$1:$B$4,2,0),"@@@",I899))</f>
        <v>''</v>
      </c>
      <c r="Y899" s="4" t="str">
        <f>IF(J899="",IF(ISNUMBER(SEARCH("NOT NULL",UPPER(J$3))),"''","null"),SUBSTITUTE(VLOOKUP(J$2,convert!$A$1:$B$4,2,0),"@@@",J899))</f>
        <v>'normal'</v>
      </c>
      <c r="Z899" s="4" t="str">
        <f>IF(K899="",IF(ISNUMBER(SEARCH("NOT NULL",UPPER(K$3))),"''","null"),SUBSTITUTE(VLOOKUP(K$2,convert!$A$1:$B$4,2,0),"@@@",K899))</f>
        <v>'flying'</v>
      </c>
      <c r="AA899" s="4" t="str">
        <f>IF(L899="",IF(ISNUMBER(SEARCH("NOT NULL",UPPER(L$3))),"''","null"),SUBSTITUTE(VLOOKUP(L$2,convert!$A$1:$B$4,2,0),"@@@",L899))</f>
        <v>'g7'</v>
      </c>
      <c r="AB899" s="4" t="str">
        <f>IF(M899="",IF(ISNUMBER(SEARCH("NOT NULL",UPPER(M$3))),"''","null"),SUBSTITUTE(VLOOKUP(M$2,convert!$A$1:$B$4,2,0),"@@@",M899))</f>
        <v>null</v>
      </c>
      <c r="AC899" s="4" t="str">
        <f>IF(N899="",IF(ISNUMBER(SEARCH("NOT NULL",UPPER(N$3))),"''","null"),SUBSTITUTE(VLOOKUP(N$2,convert!$A$1:$B$4,2,0),"@@@",N899))</f>
        <v>null</v>
      </c>
      <c r="AD899" s="4" t="str">
        <f>IF(O899="",IF(ISNUMBER(SEARCH("NOT NULL",UPPER(O$3))),"''","null"),SUBSTITUTE(VLOOKUP(O$2,convert!$A$1:$B$4,2,0),"@@@",O899))</f>
        <v>TRUE</v>
      </c>
      <c r="AE899" s="4" t="str">
        <f t="shared" si="13"/>
        <v>    ('0732N01', 'ケララッパ', 55, 85, 50, 40, 50, 75, '', 'normal', 'flying', 'g7', null, null, TRUE),</v>
      </c>
    </row>
    <row r="900" spans="1:31">
      <c r="A900" s="4" t="s">
        <v>1802</v>
      </c>
      <c r="B900" s="4" t="s">
        <v>1803</v>
      </c>
      <c r="C900" s="5">
        <v>80</v>
      </c>
      <c r="D900" s="5">
        <v>120</v>
      </c>
      <c r="E900" s="5">
        <v>75</v>
      </c>
      <c r="F900" s="5">
        <v>75</v>
      </c>
      <c r="G900" s="5">
        <v>75</v>
      </c>
      <c r="H900" s="5">
        <v>60</v>
      </c>
      <c r="I900" s="5"/>
      <c r="J900" s="4" t="s">
        <v>80</v>
      </c>
      <c r="K900" s="4" t="s">
        <v>47</v>
      </c>
      <c r="L900" s="4" t="s">
        <v>92</v>
      </c>
      <c r="M900" s="5"/>
      <c r="N900" s="5"/>
      <c r="O900" s="5" t="b">
        <v>1</v>
      </c>
      <c r="P900" s="4" t="str">
        <f>IF(A900="",IF(ISNUMBER(SEARCH("NOT NULL",UPPER(A$3))),"''","null"),SUBSTITUTE(VLOOKUP(A$2,convert!$A$1:$B$4,2,0),"@@@",A900))</f>
        <v>'0733N01'</v>
      </c>
      <c r="Q900" s="4" t="str">
        <f>IF(B900="",IF(ISNUMBER(SEARCH("NOT NULL",UPPER(B$3))),"''","null"),SUBSTITUTE(VLOOKUP(B$2,convert!$A$1:$B$4,2,0),"@@@",B900))</f>
        <v>'ドデカバシ'</v>
      </c>
      <c r="R900" s="4" t="str">
        <f>IF(C900="",IF(ISNUMBER(SEARCH("NOT NULL",UPPER(C$3))),"''","null"),SUBSTITUTE(VLOOKUP(C$2,convert!$A$1:$B$4,2,0),"@@@",C900))</f>
        <v>80</v>
      </c>
      <c r="S900" s="4" t="str">
        <f>IF(D900="",IF(ISNUMBER(SEARCH("NOT NULL",UPPER(D$3))),"''","null"),SUBSTITUTE(VLOOKUP(D$2,convert!$A$1:$B$4,2,0),"@@@",D900))</f>
        <v>120</v>
      </c>
      <c r="T900" s="4" t="str">
        <f>IF(E900="",IF(ISNUMBER(SEARCH("NOT NULL",UPPER(E$3))),"''","null"),SUBSTITUTE(VLOOKUP(E$2,convert!$A$1:$B$4,2,0),"@@@",E900))</f>
        <v>75</v>
      </c>
      <c r="U900" s="4" t="str">
        <f>IF(F900="",IF(ISNUMBER(SEARCH("NOT NULL",UPPER(F$3))),"''","null"),SUBSTITUTE(VLOOKUP(F$2,convert!$A$1:$B$4,2,0),"@@@",F900))</f>
        <v>75</v>
      </c>
      <c r="V900" s="4" t="str">
        <f>IF(G900="",IF(ISNUMBER(SEARCH("NOT NULL",UPPER(G$3))),"''","null"),SUBSTITUTE(VLOOKUP(G$2,convert!$A$1:$B$4,2,0),"@@@",G900))</f>
        <v>75</v>
      </c>
      <c r="W900" s="4" t="str">
        <f>IF(H900="",IF(ISNUMBER(SEARCH("NOT NULL",UPPER(H$3))),"''","null"),SUBSTITUTE(VLOOKUP(H$2,convert!$A$1:$B$4,2,0),"@@@",H900))</f>
        <v>60</v>
      </c>
      <c r="X900" s="4" t="str">
        <f>IF(I900="",IF(ISNUMBER(SEARCH("NOT NULL",UPPER(I$3))),"''","null"),SUBSTITUTE(VLOOKUP(I$2,convert!$A$1:$B$4,2,0),"@@@",I900))</f>
        <v>''</v>
      </c>
      <c r="Y900" s="4" t="str">
        <f>IF(J900="",IF(ISNUMBER(SEARCH("NOT NULL",UPPER(J$3))),"''","null"),SUBSTITUTE(VLOOKUP(J$2,convert!$A$1:$B$4,2,0),"@@@",J900))</f>
        <v>'normal'</v>
      </c>
      <c r="Z900" s="4" t="str">
        <f>IF(K900="",IF(ISNUMBER(SEARCH("NOT NULL",UPPER(K$3))),"''","null"),SUBSTITUTE(VLOOKUP(K$2,convert!$A$1:$B$4,2,0),"@@@",K900))</f>
        <v>'flying'</v>
      </c>
      <c r="AA900" s="4" t="str">
        <f>IF(L900="",IF(ISNUMBER(SEARCH("NOT NULL",UPPER(L$3))),"''","null"),SUBSTITUTE(VLOOKUP(L$2,convert!$A$1:$B$4,2,0),"@@@",L900))</f>
        <v>'g7'</v>
      </c>
      <c r="AB900" s="4" t="str">
        <f>IF(M900="",IF(ISNUMBER(SEARCH("NOT NULL",UPPER(M$3))),"''","null"),SUBSTITUTE(VLOOKUP(M$2,convert!$A$1:$B$4,2,0),"@@@",M900))</f>
        <v>null</v>
      </c>
      <c r="AC900" s="4" t="str">
        <f>IF(N900="",IF(ISNUMBER(SEARCH("NOT NULL",UPPER(N$3))),"''","null"),SUBSTITUTE(VLOOKUP(N$2,convert!$A$1:$B$4,2,0),"@@@",N900))</f>
        <v>null</v>
      </c>
      <c r="AD900" s="4" t="str">
        <f>IF(O900="",IF(ISNUMBER(SEARCH("NOT NULL",UPPER(O$3))),"''","null"),SUBSTITUTE(VLOOKUP(O$2,convert!$A$1:$B$4,2,0),"@@@",O900))</f>
        <v>TRUE</v>
      </c>
      <c r="AE900" s="4" t="str">
        <f t="shared" si="13"/>
        <v>    ('0733N01', 'ドデカバシ', 80, 120, 75, 75, 75, 60, '', 'normal', 'flying', 'g7', null, null, TRUE),</v>
      </c>
    </row>
    <row r="901" spans="1:31">
      <c r="A901" s="4" t="s">
        <v>1804</v>
      </c>
      <c r="B901" s="4" t="s">
        <v>1805</v>
      </c>
      <c r="C901" s="5">
        <v>48</v>
      </c>
      <c r="D901" s="5">
        <v>70</v>
      </c>
      <c r="E901" s="5">
        <v>30</v>
      </c>
      <c r="F901" s="5">
        <v>30</v>
      </c>
      <c r="G901" s="5">
        <v>30</v>
      </c>
      <c r="H901" s="5">
        <v>45</v>
      </c>
      <c r="I901" s="5"/>
      <c r="J901" s="4" t="s">
        <v>80</v>
      </c>
      <c r="K901" s="5"/>
      <c r="L901" s="4" t="s">
        <v>92</v>
      </c>
      <c r="M901" s="5"/>
      <c r="N901" s="5"/>
      <c r="O901" s="5" t="b">
        <v>1</v>
      </c>
      <c r="P901" s="4" t="str">
        <f>IF(A901="",IF(ISNUMBER(SEARCH("NOT NULL",UPPER(A$3))),"''","null"),SUBSTITUTE(VLOOKUP(A$2,convert!$A$1:$B$4,2,0),"@@@",A901))</f>
        <v>'0734N01'</v>
      </c>
      <c r="Q901" s="4" t="str">
        <f>IF(B901="",IF(ISNUMBER(SEARCH("NOT NULL",UPPER(B$3))),"''","null"),SUBSTITUTE(VLOOKUP(B$2,convert!$A$1:$B$4,2,0),"@@@",B901))</f>
        <v>'ヤングース'</v>
      </c>
      <c r="R901" s="4" t="str">
        <f>IF(C901="",IF(ISNUMBER(SEARCH("NOT NULL",UPPER(C$3))),"''","null"),SUBSTITUTE(VLOOKUP(C$2,convert!$A$1:$B$4,2,0),"@@@",C901))</f>
        <v>48</v>
      </c>
      <c r="S901" s="4" t="str">
        <f>IF(D901="",IF(ISNUMBER(SEARCH("NOT NULL",UPPER(D$3))),"''","null"),SUBSTITUTE(VLOOKUP(D$2,convert!$A$1:$B$4,2,0),"@@@",D901))</f>
        <v>70</v>
      </c>
      <c r="T901" s="4" t="str">
        <f>IF(E901="",IF(ISNUMBER(SEARCH("NOT NULL",UPPER(E$3))),"''","null"),SUBSTITUTE(VLOOKUP(E$2,convert!$A$1:$B$4,2,0),"@@@",E901))</f>
        <v>30</v>
      </c>
      <c r="U901" s="4" t="str">
        <f>IF(F901="",IF(ISNUMBER(SEARCH("NOT NULL",UPPER(F$3))),"''","null"),SUBSTITUTE(VLOOKUP(F$2,convert!$A$1:$B$4,2,0),"@@@",F901))</f>
        <v>30</v>
      </c>
      <c r="V901" s="4" t="str">
        <f>IF(G901="",IF(ISNUMBER(SEARCH("NOT NULL",UPPER(G$3))),"''","null"),SUBSTITUTE(VLOOKUP(G$2,convert!$A$1:$B$4,2,0),"@@@",G901))</f>
        <v>30</v>
      </c>
      <c r="W901" s="4" t="str">
        <f>IF(H901="",IF(ISNUMBER(SEARCH("NOT NULL",UPPER(H$3))),"''","null"),SUBSTITUTE(VLOOKUP(H$2,convert!$A$1:$B$4,2,0),"@@@",H901))</f>
        <v>45</v>
      </c>
      <c r="X901" s="4" t="str">
        <f>IF(I901="",IF(ISNUMBER(SEARCH("NOT NULL",UPPER(I$3))),"''","null"),SUBSTITUTE(VLOOKUP(I$2,convert!$A$1:$B$4,2,0),"@@@",I901))</f>
        <v>''</v>
      </c>
      <c r="Y901" s="4" t="str">
        <f>IF(J901="",IF(ISNUMBER(SEARCH("NOT NULL",UPPER(J$3))),"''","null"),SUBSTITUTE(VLOOKUP(J$2,convert!$A$1:$B$4,2,0),"@@@",J901))</f>
        <v>'normal'</v>
      </c>
      <c r="Z901" s="4" t="str">
        <f>IF(K901="",IF(ISNUMBER(SEARCH("NOT NULL",UPPER(K$3))),"''","null"),SUBSTITUTE(VLOOKUP(K$2,convert!$A$1:$B$4,2,0),"@@@",K901))</f>
        <v>null</v>
      </c>
      <c r="AA901" s="4" t="str">
        <f>IF(L901="",IF(ISNUMBER(SEARCH("NOT NULL",UPPER(L$3))),"''","null"),SUBSTITUTE(VLOOKUP(L$2,convert!$A$1:$B$4,2,0),"@@@",L901))</f>
        <v>'g7'</v>
      </c>
      <c r="AB901" s="4" t="str">
        <f>IF(M901="",IF(ISNUMBER(SEARCH("NOT NULL",UPPER(M$3))),"''","null"),SUBSTITUTE(VLOOKUP(M$2,convert!$A$1:$B$4,2,0),"@@@",M901))</f>
        <v>null</v>
      </c>
      <c r="AC901" s="4" t="str">
        <f>IF(N901="",IF(ISNUMBER(SEARCH("NOT NULL",UPPER(N$3))),"''","null"),SUBSTITUTE(VLOOKUP(N$2,convert!$A$1:$B$4,2,0),"@@@",N901))</f>
        <v>null</v>
      </c>
      <c r="AD901" s="4" t="str">
        <f>IF(O901="",IF(ISNUMBER(SEARCH("NOT NULL",UPPER(O$3))),"''","null"),SUBSTITUTE(VLOOKUP(O$2,convert!$A$1:$B$4,2,0),"@@@",O901))</f>
        <v>TRUE</v>
      </c>
      <c r="AE901" s="4" t="str">
        <f t="shared" ref="AE901:AE964" si="14">"    ("&amp;_xlfn.TEXTJOIN(", ",FALSE,P901:AD901)&amp;"),"</f>
        <v>    ('0734N01', 'ヤングース', 48, 70, 30, 30, 30, 45, '', 'normal', null, 'g7', null, null, TRUE),</v>
      </c>
    </row>
    <row r="902" spans="1:31">
      <c r="A902" s="4" t="s">
        <v>1806</v>
      </c>
      <c r="B902" s="4" t="s">
        <v>1807</v>
      </c>
      <c r="C902" s="5">
        <v>88</v>
      </c>
      <c r="D902" s="5">
        <v>110</v>
      </c>
      <c r="E902" s="5">
        <v>60</v>
      </c>
      <c r="F902" s="5">
        <v>55</v>
      </c>
      <c r="G902" s="5">
        <v>60</v>
      </c>
      <c r="H902" s="5">
        <v>45</v>
      </c>
      <c r="I902" s="5"/>
      <c r="J902" s="4" t="s">
        <v>80</v>
      </c>
      <c r="K902" s="5"/>
      <c r="L902" s="4" t="s">
        <v>92</v>
      </c>
      <c r="M902" s="5"/>
      <c r="N902" s="5"/>
      <c r="O902" s="5" t="b">
        <v>1</v>
      </c>
      <c r="P902" s="4" t="str">
        <f>IF(A902="",IF(ISNUMBER(SEARCH("NOT NULL",UPPER(A$3))),"''","null"),SUBSTITUTE(VLOOKUP(A$2,convert!$A$1:$B$4,2,0),"@@@",A902))</f>
        <v>'0735N01'</v>
      </c>
      <c r="Q902" s="4" t="str">
        <f>IF(B902="",IF(ISNUMBER(SEARCH("NOT NULL",UPPER(B$3))),"''","null"),SUBSTITUTE(VLOOKUP(B$2,convert!$A$1:$B$4,2,0),"@@@",B902))</f>
        <v>'デカグース'</v>
      </c>
      <c r="R902" s="4" t="str">
        <f>IF(C902="",IF(ISNUMBER(SEARCH("NOT NULL",UPPER(C$3))),"''","null"),SUBSTITUTE(VLOOKUP(C$2,convert!$A$1:$B$4,2,0),"@@@",C902))</f>
        <v>88</v>
      </c>
      <c r="S902" s="4" t="str">
        <f>IF(D902="",IF(ISNUMBER(SEARCH("NOT NULL",UPPER(D$3))),"''","null"),SUBSTITUTE(VLOOKUP(D$2,convert!$A$1:$B$4,2,0),"@@@",D902))</f>
        <v>110</v>
      </c>
      <c r="T902" s="4" t="str">
        <f>IF(E902="",IF(ISNUMBER(SEARCH("NOT NULL",UPPER(E$3))),"''","null"),SUBSTITUTE(VLOOKUP(E$2,convert!$A$1:$B$4,2,0),"@@@",E902))</f>
        <v>60</v>
      </c>
      <c r="U902" s="4" t="str">
        <f>IF(F902="",IF(ISNUMBER(SEARCH("NOT NULL",UPPER(F$3))),"''","null"),SUBSTITUTE(VLOOKUP(F$2,convert!$A$1:$B$4,2,0),"@@@",F902))</f>
        <v>55</v>
      </c>
      <c r="V902" s="4" t="str">
        <f>IF(G902="",IF(ISNUMBER(SEARCH("NOT NULL",UPPER(G$3))),"''","null"),SUBSTITUTE(VLOOKUP(G$2,convert!$A$1:$B$4,2,0),"@@@",G902))</f>
        <v>60</v>
      </c>
      <c r="W902" s="4" t="str">
        <f>IF(H902="",IF(ISNUMBER(SEARCH("NOT NULL",UPPER(H$3))),"''","null"),SUBSTITUTE(VLOOKUP(H$2,convert!$A$1:$B$4,2,0),"@@@",H902))</f>
        <v>45</v>
      </c>
      <c r="X902" s="4" t="str">
        <f>IF(I902="",IF(ISNUMBER(SEARCH("NOT NULL",UPPER(I$3))),"''","null"),SUBSTITUTE(VLOOKUP(I$2,convert!$A$1:$B$4,2,0),"@@@",I902))</f>
        <v>''</v>
      </c>
      <c r="Y902" s="4" t="str">
        <f>IF(J902="",IF(ISNUMBER(SEARCH("NOT NULL",UPPER(J$3))),"''","null"),SUBSTITUTE(VLOOKUP(J$2,convert!$A$1:$B$4,2,0),"@@@",J902))</f>
        <v>'normal'</v>
      </c>
      <c r="Z902" s="4" t="str">
        <f>IF(K902="",IF(ISNUMBER(SEARCH("NOT NULL",UPPER(K$3))),"''","null"),SUBSTITUTE(VLOOKUP(K$2,convert!$A$1:$B$4,2,0),"@@@",K902))</f>
        <v>null</v>
      </c>
      <c r="AA902" s="4" t="str">
        <f>IF(L902="",IF(ISNUMBER(SEARCH("NOT NULL",UPPER(L$3))),"''","null"),SUBSTITUTE(VLOOKUP(L$2,convert!$A$1:$B$4,2,0),"@@@",L902))</f>
        <v>'g7'</v>
      </c>
      <c r="AB902" s="4" t="str">
        <f>IF(M902="",IF(ISNUMBER(SEARCH("NOT NULL",UPPER(M$3))),"''","null"),SUBSTITUTE(VLOOKUP(M$2,convert!$A$1:$B$4,2,0),"@@@",M902))</f>
        <v>null</v>
      </c>
      <c r="AC902" s="4" t="str">
        <f>IF(N902="",IF(ISNUMBER(SEARCH("NOT NULL",UPPER(N$3))),"''","null"),SUBSTITUTE(VLOOKUP(N$2,convert!$A$1:$B$4,2,0),"@@@",N902))</f>
        <v>null</v>
      </c>
      <c r="AD902" s="4" t="str">
        <f>IF(O902="",IF(ISNUMBER(SEARCH("NOT NULL",UPPER(O$3))),"''","null"),SUBSTITUTE(VLOOKUP(O$2,convert!$A$1:$B$4,2,0),"@@@",O902))</f>
        <v>TRUE</v>
      </c>
      <c r="AE902" s="4" t="str">
        <f t="shared" si="14"/>
        <v>    ('0735N01', 'デカグース', 88, 110, 60, 55, 60, 45, '', 'normal', null, 'g7', null, null, TRUE),</v>
      </c>
    </row>
    <row r="903" spans="1:31">
      <c r="A903" s="4" t="s">
        <v>1808</v>
      </c>
      <c r="B903" s="4" t="s">
        <v>1809</v>
      </c>
      <c r="C903" s="5">
        <v>47</v>
      </c>
      <c r="D903" s="5">
        <v>62</v>
      </c>
      <c r="E903" s="5">
        <v>45</v>
      </c>
      <c r="F903" s="5">
        <v>55</v>
      </c>
      <c r="G903" s="5">
        <v>45</v>
      </c>
      <c r="H903" s="5">
        <v>46</v>
      </c>
      <c r="I903" s="5"/>
      <c r="J903" s="4" t="s">
        <v>64</v>
      </c>
      <c r="K903" s="5"/>
      <c r="L903" s="4" t="s">
        <v>92</v>
      </c>
      <c r="M903" s="5"/>
      <c r="N903" s="5"/>
      <c r="O903" s="5" t="b">
        <v>1</v>
      </c>
      <c r="P903" s="4" t="str">
        <f>IF(A903="",IF(ISNUMBER(SEARCH("NOT NULL",UPPER(A$3))),"''","null"),SUBSTITUTE(VLOOKUP(A$2,convert!$A$1:$B$4,2,0),"@@@",A903))</f>
        <v>'0736N01'</v>
      </c>
      <c r="Q903" s="4" t="str">
        <f>IF(B903="",IF(ISNUMBER(SEARCH("NOT NULL",UPPER(B$3))),"''","null"),SUBSTITUTE(VLOOKUP(B$2,convert!$A$1:$B$4,2,0),"@@@",B903))</f>
        <v>'アゴジムシ'</v>
      </c>
      <c r="R903" s="4" t="str">
        <f>IF(C903="",IF(ISNUMBER(SEARCH("NOT NULL",UPPER(C$3))),"''","null"),SUBSTITUTE(VLOOKUP(C$2,convert!$A$1:$B$4,2,0),"@@@",C903))</f>
        <v>47</v>
      </c>
      <c r="S903" s="4" t="str">
        <f>IF(D903="",IF(ISNUMBER(SEARCH("NOT NULL",UPPER(D$3))),"''","null"),SUBSTITUTE(VLOOKUP(D$2,convert!$A$1:$B$4,2,0),"@@@",D903))</f>
        <v>62</v>
      </c>
      <c r="T903" s="4" t="str">
        <f>IF(E903="",IF(ISNUMBER(SEARCH("NOT NULL",UPPER(E$3))),"''","null"),SUBSTITUTE(VLOOKUP(E$2,convert!$A$1:$B$4,2,0),"@@@",E903))</f>
        <v>45</v>
      </c>
      <c r="U903" s="4" t="str">
        <f>IF(F903="",IF(ISNUMBER(SEARCH("NOT NULL",UPPER(F$3))),"''","null"),SUBSTITUTE(VLOOKUP(F$2,convert!$A$1:$B$4,2,0),"@@@",F903))</f>
        <v>55</v>
      </c>
      <c r="V903" s="4" t="str">
        <f>IF(G903="",IF(ISNUMBER(SEARCH("NOT NULL",UPPER(G$3))),"''","null"),SUBSTITUTE(VLOOKUP(G$2,convert!$A$1:$B$4,2,0),"@@@",G903))</f>
        <v>45</v>
      </c>
      <c r="W903" s="4" t="str">
        <f>IF(H903="",IF(ISNUMBER(SEARCH("NOT NULL",UPPER(H$3))),"''","null"),SUBSTITUTE(VLOOKUP(H$2,convert!$A$1:$B$4,2,0),"@@@",H903))</f>
        <v>46</v>
      </c>
      <c r="X903" s="4" t="str">
        <f>IF(I903="",IF(ISNUMBER(SEARCH("NOT NULL",UPPER(I$3))),"''","null"),SUBSTITUTE(VLOOKUP(I$2,convert!$A$1:$B$4,2,0),"@@@",I903))</f>
        <v>''</v>
      </c>
      <c r="Y903" s="4" t="str">
        <f>IF(J903="",IF(ISNUMBER(SEARCH("NOT NULL",UPPER(J$3))),"''","null"),SUBSTITUTE(VLOOKUP(J$2,convert!$A$1:$B$4,2,0),"@@@",J903))</f>
        <v>'bug'</v>
      </c>
      <c r="Z903" s="4" t="str">
        <f>IF(K903="",IF(ISNUMBER(SEARCH("NOT NULL",UPPER(K$3))),"''","null"),SUBSTITUTE(VLOOKUP(K$2,convert!$A$1:$B$4,2,0),"@@@",K903))</f>
        <v>null</v>
      </c>
      <c r="AA903" s="4" t="str">
        <f>IF(L903="",IF(ISNUMBER(SEARCH("NOT NULL",UPPER(L$3))),"''","null"),SUBSTITUTE(VLOOKUP(L$2,convert!$A$1:$B$4,2,0),"@@@",L903))</f>
        <v>'g7'</v>
      </c>
      <c r="AB903" s="4" t="str">
        <f>IF(M903="",IF(ISNUMBER(SEARCH("NOT NULL",UPPER(M$3))),"''","null"),SUBSTITUTE(VLOOKUP(M$2,convert!$A$1:$B$4,2,0),"@@@",M903))</f>
        <v>null</v>
      </c>
      <c r="AC903" s="4" t="str">
        <f>IF(N903="",IF(ISNUMBER(SEARCH("NOT NULL",UPPER(N$3))),"''","null"),SUBSTITUTE(VLOOKUP(N$2,convert!$A$1:$B$4,2,0),"@@@",N903))</f>
        <v>null</v>
      </c>
      <c r="AD903" s="4" t="str">
        <f>IF(O903="",IF(ISNUMBER(SEARCH("NOT NULL",UPPER(O$3))),"''","null"),SUBSTITUTE(VLOOKUP(O$2,convert!$A$1:$B$4,2,0),"@@@",O903))</f>
        <v>TRUE</v>
      </c>
      <c r="AE903" s="4" t="str">
        <f t="shared" si="14"/>
        <v>    ('0736N01', 'アゴジムシ', 47, 62, 45, 55, 45, 46, '', 'bug', null, 'g7', null, null, TRUE),</v>
      </c>
    </row>
    <row r="904" spans="1:31">
      <c r="A904" s="4" t="s">
        <v>1810</v>
      </c>
      <c r="B904" s="4" t="s">
        <v>1811</v>
      </c>
      <c r="C904" s="5">
        <v>57</v>
      </c>
      <c r="D904" s="5">
        <v>82</v>
      </c>
      <c r="E904" s="5">
        <v>95</v>
      </c>
      <c r="F904" s="5">
        <v>55</v>
      </c>
      <c r="G904" s="5">
        <v>75</v>
      </c>
      <c r="H904" s="5">
        <v>36</v>
      </c>
      <c r="I904" s="5"/>
      <c r="J904" s="4" t="s">
        <v>64</v>
      </c>
      <c r="K904" s="4" t="s">
        <v>106</v>
      </c>
      <c r="L904" s="4" t="s">
        <v>92</v>
      </c>
      <c r="M904" s="5"/>
      <c r="N904" s="5"/>
      <c r="O904" s="5" t="b">
        <v>1</v>
      </c>
      <c r="P904" s="4" t="str">
        <f>IF(A904="",IF(ISNUMBER(SEARCH("NOT NULL",UPPER(A$3))),"''","null"),SUBSTITUTE(VLOOKUP(A$2,convert!$A$1:$B$4,2,0),"@@@",A904))</f>
        <v>'0737N01'</v>
      </c>
      <c r="Q904" s="4" t="str">
        <f>IF(B904="",IF(ISNUMBER(SEARCH("NOT NULL",UPPER(B$3))),"''","null"),SUBSTITUTE(VLOOKUP(B$2,convert!$A$1:$B$4,2,0),"@@@",B904))</f>
        <v>'デンヂムシ'</v>
      </c>
      <c r="R904" s="4" t="str">
        <f>IF(C904="",IF(ISNUMBER(SEARCH("NOT NULL",UPPER(C$3))),"''","null"),SUBSTITUTE(VLOOKUP(C$2,convert!$A$1:$B$4,2,0),"@@@",C904))</f>
        <v>57</v>
      </c>
      <c r="S904" s="4" t="str">
        <f>IF(D904="",IF(ISNUMBER(SEARCH("NOT NULL",UPPER(D$3))),"''","null"),SUBSTITUTE(VLOOKUP(D$2,convert!$A$1:$B$4,2,0),"@@@",D904))</f>
        <v>82</v>
      </c>
      <c r="T904" s="4" t="str">
        <f>IF(E904="",IF(ISNUMBER(SEARCH("NOT NULL",UPPER(E$3))),"''","null"),SUBSTITUTE(VLOOKUP(E$2,convert!$A$1:$B$4,2,0),"@@@",E904))</f>
        <v>95</v>
      </c>
      <c r="U904" s="4" t="str">
        <f>IF(F904="",IF(ISNUMBER(SEARCH("NOT NULL",UPPER(F$3))),"''","null"),SUBSTITUTE(VLOOKUP(F$2,convert!$A$1:$B$4,2,0),"@@@",F904))</f>
        <v>55</v>
      </c>
      <c r="V904" s="4" t="str">
        <f>IF(G904="",IF(ISNUMBER(SEARCH("NOT NULL",UPPER(G$3))),"''","null"),SUBSTITUTE(VLOOKUP(G$2,convert!$A$1:$B$4,2,0),"@@@",G904))</f>
        <v>75</v>
      </c>
      <c r="W904" s="4" t="str">
        <f>IF(H904="",IF(ISNUMBER(SEARCH("NOT NULL",UPPER(H$3))),"''","null"),SUBSTITUTE(VLOOKUP(H$2,convert!$A$1:$B$4,2,0),"@@@",H904))</f>
        <v>36</v>
      </c>
      <c r="X904" s="4" t="str">
        <f>IF(I904="",IF(ISNUMBER(SEARCH("NOT NULL",UPPER(I$3))),"''","null"),SUBSTITUTE(VLOOKUP(I$2,convert!$A$1:$B$4,2,0),"@@@",I904))</f>
        <v>''</v>
      </c>
      <c r="Y904" s="4" t="str">
        <f>IF(J904="",IF(ISNUMBER(SEARCH("NOT NULL",UPPER(J$3))),"''","null"),SUBSTITUTE(VLOOKUP(J$2,convert!$A$1:$B$4,2,0),"@@@",J904))</f>
        <v>'bug'</v>
      </c>
      <c r="Z904" s="4" t="str">
        <f>IF(K904="",IF(ISNUMBER(SEARCH("NOT NULL",UPPER(K$3))),"''","null"),SUBSTITUTE(VLOOKUP(K$2,convert!$A$1:$B$4,2,0),"@@@",K904))</f>
        <v>'electric'</v>
      </c>
      <c r="AA904" s="4" t="str">
        <f>IF(L904="",IF(ISNUMBER(SEARCH("NOT NULL",UPPER(L$3))),"''","null"),SUBSTITUTE(VLOOKUP(L$2,convert!$A$1:$B$4,2,0),"@@@",L904))</f>
        <v>'g7'</v>
      </c>
      <c r="AB904" s="4" t="str">
        <f>IF(M904="",IF(ISNUMBER(SEARCH("NOT NULL",UPPER(M$3))),"''","null"),SUBSTITUTE(VLOOKUP(M$2,convert!$A$1:$B$4,2,0),"@@@",M904))</f>
        <v>null</v>
      </c>
      <c r="AC904" s="4" t="str">
        <f>IF(N904="",IF(ISNUMBER(SEARCH("NOT NULL",UPPER(N$3))),"''","null"),SUBSTITUTE(VLOOKUP(N$2,convert!$A$1:$B$4,2,0),"@@@",N904))</f>
        <v>null</v>
      </c>
      <c r="AD904" s="4" t="str">
        <f>IF(O904="",IF(ISNUMBER(SEARCH("NOT NULL",UPPER(O$3))),"''","null"),SUBSTITUTE(VLOOKUP(O$2,convert!$A$1:$B$4,2,0),"@@@",O904))</f>
        <v>TRUE</v>
      </c>
      <c r="AE904" s="4" t="str">
        <f t="shared" si="14"/>
        <v>    ('0737N01', 'デンヂムシ', 57, 82, 95, 55, 75, 36, '', 'bug', 'electric', 'g7', null, null, TRUE),</v>
      </c>
    </row>
    <row r="905" spans="1:31">
      <c r="A905" s="4" t="s">
        <v>1812</v>
      </c>
      <c r="B905" s="4" t="s">
        <v>1813</v>
      </c>
      <c r="C905" s="5">
        <v>77</v>
      </c>
      <c r="D905" s="5">
        <v>70</v>
      </c>
      <c r="E905" s="5">
        <v>90</v>
      </c>
      <c r="F905" s="5">
        <v>145</v>
      </c>
      <c r="G905" s="5">
        <v>75</v>
      </c>
      <c r="H905" s="5">
        <v>43</v>
      </c>
      <c r="I905" s="5"/>
      <c r="J905" s="4" t="s">
        <v>64</v>
      </c>
      <c r="K905" s="4" t="s">
        <v>106</v>
      </c>
      <c r="L905" s="4" t="s">
        <v>92</v>
      </c>
      <c r="M905" s="5"/>
      <c r="N905" s="5"/>
      <c r="O905" s="5" t="b">
        <v>1</v>
      </c>
      <c r="P905" s="4" t="str">
        <f>IF(A905="",IF(ISNUMBER(SEARCH("NOT NULL",UPPER(A$3))),"''","null"),SUBSTITUTE(VLOOKUP(A$2,convert!$A$1:$B$4,2,0),"@@@",A905))</f>
        <v>'0738N01'</v>
      </c>
      <c r="Q905" s="4" t="str">
        <f>IF(B905="",IF(ISNUMBER(SEARCH("NOT NULL",UPPER(B$3))),"''","null"),SUBSTITUTE(VLOOKUP(B$2,convert!$A$1:$B$4,2,0),"@@@",B905))</f>
        <v>'クワガノン'</v>
      </c>
      <c r="R905" s="4" t="str">
        <f>IF(C905="",IF(ISNUMBER(SEARCH("NOT NULL",UPPER(C$3))),"''","null"),SUBSTITUTE(VLOOKUP(C$2,convert!$A$1:$B$4,2,0),"@@@",C905))</f>
        <v>77</v>
      </c>
      <c r="S905" s="4" t="str">
        <f>IF(D905="",IF(ISNUMBER(SEARCH("NOT NULL",UPPER(D$3))),"''","null"),SUBSTITUTE(VLOOKUP(D$2,convert!$A$1:$B$4,2,0),"@@@",D905))</f>
        <v>70</v>
      </c>
      <c r="T905" s="4" t="str">
        <f>IF(E905="",IF(ISNUMBER(SEARCH("NOT NULL",UPPER(E$3))),"''","null"),SUBSTITUTE(VLOOKUP(E$2,convert!$A$1:$B$4,2,0),"@@@",E905))</f>
        <v>90</v>
      </c>
      <c r="U905" s="4" t="str">
        <f>IF(F905="",IF(ISNUMBER(SEARCH("NOT NULL",UPPER(F$3))),"''","null"),SUBSTITUTE(VLOOKUP(F$2,convert!$A$1:$B$4,2,0),"@@@",F905))</f>
        <v>145</v>
      </c>
      <c r="V905" s="4" t="str">
        <f>IF(G905="",IF(ISNUMBER(SEARCH("NOT NULL",UPPER(G$3))),"''","null"),SUBSTITUTE(VLOOKUP(G$2,convert!$A$1:$B$4,2,0),"@@@",G905))</f>
        <v>75</v>
      </c>
      <c r="W905" s="4" t="str">
        <f>IF(H905="",IF(ISNUMBER(SEARCH("NOT NULL",UPPER(H$3))),"''","null"),SUBSTITUTE(VLOOKUP(H$2,convert!$A$1:$B$4,2,0),"@@@",H905))</f>
        <v>43</v>
      </c>
      <c r="X905" s="4" t="str">
        <f>IF(I905="",IF(ISNUMBER(SEARCH("NOT NULL",UPPER(I$3))),"''","null"),SUBSTITUTE(VLOOKUP(I$2,convert!$A$1:$B$4,2,0),"@@@",I905))</f>
        <v>''</v>
      </c>
      <c r="Y905" s="4" t="str">
        <f>IF(J905="",IF(ISNUMBER(SEARCH("NOT NULL",UPPER(J$3))),"''","null"),SUBSTITUTE(VLOOKUP(J$2,convert!$A$1:$B$4,2,0),"@@@",J905))</f>
        <v>'bug'</v>
      </c>
      <c r="Z905" s="4" t="str">
        <f>IF(K905="",IF(ISNUMBER(SEARCH("NOT NULL",UPPER(K$3))),"''","null"),SUBSTITUTE(VLOOKUP(K$2,convert!$A$1:$B$4,2,0),"@@@",K905))</f>
        <v>'electric'</v>
      </c>
      <c r="AA905" s="4" t="str">
        <f>IF(L905="",IF(ISNUMBER(SEARCH("NOT NULL",UPPER(L$3))),"''","null"),SUBSTITUTE(VLOOKUP(L$2,convert!$A$1:$B$4,2,0),"@@@",L905))</f>
        <v>'g7'</v>
      </c>
      <c r="AB905" s="4" t="str">
        <f>IF(M905="",IF(ISNUMBER(SEARCH("NOT NULL",UPPER(M$3))),"''","null"),SUBSTITUTE(VLOOKUP(M$2,convert!$A$1:$B$4,2,0),"@@@",M905))</f>
        <v>null</v>
      </c>
      <c r="AC905" s="4" t="str">
        <f>IF(N905="",IF(ISNUMBER(SEARCH("NOT NULL",UPPER(N$3))),"''","null"),SUBSTITUTE(VLOOKUP(N$2,convert!$A$1:$B$4,2,0),"@@@",N905))</f>
        <v>null</v>
      </c>
      <c r="AD905" s="4" t="str">
        <f>IF(O905="",IF(ISNUMBER(SEARCH("NOT NULL",UPPER(O$3))),"''","null"),SUBSTITUTE(VLOOKUP(O$2,convert!$A$1:$B$4,2,0),"@@@",O905))</f>
        <v>TRUE</v>
      </c>
      <c r="AE905" s="4" t="str">
        <f t="shared" si="14"/>
        <v>    ('0738N01', 'クワガノン', 77, 70, 90, 145, 75, 43, '', 'bug', 'electric', 'g7', null, null, TRUE),</v>
      </c>
    </row>
    <row r="906" spans="1:31">
      <c r="A906" s="4" t="s">
        <v>1814</v>
      </c>
      <c r="B906" s="4" t="s">
        <v>1815</v>
      </c>
      <c r="C906" s="5">
        <v>47</v>
      </c>
      <c r="D906" s="5">
        <v>82</v>
      </c>
      <c r="E906" s="5">
        <v>57</v>
      </c>
      <c r="F906" s="5">
        <v>42</v>
      </c>
      <c r="G906" s="5">
        <v>47</v>
      </c>
      <c r="H906" s="5">
        <v>63</v>
      </c>
      <c r="I906" s="5"/>
      <c r="J906" s="4" t="s">
        <v>189</v>
      </c>
      <c r="K906" s="5"/>
      <c r="L906" s="4" t="s">
        <v>92</v>
      </c>
      <c r="M906" s="5"/>
      <c r="N906" s="5"/>
      <c r="O906" s="5" t="b">
        <v>1</v>
      </c>
      <c r="P906" s="4" t="str">
        <f>IF(A906="",IF(ISNUMBER(SEARCH("NOT NULL",UPPER(A$3))),"''","null"),SUBSTITUTE(VLOOKUP(A$2,convert!$A$1:$B$4,2,0),"@@@",A906))</f>
        <v>'0739N01'</v>
      </c>
      <c r="Q906" s="4" t="str">
        <f>IF(B906="",IF(ISNUMBER(SEARCH("NOT NULL",UPPER(B$3))),"''","null"),SUBSTITUTE(VLOOKUP(B$2,convert!$A$1:$B$4,2,0),"@@@",B906))</f>
        <v>'マケンカニ'</v>
      </c>
      <c r="R906" s="4" t="str">
        <f>IF(C906="",IF(ISNUMBER(SEARCH("NOT NULL",UPPER(C$3))),"''","null"),SUBSTITUTE(VLOOKUP(C$2,convert!$A$1:$B$4,2,0),"@@@",C906))</f>
        <v>47</v>
      </c>
      <c r="S906" s="4" t="str">
        <f>IF(D906="",IF(ISNUMBER(SEARCH("NOT NULL",UPPER(D$3))),"''","null"),SUBSTITUTE(VLOOKUP(D$2,convert!$A$1:$B$4,2,0),"@@@",D906))</f>
        <v>82</v>
      </c>
      <c r="T906" s="4" t="str">
        <f>IF(E906="",IF(ISNUMBER(SEARCH("NOT NULL",UPPER(E$3))),"''","null"),SUBSTITUTE(VLOOKUP(E$2,convert!$A$1:$B$4,2,0),"@@@",E906))</f>
        <v>57</v>
      </c>
      <c r="U906" s="4" t="str">
        <f>IF(F906="",IF(ISNUMBER(SEARCH("NOT NULL",UPPER(F$3))),"''","null"),SUBSTITUTE(VLOOKUP(F$2,convert!$A$1:$B$4,2,0),"@@@",F906))</f>
        <v>42</v>
      </c>
      <c r="V906" s="4" t="str">
        <f>IF(G906="",IF(ISNUMBER(SEARCH("NOT NULL",UPPER(G$3))),"''","null"),SUBSTITUTE(VLOOKUP(G$2,convert!$A$1:$B$4,2,0),"@@@",G906))</f>
        <v>47</v>
      </c>
      <c r="W906" s="4" t="str">
        <f>IF(H906="",IF(ISNUMBER(SEARCH("NOT NULL",UPPER(H$3))),"''","null"),SUBSTITUTE(VLOOKUP(H$2,convert!$A$1:$B$4,2,0),"@@@",H906))</f>
        <v>63</v>
      </c>
      <c r="X906" s="4" t="str">
        <f>IF(I906="",IF(ISNUMBER(SEARCH("NOT NULL",UPPER(I$3))),"''","null"),SUBSTITUTE(VLOOKUP(I$2,convert!$A$1:$B$4,2,0),"@@@",I906))</f>
        <v>''</v>
      </c>
      <c r="Y906" s="4" t="str">
        <f>IF(J906="",IF(ISNUMBER(SEARCH("NOT NULL",UPPER(J$3))),"''","null"),SUBSTITUTE(VLOOKUP(J$2,convert!$A$1:$B$4,2,0),"@@@",J906))</f>
        <v>'fighting'</v>
      </c>
      <c r="Z906" s="4" t="str">
        <f>IF(K906="",IF(ISNUMBER(SEARCH("NOT NULL",UPPER(K$3))),"''","null"),SUBSTITUTE(VLOOKUP(K$2,convert!$A$1:$B$4,2,0),"@@@",K906))</f>
        <v>null</v>
      </c>
      <c r="AA906" s="4" t="str">
        <f>IF(L906="",IF(ISNUMBER(SEARCH("NOT NULL",UPPER(L$3))),"''","null"),SUBSTITUTE(VLOOKUP(L$2,convert!$A$1:$B$4,2,0),"@@@",L906))</f>
        <v>'g7'</v>
      </c>
      <c r="AB906" s="4" t="str">
        <f>IF(M906="",IF(ISNUMBER(SEARCH("NOT NULL",UPPER(M$3))),"''","null"),SUBSTITUTE(VLOOKUP(M$2,convert!$A$1:$B$4,2,0),"@@@",M906))</f>
        <v>null</v>
      </c>
      <c r="AC906" s="4" t="str">
        <f>IF(N906="",IF(ISNUMBER(SEARCH("NOT NULL",UPPER(N$3))),"''","null"),SUBSTITUTE(VLOOKUP(N$2,convert!$A$1:$B$4,2,0),"@@@",N906))</f>
        <v>null</v>
      </c>
      <c r="AD906" s="4" t="str">
        <f>IF(O906="",IF(ISNUMBER(SEARCH("NOT NULL",UPPER(O$3))),"''","null"),SUBSTITUTE(VLOOKUP(O$2,convert!$A$1:$B$4,2,0),"@@@",O906))</f>
        <v>TRUE</v>
      </c>
      <c r="AE906" s="4" t="str">
        <f t="shared" si="14"/>
        <v>    ('0739N01', 'マケンカニ', 47, 82, 57, 42, 47, 63, '', 'fighting', null, 'g7', null, null, TRUE),</v>
      </c>
    </row>
    <row r="907" spans="1:31">
      <c r="A907" s="4" t="s">
        <v>1816</v>
      </c>
      <c r="B907" s="4" t="s">
        <v>1817</v>
      </c>
      <c r="C907" s="5">
        <v>97</v>
      </c>
      <c r="D907" s="5">
        <v>132</v>
      </c>
      <c r="E907" s="5">
        <v>77</v>
      </c>
      <c r="F907" s="5">
        <v>62</v>
      </c>
      <c r="G907" s="5">
        <v>67</v>
      </c>
      <c r="H907" s="5">
        <v>43</v>
      </c>
      <c r="I907" s="5"/>
      <c r="J907" s="4" t="s">
        <v>189</v>
      </c>
      <c r="K907" s="4" t="s">
        <v>118</v>
      </c>
      <c r="L907" s="4" t="s">
        <v>92</v>
      </c>
      <c r="M907" s="5"/>
      <c r="N907" s="5"/>
      <c r="O907" s="5" t="b">
        <v>1</v>
      </c>
      <c r="P907" s="4" t="str">
        <f>IF(A907="",IF(ISNUMBER(SEARCH("NOT NULL",UPPER(A$3))),"''","null"),SUBSTITUTE(VLOOKUP(A$2,convert!$A$1:$B$4,2,0),"@@@",A907))</f>
        <v>'0740N01'</v>
      </c>
      <c r="Q907" s="4" t="str">
        <f>IF(B907="",IF(ISNUMBER(SEARCH("NOT NULL",UPPER(B$3))),"''","null"),SUBSTITUTE(VLOOKUP(B$2,convert!$A$1:$B$4,2,0),"@@@",B907))</f>
        <v>'ケケンカニ'</v>
      </c>
      <c r="R907" s="4" t="str">
        <f>IF(C907="",IF(ISNUMBER(SEARCH("NOT NULL",UPPER(C$3))),"''","null"),SUBSTITUTE(VLOOKUP(C$2,convert!$A$1:$B$4,2,0),"@@@",C907))</f>
        <v>97</v>
      </c>
      <c r="S907" s="4" t="str">
        <f>IF(D907="",IF(ISNUMBER(SEARCH("NOT NULL",UPPER(D$3))),"''","null"),SUBSTITUTE(VLOOKUP(D$2,convert!$A$1:$B$4,2,0),"@@@",D907))</f>
        <v>132</v>
      </c>
      <c r="T907" s="4" t="str">
        <f>IF(E907="",IF(ISNUMBER(SEARCH("NOT NULL",UPPER(E$3))),"''","null"),SUBSTITUTE(VLOOKUP(E$2,convert!$A$1:$B$4,2,0),"@@@",E907))</f>
        <v>77</v>
      </c>
      <c r="U907" s="4" t="str">
        <f>IF(F907="",IF(ISNUMBER(SEARCH("NOT NULL",UPPER(F$3))),"''","null"),SUBSTITUTE(VLOOKUP(F$2,convert!$A$1:$B$4,2,0),"@@@",F907))</f>
        <v>62</v>
      </c>
      <c r="V907" s="4" t="str">
        <f>IF(G907="",IF(ISNUMBER(SEARCH("NOT NULL",UPPER(G$3))),"''","null"),SUBSTITUTE(VLOOKUP(G$2,convert!$A$1:$B$4,2,0),"@@@",G907))</f>
        <v>67</v>
      </c>
      <c r="W907" s="4" t="str">
        <f>IF(H907="",IF(ISNUMBER(SEARCH("NOT NULL",UPPER(H$3))),"''","null"),SUBSTITUTE(VLOOKUP(H$2,convert!$A$1:$B$4,2,0),"@@@",H907))</f>
        <v>43</v>
      </c>
      <c r="X907" s="4" t="str">
        <f>IF(I907="",IF(ISNUMBER(SEARCH("NOT NULL",UPPER(I$3))),"''","null"),SUBSTITUTE(VLOOKUP(I$2,convert!$A$1:$B$4,2,0),"@@@",I907))</f>
        <v>''</v>
      </c>
      <c r="Y907" s="4" t="str">
        <f>IF(J907="",IF(ISNUMBER(SEARCH("NOT NULL",UPPER(J$3))),"''","null"),SUBSTITUTE(VLOOKUP(J$2,convert!$A$1:$B$4,2,0),"@@@",J907))</f>
        <v>'fighting'</v>
      </c>
      <c r="Z907" s="4" t="str">
        <f>IF(K907="",IF(ISNUMBER(SEARCH("NOT NULL",UPPER(K$3))),"''","null"),SUBSTITUTE(VLOOKUP(K$2,convert!$A$1:$B$4,2,0),"@@@",K907))</f>
        <v>'ice'</v>
      </c>
      <c r="AA907" s="4" t="str">
        <f>IF(L907="",IF(ISNUMBER(SEARCH("NOT NULL",UPPER(L$3))),"''","null"),SUBSTITUTE(VLOOKUP(L$2,convert!$A$1:$B$4,2,0),"@@@",L907))</f>
        <v>'g7'</v>
      </c>
      <c r="AB907" s="4" t="str">
        <f>IF(M907="",IF(ISNUMBER(SEARCH("NOT NULL",UPPER(M$3))),"''","null"),SUBSTITUTE(VLOOKUP(M$2,convert!$A$1:$B$4,2,0),"@@@",M907))</f>
        <v>null</v>
      </c>
      <c r="AC907" s="4" t="str">
        <f>IF(N907="",IF(ISNUMBER(SEARCH("NOT NULL",UPPER(N$3))),"''","null"),SUBSTITUTE(VLOOKUP(N$2,convert!$A$1:$B$4,2,0),"@@@",N907))</f>
        <v>null</v>
      </c>
      <c r="AD907" s="4" t="str">
        <f>IF(O907="",IF(ISNUMBER(SEARCH("NOT NULL",UPPER(O$3))),"''","null"),SUBSTITUTE(VLOOKUP(O$2,convert!$A$1:$B$4,2,0),"@@@",O907))</f>
        <v>TRUE</v>
      </c>
      <c r="AE907" s="4" t="str">
        <f t="shared" si="14"/>
        <v>    ('0740N01', 'ケケンカニ', 97, 132, 77, 62, 67, 43, '', 'fighting', 'ice', 'g7', null, null, TRUE),</v>
      </c>
    </row>
    <row r="908" spans="1:31">
      <c r="A908" s="4" t="s">
        <v>1818</v>
      </c>
      <c r="B908" s="4" t="s">
        <v>1819</v>
      </c>
      <c r="C908" s="5">
        <v>75</v>
      </c>
      <c r="D908" s="5">
        <v>70</v>
      </c>
      <c r="E908" s="5">
        <v>70</v>
      </c>
      <c r="F908" s="5">
        <v>98</v>
      </c>
      <c r="G908" s="5">
        <v>70</v>
      </c>
      <c r="H908" s="5">
        <v>93</v>
      </c>
      <c r="I908" s="4" t="s">
        <v>1820</v>
      </c>
      <c r="J908" s="4" t="s">
        <v>42</v>
      </c>
      <c r="K908" s="4" t="s">
        <v>47</v>
      </c>
      <c r="L908" s="4" t="s">
        <v>92</v>
      </c>
      <c r="M908" s="5"/>
      <c r="N908" s="5"/>
      <c r="O908" s="5" t="b">
        <v>1</v>
      </c>
      <c r="P908" s="4" t="str">
        <f>IF(A908="",IF(ISNUMBER(SEARCH("NOT NULL",UPPER(A$3))),"''","null"),SUBSTITUTE(VLOOKUP(A$2,convert!$A$1:$B$4,2,0),"@@@",A908))</f>
        <v>'0741N01'</v>
      </c>
      <c r="Q908" s="4" t="str">
        <f>IF(B908="",IF(ISNUMBER(SEARCH("NOT NULL",UPPER(B$3))),"''","null"),SUBSTITUTE(VLOOKUP(B$2,convert!$A$1:$B$4,2,0),"@@@",B908))</f>
        <v>'オドリドリ'</v>
      </c>
      <c r="R908" s="4" t="str">
        <f>IF(C908="",IF(ISNUMBER(SEARCH("NOT NULL",UPPER(C$3))),"''","null"),SUBSTITUTE(VLOOKUP(C$2,convert!$A$1:$B$4,2,0),"@@@",C908))</f>
        <v>75</v>
      </c>
      <c r="S908" s="4" t="str">
        <f>IF(D908="",IF(ISNUMBER(SEARCH("NOT NULL",UPPER(D$3))),"''","null"),SUBSTITUTE(VLOOKUP(D$2,convert!$A$1:$B$4,2,0),"@@@",D908))</f>
        <v>70</v>
      </c>
      <c r="T908" s="4" t="str">
        <f>IF(E908="",IF(ISNUMBER(SEARCH("NOT NULL",UPPER(E$3))),"''","null"),SUBSTITUTE(VLOOKUP(E$2,convert!$A$1:$B$4,2,0),"@@@",E908))</f>
        <v>70</v>
      </c>
      <c r="U908" s="4" t="str">
        <f>IF(F908="",IF(ISNUMBER(SEARCH("NOT NULL",UPPER(F$3))),"''","null"),SUBSTITUTE(VLOOKUP(F$2,convert!$A$1:$B$4,2,0),"@@@",F908))</f>
        <v>98</v>
      </c>
      <c r="V908" s="4" t="str">
        <f>IF(G908="",IF(ISNUMBER(SEARCH("NOT NULL",UPPER(G$3))),"''","null"),SUBSTITUTE(VLOOKUP(G$2,convert!$A$1:$B$4,2,0),"@@@",G908))</f>
        <v>70</v>
      </c>
      <c r="W908" s="4" t="str">
        <f>IF(H908="",IF(ISNUMBER(SEARCH("NOT NULL",UPPER(H$3))),"''","null"),SUBSTITUTE(VLOOKUP(H$2,convert!$A$1:$B$4,2,0),"@@@",H908))</f>
        <v>93</v>
      </c>
      <c r="X908" s="4" t="str">
        <f>IF(I908="",IF(ISNUMBER(SEARCH("NOT NULL",UPPER(I$3))),"''","null"),SUBSTITUTE(VLOOKUP(I$2,convert!$A$1:$B$4,2,0),"@@@",I908))</f>
        <v>'めらめらスタイル'</v>
      </c>
      <c r="Y908" s="4" t="str">
        <f>IF(J908="",IF(ISNUMBER(SEARCH("NOT NULL",UPPER(J$3))),"''","null"),SUBSTITUTE(VLOOKUP(J$2,convert!$A$1:$B$4,2,0),"@@@",J908))</f>
        <v>'fire'</v>
      </c>
      <c r="Z908" s="4" t="str">
        <f>IF(K908="",IF(ISNUMBER(SEARCH("NOT NULL",UPPER(K$3))),"''","null"),SUBSTITUTE(VLOOKUP(K$2,convert!$A$1:$B$4,2,0),"@@@",K908))</f>
        <v>'flying'</v>
      </c>
      <c r="AA908" s="4" t="str">
        <f>IF(L908="",IF(ISNUMBER(SEARCH("NOT NULL",UPPER(L$3))),"''","null"),SUBSTITUTE(VLOOKUP(L$2,convert!$A$1:$B$4,2,0),"@@@",L908))</f>
        <v>'g7'</v>
      </c>
      <c r="AB908" s="4" t="str">
        <f>IF(M908="",IF(ISNUMBER(SEARCH("NOT NULL",UPPER(M$3))),"''","null"),SUBSTITUTE(VLOOKUP(M$2,convert!$A$1:$B$4,2,0),"@@@",M908))</f>
        <v>null</v>
      </c>
      <c r="AC908" s="4" t="str">
        <f>IF(N908="",IF(ISNUMBER(SEARCH("NOT NULL",UPPER(N$3))),"''","null"),SUBSTITUTE(VLOOKUP(N$2,convert!$A$1:$B$4,2,0),"@@@",N908))</f>
        <v>null</v>
      </c>
      <c r="AD908" s="4" t="str">
        <f>IF(O908="",IF(ISNUMBER(SEARCH("NOT NULL",UPPER(O$3))),"''","null"),SUBSTITUTE(VLOOKUP(O$2,convert!$A$1:$B$4,2,0),"@@@",O908))</f>
        <v>TRUE</v>
      </c>
      <c r="AE908" s="4" t="str">
        <f t="shared" si="14"/>
        <v>    ('0741N01', 'オドリドリ', 75, 70, 70, 98, 70, 93, 'めらめらスタイル', 'fire', 'flying', 'g7', null, null, TRUE),</v>
      </c>
    </row>
    <row r="909" spans="1:31">
      <c r="A909" s="4" t="s">
        <v>1821</v>
      </c>
      <c r="B909" s="4" t="s">
        <v>1819</v>
      </c>
      <c r="C909" s="5">
        <v>75</v>
      </c>
      <c r="D909" s="5">
        <v>70</v>
      </c>
      <c r="E909" s="5">
        <v>70</v>
      </c>
      <c r="F909" s="5">
        <v>98</v>
      </c>
      <c r="G909" s="5">
        <v>70</v>
      </c>
      <c r="H909" s="5">
        <v>93</v>
      </c>
      <c r="I909" s="4" t="s">
        <v>1822</v>
      </c>
      <c r="J909" s="4" t="s">
        <v>106</v>
      </c>
      <c r="K909" s="4" t="s">
        <v>47</v>
      </c>
      <c r="L909" s="4" t="s">
        <v>92</v>
      </c>
      <c r="M909" s="5"/>
      <c r="N909" s="5"/>
      <c r="O909" s="5" t="b">
        <v>1</v>
      </c>
      <c r="P909" s="4" t="str">
        <f>IF(A909="",IF(ISNUMBER(SEARCH("NOT NULL",UPPER(A$3))),"''","null"),SUBSTITUTE(VLOOKUP(A$2,convert!$A$1:$B$4,2,0),"@@@",A909))</f>
        <v>'0741N02'</v>
      </c>
      <c r="Q909" s="4" t="str">
        <f>IF(B909="",IF(ISNUMBER(SEARCH("NOT NULL",UPPER(B$3))),"''","null"),SUBSTITUTE(VLOOKUP(B$2,convert!$A$1:$B$4,2,0),"@@@",B909))</f>
        <v>'オドリドリ'</v>
      </c>
      <c r="R909" s="4" t="str">
        <f>IF(C909="",IF(ISNUMBER(SEARCH("NOT NULL",UPPER(C$3))),"''","null"),SUBSTITUTE(VLOOKUP(C$2,convert!$A$1:$B$4,2,0),"@@@",C909))</f>
        <v>75</v>
      </c>
      <c r="S909" s="4" t="str">
        <f>IF(D909="",IF(ISNUMBER(SEARCH("NOT NULL",UPPER(D$3))),"''","null"),SUBSTITUTE(VLOOKUP(D$2,convert!$A$1:$B$4,2,0),"@@@",D909))</f>
        <v>70</v>
      </c>
      <c r="T909" s="4" t="str">
        <f>IF(E909="",IF(ISNUMBER(SEARCH("NOT NULL",UPPER(E$3))),"''","null"),SUBSTITUTE(VLOOKUP(E$2,convert!$A$1:$B$4,2,0),"@@@",E909))</f>
        <v>70</v>
      </c>
      <c r="U909" s="4" t="str">
        <f>IF(F909="",IF(ISNUMBER(SEARCH("NOT NULL",UPPER(F$3))),"''","null"),SUBSTITUTE(VLOOKUP(F$2,convert!$A$1:$B$4,2,0),"@@@",F909))</f>
        <v>98</v>
      </c>
      <c r="V909" s="4" t="str">
        <f>IF(G909="",IF(ISNUMBER(SEARCH("NOT NULL",UPPER(G$3))),"''","null"),SUBSTITUTE(VLOOKUP(G$2,convert!$A$1:$B$4,2,0),"@@@",G909))</f>
        <v>70</v>
      </c>
      <c r="W909" s="4" t="str">
        <f>IF(H909="",IF(ISNUMBER(SEARCH("NOT NULL",UPPER(H$3))),"''","null"),SUBSTITUTE(VLOOKUP(H$2,convert!$A$1:$B$4,2,0),"@@@",H909))</f>
        <v>93</v>
      </c>
      <c r="X909" s="4" t="str">
        <f>IF(I909="",IF(ISNUMBER(SEARCH("NOT NULL",UPPER(I$3))),"''","null"),SUBSTITUTE(VLOOKUP(I$2,convert!$A$1:$B$4,2,0),"@@@",I909))</f>
        <v>'ぱちぱちスタイル'</v>
      </c>
      <c r="Y909" s="4" t="str">
        <f>IF(J909="",IF(ISNUMBER(SEARCH("NOT NULL",UPPER(J$3))),"''","null"),SUBSTITUTE(VLOOKUP(J$2,convert!$A$1:$B$4,2,0),"@@@",J909))</f>
        <v>'electric'</v>
      </c>
      <c r="Z909" s="4" t="str">
        <f>IF(K909="",IF(ISNUMBER(SEARCH("NOT NULL",UPPER(K$3))),"''","null"),SUBSTITUTE(VLOOKUP(K$2,convert!$A$1:$B$4,2,0),"@@@",K909))</f>
        <v>'flying'</v>
      </c>
      <c r="AA909" s="4" t="str">
        <f>IF(L909="",IF(ISNUMBER(SEARCH("NOT NULL",UPPER(L$3))),"''","null"),SUBSTITUTE(VLOOKUP(L$2,convert!$A$1:$B$4,2,0),"@@@",L909))</f>
        <v>'g7'</v>
      </c>
      <c r="AB909" s="4" t="str">
        <f>IF(M909="",IF(ISNUMBER(SEARCH("NOT NULL",UPPER(M$3))),"''","null"),SUBSTITUTE(VLOOKUP(M$2,convert!$A$1:$B$4,2,0),"@@@",M909))</f>
        <v>null</v>
      </c>
      <c r="AC909" s="4" t="str">
        <f>IF(N909="",IF(ISNUMBER(SEARCH("NOT NULL",UPPER(N$3))),"''","null"),SUBSTITUTE(VLOOKUP(N$2,convert!$A$1:$B$4,2,0),"@@@",N909))</f>
        <v>null</v>
      </c>
      <c r="AD909" s="4" t="str">
        <f>IF(O909="",IF(ISNUMBER(SEARCH("NOT NULL",UPPER(O$3))),"''","null"),SUBSTITUTE(VLOOKUP(O$2,convert!$A$1:$B$4,2,0),"@@@",O909))</f>
        <v>TRUE</v>
      </c>
      <c r="AE909" s="4" t="str">
        <f t="shared" si="14"/>
        <v>    ('0741N02', 'オドリドリ', 75, 70, 70, 98, 70, 93, 'ぱちぱちスタイル', 'electric', 'flying', 'g7', null, null, TRUE),</v>
      </c>
    </row>
    <row r="910" spans="1:31">
      <c r="A910" s="4" t="s">
        <v>1823</v>
      </c>
      <c r="B910" s="4" t="s">
        <v>1819</v>
      </c>
      <c r="C910" s="5">
        <v>75</v>
      </c>
      <c r="D910" s="5">
        <v>70</v>
      </c>
      <c r="E910" s="5">
        <v>70</v>
      </c>
      <c r="F910" s="5">
        <v>98</v>
      </c>
      <c r="G910" s="5">
        <v>70</v>
      </c>
      <c r="H910" s="5">
        <v>93</v>
      </c>
      <c r="I910" s="4" t="s">
        <v>1824</v>
      </c>
      <c r="J910" s="4" t="s">
        <v>113</v>
      </c>
      <c r="K910" s="4" t="s">
        <v>47</v>
      </c>
      <c r="L910" s="4" t="s">
        <v>92</v>
      </c>
      <c r="M910" s="5"/>
      <c r="N910" s="5"/>
      <c r="O910" s="5" t="b">
        <v>1</v>
      </c>
      <c r="P910" s="4" t="str">
        <f>IF(A910="",IF(ISNUMBER(SEARCH("NOT NULL",UPPER(A$3))),"''","null"),SUBSTITUTE(VLOOKUP(A$2,convert!$A$1:$B$4,2,0),"@@@",A910))</f>
        <v>'0741N03'</v>
      </c>
      <c r="Q910" s="4" t="str">
        <f>IF(B910="",IF(ISNUMBER(SEARCH("NOT NULL",UPPER(B$3))),"''","null"),SUBSTITUTE(VLOOKUP(B$2,convert!$A$1:$B$4,2,0),"@@@",B910))</f>
        <v>'オドリドリ'</v>
      </c>
      <c r="R910" s="4" t="str">
        <f>IF(C910="",IF(ISNUMBER(SEARCH("NOT NULL",UPPER(C$3))),"''","null"),SUBSTITUTE(VLOOKUP(C$2,convert!$A$1:$B$4,2,0),"@@@",C910))</f>
        <v>75</v>
      </c>
      <c r="S910" s="4" t="str">
        <f>IF(D910="",IF(ISNUMBER(SEARCH("NOT NULL",UPPER(D$3))),"''","null"),SUBSTITUTE(VLOOKUP(D$2,convert!$A$1:$B$4,2,0),"@@@",D910))</f>
        <v>70</v>
      </c>
      <c r="T910" s="4" t="str">
        <f>IF(E910="",IF(ISNUMBER(SEARCH("NOT NULL",UPPER(E$3))),"''","null"),SUBSTITUTE(VLOOKUP(E$2,convert!$A$1:$B$4,2,0),"@@@",E910))</f>
        <v>70</v>
      </c>
      <c r="U910" s="4" t="str">
        <f>IF(F910="",IF(ISNUMBER(SEARCH("NOT NULL",UPPER(F$3))),"''","null"),SUBSTITUTE(VLOOKUP(F$2,convert!$A$1:$B$4,2,0),"@@@",F910))</f>
        <v>98</v>
      </c>
      <c r="V910" s="4" t="str">
        <f>IF(G910="",IF(ISNUMBER(SEARCH("NOT NULL",UPPER(G$3))),"''","null"),SUBSTITUTE(VLOOKUP(G$2,convert!$A$1:$B$4,2,0),"@@@",G910))</f>
        <v>70</v>
      </c>
      <c r="W910" s="4" t="str">
        <f>IF(H910="",IF(ISNUMBER(SEARCH("NOT NULL",UPPER(H$3))),"''","null"),SUBSTITUTE(VLOOKUP(H$2,convert!$A$1:$B$4,2,0),"@@@",H910))</f>
        <v>93</v>
      </c>
      <c r="X910" s="4" t="str">
        <f>IF(I910="",IF(ISNUMBER(SEARCH("NOT NULL",UPPER(I$3))),"''","null"),SUBSTITUTE(VLOOKUP(I$2,convert!$A$1:$B$4,2,0),"@@@",I910))</f>
        <v>'ふらふらスタイル'</v>
      </c>
      <c r="Y910" s="4" t="str">
        <f>IF(J910="",IF(ISNUMBER(SEARCH("NOT NULL",UPPER(J$3))),"''","null"),SUBSTITUTE(VLOOKUP(J$2,convert!$A$1:$B$4,2,0),"@@@",J910))</f>
        <v>'psychic'</v>
      </c>
      <c r="Z910" s="4" t="str">
        <f>IF(K910="",IF(ISNUMBER(SEARCH("NOT NULL",UPPER(K$3))),"''","null"),SUBSTITUTE(VLOOKUP(K$2,convert!$A$1:$B$4,2,0),"@@@",K910))</f>
        <v>'flying'</v>
      </c>
      <c r="AA910" s="4" t="str">
        <f>IF(L910="",IF(ISNUMBER(SEARCH("NOT NULL",UPPER(L$3))),"''","null"),SUBSTITUTE(VLOOKUP(L$2,convert!$A$1:$B$4,2,0),"@@@",L910))</f>
        <v>'g7'</v>
      </c>
      <c r="AB910" s="4" t="str">
        <f>IF(M910="",IF(ISNUMBER(SEARCH("NOT NULL",UPPER(M$3))),"''","null"),SUBSTITUTE(VLOOKUP(M$2,convert!$A$1:$B$4,2,0),"@@@",M910))</f>
        <v>null</v>
      </c>
      <c r="AC910" s="4" t="str">
        <f>IF(N910="",IF(ISNUMBER(SEARCH("NOT NULL",UPPER(N$3))),"''","null"),SUBSTITUTE(VLOOKUP(N$2,convert!$A$1:$B$4,2,0),"@@@",N910))</f>
        <v>null</v>
      </c>
      <c r="AD910" s="4" t="str">
        <f>IF(O910="",IF(ISNUMBER(SEARCH("NOT NULL",UPPER(O$3))),"''","null"),SUBSTITUTE(VLOOKUP(O$2,convert!$A$1:$B$4,2,0),"@@@",O910))</f>
        <v>TRUE</v>
      </c>
      <c r="AE910" s="4" t="str">
        <f t="shared" si="14"/>
        <v>    ('0741N03', 'オドリドリ', 75, 70, 70, 98, 70, 93, 'ふらふらスタイル', 'psychic', 'flying', 'g7', null, null, TRUE),</v>
      </c>
    </row>
    <row r="911" spans="1:31">
      <c r="A911" s="4" t="s">
        <v>1825</v>
      </c>
      <c r="B911" s="4" t="s">
        <v>1819</v>
      </c>
      <c r="C911" s="5">
        <v>75</v>
      </c>
      <c r="D911" s="5">
        <v>70</v>
      </c>
      <c r="E911" s="5">
        <v>70</v>
      </c>
      <c r="F911" s="5">
        <v>98</v>
      </c>
      <c r="G911" s="5">
        <v>70</v>
      </c>
      <c r="H911" s="5">
        <v>93</v>
      </c>
      <c r="I911" s="4" t="s">
        <v>1826</v>
      </c>
      <c r="J911" s="4" t="s">
        <v>281</v>
      </c>
      <c r="K911" s="4" t="s">
        <v>47</v>
      </c>
      <c r="L911" s="4" t="s">
        <v>92</v>
      </c>
      <c r="M911" s="5"/>
      <c r="N911" s="5"/>
      <c r="O911" s="5" t="b">
        <v>1</v>
      </c>
      <c r="P911" s="4" t="str">
        <f>IF(A911="",IF(ISNUMBER(SEARCH("NOT NULL",UPPER(A$3))),"''","null"),SUBSTITUTE(VLOOKUP(A$2,convert!$A$1:$B$4,2,0),"@@@",A911))</f>
        <v>'0741N04'</v>
      </c>
      <c r="Q911" s="4" t="str">
        <f>IF(B911="",IF(ISNUMBER(SEARCH("NOT NULL",UPPER(B$3))),"''","null"),SUBSTITUTE(VLOOKUP(B$2,convert!$A$1:$B$4,2,0),"@@@",B911))</f>
        <v>'オドリドリ'</v>
      </c>
      <c r="R911" s="4" t="str">
        <f>IF(C911="",IF(ISNUMBER(SEARCH("NOT NULL",UPPER(C$3))),"''","null"),SUBSTITUTE(VLOOKUP(C$2,convert!$A$1:$B$4,2,0),"@@@",C911))</f>
        <v>75</v>
      </c>
      <c r="S911" s="4" t="str">
        <f>IF(D911="",IF(ISNUMBER(SEARCH("NOT NULL",UPPER(D$3))),"''","null"),SUBSTITUTE(VLOOKUP(D$2,convert!$A$1:$B$4,2,0),"@@@",D911))</f>
        <v>70</v>
      </c>
      <c r="T911" s="4" t="str">
        <f>IF(E911="",IF(ISNUMBER(SEARCH("NOT NULL",UPPER(E$3))),"''","null"),SUBSTITUTE(VLOOKUP(E$2,convert!$A$1:$B$4,2,0),"@@@",E911))</f>
        <v>70</v>
      </c>
      <c r="U911" s="4" t="str">
        <f>IF(F911="",IF(ISNUMBER(SEARCH("NOT NULL",UPPER(F$3))),"''","null"),SUBSTITUTE(VLOOKUP(F$2,convert!$A$1:$B$4,2,0),"@@@",F911))</f>
        <v>98</v>
      </c>
      <c r="V911" s="4" t="str">
        <f>IF(G911="",IF(ISNUMBER(SEARCH("NOT NULL",UPPER(G$3))),"''","null"),SUBSTITUTE(VLOOKUP(G$2,convert!$A$1:$B$4,2,0),"@@@",G911))</f>
        <v>70</v>
      </c>
      <c r="W911" s="4" t="str">
        <f>IF(H911="",IF(ISNUMBER(SEARCH("NOT NULL",UPPER(H$3))),"''","null"),SUBSTITUTE(VLOOKUP(H$2,convert!$A$1:$B$4,2,0),"@@@",H911))</f>
        <v>93</v>
      </c>
      <c r="X911" s="4" t="str">
        <f>IF(I911="",IF(ISNUMBER(SEARCH("NOT NULL",UPPER(I$3))),"''","null"),SUBSTITUTE(VLOOKUP(I$2,convert!$A$1:$B$4,2,0),"@@@",I911))</f>
        <v>'まいまいスタイル'</v>
      </c>
      <c r="Y911" s="4" t="str">
        <f>IF(J911="",IF(ISNUMBER(SEARCH("NOT NULL",UPPER(J$3))),"''","null"),SUBSTITUTE(VLOOKUP(J$2,convert!$A$1:$B$4,2,0),"@@@",J911))</f>
        <v>'ghost'</v>
      </c>
      <c r="Z911" s="4" t="str">
        <f>IF(K911="",IF(ISNUMBER(SEARCH("NOT NULL",UPPER(K$3))),"''","null"),SUBSTITUTE(VLOOKUP(K$2,convert!$A$1:$B$4,2,0),"@@@",K911))</f>
        <v>'flying'</v>
      </c>
      <c r="AA911" s="4" t="str">
        <f>IF(L911="",IF(ISNUMBER(SEARCH("NOT NULL",UPPER(L$3))),"''","null"),SUBSTITUTE(VLOOKUP(L$2,convert!$A$1:$B$4,2,0),"@@@",L911))</f>
        <v>'g7'</v>
      </c>
      <c r="AB911" s="4" t="str">
        <f>IF(M911="",IF(ISNUMBER(SEARCH("NOT NULL",UPPER(M$3))),"''","null"),SUBSTITUTE(VLOOKUP(M$2,convert!$A$1:$B$4,2,0),"@@@",M911))</f>
        <v>null</v>
      </c>
      <c r="AC911" s="4" t="str">
        <f>IF(N911="",IF(ISNUMBER(SEARCH("NOT NULL",UPPER(N$3))),"''","null"),SUBSTITUTE(VLOOKUP(N$2,convert!$A$1:$B$4,2,0),"@@@",N911))</f>
        <v>null</v>
      </c>
      <c r="AD911" s="4" t="str">
        <f>IF(O911="",IF(ISNUMBER(SEARCH("NOT NULL",UPPER(O$3))),"''","null"),SUBSTITUTE(VLOOKUP(O$2,convert!$A$1:$B$4,2,0),"@@@",O911))</f>
        <v>TRUE</v>
      </c>
      <c r="AE911" s="4" t="str">
        <f t="shared" si="14"/>
        <v>    ('0741N04', 'オドリドリ', 75, 70, 70, 98, 70, 93, 'まいまいスタイル', 'ghost', 'flying', 'g7', null, null, TRUE),</v>
      </c>
    </row>
    <row r="912" spans="1:31">
      <c r="A912" s="4" t="s">
        <v>1827</v>
      </c>
      <c r="B912" s="4" t="s">
        <v>1828</v>
      </c>
      <c r="C912" s="5">
        <v>40</v>
      </c>
      <c r="D912" s="5">
        <v>45</v>
      </c>
      <c r="E912" s="5">
        <v>40</v>
      </c>
      <c r="F912" s="5">
        <v>55</v>
      </c>
      <c r="G912" s="5">
        <v>40</v>
      </c>
      <c r="H912" s="5">
        <v>84</v>
      </c>
      <c r="I912" s="5"/>
      <c r="J912" s="4" t="s">
        <v>64</v>
      </c>
      <c r="K912" s="4" t="s">
        <v>137</v>
      </c>
      <c r="L912" s="4" t="s">
        <v>92</v>
      </c>
      <c r="M912" s="5"/>
      <c r="N912" s="5"/>
      <c r="O912" s="5" t="b">
        <v>1</v>
      </c>
      <c r="P912" s="4" t="str">
        <f>IF(A912="",IF(ISNUMBER(SEARCH("NOT NULL",UPPER(A$3))),"''","null"),SUBSTITUTE(VLOOKUP(A$2,convert!$A$1:$B$4,2,0),"@@@",A912))</f>
        <v>'0742N01'</v>
      </c>
      <c r="Q912" s="4" t="str">
        <f>IF(B912="",IF(ISNUMBER(SEARCH("NOT NULL",UPPER(B$3))),"''","null"),SUBSTITUTE(VLOOKUP(B$2,convert!$A$1:$B$4,2,0),"@@@",B912))</f>
        <v>'アブリー'</v>
      </c>
      <c r="R912" s="4" t="str">
        <f>IF(C912="",IF(ISNUMBER(SEARCH("NOT NULL",UPPER(C$3))),"''","null"),SUBSTITUTE(VLOOKUP(C$2,convert!$A$1:$B$4,2,0),"@@@",C912))</f>
        <v>40</v>
      </c>
      <c r="S912" s="4" t="str">
        <f>IF(D912="",IF(ISNUMBER(SEARCH("NOT NULL",UPPER(D$3))),"''","null"),SUBSTITUTE(VLOOKUP(D$2,convert!$A$1:$B$4,2,0),"@@@",D912))</f>
        <v>45</v>
      </c>
      <c r="T912" s="4" t="str">
        <f>IF(E912="",IF(ISNUMBER(SEARCH("NOT NULL",UPPER(E$3))),"''","null"),SUBSTITUTE(VLOOKUP(E$2,convert!$A$1:$B$4,2,0),"@@@",E912))</f>
        <v>40</v>
      </c>
      <c r="U912" s="4" t="str">
        <f>IF(F912="",IF(ISNUMBER(SEARCH("NOT NULL",UPPER(F$3))),"''","null"),SUBSTITUTE(VLOOKUP(F$2,convert!$A$1:$B$4,2,0),"@@@",F912))</f>
        <v>55</v>
      </c>
      <c r="V912" s="4" t="str">
        <f>IF(G912="",IF(ISNUMBER(SEARCH("NOT NULL",UPPER(G$3))),"''","null"),SUBSTITUTE(VLOOKUP(G$2,convert!$A$1:$B$4,2,0),"@@@",G912))</f>
        <v>40</v>
      </c>
      <c r="W912" s="4" t="str">
        <f>IF(H912="",IF(ISNUMBER(SEARCH("NOT NULL",UPPER(H$3))),"''","null"),SUBSTITUTE(VLOOKUP(H$2,convert!$A$1:$B$4,2,0),"@@@",H912))</f>
        <v>84</v>
      </c>
      <c r="X912" s="4" t="str">
        <f>IF(I912="",IF(ISNUMBER(SEARCH("NOT NULL",UPPER(I$3))),"''","null"),SUBSTITUTE(VLOOKUP(I$2,convert!$A$1:$B$4,2,0),"@@@",I912))</f>
        <v>''</v>
      </c>
      <c r="Y912" s="4" t="str">
        <f>IF(J912="",IF(ISNUMBER(SEARCH("NOT NULL",UPPER(J$3))),"''","null"),SUBSTITUTE(VLOOKUP(J$2,convert!$A$1:$B$4,2,0),"@@@",J912))</f>
        <v>'bug'</v>
      </c>
      <c r="Z912" s="4" t="str">
        <f>IF(K912="",IF(ISNUMBER(SEARCH("NOT NULL",UPPER(K$3))),"''","null"),SUBSTITUTE(VLOOKUP(K$2,convert!$A$1:$B$4,2,0),"@@@",K912))</f>
        <v>'fairy'</v>
      </c>
      <c r="AA912" s="4" t="str">
        <f>IF(L912="",IF(ISNUMBER(SEARCH("NOT NULL",UPPER(L$3))),"''","null"),SUBSTITUTE(VLOOKUP(L$2,convert!$A$1:$B$4,2,0),"@@@",L912))</f>
        <v>'g7'</v>
      </c>
      <c r="AB912" s="4" t="str">
        <f>IF(M912="",IF(ISNUMBER(SEARCH("NOT NULL",UPPER(M$3))),"''","null"),SUBSTITUTE(VLOOKUP(M$2,convert!$A$1:$B$4,2,0),"@@@",M912))</f>
        <v>null</v>
      </c>
      <c r="AC912" s="4" t="str">
        <f>IF(N912="",IF(ISNUMBER(SEARCH("NOT NULL",UPPER(N$3))),"''","null"),SUBSTITUTE(VLOOKUP(N$2,convert!$A$1:$B$4,2,0),"@@@",N912))</f>
        <v>null</v>
      </c>
      <c r="AD912" s="4" t="str">
        <f>IF(O912="",IF(ISNUMBER(SEARCH("NOT NULL",UPPER(O$3))),"''","null"),SUBSTITUTE(VLOOKUP(O$2,convert!$A$1:$B$4,2,0),"@@@",O912))</f>
        <v>TRUE</v>
      </c>
      <c r="AE912" s="4" t="str">
        <f t="shared" si="14"/>
        <v>    ('0742N01', 'アブリー', 40, 45, 40, 55, 40, 84, '', 'bug', 'fairy', 'g7', null, null, TRUE),</v>
      </c>
    </row>
    <row r="913" spans="1:31">
      <c r="A913" s="4" t="s">
        <v>1829</v>
      </c>
      <c r="B913" s="4" t="s">
        <v>1830</v>
      </c>
      <c r="C913" s="5">
        <v>60</v>
      </c>
      <c r="D913" s="5">
        <v>55</v>
      </c>
      <c r="E913" s="5">
        <v>60</v>
      </c>
      <c r="F913" s="5">
        <v>95</v>
      </c>
      <c r="G913" s="5">
        <v>70</v>
      </c>
      <c r="H913" s="5">
        <v>124</v>
      </c>
      <c r="I913" s="5"/>
      <c r="J913" s="4" t="s">
        <v>64</v>
      </c>
      <c r="K913" s="4" t="s">
        <v>137</v>
      </c>
      <c r="L913" s="4" t="s">
        <v>92</v>
      </c>
      <c r="M913" s="5"/>
      <c r="N913" s="5"/>
      <c r="O913" s="5" t="b">
        <v>1</v>
      </c>
      <c r="P913" s="4" t="str">
        <f>IF(A913="",IF(ISNUMBER(SEARCH("NOT NULL",UPPER(A$3))),"''","null"),SUBSTITUTE(VLOOKUP(A$2,convert!$A$1:$B$4,2,0),"@@@",A913))</f>
        <v>'0743N01'</v>
      </c>
      <c r="Q913" s="4" t="str">
        <f>IF(B913="",IF(ISNUMBER(SEARCH("NOT NULL",UPPER(B$3))),"''","null"),SUBSTITUTE(VLOOKUP(B$2,convert!$A$1:$B$4,2,0),"@@@",B913))</f>
        <v>'アブリボン'</v>
      </c>
      <c r="R913" s="4" t="str">
        <f>IF(C913="",IF(ISNUMBER(SEARCH("NOT NULL",UPPER(C$3))),"''","null"),SUBSTITUTE(VLOOKUP(C$2,convert!$A$1:$B$4,2,0),"@@@",C913))</f>
        <v>60</v>
      </c>
      <c r="S913" s="4" t="str">
        <f>IF(D913="",IF(ISNUMBER(SEARCH("NOT NULL",UPPER(D$3))),"''","null"),SUBSTITUTE(VLOOKUP(D$2,convert!$A$1:$B$4,2,0),"@@@",D913))</f>
        <v>55</v>
      </c>
      <c r="T913" s="4" t="str">
        <f>IF(E913="",IF(ISNUMBER(SEARCH("NOT NULL",UPPER(E$3))),"''","null"),SUBSTITUTE(VLOOKUP(E$2,convert!$A$1:$B$4,2,0),"@@@",E913))</f>
        <v>60</v>
      </c>
      <c r="U913" s="4" t="str">
        <f>IF(F913="",IF(ISNUMBER(SEARCH("NOT NULL",UPPER(F$3))),"''","null"),SUBSTITUTE(VLOOKUP(F$2,convert!$A$1:$B$4,2,0),"@@@",F913))</f>
        <v>95</v>
      </c>
      <c r="V913" s="4" t="str">
        <f>IF(G913="",IF(ISNUMBER(SEARCH("NOT NULL",UPPER(G$3))),"''","null"),SUBSTITUTE(VLOOKUP(G$2,convert!$A$1:$B$4,2,0),"@@@",G913))</f>
        <v>70</v>
      </c>
      <c r="W913" s="4" t="str">
        <f>IF(H913="",IF(ISNUMBER(SEARCH("NOT NULL",UPPER(H$3))),"''","null"),SUBSTITUTE(VLOOKUP(H$2,convert!$A$1:$B$4,2,0),"@@@",H913))</f>
        <v>124</v>
      </c>
      <c r="X913" s="4" t="str">
        <f>IF(I913="",IF(ISNUMBER(SEARCH("NOT NULL",UPPER(I$3))),"''","null"),SUBSTITUTE(VLOOKUP(I$2,convert!$A$1:$B$4,2,0),"@@@",I913))</f>
        <v>''</v>
      </c>
      <c r="Y913" s="4" t="str">
        <f>IF(J913="",IF(ISNUMBER(SEARCH("NOT NULL",UPPER(J$3))),"''","null"),SUBSTITUTE(VLOOKUP(J$2,convert!$A$1:$B$4,2,0),"@@@",J913))</f>
        <v>'bug'</v>
      </c>
      <c r="Z913" s="4" t="str">
        <f>IF(K913="",IF(ISNUMBER(SEARCH("NOT NULL",UPPER(K$3))),"''","null"),SUBSTITUTE(VLOOKUP(K$2,convert!$A$1:$B$4,2,0),"@@@",K913))</f>
        <v>'fairy'</v>
      </c>
      <c r="AA913" s="4" t="str">
        <f>IF(L913="",IF(ISNUMBER(SEARCH("NOT NULL",UPPER(L$3))),"''","null"),SUBSTITUTE(VLOOKUP(L$2,convert!$A$1:$B$4,2,0),"@@@",L913))</f>
        <v>'g7'</v>
      </c>
      <c r="AB913" s="4" t="str">
        <f>IF(M913="",IF(ISNUMBER(SEARCH("NOT NULL",UPPER(M$3))),"''","null"),SUBSTITUTE(VLOOKUP(M$2,convert!$A$1:$B$4,2,0),"@@@",M913))</f>
        <v>null</v>
      </c>
      <c r="AC913" s="4" t="str">
        <f>IF(N913="",IF(ISNUMBER(SEARCH("NOT NULL",UPPER(N$3))),"''","null"),SUBSTITUTE(VLOOKUP(N$2,convert!$A$1:$B$4,2,0),"@@@",N913))</f>
        <v>null</v>
      </c>
      <c r="AD913" s="4" t="str">
        <f>IF(O913="",IF(ISNUMBER(SEARCH("NOT NULL",UPPER(O$3))),"''","null"),SUBSTITUTE(VLOOKUP(O$2,convert!$A$1:$B$4,2,0),"@@@",O913))</f>
        <v>TRUE</v>
      </c>
      <c r="AE913" s="4" t="str">
        <f t="shared" si="14"/>
        <v>    ('0743N01', 'アブリボン', 60, 55, 60, 95, 70, 124, '', 'bug', 'fairy', 'g7', null, null, TRUE),</v>
      </c>
    </row>
    <row r="914" spans="1:31">
      <c r="A914" s="4" t="s">
        <v>1831</v>
      </c>
      <c r="B914" s="4" t="s">
        <v>1832</v>
      </c>
      <c r="C914" s="5">
        <v>45</v>
      </c>
      <c r="D914" s="5">
        <v>65</v>
      </c>
      <c r="E914" s="5">
        <v>40</v>
      </c>
      <c r="F914" s="5">
        <v>30</v>
      </c>
      <c r="G914" s="5">
        <v>40</v>
      </c>
      <c r="H914" s="5">
        <v>60</v>
      </c>
      <c r="I914" s="5"/>
      <c r="J914" s="4" t="s">
        <v>196</v>
      </c>
      <c r="K914" s="5"/>
      <c r="L914" s="4" t="s">
        <v>92</v>
      </c>
      <c r="M914" s="5"/>
      <c r="N914" s="5"/>
      <c r="O914" s="5" t="b">
        <v>1</v>
      </c>
      <c r="P914" s="4" t="str">
        <f>IF(A914="",IF(ISNUMBER(SEARCH("NOT NULL",UPPER(A$3))),"''","null"),SUBSTITUTE(VLOOKUP(A$2,convert!$A$1:$B$4,2,0),"@@@",A914))</f>
        <v>'0744N01'</v>
      </c>
      <c r="Q914" s="4" t="str">
        <f>IF(B914="",IF(ISNUMBER(SEARCH("NOT NULL",UPPER(B$3))),"''","null"),SUBSTITUTE(VLOOKUP(B$2,convert!$A$1:$B$4,2,0),"@@@",B914))</f>
        <v>'イワンコ'</v>
      </c>
      <c r="R914" s="4" t="str">
        <f>IF(C914="",IF(ISNUMBER(SEARCH("NOT NULL",UPPER(C$3))),"''","null"),SUBSTITUTE(VLOOKUP(C$2,convert!$A$1:$B$4,2,0),"@@@",C914))</f>
        <v>45</v>
      </c>
      <c r="S914" s="4" t="str">
        <f>IF(D914="",IF(ISNUMBER(SEARCH("NOT NULL",UPPER(D$3))),"''","null"),SUBSTITUTE(VLOOKUP(D$2,convert!$A$1:$B$4,2,0),"@@@",D914))</f>
        <v>65</v>
      </c>
      <c r="T914" s="4" t="str">
        <f>IF(E914="",IF(ISNUMBER(SEARCH("NOT NULL",UPPER(E$3))),"''","null"),SUBSTITUTE(VLOOKUP(E$2,convert!$A$1:$B$4,2,0),"@@@",E914))</f>
        <v>40</v>
      </c>
      <c r="U914" s="4" t="str">
        <f>IF(F914="",IF(ISNUMBER(SEARCH("NOT NULL",UPPER(F$3))),"''","null"),SUBSTITUTE(VLOOKUP(F$2,convert!$A$1:$B$4,2,0),"@@@",F914))</f>
        <v>30</v>
      </c>
      <c r="V914" s="4" t="str">
        <f>IF(G914="",IF(ISNUMBER(SEARCH("NOT NULL",UPPER(G$3))),"''","null"),SUBSTITUTE(VLOOKUP(G$2,convert!$A$1:$B$4,2,0),"@@@",G914))</f>
        <v>40</v>
      </c>
      <c r="W914" s="4" t="str">
        <f>IF(H914="",IF(ISNUMBER(SEARCH("NOT NULL",UPPER(H$3))),"''","null"),SUBSTITUTE(VLOOKUP(H$2,convert!$A$1:$B$4,2,0),"@@@",H914))</f>
        <v>60</v>
      </c>
      <c r="X914" s="4" t="str">
        <f>IF(I914="",IF(ISNUMBER(SEARCH("NOT NULL",UPPER(I$3))),"''","null"),SUBSTITUTE(VLOOKUP(I$2,convert!$A$1:$B$4,2,0),"@@@",I914))</f>
        <v>''</v>
      </c>
      <c r="Y914" s="4" t="str">
        <f>IF(J914="",IF(ISNUMBER(SEARCH("NOT NULL",UPPER(J$3))),"''","null"),SUBSTITUTE(VLOOKUP(J$2,convert!$A$1:$B$4,2,0),"@@@",J914))</f>
        <v>'rock'</v>
      </c>
      <c r="Z914" s="4" t="str">
        <f>IF(K914="",IF(ISNUMBER(SEARCH("NOT NULL",UPPER(K$3))),"''","null"),SUBSTITUTE(VLOOKUP(K$2,convert!$A$1:$B$4,2,0),"@@@",K914))</f>
        <v>null</v>
      </c>
      <c r="AA914" s="4" t="str">
        <f>IF(L914="",IF(ISNUMBER(SEARCH("NOT NULL",UPPER(L$3))),"''","null"),SUBSTITUTE(VLOOKUP(L$2,convert!$A$1:$B$4,2,0),"@@@",L914))</f>
        <v>'g7'</v>
      </c>
      <c r="AB914" s="4" t="str">
        <f>IF(M914="",IF(ISNUMBER(SEARCH("NOT NULL",UPPER(M$3))),"''","null"),SUBSTITUTE(VLOOKUP(M$2,convert!$A$1:$B$4,2,0),"@@@",M914))</f>
        <v>null</v>
      </c>
      <c r="AC914" s="4" t="str">
        <f>IF(N914="",IF(ISNUMBER(SEARCH("NOT NULL",UPPER(N$3))),"''","null"),SUBSTITUTE(VLOOKUP(N$2,convert!$A$1:$B$4,2,0),"@@@",N914))</f>
        <v>null</v>
      </c>
      <c r="AD914" s="4" t="str">
        <f>IF(O914="",IF(ISNUMBER(SEARCH("NOT NULL",UPPER(O$3))),"''","null"),SUBSTITUTE(VLOOKUP(O$2,convert!$A$1:$B$4,2,0),"@@@",O914))</f>
        <v>TRUE</v>
      </c>
      <c r="AE914" s="4" t="str">
        <f t="shared" si="14"/>
        <v>    ('0744N01', 'イワンコ', 45, 65, 40, 30, 40, 60, '', 'rock', null, 'g7', null, null, TRUE),</v>
      </c>
    </row>
    <row r="915" spans="1:31">
      <c r="A915" s="4" t="s">
        <v>1833</v>
      </c>
      <c r="B915" s="4" t="s">
        <v>1834</v>
      </c>
      <c r="C915" s="5">
        <v>75</v>
      </c>
      <c r="D915" s="5">
        <v>115</v>
      </c>
      <c r="E915" s="5">
        <v>65</v>
      </c>
      <c r="F915" s="5">
        <v>55</v>
      </c>
      <c r="G915" s="5">
        <v>65</v>
      </c>
      <c r="H915" s="5">
        <v>112</v>
      </c>
      <c r="I915" s="4" t="s">
        <v>1835</v>
      </c>
      <c r="J915" s="4" t="s">
        <v>196</v>
      </c>
      <c r="K915" s="5"/>
      <c r="L915" s="4" t="s">
        <v>92</v>
      </c>
      <c r="M915" s="5"/>
      <c r="N915" s="5"/>
      <c r="O915" s="5" t="b">
        <v>1</v>
      </c>
      <c r="P915" s="4" t="str">
        <f>IF(A915="",IF(ISNUMBER(SEARCH("NOT NULL",UPPER(A$3))),"''","null"),SUBSTITUTE(VLOOKUP(A$2,convert!$A$1:$B$4,2,0),"@@@",A915))</f>
        <v>'0745N01'</v>
      </c>
      <c r="Q915" s="4" t="str">
        <f>IF(B915="",IF(ISNUMBER(SEARCH("NOT NULL",UPPER(B$3))),"''","null"),SUBSTITUTE(VLOOKUP(B$2,convert!$A$1:$B$4,2,0),"@@@",B915))</f>
        <v>'ルガルガン'</v>
      </c>
      <c r="R915" s="4" t="str">
        <f>IF(C915="",IF(ISNUMBER(SEARCH("NOT NULL",UPPER(C$3))),"''","null"),SUBSTITUTE(VLOOKUP(C$2,convert!$A$1:$B$4,2,0),"@@@",C915))</f>
        <v>75</v>
      </c>
      <c r="S915" s="4" t="str">
        <f>IF(D915="",IF(ISNUMBER(SEARCH("NOT NULL",UPPER(D$3))),"''","null"),SUBSTITUTE(VLOOKUP(D$2,convert!$A$1:$B$4,2,0),"@@@",D915))</f>
        <v>115</v>
      </c>
      <c r="T915" s="4" t="str">
        <f>IF(E915="",IF(ISNUMBER(SEARCH("NOT NULL",UPPER(E$3))),"''","null"),SUBSTITUTE(VLOOKUP(E$2,convert!$A$1:$B$4,2,0),"@@@",E915))</f>
        <v>65</v>
      </c>
      <c r="U915" s="4" t="str">
        <f>IF(F915="",IF(ISNUMBER(SEARCH("NOT NULL",UPPER(F$3))),"''","null"),SUBSTITUTE(VLOOKUP(F$2,convert!$A$1:$B$4,2,0),"@@@",F915))</f>
        <v>55</v>
      </c>
      <c r="V915" s="4" t="str">
        <f>IF(G915="",IF(ISNUMBER(SEARCH("NOT NULL",UPPER(G$3))),"''","null"),SUBSTITUTE(VLOOKUP(G$2,convert!$A$1:$B$4,2,0),"@@@",G915))</f>
        <v>65</v>
      </c>
      <c r="W915" s="4" t="str">
        <f>IF(H915="",IF(ISNUMBER(SEARCH("NOT NULL",UPPER(H$3))),"''","null"),SUBSTITUTE(VLOOKUP(H$2,convert!$A$1:$B$4,2,0),"@@@",H915))</f>
        <v>112</v>
      </c>
      <c r="X915" s="4" t="str">
        <f>IF(I915="",IF(ISNUMBER(SEARCH("NOT NULL",UPPER(I$3))),"''","null"),SUBSTITUTE(VLOOKUP(I$2,convert!$A$1:$B$4,2,0),"@@@",I915))</f>
        <v>'まひるのすがた'</v>
      </c>
      <c r="Y915" s="4" t="str">
        <f>IF(J915="",IF(ISNUMBER(SEARCH("NOT NULL",UPPER(J$3))),"''","null"),SUBSTITUTE(VLOOKUP(J$2,convert!$A$1:$B$4,2,0),"@@@",J915))</f>
        <v>'rock'</v>
      </c>
      <c r="Z915" s="4" t="str">
        <f>IF(K915="",IF(ISNUMBER(SEARCH("NOT NULL",UPPER(K$3))),"''","null"),SUBSTITUTE(VLOOKUP(K$2,convert!$A$1:$B$4,2,0),"@@@",K915))</f>
        <v>null</v>
      </c>
      <c r="AA915" s="4" t="str">
        <f>IF(L915="",IF(ISNUMBER(SEARCH("NOT NULL",UPPER(L$3))),"''","null"),SUBSTITUTE(VLOOKUP(L$2,convert!$A$1:$B$4,2,0),"@@@",L915))</f>
        <v>'g7'</v>
      </c>
      <c r="AB915" s="4" t="str">
        <f>IF(M915="",IF(ISNUMBER(SEARCH("NOT NULL",UPPER(M$3))),"''","null"),SUBSTITUTE(VLOOKUP(M$2,convert!$A$1:$B$4,2,0),"@@@",M915))</f>
        <v>null</v>
      </c>
      <c r="AC915" s="4" t="str">
        <f>IF(N915="",IF(ISNUMBER(SEARCH("NOT NULL",UPPER(N$3))),"''","null"),SUBSTITUTE(VLOOKUP(N$2,convert!$A$1:$B$4,2,0),"@@@",N915))</f>
        <v>null</v>
      </c>
      <c r="AD915" s="4" t="str">
        <f>IF(O915="",IF(ISNUMBER(SEARCH("NOT NULL",UPPER(O$3))),"''","null"),SUBSTITUTE(VLOOKUP(O$2,convert!$A$1:$B$4,2,0),"@@@",O915))</f>
        <v>TRUE</v>
      </c>
      <c r="AE915" s="4" t="str">
        <f t="shared" si="14"/>
        <v>    ('0745N01', 'ルガルガン', 75, 115, 65, 55, 65, 112, 'まひるのすがた', 'rock', null, 'g7', null, null, TRUE),</v>
      </c>
    </row>
    <row r="916" spans="1:31">
      <c r="A916" s="4" t="s">
        <v>1836</v>
      </c>
      <c r="B916" s="4" t="s">
        <v>1834</v>
      </c>
      <c r="C916" s="5">
        <v>85</v>
      </c>
      <c r="D916" s="5">
        <v>115</v>
      </c>
      <c r="E916" s="5">
        <v>75</v>
      </c>
      <c r="F916" s="5">
        <v>55</v>
      </c>
      <c r="G916" s="5">
        <v>75</v>
      </c>
      <c r="H916" s="5">
        <v>82</v>
      </c>
      <c r="I916" s="4" t="s">
        <v>1837</v>
      </c>
      <c r="J916" s="4" t="s">
        <v>196</v>
      </c>
      <c r="K916" s="5"/>
      <c r="L916" s="4" t="s">
        <v>92</v>
      </c>
      <c r="M916" s="5"/>
      <c r="N916" s="5"/>
      <c r="O916" s="5" t="b">
        <v>1</v>
      </c>
      <c r="P916" s="4" t="str">
        <f>IF(A916="",IF(ISNUMBER(SEARCH("NOT NULL",UPPER(A$3))),"''","null"),SUBSTITUTE(VLOOKUP(A$2,convert!$A$1:$B$4,2,0),"@@@",A916))</f>
        <v>'0745N02'</v>
      </c>
      <c r="Q916" s="4" t="str">
        <f>IF(B916="",IF(ISNUMBER(SEARCH("NOT NULL",UPPER(B$3))),"''","null"),SUBSTITUTE(VLOOKUP(B$2,convert!$A$1:$B$4,2,0),"@@@",B916))</f>
        <v>'ルガルガン'</v>
      </c>
      <c r="R916" s="4" t="str">
        <f>IF(C916="",IF(ISNUMBER(SEARCH("NOT NULL",UPPER(C$3))),"''","null"),SUBSTITUTE(VLOOKUP(C$2,convert!$A$1:$B$4,2,0),"@@@",C916))</f>
        <v>85</v>
      </c>
      <c r="S916" s="4" t="str">
        <f>IF(D916="",IF(ISNUMBER(SEARCH("NOT NULL",UPPER(D$3))),"''","null"),SUBSTITUTE(VLOOKUP(D$2,convert!$A$1:$B$4,2,0),"@@@",D916))</f>
        <v>115</v>
      </c>
      <c r="T916" s="4" t="str">
        <f>IF(E916="",IF(ISNUMBER(SEARCH("NOT NULL",UPPER(E$3))),"''","null"),SUBSTITUTE(VLOOKUP(E$2,convert!$A$1:$B$4,2,0),"@@@",E916))</f>
        <v>75</v>
      </c>
      <c r="U916" s="4" t="str">
        <f>IF(F916="",IF(ISNUMBER(SEARCH("NOT NULL",UPPER(F$3))),"''","null"),SUBSTITUTE(VLOOKUP(F$2,convert!$A$1:$B$4,2,0),"@@@",F916))</f>
        <v>55</v>
      </c>
      <c r="V916" s="4" t="str">
        <f>IF(G916="",IF(ISNUMBER(SEARCH("NOT NULL",UPPER(G$3))),"''","null"),SUBSTITUTE(VLOOKUP(G$2,convert!$A$1:$B$4,2,0),"@@@",G916))</f>
        <v>75</v>
      </c>
      <c r="W916" s="4" t="str">
        <f>IF(H916="",IF(ISNUMBER(SEARCH("NOT NULL",UPPER(H$3))),"''","null"),SUBSTITUTE(VLOOKUP(H$2,convert!$A$1:$B$4,2,0),"@@@",H916))</f>
        <v>82</v>
      </c>
      <c r="X916" s="4" t="str">
        <f>IF(I916="",IF(ISNUMBER(SEARCH("NOT NULL",UPPER(I$3))),"''","null"),SUBSTITUTE(VLOOKUP(I$2,convert!$A$1:$B$4,2,0),"@@@",I916))</f>
        <v>'まよなかのすがた'</v>
      </c>
      <c r="Y916" s="4" t="str">
        <f>IF(J916="",IF(ISNUMBER(SEARCH("NOT NULL",UPPER(J$3))),"''","null"),SUBSTITUTE(VLOOKUP(J$2,convert!$A$1:$B$4,2,0),"@@@",J916))</f>
        <v>'rock'</v>
      </c>
      <c r="Z916" s="4" t="str">
        <f>IF(K916="",IF(ISNUMBER(SEARCH("NOT NULL",UPPER(K$3))),"''","null"),SUBSTITUTE(VLOOKUP(K$2,convert!$A$1:$B$4,2,0),"@@@",K916))</f>
        <v>null</v>
      </c>
      <c r="AA916" s="4" t="str">
        <f>IF(L916="",IF(ISNUMBER(SEARCH("NOT NULL",UPPER(L$3))),"''","null"),SUBSTITUTE(VLOOKUP(L$2,convert!$A$1:$B$4,2,0),"@@@",L916))</f>
        <v>'g7'</v>
      </c>
      <c r="AB916" s="4" t="str">
        <f>IF(M916="",IF(ISNUMBER(SEARCH("NOT NULL",UPPER(M$3))),"''","null"),SUBSTITUTE(VLOOKUP(M$2,convert!$A$1:$B$4,2,0),"@@@",M916))</f>
        <v>null</v>
      </c>
      <c r="AC916" s="4" t="str">
        <f>IF(N916="",IF(ISNUMBER(SEARCH("NOT NULL",UPPER(N$3))),"''","null"),SUBSTITUTE(VLOOKUP(N$2,convert!$A$1:$B$4,2,0),"@@@",N916))</f>
        <v>null</v>
      </c>
      <c r="AD916" s="4" t="str">
        <f>IF(O916="",IF(ISNUMBER(SEARCH("NOT NULL",UPPER(O$3))),"''","null"),SUBSTITUTE(VLOOKUP(O$2,convert!$A$1:$B$4,2,0),"@@@",O916))</f>
        <v>TRUE</v>
      </c>
      <c r="AE916" s="4" t="str">
        <f t="shared" si="14"/>
        <v>    ('0745N02', 'ルガルガン', 85, 115, 75, 55, 75, 82, 'まよなかのすがた', 'rock', null, 'g7', null, null, TRUE),</v>
      </c>
    </row>
    <row r="917" spans="1:31">
      <c r="A917" s="4" t="s">
        <v>1838</v>
      </c>
      <c r="B917" s="4" t="s">
        <v>1834</v>
      </c>
      <c r="C917" s="5">
        <v>75</v>
      </c>
      <c r="D917" s="5">
        <v>117</v>
      </c>
      <c r="E917" s="5">
        <v>65</v>
      </c>
      <c r="F917" s="5">
        <v>55</v>
      </c>
      <c r="G917" s="5">
        <v>65</v>
      </c>
      <c r="H917" s="5">
        <v>110</v>
      </c>
      <c r="I917" s="4" t="s">
        <v>1839</v>
      </c>
      <c r="J917" s="4" t="s">
        <v>196</v>
      </c>
      <c r="K917" s="5"/>
      <c r="L917" s="4" t="s">
        <v>92</v>
      </c>
      <c r="M917" s="5"/>
      <c r="N917" s="5"/>
      <c r="O917" s="5" t="b">
        <v>1</v>
      </c>
      <c r="P917" s="4" t="str">
        <f>IF(A917="",IF(ISNUMBER(SEARCH("NOT NULL",UPPER(A$3))),"''","null"),SUBSTITUTE(VLOOKUP(A$2,convert!$A$1:$B$4,2,0),"@@@",A917))</f>
        <v>'0745N03'</v>
      </c>
      <c r="Q917" s="4" t="str">
        <f>IF(B917="",IF(ISNUMBER(SEARCH("NOT NULL",UPPER(B$3))),"''","null"),SUBSTITUTE(VLOOKUP(B$2,convert!$A$1:$B$4,2,0),"@@@",B917))</f>
        <v>'ルガルガン'</v>
      </c>
      <c r="R917" s="4" t="str">
        <f>IF(C917="",IF(ISNUMBER(SEARCH("NOT NULL",UPPER(C$3))),"''","null"),SUBSTITUTE(VLOOKUP(C$2,convert!$A$1:$B$4,2,0),"@@@",C917))</f>
        <v>75</v>
      </c>
      <c r="S917" s="4" t="str">
        <f>IF(D917="",IF(ISNUMBER(SEARCH("NOT NULL",UPPER(D$3))),"''","null"),SUBSTITUTE(VLOOKUP(D$2,convert!$A$1:$B$4,2,0),"@@@",D917))</f>
        <v>117</v>
      </c>
      <c r="T917" s="4" t="str">
        <f>IF(E917="",IF(ISNUMBER(SEARCH("NOT NULL",UPPER(E$3))),"''","null"),SUBSTITUTE(VLOOKUP(E$2,convert!$A$1:$B$4,2,0),"@@@",E917))</f>
        <v>65</v>
      </c>
      <c r="U917" s="4" t="str">
        <f>IF(F917="",IF(ISNUMBER(SEARCH("NOT NULL",UPPER(F$3))),"''","null"),SUBSTITUTE(VLOOKUP(F$2,convert!$A$1:$B$4,2,0),"@@@",F917))</f>
        <v>55</v>
      </c>
      <c r="V917" s="4" t="str">
        <f>IF(G917="",IF(ISNUMBER(SEARCH("NOT NULL",UPPER(G$3))),"''","null"),SUBSTITUTE(VLOOKUP(G$2,convert!$A$1:$B$4,2,0),"@@@",G917))</f>
        <v>65</v>
      </c>
      <c r="W917" s="4" t="str">
        <f>IF(H917="",IF(ISNUMBER(SEARCH("NOT NULL",UPPER(H$3))),"''","null"),SUBSTITUTE(VLOOKUP(H$2,convert!$A$1:$B$4,2,0),"@@@",H917))</f>
        <v>110</v>
      </c>
      <c r="X917" s="4" t="str">
        <f>IF(I917="",IF(ISNUMBER(SEARCH("NOT NULL",UPPER(I$3))),"''","null"),SUBSTITUTE(VLOOKUP(I$2,convert!$A$1:$B$4,2,0),"@@@",I917))</f>
        <v>'たそがれのすがた'</v>
      </c>
      <c r="Y917" s="4" t="str">
        <f>IF(J917="",IF(ISNUMBER(SEARCH("NOT NULL",UPPER(J$3))),"''","null"),SUBSTITUTE(VLOOKUP(J$2,convert!$A$1:$B$4,2,0),"@@@",J917))</f>
        <v>'rock'</v>
      </c>
      <c r="Z917" s="4" t="str">
        <f>IF(K917="",IF(ISNUMBER(SEARCH("NOT NULL",UPPER(K$3))),"''","null"),SUBSTITUTE(VLOOKUP(K$2,convert!$A$1:$B$4,2,0),"@@@",K917))</f>
        <v>null</v>
      </c>
      <c r="AA917" s="4" t="str">
        <f>IF(L917="",IF(ISNUMBER(SEARCH("NOT NULL",UPPER(L$3))),"''","null"),SUBSTITUTE(VLOOKUP(L$2,convert!$A$1:$B$4,2,0),"@@@",L917))</f>
        <v>'g7'</v>
      </c>
      <c r="AB917" s="4" t="str">
        <f>IF(M917="",IF(ISNUMBER(SEARCH("NOT NULL",UPPER(M$3))),"''","null"),SUBSTITUTE(VLOOKUP(M$2,convert!$A$1:$B$4,2,0),"@@@",M917))</f>
        <v>null</v>
      </c>
      <c r="AC917" s="4" t="str">
        <f>IF(N917="",IF(ISNUMBER(SEARCH("NOT NULL",UPPER(N$3))),"''","null"),SUBSTITUTE(VLOOKUP(N$2,convert!$A$1:$B$4,2,0),"@@@",N917))</f>
        <v>null</v>
      </c>
      <c r="AD917" s="4" t="str">
        <f>IF(O917="",IF(ISNUMBER(SEARCH("NOT NULL",UPPER(O$3))),"''","null"),SUBSTITUTE(VLOOKUP(O$2,convert!$A$1:$B$4,2,0),"@@@",O917))</f>
        <v>TRUE</v>
      </c>
      <c r="AE917" s="4" t="str">
        <f t="shared" si="14"/>
        <v>    ('0745N03', 'ルガルガン', 75, 117, 65, 55, 65, 110, 'たそがれのすがた', 'rock', null, 'g7', null, null, TRUE),</v>
      </c>
    </row>
    <row r="918" spans="1:31">
      <c r="A918" s="4" t="s">
        <v>1840</v>
      </c>
      <c r="B918" s="4" t="s">
        <v>1841</v>
      </c>
      <c r="C918" s="5">
        <v>45</v>
      </c>
      <c r="D918" s="5">
        <v>20</v>
      </c>
      <c r="E918" s="5">
        <v>20</v>
      </c>
      <c r="F918" s="5">
        <v>25</v>
      </c>
      <c r="G918" s="5">
        <v>25</v>
      </c>
      <c r="H918" s="5">
        <v>40</v>
      </c>
      <c r="I918" s="4" t="s">
        <v>1842</v>
      </c>
      <c r="J918" s="4" t="s">
        <v>55</v>
      </c>
      <c r="K918" s="5"/>
      <c r="L918" s="4" t="s">
        <v>92</v>
      </c>
      <c r="M918" s="5"/>
      <c r="N918" s="5"/>
      <c r="O918" s="5" t="b">
        <v>0</v>
      </c>
      <c r="P918" s="4" t="str">
        <f>IF(A918="",IF(ISNUMBER(SEARCH("NOT NULL",UPPER(A$3))),"''","null"),SUBSTITUTE(VLOOKUP(A$2,convert!$A$1:$B$4,2,0),"@@@",A918))</f>
        <v>'0746N01'</v>
      </c>
      <c r="Q918" s="4" t="str">
        <f>IF(B918="",IF(ISNUMBER(SEARCH("NOT NULL",UPPER(B$3))),"''","null"),SUBSTITUTE(VLOOKUP(B$2,convert!$A$1:$B$4,2,0),"@@@",B918))</f>
        <v>'ヨワシ'</v>
      </c>
      <c r="R918" s="4" t="str">
        <f>IF(C918="",IF(ISNUMBER(SEARCH("NOT NULL",UPPER(C$3))),"''","null"),SUBSTITUTE(VLOOKUP(C$2,convert!$A$1:$B$4,2,0),"@@@",C918))</f>
        <v>45</v>
      </c>
      <c r="S918" s="4" t="str">
        <f>IF(D918="",IF(ISNUMBER(SEARCH("NOT NULL",UPPER(D$3))),"''","null"),SUBSTITUTE(VLOOKUP(D$2,convert!$A$1:$B$4,2,0),"@@@",D918))</f>
        <v>20</v>
      </c>
      <c r="T918" s="4" t="str">
        <f>IF(E918="",IF(ISNUMBER(SEARCH("NOT NULL",UPPER(E$3))),"''","null"),SUBSTITUTE(VLOOKUP(E$2,convert!$A$1:$B$4,2,0),"@@@",E918))</f>
        <v>20</v>
      </c>
      <c r="U918" s="4" t="str">
        <f>IF(F918="",IF(ISNUMBER(SEARCH("NOT NULL",UPPER(F$3))),"''","null"),SUBSTITUTE(VLOOKUP(F$2,convert!$A$1:$B$4,2,0),"@@@",F918))</f>
        <v>25</v>
      </c>
      <c r="V918" s="4" t="str">
        <f>IF(G918="",IF(ISNUMBER(SEARCH("NOT NULL",UPPER(G$3))),"''","null"),SUBSTITUTE(VLOOKUP(G$2,convert!$A$1:$B$4,2,0),"@@@",G918))</f>
        <v>25</v>
      </c>
      <c r="W918" s="4" t="str">
        <f>IF(H918="",IF(ISNUMBER(SEARCH("NOT NULL",UPPER(H$3))),"''","null"),SUBSTITUTE(VLOOKUP(H$2,convert!$A$1:$B$4,2,0),"@@@",H918))</f>
        <v>40</v>
      </c>
      <c r="X918" s="4" t="str">
        <f>IF(I918="",IF(ISNUMBER(SEARCH("NOT NULL",UPPER(I$3))),"''","null"),SUBSTITUTE(VLOOKUP(I$2,convert!$A$1:$B$4,2,0),"@@@",I918))</f>
        <v>'たんどくのすがた'</v>
      </c>
      <c r="Y918" s="4" t="str">
        <f>IF(J918="",IF(ISNUMBER(SEARCH("NOT NULL",UPPER(J$3))),"''","null"),SUBSTITUTE(VLOOKUP(J$2,convert!$A$1:$B$4,2,0),"@@@",J918))</f>
        <v>'water'</v>
      </c>
      <c r="Z918" s="4" t="str">
        <f>IF(K918="",IF(ISNUMBER(SEARCH("NOT NULL",UPPER(K$3))),"''","null"),SUBSTITUTE(VLOOKUP(K$2,convert!$A$1:$B$4,2,0),"@@@",K918))</f>
        <v>null</v>
      </c>
      <c r="AA918" s="4" t="str">
        <f>IF(L918="",IF(ISNUMBER(SEARCH("NOT NULL",UPPER(L$3))),"''","null"),SUBSTITUTE(VLOOKUP(L$2,convert!$A$1:$B$4,2,0),"@@@",L918))</f>
        <v>'g7'</v>
      </c>
      <c r="AB918" s="4" t="str">
        <f>IF(M918="",IF(ISNUMBER(SEARCH("NOT NULL",UPPER(M$3))),"''","null"),SUBSTITUTE(VLOOKUP(M$2,convert!$A$1:$B$4,2,0),"@@@",M918))</f>
        <v>null</v>
      </c>
      <c r="AC918" s="4" t="str">
        <f>IF(N918="",IF(ISNUMBER(SEARCH("NOT NULL",UPPER(N$3))),"''","null"),SUBSTITUTE(VLOOKUP(N$2,convert!$A$1:$B$4,2,0),"@@@",N918))</f>
        <v>null</v>
      </c>
      <c r="AD918" s="4" t="str">
        <f>IF(O918="",IF(ISNUMBER(SEARCH("NOT NULL",UPPER(O$3))),"''","null"),SUBSTITUTE(VLOOKUP(O$2,convert!$A$1:$B$4,2,0),"@@@",O918))</f>
        <v>FALSE</v>
      </c>
      <c r="AE918" s="4" t="str">
        <f t="shared" si="14"/>
        <v>    ('0746N01', 'ヨワシ', 45, 20, 20, 25, 25, 40, 'たんどくのすがた', 'water', null, 'g7', null, null, FALSE),</v>
      </c>
    </row>
    <row r="919" spans="1:31">
      <c r="A919" s="4" t="s">
        <v>1843</v>
      </c>
      <c r="B919" s="4" t="s">
        <v>1841</v>
      </c>
      <c r="C919" s="5">
        <v>45</v>
      </c>
      <c r="D919" s="5">
        <v>140</v>
      </c>
      <c r="E919" s="5">
        <v>130</v>
      </c>
      <c r="F919" s="5">
        <v>140</v>
      </c>
      <c r="G919" s="5">
        <v>135</v>
      </c>
      <c r="H919" s="5">
        <v>30</v>
      </c>
      <c r="I919" s="4" t="s">
        <v>1844</v>
      </c>
      <c r="J919" s="4" t="s">
        <v>55</v>
      </c>
      <c r="K919" s="5"/>
      <c r="L919" s="4" t="s">
        <v>92</v>
      </c>
      <c r="M919" s="5"/>
      <c r="N919" s="5"/>
      <c r="O919" s="5" t="b">
        <v>0</v>
      </c>
      <c r="P919" s="4" t="str">
        <f>IF(A919="",IF(ISNUMBER(SEARCH("NOT NULL",UPPER(A$3))),"''","null"),SUBSTITUTE(VLOOKUP(A$2,convert!$A$1:$B$4,2,0),"@@@",A919))</f>
        <v>'0746N02'</v>
      </c>
      <c r="Q919" s="4" t="str">
        <f>IF(B919="",IF(ISNUMBER(SEARCH("NOT NULL",UPPER(B$3))),"''","null"),SUBSTITUTE(VLOOKUP(B$2,convert!$A$1:$B$4,2,0),"@@@",B919))</f>
        <v>'ヨワシ'</v>
      </c>
      <c r="R919" s="4" t="str">
        <f>IF(C919="",IF(ISNUMBER(SEARCH("NOT NULL",UPPER(C$3))),"''","null"),SUBSTITUTE(VLOOKUP(C$2,convert!$A$1:$B$4,2,0),"@@@",C919))</f>
        <v>45</v>
      </c>
      <c r="S919" s="4" t="str">
        <f>IF(D919="",IF(ISNUMBER(SEARCH("NOT NULL",UPPER(D$3))),"''","null"),SUBSTITUTE(VLOOKUP(D$2,convert!$A$1:$B$4,2,0),"@@@",D919))</f>
        <v>140</v>
      </c>
      <c r="T919" s="4" t="str">
        <f>IF(E919="",IF(ISNUMBER(SEARCH("NOT NULL",UPPER(E$3))),"''","null"),SUBSTITUTE(VLOOKUP(E$2,convert!$A$1:$B$4,2,0),"@@@",E919))</f>
        <v>130</v>
      </c>
      <c r="U919" s="4" t="str">
        <f>IF(F919="",IF(ISNUMBER(SEARCH("NOT NULL",UPPER(F$3))),"''","null"),SUBSTITUTE(VLOOKUP(F$2,convert!$A$1:$B$4,2,0),"@@@",F919))</f>
        <v>140</v>
      </c>
      <c r="V919" s="4" t="str">
        <f>IF(G919="",IF(ISNUMBER(SEARCH("NOT NULL",UPPER(G$3))),"''","null"),SUBSTITUTE(VLOOKUP(G$2,convert!$A$1:$B$4,2,0),"@@@",G919))</f>
        <v>135</v>
      </c>
      <c r="W919" s="4" t="str">
        <f>IF(H919="",IF(ISNUMBER(SEARCH("NOT NULL",UPPER(H$3))),"''","null"),SUBSTITUTE(VLOOKUP(H$2,convert!$A$1:$B$4,2,0),"@@@",H919))</f>
        <v>30</v>
      </c>
      <c r="X919" s="4" t="str">
        <f>IF(I919="",IF(ISNUMBER(SEARCH("NOT NULL",UPPER(I$3))),"''","null"),SUBSTITUTE(VLOOKUP(I$2,convert!$A$1:$B$4,2,0),"@@@",I919))</f>
        <v>'むれたすがた'</v>
      </c>
      <c r="Y919" s="4" t="str">
        <f>IF(J919="",IF(ISNUMBER(SEARCH("NOT NULL",UPPER(J$3))),"''","null"),SUBSTITUTE(VLOOKUP(J$2,convert!$A$1:$B$4,2,0),"@@@",J919))</f>
        <v>'water'</v>
      </c>
      <c r="Z919" s="4" t="str">
        <f>IF(K919="",IF(ISNUMBER(SEARCH("NOT NULL",UPPER(K$3))),"''","null"),SUBSTITUTE(VLOOKUP(K$2,convert!$A$1:$B$4,2,0),"@@@",K919))</f>
        <v>null</v>
      </c>
      <c r="AA919" s="4" t="str">
        <f>IF(L919="",IF(ISNUMBER(SEARCH("NOT NULL",UPPER(L$3))),"''","null"),SUBSTITUTE(VLOOKUP(L$2,convert!$A$1:$B$4,2,0),"@@@",L919))</f>
        <v>'g7'</v>
      </c>
      <c r="AB919" s="4" t="str">
        <f>IF(M919="",IF(ISNUMBER(SEARCH("NOT NULL",UPPER(M$3))),"''","null"),SUBSTITUTE(VLOOKUP(M$2,convert!$A$1:$B$4,2,0),"@@@",M919))</f>
        <v>null</v>
      </c>
      <c r="AC919" s="4" t="str">
        <f>IF(N919="",IF(ISNUMBER(SEARCH("NOT NULL",UPPER(N$3))),"''","null"),SUBSTITUTE(VLOOKUP(N$2,convert!$A$1:$B$4,2,0),"@@@",N919))</f>
        <v>null</v>
      </c>
      <c r="AD919" s="4" t="str">
        <f>IF(O919="",IF(ISNUMBER(SEARCH("NOT NULL",UPPER(O$3))),"''","null"),SUBSTITUTE(VLOOKUP(O$2,convert!$A$1:$B$4,2,0),"@@@",O919))</f>
        <v>FALSE</v>
      </c>
      <c r="AE919" s="4" t="str">
        <f t="shared" si="14"/>
        <v>    ('0746N02', 'ヨワシ', 45, 140, 130, 140, 135, 30, 'むれたすがた', 'water', null, 'g7', null, null, FALSE),</v>
      </c>
    </row>
    <row r="920" spans="1:31">
      <c r="A920" s="4" t="s">
        <v>1845</v>
      </c>
      <c r="B920" s="4" t="s">
        <v>1846</v>
      </c>
      <c r="C920" s="5">
        <v>50</v>
      </c>
      <c r="D920" s="5">
        <v>53</v>
      </c>
      <c r="E920" s="5">
        <v>62</v>
      </c>
      <c r="F920" s="5">
        <v>43</v>
      </c>
      <c r="G920" s="5">
        <v>52</v>
      </c>
      <c r="H920" s="5">
        <v>45</v>
      </c>
      <c r="I920" s="5"/>
      <c r="J920" s="4" t="s">
        <v>31</v>
      </c>
      <c r="K920" s="4" t="s">
        <v>55</v>
      </c>
      <c r="L920" s="4" t="s">
        <v>92</v>
      </c>
      <c r="M920" s="5"/>
      <c r="N920" s="5"/>
      <c r="O920" s="5" t="b">
        <v>1</v>
      </c>
      <c r="P920" s="4" t="str">
        <f>IF(A920="",IF(ISNUMBER(SEARCH("NOT NULL",UPPER(A$3))),"''","null"),SUBSTITUTE(VLOOKUP(A$2,convert!$A$1:$B$4,2,0),"@@@",A920))</f>
        <v>'0747N01'</v>
      </c>
      <c r="Q920" s="4" t="str">
        <f>IF(B920="",IF(ISNUMBER(SEARCH("NOT NULL",UPPER(B$3))),"''","null"),SUBSTITUTE(VLOOKUP(B$2,convert!$A$1:$B$4,2,0),"@@@",B920))</f>
        <v>'ヒドイデ'</v>
      </c>
      <c r="R920" s="4" t="str">
        <f>IF(C920="",IF(ISNUMBER(SEARCH("NOT NULL",UPPER(C$3))),"''","null"),SUBSTITUTE(VLOOKUP(C$2,convert!$A$1:$B$4,2,0),"@@@",C920))</f>
        <v>50</v>
      </c>
      <c r="S920" s="4" t="str">
        <f>IF(D920="",IF(ISNUMBER(SEARCH("NOT NULL",UPPER(D$3))),"''","null"),SUBSTITUTE(VLOOKUP(D$2,convert!$A$1:$B$4,2,0),"@@@",D920))</f>
        <v>53</v>
      </c>
      <c r="T920" s="4" t="str">
        <f>IF(E920="",IF(ISNUMBER(SEARCH("NOT NULL",UPPER(E$3))),"''","null"),SUBSTITUTE(VLOOKUP(E$2,convert!$A$1:$B$4,2,0),"@@@",E920))</f>
        <v>62</v>
      </c>
      <c r="U920" s="4" t="str">
        <f>IF(F920="",IF(ISNUMBER(SEARCH("NOT NULL",UPPER(F$3))),"''","null"),SUBSTITUTE(VLOOKUP(F$2,convert!$A$1:$B$4,2,0),"@@@",F920))</f>
        <v>43</v>
      </c>
      <c r="V920" s="4" t="str">
        <f>IF(G920="",IF(ISNUMBER(SEARCH("NOT NULL",UPPER(G$3))),"''","null"),SUBSTITUTE(VLOOKUP(G$2,convert!$A$1:$B$4,2,0),"@@@",G920))</f>
        <v>52</v>
      </c>
      <c r="W920" s="4" t="str">
        <f>IF(H920="",IF(ISNUMBER(SEARCH("NOT NULL",UPPER(H$3))),"''","null"),SUBSTITUTE(VLOOKUP(H$2,convert!$A$1:$B$4,2,0),"@@@",H920))</f>
        <v>45</v>
      </c>
      <c r="X920" s="4" t="str">
        <f>IF(I920="",IF(ISNUMBER(SEARCH("NOT NULL",UPPER(I$3))),"''","null"),SUBSTITUTE(VLOOKUP(I$2,convert!$A$1:$B$4,2,0),"@@@",I920))</f>
        <v>''</v>
      </c>
      <c r="Y920" s="4" t="str">
        <f>IF(J920="",IF(ISNUMBER(SEARCH("NOT NULL",UPPER(J$3))),"''","null"),SUBSTITUTE(VLOOKUP(J$2,convert!$A$1:$B$4,2,0),"@@@",J920))</f>
        <v>'poison'</v>
      </c>
      <c r="Z920" s="4" t="str">
        <f>IF(K920="",IF(ISNUMBER(SEARCH("NOT NULL",UPPER(K$3))),"''","null"),SUBSTITUTE(VLOOKUP(K$2,convert!$A$1:$B$4,2,0),"@@@",K920))</f>
        <v>'water'</v>
      </c>
      <c r="AA920" s="4" t="str">
        <f>IF(L920="",IF(ISNUMBER(SEARCH("NOT NULL",UPPER(L$3))),"''","null"),SUBSTITUTE(VLOOKUP(L$2,convert!$A$1:$B$4,2,0),"@@@",L920))</f>
        <v>'g7'</v>
      </c>
      <c r="AB920" s="4" t="str">
        <f>IF(M920="",IF(ISNUMBER(SEARCH("NOT NULL",UPPER(M$3))),"''","null"),SUBSTITUTE(VLOOKUP(M$2,convert!$A$1:$B$4,2,0),"@@@",M920))</f>
        <v>null</v>
      </c>
      <c r="AC920" s="4" t="str">
        <f>IF(N920="",IF(ISNUMBER(SEARCH("NOT NULL",UPPER(N$3))),"''","null"),SUBSTITUTE(VLOOKUP(N$2,convert!$A$1:$B$4,2,0),"@@@",N920))</f>
        <v>null</v>
      </c>
      <c r="AD920" s="4" t="str">
        <f>IF(O920="",IF(ISNUMBER(SEARCH("NOT NULL",UPPER(O$3))),"''","null"),SUBSTITUTE(VLOOKUP(O$2,convert!$A$1:$B$4,2,0),"@@@",O920))</f>
        <v>TRUE</v>
      </c>
      <c r="AE920" s="4" t="str">
        <f t="shared" si="14"/>
        <v>    ('0747N01', 'ヒドイデ', 50, 53, 62, 43, 52, 45, '', 'poison', 'water', 'g7', null, null, TRUE),</v>
      </c>
    </row>
    <row r="921" spans="1:31">
      <c r="A921" s="4" t="s">
        <v>1847</v>
      </c>
      <c r="B921" s="4" t="s">
        <v>1848</v>
      </c>
      <c r="C921" s="5">
        <v>50</v>
      </c>
      <c r="D921" s="5">
        <v>63</v>
      </c>
      <c r="E921" s="5">
        <v>152</v>
      </c>
      <c r="F921" s="5">
        <v>53</v>
      </c>
      <c r="G921" s="5">
        <v>142</v>
      </c>
      <c r="H921" s="5">
        <v>35</v>
      </c>
      <c r="I921" s="5"/>
      <c r="J921" s="4" t="s">
        <v>31</v>
      </c>
      <c r="K921" s="4" t="s">
        <v>55</v>
      </c>
      <c r="L921" s="4" t="s">
        <v>92</v>
      </c>
      <c r="M921" s="5"/>
      <c r="N921" s="5"/>
      <c r="O921" s="5" t="b">
        <v>1</v>
      </c>
      <c r="P921" s="4" t="str">
        <f>IF(A921="",IF(ISNUMBER(SEARCH("NOT NULL",UPPER(A$3))),"''","null"),SUBSTITUTE(VLOOKUP(A$2,convert!$A$1:$B$4,2,0),"@@@",A921))</f>
        <v>'0748N01'</v>
      </c>
      <c r="Q921" s="4" t="str">
        <f>IF(B921="",IF(ISNUMBER(SEARCH("NOT NULL",UPPER(B$3))),"''","null"),SUBSTITUTE(VLOOKUP(B$2,convert!$A$1:$B$4,2,0),"@@@",B921))</f>
        <v>'ドヒドイデ'</v>
      </c>
      <c r="R921" s="4" t="str">
        <f>IF(C921="",IF(ISNUMBER(SEARCH("NOT NULL",UPPER(C$3))),"''","null"),SUBSTITUTE(VLOOKUP(C$2,convert!$A$1:$B$4,2,0),"@@@",C921))</f>
        <v>50</v>
      </c>
      <c r="S921" s="4" t="str">
        <f>IF(D921="",IF(ISNUMBER(SEARCH("NOT NULL",UPPER(D$3))),"''","null"),SUBSTITUTE(VLOOKUP(D$2,convert!$A$1:$B$4,2,0),"@@@",D921))</f>
        <v>63</v>
      </c>
      <c r="T921" s="4" t="str">
        <f>IF(E921="",IF(ISNUMBER(SEARCH("NOT NULL",UPPER(E$3))),"''","null"),SUBSTITUTE(VLOOKUP(E$2,convert!$A$1:$B$4,2,0),"@@@",E921))</f>
        <v>152</v>
      </c>
      <c r="U921" s="4" t="str">
        <f>IF(F921="",IF(ISNUMBER(SEARCH("NOT NULL",UPPER(F$3))),"''","null"),SUBSTITUTE(VLOOKUP(F$2,convert!$A$1:$B$4,2,0),"@@@",F921))</f>
        <v>53</v>
      </c>
      <c r="V921" s="4" t="str">
        <f>IF(G921="",IF(ISNUMBER(SEARCH("NOT NULL",UPPER(G$3))),"''","null"),SUBSTITUTE(VLOOKUP(G$2,convert!$A$1:$B$4,2,0),"@@@",G921))</f>
        <v>142</v>
      </c>
      <c r="W921" s="4" t="str">
        <f>IF(H921="",IF(ISNUMBER(SEARCH("NOT NULL",UPPER(H$3))),"''","null"),SUBSTITUTE(VLOOKUP(H$2,convert!$A$1:$B$4,2,0),"@@@",H921))</f>
        <v>35</v>
      </c>
      <c r="X921" s="4" t="str">
        <f>IF(I921="",IF(ISNUMBER(SEARCH("NOT NULL",UPPER(I$3))),"''","null"),SUBSTITUTE(VLOOKUP(I$2,convert!$A$1:$B$4,2,0),"@@@",I921))</f>
        <v>''</v>
      </c>
      <c r="Y921" s="4" t="str">
        <f>IF(J921="",IF(ISNUMBER(SEARCH("NOT NULL",UPPER(J$3))),"''","null"),SUBSTITUTE(VLOOKUP(J$2,convert!$A$1:$B$4,2,0),"@@@",J921))</f>
        <v>'poison'</v>
      </c>
      <c r="Z921" s="4" t="str">
        <f>IF(K921="",IF(ISNUMBER(SEARCH("NOT NULL",UPPER(K$3))),"''","null"),SUBSTITUTE(VLOOKUP(K$2,convert!$A$1:$B$4,2,0),"@@@",K921))</f>
        <v>'water'</v>
      </c>
      <c r="AA921" s="4" t="str">
        <f>IF(L921="",IF(ISNUMBER(SEARCH("NOT NULL",UPPER(L$3))),"''","null"),SUBSTITUTE(VLOOKUP(L$2,convert!$A$1:$B$4,2,0),"@@@",L921))</f>
        <v>'g7'</v>
      </c>
      <c r="AB921" s="4" t="str">
        <f>IF(M921="",IF(ISNUMBER(SEARCH("NOT NULL",UPPER(M$3))),"''","null"),SUBSTITUTE(VLOOKUP(M$2,convert!$A$1:$B$4,2,0),"@@@",M921))</f>
        <v>null</v>
      </c>
      <c r="AC921" s="4" t="str">
        <f>IF(N921="",IF(ISNUMBER(SEARCH("NOT NULL",UPPER(N$3))),"''","null"),SUBSTITUTE(VLOOKUP(N$2,convert!$A$1:$B$4,2,0),"@@@",N921))</f>
        <v>null</v>
      </c>
      <c r="AD921" s="4" t="str">
        <f>IF(O921="",IF(ISNUMBER(SEARCH("NOT NULL",UPPER(O$3))),"''","null"),SUBSTITUTE(VLOOKUP(O$2,convert!$A$1:$B$4,2,0),"@@@",O921))</f>
        <v>TRUE</v>
      </c>
      <c r="AE921" s="4" t="str">
        <f t="shared" si="14"/>
        <v>    ('0748N01', 'ドヒドイデ', 50, 63, 152, 53, 142, 35, '', 'poison', 'water', 'g7', null, null, TRUE),</v>
      </c>
    </row>
    <row r="922" spans="1:31">
      <c r="A922" s="4" t="s">
        <v>1849</v>
      </c>
      <c r="B922" s="4" t="s">
        <v>1850</v>
      </c>
      <c r="C922" s="5">
        <v>70</v>
      </c>
      <c r="D922" s="5">
        <v>100</v>
      </c>
      <c r="E922" s="5">
        <v>70</v>
      </c>
      <c r="F922" s="5">
        <v>45</v>
      </c>
      <c r="G922" s="5">
        <v>55</v>
      </c>
      <c r="H922" s="5">
        <v>45</v>
      </c>
      <c r="I922" s="5"/>
      <c r="J922" s="4" t="s">
        <v>116</v>
      </c>
      <c r="K922" s="5"/>
      <c r="L922" s="4" t="s">
        <v>92</v>
      </c>
      <c r="M922" s="5"/>
      <c r="N922" s="5"/>
      <c r="O922" s="5" t="b">
        <v>0</v>
      </c>
      <c r="P922" s="4" t="str">
        <f>IF(A922="",IF(ISNUMBER(SEARCH("NOT NULL",UPPER(A$3))),"''","null"),SUBSTITUTE(VLOOKUP(A$2,convert!$A$1:$B$4,2,0),"@@@",A922))</f>
        <v>'0749N01'</v>
      </c>
      <c r="Q922" s="4" t="str">
        <f>IF(B922="",IF(ISNUMBER(SEARCH("NOT NULL",UPPER(B$3))),"''","null"),SUBSTITUTE(VLOOKUP(B$2,convert!$A$1:$B$4,2,0),"@@@",B922))</f>
        <v>'ドロバンコ'</v>
      </c>
      <c r="R922" s="4" t="str">
        <f>IF(C922="",IF(ISNUMBER(SEARCH("NOT NULL",UPPER(C$3))),"''","null"),SUBSTITUTE(VLOOKUP(C$2,convert!$A$1:$B$4,2,0),"@@@",C922))</f>
        <v>70</v>
      </c>
      <c r="S922" s="4" t="str">
        <f>IF(D922="",IF(ISNUMBER(SEARCH("NOT NULL",UPPER(D$3))),"''","null"),SUBSTITUTE(VLOOKUP(D$2,convert!$A$1:$B$4,2,0),"@@@",D922))</f>
        <v>100</v>
      </c>
      <c r="T922" s="4" t="str">
        <f>IF(E922="",IF(ISNUMBER(SEARCH("NOT NULL",UPPER(E$3))),"''","null"),SUBSTITUTE(VLOOKUP(E$2,convert!$A$1:$B$4,2,0),"@@@",E922))</f>
        <v>70</v>
      </c>
      <c r="U922" s="4" t="str">
        <f>IF(F922="",IF(ISNUMBER(SEARCH("NOT NULL",UPPER(F$3))),"''","null"),SUBSTITUTE(VLOOKUP(F$2,convert!$A$1:$B$4,2,0),"@@@",F922))</f>
        <v>45</v>
      </c>
      <c r="V922" s="4" t="str">
        <f>IF(G922="",IF(ISNUMBER(SEARCH("NOT NULL",UPPER(G$3))),"''","null"),SUBSTITUTE(VLOOKUP(G$2,convert!$A$1:$B$4,2,0),"@@@",G922))</f>
        <v>55</v>
      </c>
      <c r="W922" s="4" t="str">
        <f>IF(H922="",IF(ISNUMBER(SEARCH("NOT NULL",UPPER(H$3))),"''","null"),SUBSTITUTE(VLOOKUP(H$2,convert!$A$1:$B$4,2,0),"@@@",H922))</f>
        <v>45</v>
      </c>
      <c r="X922" s="4" t="str">
        <f>IF(I922="",IF(ISNUMBER(SEARCH("NOT NULL",UPPER(I$3))),"''","null"),SUBSTITUTE(VLOOKUP(I$2,convert!$A$1:$B$4,2,0),"@@@",I922))</f>
        <v>''</v>
      </c>
      <c r="Y922" s="4" t="str">
        <f>IF(J922="",IF(ISNUMBER(SEARCH("NOT NULL",UPPER(J$3))),"''","null"),SUBSTITUTE(VLOOKUP(J$2,convert!$A$1:$B$4,2,0),"@@@",J922))</f>
        <v>'ground'</v>
      </c>
      <c r="Z922" s="4" t="str">
        <f>IF(K922="",IF(ISNUMBER(SEARCH("NOT NULL",UPPER(K$3))),"''","null"),SUBSTITUTE(VLOOKUP(K$2,convert!$A$1:$B$4,2,0),"@@@",K922))</f>
        <v>null</v>
      </c>
      <c r="AA922" s="4" t="str">
        <f>IF(L922="",IF(ISNUMBER(SEARCH("NOT NULL",UPPER(L$3))),"''","null"),SUBSTITUTE(VLOOKUP(L$2,convert!$A$1:$B$4,2,0),"@@@",L922))</f>
        <v>'g7'</v>
      </c>
      <c r="AB922" s="4" t="str">
        <f>IF(M922="",IF(ISNUMBER(SEARCH("NOT NULL",UPPER(M$3))),"''","null"),SUBSTITUTE(VLOOKUP(M$2,convert!$A$1:$B$4,2,0),"@@@",M922))</f>
        <v>null</v>
      </c>
      <c r="AC922" s="4" t="str">
        <f>IF(N922="",IF(ISNUMBER(SEARCH("NOT NULL",UPPER(N$3))),"''","null"),SUBSTITUTE(VLOOKUP(N$2,convert!$A$1:$B$4,2,0),"@@@",N922))</f>
        <v>null</v>
      </c>
      <c r="AD922" s="4" t="str">
        <f>IF(O922="",IF(ISNUMBER(SEARCH("NOT NULL",UPPER(O$3))),"''","null"),SUBSTITUTE(VLOOKUP(O$2,convert!$A$1:$B$4,2,0),"@@@",O922))</f>
        <v>FALSE</v>
      </c>
      <c r="AE922" s="4" t="str">
        <f t="shared" si="14"/>
        <v>    ('0749N01', 'ドロバンコ', 70, 100, 70, 45, 55, 45, '', 'ground', null, 'g7', null, null, FALSE),</v>
      </c>
    </row>
    <row r="923" spans="1:31">
      <c r="A923" s="4" t="s">
        <v>1851</v>
      </c>
      <c r="B923" s="4" t="s">
        <v>1852</v>
      </c>
      <c r="C923" s="5">
        <v>100</v>
      </c>
      <c r="D923" s="5">
        <v>125</v>
      </c>
      <c r="E923" s="5">
        <v>100</v>
      </c>
      <c r="F923" s="5">
        <v>55</v>
      </c>
      <c r="G923" s="5">
        <v>85</v>
      </c>
      <c r="H923" s="5">
        <v>35</v>
      </c>
      <c r="I923" s="5"/>
      <c r="J923" s="4" t="s">
        <v>116</v>
      </c>
      <c r="K923" s="5"/>
      <c r="L923" s="4" t="s">
        <v>92</v>
      </c>
      <c r="M923" s="5"/>
      <c r="N923" s="5"/>
      <c r="O923" s="5" t="b">
        <v>0</v>
      </c>
      <c r="P923" s="4" t="str">
        <f>IF(A923="",IF(ISNUMBER(SEARCH("NOT NULL",UPPER(A$3))),"''","null"),SUBSTITUTE(VLOOKUP(A$2,convert!$A$1:$B$4,2,0),"@@@",A923))</f>
        <v>'0750N01'</v>
      </c>
      <c r="Q923" s="4" t="str">
        <f>IF(B923="",IF(ISNUMBER(SEARCH("NOT NULL",UPPER(B$3))),"''","null"),SUBSTITUTE(VLOOKUP(B$2,convert!$A$1:$B$4,2,0),"@@@",B923))</f>
        <v>'バンバドロ'</v>
      </c>
      <c r="R923" s="4" t="str">
        <f>IF(C923="",IF(ISNUMBER(SEARCH("NOT NULL",UPPER(C$3))),"''","null"),SUBSTITUTE(VLOOKUP(C$2,convert!$A$1:$B$4,2,0),"@@@",C923))</f>
        <v>100</v>
      </c>
      <c r="S923" s="4" t="str">
        <f>IF(D923="",IF(ISNUMBER(SEARCH("NOT NULL",UPPER(D$3))),"''","null"),SUBSTITUTE(VLOOKUP(D$2,convert!$A$1:$B$4,2,0),"@@@",D923))</f>
        <v>125</v>
      </c>
      <c r="T923" s="4" t="str">
        <f>IF(E923="",IF(ISNUMBER(SEARCH("NOT NULL",UPPER(E$3))),"''","null"),SUBSTITUTE(VLOOKUP(E$2,convert!$A$1:$B$4,2,0),"@@@",E923))</f>
        <v>100</v>
      </c>
      <c r="U923" s="4" t="str">
        <f>IF(F923="",IF(ISNUMBER(SEARCH("NOT NULL",UPPER(F$3))),"''","null"),SUBSTITUTE(VLOOKUP(F$2,convert!$A$1:$B$4,2,0),"@@@",F923))</f>
        <v>55</v>
      </c>
      <c r="V923" s="4" t="str">
        <f>IF(G923="",IF(ISNUMBER(SEARCH("NOT NULL",UPPER(G$3))),"''","null"),SUBSTITUTE(VLOOKUP(G$2,convert!$A$1:$B$4,2,0),"@@@",G923))</f>
        <v>85</v>
      </c>
      <c r="W923" s="4" t="str">
        <f>IF(H923="",IF(ISNUMBER(SEARCH("NOT NULL",UPPER(H$3))),"''","null"),SUBSTITUTE(VLOOKUP(H$2,convert!$A$1:$B$4,2,0),"@@@",H923))</f>
        <v>35</v>
      </c>
      <c r="X923" s="4" t="str">
        <f>IF(I923="",IF(ISNUMBER(SEARCH("NOT NULL",UPPER(I$3))),"''","null"),SUBSTITUTE(VLOOKUP(I$2,convert!$A$1:$B$4,2,0),"@@@",I923))</f>
        <v>''</v>
      </c>
      <c r="Y923" s="4" t="str">
        <f>IF(J923="",IF(ISNUMBER(SEARCH("NOT NULL",UPPER(J$3))),"''","null"),SUBSTITUTE(VLOOKUP(J$2,convert!$A$1:$B$4,2,0),"@@@",J923))</f>
        <v>'ground'</v>
      </c>
      <c r="Z923" s="4" t="str">
        <f>IF(K923="",IF(ISNUMBER(SEARCH("NOT NULL",UPPER(K$3))),"''","null"),SUBSTITUTE(VLOOKUP(K$2,convert!$A$1:$B$4,2,0),"@@@",K923))</f>
        <v>null</v>
      </c>
      <c r="AA923" s="4" t="str">
        <f>IF(L923="",IF(ISNUMBER(SEARCH("NOT NULL",UPPER(L$3))),"''","null"),SUBSTITUTE(VLOOKUP(L$2,convert!$A$1:$B$4,2,0),"@@@",L923))</f>
        <v>'g7'</v>
      </c>
      <c r="AB923" s="4" t="str">
        <f>IF(M923="",IF(ISNUMBER(SEARCH("NOT NULL",UPPER(M$3))),"''","null"),SUBSTITUTE(VLOOKUP(M$2,convert!$A$1:$B$4,2,0),"@@@",M923))</f>
        <v>null</v>
      </c>
      <c r="AC923" s="4" t="str">
        <f>IF(N923="",IF(ISNUMBER(SEARCH("NOT NULL",UPPER(N$3))),"''","null"),SUBSTITUTE(VLOOKUP(N$2,convert!$A$1:$B$4,2,0),"@@@",N923))</f>
        <v>null</v>
      </c>
      <c r="AD923" s="4" t="str">
        <f>IF(O923="",IF(ISNUMBER(SEARCH("NOT NULL",UPPER(O$3))),"''","null"),SUBSTITUTE(VLOOKUP(O$2,convert!$A$1:$B$4,2,0),"@@@",O923))</f>
        <v>FALSE</v>
      </c>
      <c r="AE923" s="4" t="str">
        <f t="shared" si="14"/>
        <v>    ('0750N01', 'バンバドロ', 100, 125, 100, 55, 85, 35, '', 'ground', null, 'g7', null, null, FALSE),</v>
      </c>
    </row>
    <row r="924" spans="1:31">
      <c r="A924" s="4" t="s">
        <v>1853</v>
      </c>
      <c r="B924" s="4" t="s">
        <v>1854</v>
      </c>
      <c r="C924" s="5">
        <v>38</v>
      </c>
      <c r="D924" s="5">
        <v>40</v>
      </c>
      <c r="E924" s="5">
        <v>52</v>
      </c>
      <c r="F924" s="5">
        <v>40</v>
      </c>
      <c r="G924" s="5">
        <v>72</v>
      </c>
      <c r="H924" s="5">
        <v>27</v>
      </c>
      <c r="I924" s="5"/>
      <c r="J924" s="4" t="s">
        <v>55</v>
      </c>
      <c r="K924" s="4" t="s">
        <v>64</v>
      </c>
      <c r="L924" s="4" t="s">
        <v>92</v>
      </c>
      <c r="M924" s="5"/>
      <c r="N924" s="5"/>
      <c r="O924" s="5" t="b">
        <v>1</v>
      </c>
      <c r="P924" s="4" t="str">
        <f>IF(A924="",IF(ISNUMBER(SEARCH("NOT NULL",UPPER(A$3))),"''","null"),SUBSTITUTE(VLOOKUP(A$2,convert!$A$1:$B$4,2,0),"@@@",A924))</f>
        <v>'0751N01'</v>
      </c>
      <c r="Q924" s="4" t="str">
        <f>IF(B924="",IF(ISNUMBER(SEARCH("NOT NULL",UPPER(B$3))),"''","null"),SUBSTITUTE(VLOOKUP(B$2,convert!$A$1:$B$4,2,0),"@@@",B924))</f>
        <v>'シズクモ'</v>
      </c>
      <c r="R924" s="4" t="str">
        <f>IF(C924="",IF(ISNUMBER(SEARCH("NOT NULL",UPPER(C$3))),"''","null"),SUBSTITUTE(VLOOKUP(C$2,convert!$A$1:$B$4,2,0),"@@@",C924))</f>
        <v>38</v>
      </c>
      <c r="S924" s="4" t="str">
        <f>IF(D924="",IF(ISNUMBER(SEARCH("NOT NULL",UPPER(D$3))),"''","null"),SUBSTITUTE(VLOOKUP(D$2,convert!$A$1:$B$4,2,0),"@@@",D924))</f>
        <v>40</v>
      </c>
      <c r="T924" s="4" t="str">
        <f>IF(E924="",IF(ISNUMBER(SEARCH("NOT NULL",UPPER(E$3))),"''","null"),SUBSTITUTE(VLOOKUP(E$2,convert!$A$1:$B$4,2,0),"@@@",E924))</f>
        <v>52</v>
      </c>
      <c r="U924" s="4" t="str">
        <f>IF(F924="",IF(ISNUMBER(SEARCH("NOT NULL",UPPER(F$3))),"''","null"),SUBSTITUTE(VLOOKUP(F$2,convert!$A$1:$B$4,2,0),"@@@",F924))</f>
        <v>40</v>
      </c>
      <c r="V924" s="4" t="str">
        <f>IF(G924="",IF(ISNUMBER(SEARCH("NOT NULL",UPPER(G$3))),"''","null"),SUBSTITUTE(VLOOKUP(G$2,convert!$A$1:$B$4,2,0),"@@@",G924))</f>
        <v>72</v>
      </c>
      <c r="W924" s="4" t="str">
        <f>IF(H924="",IF(ISNUMBER(SEARCH("NOT NULL",UPPER(H$3))),"''","null"),SUBSTITUTE(VLOOKUP(H$2,convert!$A$1:$B$4,2,0),"@@@",H924))</f>
        <v>27</v>
      </c>
      <c r="X924" s="4" t="str">
        <f>IF(I924="",IF(ISNUMBER(SEARCH("NOT NULL",UPPER(I$3))),"''","null"),SUBSTITUTE(VLOOKUP(I$2,convert!$A$1:$B$4,2,0),"@@@",I924))</f>
        <v>''</v>
      </c>
      <c r="Y924" s="4" t="str">
        <f>IF(J924="",IF(ISNUMBER(SEARCH("NOT NULL",UPPER(J$3))),"''","null"),SUBSTITUTE(VLOOKUP(J$2,convert!$A$1:$B$4,2,0),"@@@",J924))</f>
        <v>'water'</v>
      </c>
      <c r="Z924" s="4" t="str">
        <f>IF(K924="",IF(ISNUMBER(SEARCH("NOT NULL",UPPER(K$3))),"''","null"),SUBSTITUTE(VLOOKUP(K$2,convert!$A$1:$B$4,2,0),"@@@",K924))</f>
        <v>'bug'</v>
      </c>
      <c r="AA924" s="4" t="str">
        <f>IF(L924="",IF(ISNUMBER(SEARCH("NOT NULL",UPPER(L$3))),"''","null"),SUBSTITUTE(VLOOKUP(L$2,convert!$A$1:$B$4,2,0),"@@@",L924))</f>
        <v>'g7'</v>
      </c>
      <c r="AB924" s="4" t="str">
        <f>IF(M924="",IF(ISNUMBER(SEARCH("NOT NULL",UPPER(M$3))),"''","null"),SUBSTITUTE(VLOOKUP(M$2,convert!$A$1:$B$4,2,0),"@@@",M924))</f>
        <v>null</v>
      </c>
      <c r="AC924" s="4" t="str">
        <f>IF(N924="",IF(ISNUMBER(SEARCH("NOT NULL",UPPER(N$3))),"''","null"),SUBSTITUTE(VLOOKUP(N$2,convert!$A$1:$B$4,2,0),"@@@",N924))</f>
        <v>null</v>
      </c>
      <c r="AD924" s="4" t="str">
        <f>IF(O924="",IF(ISNUMBER(SEARCH("NOT NULL",UPPER(O$3))),"''","null"),SUBSTITUTE(VLOOKUP(O$2,convert!$A$1:$B$4,2,0),"@@@",O924))</f>
        <v>TRUE</v>
      </c>
      <c r="AE924" s="4" t="str">
        <f t="shared" si="14"/>
        <v>    ('0751N01', 'シズクモ', 38, 40, 52, 40, 72, 27, '', 'water', 'bug', 'g7', null, null, TRUE),</v>
      </c>
    </row>
    <row r="925" spans="1:31">
      <c r="A925" s="4" t="s">
        <v>1855</v>
      </c>
      <c r="B925" s="4" t="s">
        <v>1856</v>
      </c>
      <c r="C925" s="5">
        <v>68</v>
      </c>
      <c r="D925" s="5">
        <v>70</v>
      </c>
      <c r="E925" s="5">
        <v>92</v>
      </c>
      <c r="F925" s="5">
        <v>50</v>
      </c>
      <c r="G925" s="5">
        <v>132</v>
      </c>
      <c r="H925" s="5">
        <v>42</v>
      </c>
      <c r="I925" s="5"/>
      <c r="J925" s="4" t="s">
        <v>55</v>
      </c>
      <c r="K925" s="4" t="s">
        <v>64</v>
      </c>
      <c r="L925" s="4" t="s">
        <v>92</v>
      </c>
      <c r="M925" s="5"/>
      <c r="N925" s="5"/>
      <c r="O925" s="5" t="b">
        <v>1</v>
      </c>
      <c r="P925" s="4" t="str">
        <f>IF(A925="",IF(ISNUMBER(SEARCH("NOT NULL",UPPER(A$3))),"''","null"),SUBSTITUTE(VLOOKUP(A$2,convert!$A$1:$B$4,2,0),"@@@",A925))</f>
        <v>'0752N01'</v>
      </c>
      <c r="Q925" s="4" t="str">
        <f>IF(B925="",IF(ISNUMBER(SEARCH("NOT NULL",UPPER(B$3))),"''","null"),SUBSTITUTE(VLOOKUP(B$2,convert!$A$1:$B$4,2,0),"@@@",B925))</f>
        <v>'オニシズクモ'</v>
      </c>
      <c r="R925" s="4" t="str">
        <f>IF(C925="",IF(ISNUMBER(SEARCH("NOT NULL",UPPER(C$3))),"''","null"),SUBSTITUTE(VLOOKUP(C$2,convert!$A$1:$B$4,2,0),"@@@",C925))</f>
        <v>68</v>
      </c>
      <c r="S925" s="4" t="str">
        <f>IF(D925="",IF(ISNUMBER(SEARCH("NOT NULL",UPPER(D$3))),"''","null"),SUBSTITUTE(VLOOKUP(D$2,convert!$A$1:$B$4,2,0),"@@@",D925))</f>
        <v>70</v>
      </c>
      <c r="T925" s="4" t="str">
        <f>IF(E925="",IF(ISNUMBER(SEARCH("NOT NULL",UPPER(E$3))),"''","null"),SUBSTITUTE(VLOOKUP(E$2,convert!$A$1:$B$4,2,0),"@@@",E925))</f>
        <v>92</v>
      </c>
      <c r="U925" s="4" t="str">
        <f>IF(F925="",IF(ISNUMBER(SEARCH("NOT NULL",UPPER(F$3))),"''","null"),SUBSTITUTE(VLOOKUP(F$2,convert!$A$1:$B$4,2,0),"@@@",F925))</f>
        <v>50</v>
      </c>
      <c r="V925" s="4" t="str">
        <f>IF(G925="",IF(ISNUMBER(SEARCH("NOT NULL",UPPER(G$3))),"''","null"),SUBSTITUTE(VLOOKUP(G$2,convert!$A$1:$B$4,2,0),"@@@",G925))</f>
        <v>132</v>
      </c>
      <c r="W925" s="4" t="str">
        <f>IF(H925="",IF(ISNUMBER(SEARCH("NOT NULL",UPPER(H$3))),"''","null"),SUBSTITUTE(VLOOKUP(H$2,convert!$A$1:$B$4,2,0),"@@@",H925))</f>
        <v>42</v>
      </c>
      <c r="X925" s="4" t="str">
        <f>IF(I925="",IF(ISNUMBER(SEARCH("NOT NULL",UPPER(I$3))),"''","null"),SUBSTITUTE(VLOOKUP(I$2,convert!$A$1:$B$4,2,0),"@@@",I925))</f>
        <v>''</v>
      </c>
      <c r="Y925" s="4" t="str">
        <f>IF(J925="",IF(ISNUMBER(SEARCH("NOT NULL",UPPER(J$3))),"''","null"),SUBSTITUTE(VLOOKUP(J$2,convert!$A$1:$B$4,2,0),"@@@",J925))</f>
        <v>'water'</v>
      </c>
      <c r="Z925" s="4" t="str">
        <f>IF(K925="",IF(ISNUMBER(SEARCH("NOT NULL",UPPER(K$3))),"''","null"),SUBSTITUTE(VLOOKUP(K$2,convert!$A$1:$B$4,2,0),"@@@",K925))</f>
        <v>'bug'</v>
      </c>
      <c r="AA925" s="4" t="str">
        <f>IF(L925="",IF(ISNUMBER(SEARCH("NOT NULL",UPPER(L$3))),"''","null"),SUBSTITUTE(VLOOKUP(L$2,convert!$A$1:$B$4,2,0),"@@@",L925))</f>
        <v>'g7'</v>
      </c>
      <c r="AB925" s="4" t="str">
        <f>IF(M925="",IF(ISNUMBER(SEARCH("NOT NULL",UPPER(M$3))),"''","null"),SUBSTITUTE(VLOOKUP(M$2,convert!$A$1:$B$4,2,0),"@@@",M925))</f>
        <v>null</v>
      </c>
      <c r="AC925" s="4" t="str">
        <f>IF(N925="",IF(ISNUMBER(SEARCH("NOT NULL",UPPER(N$3))),"''","null"),SUBSTITUTE(VLOOKUP(N$2,convert!$A$1:$B$4,2,0),"@@@",N925))</f>
        <v>null</v>
      </c>
      <c r="AD925" s="4" t="str">
        <f>IF(O925="",IF(ISNUMBER(SEARCH("NOT NULL",UPPER(O$3))),"''","null"),SUBSTITUTE(VLOOKUP(O$2,convert!$A$1:$B$4,2,0),"@@@",O925))</f>
        <v>TRUE</v>
      </c>
      <c r="AE925" s="4" t="str">
        <f t="shared" si="14"/>
        <v>    ('0752N01', 'オニシズクモ', 68, 70, 92, 50, 132, 42, '', 'water', 'bug', 'g7', null, null, TRUE),</v>
      </c>
    </row>
    <row r="926" spans="1:31">
      <c r="A926" s="4" t="s">
        <v>1857</v>
      </c>
      <c r="B926" s="4" t="s">
        <v>1858</v>
      </c>
      <c r="C926" s="5">
        <v>40</v>
      </c>
      <c r="D926" s="5">
        <v>55</v>
      </c>
      <c r="E926" s="5">
        <v>35</v>
      </c>
      <c r="F926" s="5">
        <v>50</v>
      </c>
      <c r="G926" s="5">
        <v>35</v>
      </c>
      <c r="H926" s="5">
        <v>35</v>
      </c>
      <c r="I926" s="5"/>
      <c r="J926" s="4" t="s">
        <v>30</v>
      </c>
      <c r="K926" s="5"/>
      <c r="L926" s="4" t="s">
        <v>92</v>
      </c>
      <c r="M926" s="5"/>
      <c r="N926" s="5"/>
      <c r="O926" s="5" t="b">
        <v>1</v>
      </c>
      <c r="P926" s="4" t="str">
        <f>IF(A926="",IF(ISNUMBER(SEARCH("NOT NULL",UPPER(A$3))),"''","null"),SUBSTITUTE(VLOOKUP(A$2,convert!$A$1:$B$4,2,0),"@@@",A926))</f>
        <v>'0753N01'</v>
      </c>
      <c r="Q926" s="4" t="str">
        <f>IF(B926="",IF(ISNUMBER(SEARCH("NOT NULL",UPPER(B$3))),"''","null"),SUBSTITUTE(VLOOKUP(B$2,convert!$A$1:$B$4,2,0),"@@@",B926))</f>
        <v>'カリキリ'</v>
      </c>
      <c r="R926" s="4" t="str">
        <f>IF(C926="",IF(ISNUMBER(SEARCH("NOT NULL",UPPER(C$3))),"''","null"),SUBSTITUTE(VLOOKUP(C$2,convert!$A$1:$B$4,2,0),"@@@",C926))</f>
        <v>40</v>
      </c>
      <c r="S926" s="4" t="str">
        <f>IF(D926="",IF(ISNUMBER(SEARCH("NOT NULL",UPPER(D$3))),"''","null"),SUBSTITUTE(VLOOKUP(D$2,convert!$A$1:$B$4,2,0),"@@@",D926))</f>
        <v>55</v>
      </c>
      <c r="T926" s="4" t="str">
        <f>IF(E926="",IF(ISNUMBER(SEARCH("NOT NULL",UPPER(E$3))),"''","null"),SUBSTITUTE(VLOOKUP(E$2,convert!$A$1:$B$4,2,0),"@@@",E926))</f>
        <v>35</v>
      </c>
      <c r="U926" s="4" t="str">
        <f>IF(F926="",IF(ISNUMBER(SEARCH("NOT NULL",UPPER(F$3))),"''","null"),SUBSTITUTE(VLOOKUP(F$2,convert!$A$1:$B$4,2,0),"@@@",F926))</f>
        <v>50</v>
      </c>
      <c r="V926" s="4" t="str">
        <f>IF(G926="",IF(ISNUMBER(SEARCH("NOT NULL",UPPER(G$3))),"''","null"),SUBSTITUTE(VLOOKUP(G$2,convert!$A$1:$B$4,2,0),"@@@",G926))</f>
        <v>35</v>
      </c>
      <c r="W926" s="4" t="str">
        <f>IF(H926="",IF(ISNUMBER(SEARCH("NOT NULL",UPPER(H$3))),"''","null"),SUBSTITUTE(VLOOKUP(H$2,convert!$A$1:$B$4,2,0),"@@@",H926))</f>
        <v>35</v>
      </c>
      <c r="X926" s="4" t="str">
        <f>IF(I926="",IF(ISNUMBER(SEARCH("NOT NULL",UPPER(I$3))),"''","null"),SUBSTITUTE(VLOOKUP(I$2,convert!$A$1:$B$4,2,0),"@@@",I926))</f>
        <v>''</v>
      </c>
      <c r="Y926" s="4" t="str">
        <f>IF(J926="",IF(ISNUMBER(SEARCH("NOT NULL",UPPER(J$3))),"''","null"),SUBSTITUTE(VLOOKUP(J$2,convert!$A$1:$B$4,2,0),"@@@",J926))</f>
        <v>'grass'</v>
      </c>
      <c r="Z926" s="4" t="str">
        <f>IF(K926="",IF(ISNUMBER(SEARCH("NOT NULL",UPPER(K$3))),"''","null"),SUBSTITUTE(VLOOKUP(K$2,convert!$A$1:$B$4,2,0),"@@@",K926))</f>
        <v>null</v>
      </c>
      <c r="AA926" s="4" t="str">
        <f>IF(L926="",IF(ISNUMBER(SEARCH("NOT NULL",UPPER(L$3))),"''","null"),SUBSTITUTE(VLOOKUP(L$2,convert!$A$1:$B$4,2,0),"@@@",L926))</f>
        <v>'g7'</v>
      </c>
      <c r="AB926" s="4" t="str">
        <f>IF(M926="",IF(ISNUMBER(SEARCH("NOT NULL",UPPER(M$3))),"''","null"),SUBSTITUTE(VLOOKUP(M$2,convert!$A$1:$B$4,2,0),"@@@",M926))</f>
        <v>null</v>
      </c>
      <c r="AC926" s="4" t="str">
        <f>IF(N926="",IF(ISNUMBER(SEARCH("NOT NULL",UPPER(N$3))),"''","null"),SUBSTITUTE(VLOOKUP(N$2,convert!$A$1:$B$4,2,0),"@@@",N926))</f>
        <v>null</v>
      </c>
      <c r="AD926" s="4" t="str">
        <f>IF(O926="",IF(ISNUMBER(SEARCH("NOT NULL",UPPER(O$3))),"''","null"),SUBSTITUTE(VLOOKUP(O$2,convert!$A$1:$B$4,2,0),"@@@",O926))</f>
        <v>TRUE</v>
      </c>
      <c r="AE926" s="4" t="str">
        <f t="shared" si="14"/>
        <v>    ('0753N01', 'カリキリ', 40, 55, 35, 50, 35, 35, '', 'grass', null, 'g7', null, null, TRUE),</v>
      </c>
    </row>
    <row r="927" spans="1:31">
      <c r="A927" s="4" t="s">
        <v>1859</v>
      </c>
      <c r="B927" s="4" t="s">
        <v>1860</v>
      </c>
      <c r="C927" s="5">
        <v>70</v>
      </c>
      <c r="D927" s="5">
        <v>105</v>
      </c>
      <c r="E927" s="5">
        <v>90</v>
      </c>
      <c r="F927" s="5">
        <v>80</v>
      </c>
      <c r="G927" s="5">
        <v>90</v>
      </c>
      <c r="H927" s="5">
        <v>45</v>
      </c>
      <c r="I927" s="5"/>
      <c r="J927" s="4" t="s">
        <v>30</v>
      </c>
      <c r="K927" s="5"/>
      <c r="L927" s="4" t="s">
        <v>92</v>
      </c>
      <c r="M927" s="5"/>
      <c r="N927" s="5"/>
      <c r="O927" s="5" t="b">
        <v>1</v>
      </c>
      <c r="P927" s="4" t="str">
        <f>IF(A927="",IF(ISNUMBER(SEARCH("NOT NULL",UPPER(A$3))),"''","null"),SUBSTITUTE(VLOOKUP(A$2,convert!$A$1:$B$4,2,0),"@@@",A927))</f>
        <v>'0754N01'</v>
      </c>
      <c r="Q927" s="4" t="str">
        <f>IF(B927="",IF(ISNUMBER(SEARCH("NOT NULL",UPPER(B$3))),"''","null"),SUBSTITUTE(VLOOKUP(B$2,convert!$A$1:$B$4,2,0),"@@@",B927))</f>
        <v>'ラランテス'</v>
      </c>
      <c r="R927" s="4" t="str">
        <f>IF(C927="",IF(ISNUMBER(SEARCH("NOT NULL",UPPER(C$3))),"''","null"),SUBSTITUTE(VLOOKUP(C$2,convert!$A$1:$B$4,2,0),"@@@",C927))</f>
        <v>70</v>
      </c>
      <c r="S927" s="4" t="str">
        <f>IF(D927="",IF(ISNUMBER(SEARCH("NOT NULL",UPPER(D$3))),"''","null"),SUBSTITUTE(VLOOKUP(D$2,convert!$A$1:$B$4,2,0),"@@@",D927))</f>
        <v>105</v>
      </c>
      <c r="T927" s="4" t="str">
        <f>IF(E927="",IF(ISNUMBER(SEARCH("NOT NULL",UPPER(E$3))),"''","null"),SUBSTITUTE(VLOOKUP(E$2,convert!$A$1:$B$4,2,0),"@@@",E927))</f>
        <v>90</v>
      </c>
      <c r="U927" s="4" t="str">
        <f>IF(F927="",IF(ISNUMBER(SEARCH("NOT NULL",UPPER(F$3))),"''","null"),SUBSTITUTE(VLOOKUP(F$2,convert!$A$1:$B$4,2,0),"@@@",F927))</f>
        <v>80</v>
      </c>
      <c r="V927" s="4" t="str">
        <f>IF(G927="",IF(ISNUMBER(SEARCH("NOT NULL",UPPER(G$3))),"''","null"),SUBSTITUTE(VLOOKUP(G$2,convert!$A$1:$B$4,2,0),"@@@",G927))</f>
        <v>90</v>
      </c>
      <c r="W927" s="4" t="str">
        <f>IF(H927="",IF(ISNUMBER(SEARCH("NOT NULL",UPPER(H$3))),"''","null"),SUBSTITUTE(VLOOKUP(H$2,convert!$A$1:$B$4,2,0),"@@@",H927))</f>
        <v>45</v>
      </c>
      <c r="X927" s="4" t="str">
        <f>IF(I927="",IF(ISNUMBER(SEARCH("NOT NULL",UPPER(I$3))),"''","null"),SUBSTITUTE(VLOOKUP(I$2,convert!$A$1:$B$4,2,0),"@@@",I927))</f>
        <v>''</v>
      </c>
      <c r="Y927" s="4" t="str">
        <f>IF(J927="",IF(ISNUMBER(SEARCH("NOT NULL",UPPER(J$3))),"''","null"),SUBSTITUTE(VLOOKUP(J$2,convert!$A$1:$B$4,2,0),"@@@",J927))</f>
        <v>'grass'</v>
      </c>
      <c r="Z927" s="4" t="str">
        <f>IF(K927="",IF(ISNUMBER(SEARCH("NOT NULL",UPPER(K$3))),"''","null"),SUBSTITUTE(VLOOKUP(K$2,convert!$A$1:$B$4,2,0),"@@@",K927))</f>
        <v>null</v>
      </c>
      <c r="AA927" s="4" t="str">
        <f>IF(L927="",IF(ISNUMBER(SEARCH("NOT NULL",UPPER(L$3))),"''","null"),SUBSTITUTE(VLOOKUP(L$2,convert!$A$1:$B$4,2,0),"@@@",L927))</f>
        <v>'g7'</v>
      </c>
      <c r="AB927" s="4" t="str">
        <f>IF(M927="",IF(ISNUMBER(SEARCH("NOT NULL",UPPER(M$3))),"''","null"),SUBSTITUTE(VLOOKUP(M$2,convert!$A$1:$B$4,2,0),"@@@",M927))</f>
        <v>null</v>
      </c>
      <c r="AC927" s="4" t="str">
        <f>IF(N927="",IF(ISNUMBER(SEARCH("NOT NULL",UPPER(N$3))),"''","null"),SUBSTITUTE(VLOOKUP(N$2,convert!$A$1:$B$4,2,0),"@@@",N927))</f>
        <v>null</v>
      </c>
      <c r="AD927" s="4" t="str">
        <f>IF(O927="",IF(ISNUMBER(SEARCH("NOT NULL",UPPER(O$3))),"''","null"),SUBSTITUTE(VLOOKUP(O$2,convert!$A$1:$B$4,2,0),"@@@",O927))</f>
        <v>TRUE</v>
      </c>
      <c r="AE927" s="4" t="str">
        <f t="shared" si="14"/>
        <v>    ('0754N01', 'ラランテス', 70, 105, 90, 80, 90, 45, '', 'grass', null, 'g7', null, null, TRUE),</v>
      </c>
    </row>
    <row r="928" spans="1:31">
      <c r="A928" s="4" t="s">
        <v>1861</v>
      </c>
      <c r="B928" s="4" t="s">
        <v>1862</v>
      </c>
      <c r="C928" s="5">
        <v>40</v>
      </c>
      <c r="D928" s="5">
        <v>35</v>
      </c>
      <c r="E928" s="5">
        <v>55</v>
      </c>
      <c r="F928" s="5">
        <v>65</v>
      </c>
      <c r="G928" s="5">
        <v>75</v>
      </c>
      <c r="H928" s="5">
        <v>15</v>
      </c>
      <c r="I928" s="5"/>
      <c r="J928" s="4" t="s">
        <v>30</v>
      </c>
      <c r="K928" s="4" t="s">
        <v>137</v>
      </c>
      <c r="L928" s="4" t="s">
        <v>92</v>
      </c>
      <c r="M928" s="5"/>
      <c r="N928" s="5"/>
      <c r="O928" s="5" t="b">
        <v>1</v>
      </c>
      <c r="P928" s="4" t="str">
        <f>IF(A928="",IF(ISNUMBER(SEARCH("NOT NULL",UPPER(A$3))),"''","null"),SUBSTITUTE(VLOOKUP(A$2,convert!$A$1:$B$4,2,0),"@@@",A928))</f>
        <v>'0755N01'</v>
      </c>
      <c r="Q928" s="4" t="str">
        <f>IF(B928="",IF(ISNUMBER(SEARCH("NOT NULL",UPPER(B$3))),"''","null"),SUBSTITUTE(VLOOKUP(B$2,convert!$A$1:$B$4,2,0),"@@@",B928))</f>
        <v>'ネマシュ'</v>
      </c>
      <c r="R928" s="4" t="str">
        <f>IF(C928="",IF(ISNUMBER(SEARCH("NOT NULL",UPPER(C$3))),"''","null"),SUBSTITUTE(VLOOKUP(C$2,convert!$A$1:$B$4,2,0),"@@@",C928))</f>
        <v>40</v>
      </c>
      <c r="S928" s="4" t="str">
        <f>IF(D928="",IF(ISNUMBER(SEARCH("NOT NULL",UPPER(D$3))),"''","null"),SUBSTITUTE(VLOOKUP(D$2,convert!$A$1:$B$4,2,0),"@@@",D928))</f>
        <v>35</v>
      </c>
      <c r="T928" s="4" t="str">
        <f>IF(E928="",IF(ISNUMBER(SEARCH("NOT NULL",UPPER(E$3))),"''","null"),SUBSTITUTE(VLOOKUP(E$2,convert!$A$1:$B$4,2,0),"@@@",E928))</f>
        <v>55</v>
      </c>
      <c r="U928" s="4" t="str">
        <f>IF(F928="",IF(ISNUMBER(SEARCH("NOT NULL",UPPER(F$3))),"''","null"),SUBSTITUTE(VLOOKUP(F$2,convert!$A$1:$B$4,2,0),"@@@",F928))</f>
        <v>65</v>
      </c>
      <c r="V928" s="4" t="str">
        <f>IF(G928="",IF(ISNUMBER(SEARCH("NOT NULL",UPPER(G$3))),"''","null"),SUBSTITUTE(VLOOKUP(G$2,convert!$A$1:$B$4,2,0),"@@@",G928))</f>
        <v>75</v>
      </c>
      <c r="W928" s="4" t="str">
        <f>IF(H928="",IF(ISNUMBER(SEARCH("NOT NULL",UPPER(H$3))),"''","null"),SUBSTITUTE(VLOOKUP(H$2,convert!$A$1:$B$4,2,0),"@@@",H928))</f>
        <v>15</v>
      </c>
      <c r="X928" s="4" t="str">
        <f>IF(I928="",IF(ISNUMBER(SEARCH("NOT NULL",UPPER(I$3))),"''","null"),SUBSTITUTE(VLOOKUP(I$2,convert!$A$1:$B$4,2,0),"@@@",I928))</f>
        <v>''</v>
      </c>
      <c r="Y928" s="4" t="str">
        <f>IF(J928="",IF(ISNUMBER(SEARCH("NOT NULL",UPPER(J$3))),"''","null"),SUBSTITUTE(VLOOKUP(J$2,convert!$A$1:$B$4,2,0),"@@@",J928))</f>
        <v>'grass'</v>
      </c>
      <c r="Z928" s="4" t="str">
        <f>IF(K928="",IF(ISNUMBER(SEARCH("NOT NULL",UPPER(K$3))),"''","null"),SUBSTITUTE(VLOOKUP(K$2,convert!$A$1:$B$4,2,0),"@@@",K928))</f>
        <v>'fairy'</v>
      </c>
      <c r="AA928" s="4" t="str">
        <f>IF(L928="",IF(ISNUMBER(SEARCH("NOT NULL",UPPER(L$3))),"''","null"),SUBSTITUTE(VLOOKUP(L$2,convert!$A$1:$B$4,2,0),"@@@",L928))</f>
        <v>'g7'</v>
      </c>
      <c r="AB928" s="4" t="str">
        <f>IF(M928="",IF(ISNUMBER(SEARCH("NOT NULL",UPPER(M$3))),"''","null"),SUBSTITUTE(VLOOKUP(M$2,convert!$A$1:$B$4,2,0),"@@@",M928))</f>
        <v>null</v>
      </c>
      <c r="AC928" s="4" t="str">
        <f>IF(N928="",IF(ISNUMBER(SEARCH("NOT NULL",UPPER(N$3))),"''","null"),SUBSTITUTE(VLOOKUP(N$2,convert!$A$1:$B$4,2,0),"@@@",N928))</f>
        <v>null</v>
      </c>
      <c r="AD928" s="4" t="str">
        <f>IF(O928="",IF(ISNUMBER(SEARCH("NOT NULL",UPPER(O$3))),"''","null"),SUBSTITUTE(VLOOKUP(O$2,convert!$A$1:$B$4,2,0),"@@@",O928))</f>
        <v>TRUE</v>
      </c>
      <c r="AE928" s="4" t="str">
        <f t="shared" si="14"/>
        <v>    ('0755N01', 'ネマシュ', 40, 35, 55, 65, 75, 15, '', 'grass', 'fairy', 'g7', null, null, TRUE),</v>
      </c>
    </row>
    <row r="929" spans="1:31">
      <c r="A929" s="4" t="s">
        <v>1863</v>
      </c>
      <c r="B929" s="4" t="s">
        <v>1864</v>
      </c>
      <c r="C929" s="5">
        <v>60</v>
      </c>
      <c r="D929" s="5">
        <v>45</v>
      </c>
      <c r="E929" s="5">
        <v>80</v>
      </c>
      <c r="F929" s="5">
        <v>90</v>
      </c>
      <c r="G929" s="5">
        <v>100</v>
      </c>
      <c r="H929" s="5">
        <v>30</v>
      </c>
      <c r="I929" s="5"/>
      <c r="J929" s="4" t="s">
        <v>30</v>
      </c>
      <c r="K929" s="4" t="s">
        <v>137</v>
      </c>
      <c r="L929" s="4" t="s">
        <v>92</v>
      </c>
      <c r="M929" s="5"/>
      <c r="N929" s="5"/>
      <c r="O929" s="5" t="b">
        <v>1</v>
      </c>
      <c r="P929" s="4" t="str">
        <f>IF(A929="",IF(ISNUMBER(SEARCH("NOT NULL",UPPER(A$3))),"''","null"),SUBSTITUTE(VLOOKUP(A$2,convert!$A$1:$B$4,2,0),"@@@",A929))</f>
        <v>'0756N01'</v>
      </c>
      <c r="Q929" s="4" t="str">
        <f>IF(B929="",IF(ISNUMBER(SEARCH("NOT NULL",UPPER(B$3))),"''","null"),SUBSTITUTE(VLOOKUP(B$2,convert!$A$1:$B$4,2,0),"@@@",B929))</f>
        <v>'マシェード'</v>
      </c>
      <c r="R929" s="4" t="str">
        <f>IF(C929="",IF(ISNUMBER(SEARCH("NOT NULL",UPPER(C$3))),"''","null"),SUBSTITUTE(VLOOKUP(C$2,convert!$A$1:$B$4,2,0),"@@@",C929))</f>
        <v>60</v>
      </c>
      <c r="S929" s="4" t="str">
        <f>IF(D929="",IF(ISNUMBER(SEARCH("NOT NULL",UPPER(D$3))),"''","null"),SUBSTITUTE(VLOOKUP(D$2,convert!$A$1:$B$4,2,0),"@@@",D929))</f>
        <v>45</v>
      </c>
      <c r="T929" s="4" t="str">
        <f>IF(E929="",IF(ISNUMBER(SEARCH("NOT NULL",UPPER(E$3))),"''","null"),SUBSTITUTE(VLOOKUP(E$2,convert!$A$1:$B$4,2,0),"@@@",E929))</f>
        <v>80</v>
      </c>
      <c r="U929" s="4" t="str">
        <f>IF(F929="",IF(ISNUMBER(SEARCH("NOT NULL",UPPER(F$3))),"''","null"),SUBSTITUTE(VLOOKUP(F$2,convert!$A$1:$B$4,2,0),"@@@",F929))</f>
        <v>90</v>
      </c>
      <c r="V929" s="4" t="str">
        <f>IF(G929="",IF(ISNUMBER(SEARCH("NOT NULL",UPPER(G$3))),"''","null"),SUBSTITUTE(VLOOKUP(G$2,convert!$A$1:$B$4,2,0),"@@@",G929))</f>
        <v>100</v>
      </c>
      <c r="W929" s="4" t="str">
        <f>IF(H929="",IF(ISNUMBER(SEARCH("NOT NULL",UPPER(H$3))),"''","null"),SUBSTITUTE(VLOOKUP(H$2,convert!$A$1:$B$4,2,0),"@@@",H929))</f>
        <v>30</v>
      </c>
      <c r="X929" s="4" t="str">
        <f>IF(I929="",IF(ISNUMBER(SEARCH("NOT NULL",UPPER(I$3))),"''","null"),SUBSTITUTE(VLOOKUP(I$2,convert!$A$1:$B$4,2,0),"@@@",I929))</f>
        <v>''</v>
      </c>
      <c r="Y929" s="4" t="str">
        <f>IF(J929="",IF(ISNUMBER(SEARCH("NOT NULL",UPPER(J$3))),"''","null"),SUBSTITUTE(VLOOKUP(J$2,convert!$A$1:$B$4,2,0),"@@@",J929))</f>
        <v>'grass'</v>
      </c>
      <c r="Z929" s="4" t="str">
        <f>IF(K929="",IF(ISNUMBER(SEARCH("NOT NULL",UPPER(K$3))),"''","null"),SUBSTITUTE(VLOOKUP(K$2,convert!$A$1:$B$4,2,0),"@@@",K929))</f>
        <v>'fairy'</v>
      </c>
      <c r="AA929" s="4" t="str">
        <f>IF(L929="",IF(ISNUMBER(SEARCH("NOT NULL",UPPER(L$3))),"''","null"),SUBSTITUTE(VLOOKUP(L$2,convert!$A$1:$B$4,2,0),"@@@",L929))</f>
        <v>'g7'</v>
      </c>
      <c r="AB929" s="4" t="str">
        <f>IF(M929="",IF(ISNUMBER(SEARCH("NOT NULL",UPPER(M$3))),"''","null"),SUBSTITUTE(VLOOKUP(M$2,convert!$A$1:$B$4,2,0),"@@@",M929))</f>
        <v>null</v>
      </c>
      <c r="AC929" s="4" t="str">
        <f>IF(N929="",IF(ISNUMBER(SEARCH("NOT NULL",UPPER(N$3))),"''","null"),SUBSTITUTE(VLOOKUP(N$2,convert!$A$1:$B$4,2,0),"@@@",N929))</f>
        <v>null</v>
      </c>
      <c r="AD929" s="4" t="str">
        <f>IF(O929="",IF(ISNUMBER(SEARCH("NOT NULL",UPPER(O$3))),"''","null"),SUBSTITUTE(VLOOKUP(O$2,convert!$A$1:$B$4,2,0),"@@@",O929))</f>
        <v>TRUE</v>
      </c>
      <c r="AE929" s="4" t="str">
        <f t="shared" si="14"/>
        <v>    ('0756N01', 'マシェード', 60, 45, 80, 90, 100, 30, '', 'grass', 'fairy', 'g7', null, null, TRUE),</v>
      </c>
    </row>
    <row r="930" spans="1:31">
      <c r="A930" s="4" t="s">
        <v>1865</v>
      </c>
      <c r="B930" s="4" t="s">
        <v>1866</v>
      </c>
      <c r="C930" s="5">
        <v>48</v>
      </c>
      <c r="D930" s="5">
        <v>44</v>
      </c>
      <c r="E930" s="5">
        <v>40</v>
      </c>
      <c r="F930" s="5">
        <v>71</v>
      </c>
      <c r="G930" s="5">
        <v>40</v>
      </c>
      <c r="H930" s="5">
        <v>77</v>
      </c>
      <c r="I930" s="5"/>
      <c r="J930" s="4" t="s">
        <v>31</v>
      </c>
      <c r="K930" s="4" t="s">
        <v>42</v>
      </c>
      <c r="L930" s="4" t="s">
        <v>92</v>
      </c>
      <c r="M930" s="5"/>
      <c r="N930" s="5"/>
      <c r="O930" s="5" t="b">
        <v>1</v>
      </c>
      <c r="P930" s="4" t="str">
        <f>IF(A930="",IF(ISNUMBER(SEARCH("NOT NULL",UPPER(A$3))),"''","null"),SUBSTITUTE(VLOOKUP(A$2,convert!$A$1:$B$4,2,0),"@@@",A930))</f>
        <v>'0757N01'</v>
      </c>
      <c r="Q930" s="4" t="str">
        <f>IF(B930="",IF(ISNUMBER(SEARCH("NOT NULL",UPPER(B$3))),"''","null"),SUBSTITUTE(VLOOKUP(B$2,convert!$A$1:$B$4,2,0),"@@@",B930))</f>
        <v>'ヤトウモリ'</v>
      </c>
      <c r="R930" s="4" t="str">
        <f>IF(C930="",IF(ISNUMBER(SEARCH("NOT NULL",UPPER(C$3))),"''","null"),SUBSTITUTE(VLOOKUP(C$2,convert!$A$1:$B$4,2,0),"@@@",C930))</f>
        <v>48</v>
      </c>
      <c r="S930" s="4" t="str">
        <f>IF(D930="",IF(ISNUMBER(SEARCH("NOT NULL",UPPER(D$3))),"''","null"),SUBSTITUTE(VLOOKUP(D$2,convert!$A$1:$B$4,2,0),"@@@",D930))</f>
        <v>44</v>
      </c>
      <c r="T930" s="4" t="str">
        <f>IF(E930="",IF(ISNUMBER(SEARCH("NOT NULL",UPPER(E$3))),"''","null"),SUBSTITUTE(VLOOKUP(E$2,convert!$A$1:$B$4,2,0),"@@@",E930))</f>
        <v>40</v>
      </c>
      <c r="U930" s="4" t="str">
        <f>IF(F930="",IF(ISNUMBER(SEARCH("NOT NULL",UPPER(F$3))),"''","null"),SUBSTITUTE(VLOOKUP(F$2,convert!$A$1:$B$4,2,0),"@@@",F930))</f>
        <v>71</v>
      </c>
      <c r="V930" s="4" t="str">
        <f>IF(G930="",IF(ISNUMBER(SEARCH("NOT NULL",UPPER(G$3))),"''","null"),SUBSTITUTE(VLOOKUP(G$2,convert!$A$1:$B$4,2,0),"@@@",G930))</f>
        <v>40</v>
      </c>
      <c r="W930" s="4" t="str">
        <f>IF(H930="",IF(ISNUMBER(SEARCH("NOT NULL",UPPER(H$3))),"''","null"),SUBSTITUTE(VLOOKUP(H$2,convert!$A$1:$B$4,2,0),"@@@",H930))</f>
        <v>77</v>
      </c>
      <c r="X930" s="4" t="str">
        <f>IF(I930="",IF(ISNUMBER(SEARCH("NOT NULL",UPPER(I$3))),"''","null"),SUBSTITUTE(VLOOKUP(I$2,convert!$A$1:$B$4,2,0),"@@@",I930))</f>
        <v>''</v>
      </c>
      <c r="Y930" s="4" t="str">
        <f>IF(J930="",IF(ISNUMBER(SEARCH("NOT NULL",UPPER(J$3))),"''","null"),SUBSTITUTE(VLOOKUP(J$2,convert!$A$1:$B$4,2,0),"@@@",J930))</f>
        <v>'poison'</v>
      </c>
      <c r="Z930" s="4" t="str">
        <f>IF(K930="",IF(ISNUMBER(SEARCH("NOT NULL",UPPER(K$3))),"''","null"),SUBSTITUTE(VLOOKUP(K$2,convert!$A$1:$B$4,2,0),"@@@",K930))</f>
        <v>'fire'</v>
      </c>
      <c r="AA930" s="4" t="str">
        <f>IF(L930="",IF(ISNUMBER(SEARCH("NOT NULL",UPPER(L$3))),"''","null"),SUBSTITUTE(VLOOKUP(L$2,convert!$A$1:$B$4,2,0),"@@@",L930))</f>
        <v>'g7'</v>
      </c>
      <c r="AB930" s="4" t="str">
        <f>IF(M930="",IF(ISNUMBER(SEARCH("NOT NULL",UPPER(M$3))),"''","null"),SUBSTITUTE(VLOOKUP(M$2,convert!$A$1:$B$4,2,0),"@@@",M930))</f>
        <v>null</v>
      </c>
      <c r="AC930" s="4" t="str">
        <f>IF(N930="",IF(ISNUMBER(SEARCH("NOT NULL",UPPER(N$3))),"''","null"),SUBSTITUTE(VLOOKUP(N$2,convert!$A$1:$B$4,2,0),"@@@",N930))</f>
        <v>null</v>
      </c>
      <c r="AD930" s="4" t="str">
        <f>IF(O930="",IF(ISNUMBER(SEARCH("NOT NULL",UPPER(O$3))),"''","null"),SUBSTITUTE(VLOOKUP(O$2,convert!$A$1:$B$4,2,0),"@@@",O930))</f>
        <v>TRUE</v>
      </c>
      <c r="AE930" s="4" t="str">
        <f t="shared" si="14"/>
        <v>    ('0757N01', 'ヤトウモリ', 48, 44, 40, 71, 40, 77, '', 'poison', 'fire', 'g7', null, null, TRUE),</v>
      </c>
    </row>
    <row r="931" spans="1:31">
      <c r="A931" s="4" t="s">
        <v>1867</v>
      </c>
      <c r="B931" s="4" t="s">
        <v>1868</v>
      </c>
      <c r="C931" s="5">
        <v>68</v>
      </c>
      <c r="D931" s="5">
        <v>64</v>
      </c>
      <c r="E931" s="5">
        <v>60</v>
      </c>
      <c r="F931" s="5">
        <v>111</v>
      </c>
      <c r="G931" s="5">
        <v>60</v>
      </c>
      <c r="H931" s="5">
        <v>117</v>
      </c>
      <c r="I931" s="5"/>
      <c r="J931" s="4" t="s">
        <v>31</v>
      </c>
      <c r="K931" s="4" t="s">
        <v>42</v>
      </c>
      <c r="L931" s="4" t="s">
        <v>92</v>
      </c>
      <c r="M931" s="5"/>
      <c r="N931" s="5"/>
      <c r="O931" s="5" t="b">
        <v>1</v>
      </c>
      <c r="P931" s="4" t="str">
        <f>IF(A931="",IF(ISNUMBER(SEARCH("NOT NULL",UPPER(A$3))),"''","null"),SUBSTITUTE(VLOOKUP(A$2,convert!$A$1:$B$4,2,0),"@@@",A931))</f>
        <v>'0758N01'</v>
      </c>
      <c r="Q931" s="4" t="str">
        <f>IF(B931="",IF(ISNUMBER(SEARCH("NOT NULL",UPPER(B$3))),"''","null"),SUBSTITUTE(VLOOKUP(B$2,convert!$A$1:$B$4,2,0),"@@@",B931))</f>
        <v>'エンニュート'</v>
      </c>
      <c r="R931" s="4" t="str">
        <f>IF(C931="",IF(ISNUMBER(SEARCH("NOT NULL",UPPER(C$3))),"''","null"),SUBSTITUTE(VLOOKUP(C$2,convert!$A$1:$B$4,2,0),"@@@",C931))</f>
        <v>68</v>
      </c>
      <c r="S931" s="4" t="str">
        <f>IF(D931="",IF(ISNUMBER(SEARCH("NOT NULL",UPPER(D$3))),"''","null"),SUBSTITUTE(VLOOKUP(D$2,convert!$A$1:$B$4,2,0),"@@@",D931))</f>
        <v>64</v>
      </c>
      <c r="T931" s="4" t="str">
        <f>IF(E931="",IF(ISNUMBER(SEARCH("NOT NULL",UPPER(E$3))),"''","null"),SUBSTITUTE(VLOOKUP(E$2,convert!$A$1:$B$4,2,0),"@@@",E931))</f>
        <v>60</v>
      </c>
      <c r="U931" s="4" t="str">
        <f>IF(F931="",IF(ISNUMBER(SEARCH("NOT NULL",UPPER(F$3))),"''","null"),SUBSTITUTE(VLOOKUP(F$2,convert!$A$1:$B$4,2,0),"@@@",F931))</f>
        <v>111</v>
      </c>
      <c r="V931" s="4" t="str">
        <f>IF(G931="",IF(ISNUMBER(SEARCH("NOT NULL",UPPER(G$3))),"''","null"),SUBSTITUTE(VLOOKUP(G$2,convert!$A$1:$B$4,2,0),"@@@",G931))</f>
        <v>60</v>
      </c>
      <c r="W931" s="4" t="str">
        <f>IF(H931="",IF(ISNUMBER(SEARCH("NOT NULL",UPPER(H$3))),"''","null"),SUBSTITUTE(VLOOKUP(H$2,convert!$A$1:$B$4,2,0),"@@@",H931))</f>
        <v>117</v>
      </c>
      <c r="X931" s="4" t="str">
        <f>IF(I931="",IF(ISNUMBER(SEARCH("NOT NULL",UPPER(I$3))),"''","null"),SUBSTITUTE(VLOOKUP(I$2,convert!$A$1:$B$4,2,0),"@@@",I931))</f>
        <v>''</v>
      </c>
      <c r="Y931" s="4" t="str">
        <f>IF(J931="",IF(ISNUMBER(SEARCH("NOT NULL",UPPER(J$3))),"''","null"),SUBSTITUTE(VLOOKUP(J$2,convert!$A$1:$B$4,2,0),"@@@",J931))</f>
        <v>'poison'</v>
      </c>
      <c r="Z931" s="4" t="str">
        <f>IF(K931="",IF(ISNUMBER(SEARCH("NOT NULL",UPPER(K$3))),"''","null"),SUBSTITUTE(VLOOKUP(K$2,convert!$A$1:$B$4,2,0),"@@@",K931))</f>
        <v>'fire'</v>
      </c>
      <c r="AA931" s="4" t="str">
        <f>IF(L931="",IF(ISNUMBER(SEARCH("NOT NULL",UPPER(L$3))),"''","null"),SUBSTITUTE(VLOOKUP(L$2,convert!$A$1:$B$4,2,0),"@@@",L931))</f>
        <v>'g7'</v>
      </c>
      <c r="AB931" s="4" t="str">
        <f>IF(M931="",IF(ISNUMBER(SEARCH("NOT NULL",UPPER(M$3))),"''","null"),SUBSTITUTE(VLOOKUP(M$2,convert!$A$1:$B$4,2,0),"@@@",M931))</f>
        <v>null</v>
      </c>
      <c r="AC931" s="4" t="str">
        <f>IF(N931="",IF(ISNUMBER(SEARCH("NOT NULL",UPPER(N$3))),"''","null"),SUBSTITUTE(VLOOKUP(N$2,convert!$A$1:$B$4,2,0),"@@@",N931))</f>
        <v>null</v>
      </c>
      <c r="AD931" s="4" t="str">
        <f>IF(O931="",IF(ISNUMBER(SEARCH("NOT NULL",UPPER(O$3))),"''","null"),SUBSTITUTE(VLOOKUP(O$2,convert!$A$1:$B$4,2,0),"@@@",O931))</f>
        <v>TRUE</v>
      </c>
      <c r="AE931" s="4" t="str">
        <f t="shared" si="14"/>
        <v>    ('0758N01', 'エンニュート', 68, 64, 60, 111, 60, 117, '', 'poison', 'fire', 'g7', null, null, TRUE),</v>
      </c>
    </row>
    <row r="932" spans="1:31">
      <c r="A932" s="4" t="s">
        <v>1869</v>
      </c>
      <c r="B932" s="4" t="s">
        <v>1870</v>
      </c>
      <c r="C932" s="5">
        <v>70</v>
      </c>
      <c r="D932" s="5">
        <v>75</v>
      </c>
      <c r="E932" s="5">
        <v>50</v>
      </c>
      <c r="F932" s="5">
        <v>45</v>
      </c>
      <c r="G932" s="5">
        <v>50</v>
      </c>
      <c r="H932" s="5">
        <v>50</v>
      </c>
      <c r="I932" s="5"/>
      <c r="J932" s="4" t="s">
        <v>80</v>
      </c>
      <c r="K932" s="4" t="s">
        <v>189</v>
      </c>
      <c r="L932" s="4" t="s">
        <v>92</v>
      </c>
      <c r="M932" s="5"/>
      <c r="N932" s="5"/>
      <c r="O932" s="5" t="b">
        <v>1</v>
      </c>
      <c r="P932" s="4" t="str">
        <f>IF(A932="",IF(ISNUMBER(SEARCH("NOT NULL",UPPER(A$3))),"''","null"),SUBSTITUTE(VLOOKUP(A$2,convert!$A$1:$B$4,2,0),"@@@",A932))</f>
        <v>'0759N01'</v>
      </c>
      <c r="Q932" s="4" t="str">
        <f>IF(B932="",IF(ISNUMBER(SEARCH("NOT NULL",UPPER(B$3))),"''","null"),SUBSTITUTE(VLOOKUP(B$2,convert!$A$1:$B$4,2,0),"@@@",B932))</f>
        <v>'ヌイコグマ'</v>
      </c>
      <c r="R932" s="4" t="str">
        <f>IF(C932="",IF(ISNUMBER(SEARCH("NOT NULL",UPPER(C$3))),"''","null"),SUBSTITUTE(VLOOKUP(C$2,convert!$A$1:$B$4,2,0),"@@@",C932))</f>
        <v>70</v>
      </c>
      <c r="S932" s="4" t="str">
        <f>IF(D932="",IF(ISNUMBER(SEARCH("NOT NULL",UPPER(D$3))),"''","null"),SUBSTITUTE(VLOOKUP(D$2,convert!$A$1:$B$4,2,0),"@@@",D932))</f>
        <v>75</v>
      </c>
      <c r="T932" s="4" t="str">
        <f>IF(E932="",IF(ISNUMBER(SEARCH("NOT NULL",UPPER(E$3))),"''","null"),SUBSTITUTE(VLOOKUP(E$2,convert!$A$1:$B$4,2,0),"@@@",E932))</f>
        <v>50</v>
      </c>
      <c r="U932" s="4" t="str">
        <f>IF(F932="",IF(ISNUMBER(SEARCH("NOT NULL",UPPER(F$3))),"''","null"),SUBSTITUTE(VLOOKUP(F$2,convert!$A$1:$B$4,2,0),"@@@",F932))</f>
        <v>45</v>
      </c>
      <c r="V932" s="4" t="str">
        <f>IF(G932="",IF(ISNUMBER(SEARCH("NOT NULL",UPPER(G$3))),"''","null"),SUBSTITUTE(VLOOKUP(G$2,convert!$A$1:$B$4,2,0),"@@@",G932))</f>
        <v>50</v>
      </c>
      <c r="W932" s="4" t="str">
        <f>IF(H932="",IF(ISNUMBER(SEARCH("NOT NULL",UPPER(H$3))),"''","null"),SUBSTITUTE(VLOOKUP(H$2,convert!$A$1:$B$4,2,0),"@@@",H932))</f>
        <v>50</v>
      </c>
      <c r="X932" s="4" t="str">
        <f>IF(I932="",IF(ISNUMBER(SEARCH("NOT NULL",UPPER(I$3))),"''","null"),SUBSTITUTE(VLOOKUP(I$2,convert!$A$1:$B$4,2,0),"@@@",I932))</f>
        <v>''</v>
      </c>
      <c r="Y932" s="4" t="str">
        <f>IF(J932="",IF(ISNUMBER(SEARCH("NOT NULL",UPPER(J$3))),"''","null"),SUBSTITUTE(VLOOKUP(J$2,convert!$A$1:$B$4,2,0),"@@@",J932))</f>
        <v>'normal'</v>
      </c>
      <c r="Z932" s="4" t="str">
        <f>IF(K932="",IF(ISNUMBER(SEARCH("NOT NULL",UPPER(K$3))),"''","null"),SUBSTITUTE(VLOOKUP(K$2,convert!$A$1:$B$4,2,0),"@@@",K932))</f>
        <v>'fighting'</v>
      </c>
      <c r="AA932" s="4" t="str">
        <f>IF(L932="",IF(ISNUMBER(SEARCH("NOT NULL",UPPER(L$3))),"''","null"),SUBSTITUTE(VLOOKUP(L$2,convert!$A$1:$B$4,2,0),"@@@",L932))</f>
        <v>'g7'</v>
      </c>
      <c r="AB932" s="4" t="str">
        <f>IF(M932="",IF(ISNUMBER(SEARCH("NOT NULL",UPPER(M$3))),"''","null"),SUBSTITUTE(VLOOKUP(M$2,convert!$A$1:$B$4,2,0),"@@@",M932))</f>
        <v>null</v>
      </c>
      <c r="AC932" s="4" t="str">
        <f>IF(N932="",IF(ISNUMBER(SEARCH("NOT NULL",UPPER(N$3))),"''","null"),SUBSTITUTE(VLOOKUP(N$2,convert!$A$1:$B$4,2,0),"@@@",N932))</f>
        <v>null</v>
      </c>
      <c r="AD932" s="4" t="str">
        <f>IF(O932="",IF(ISNUMBER(SEARCH("NOT NULL",UPPER(O$3))),"''","null"),SUBSTITUTE(VLOOKUP(O$2,convert!$A$1:$B$4,2,0),"@@@",O932))</f>
        <v>TRUE</v>
      </c>
      <c r="AE932" s="4" t="str">
        <f t="shared" si="14"/>
        <v>    ('0759N01', 'ヌイコグマ', 70, 75, 50, 45, 50, 50, '', 'normal', 'fighting', 'g7', null, null, TRUE),</v>
      </c>
    </row>
    <row r="933" spans="1:31">
      <c r="A933" s="4" t="s">
        <v>1871</v>
      </c>
      <c r="B933" s="4" t="s">
        <v>1872</v>
      </c>
      <c r="C933" s="5">
        <v>120</v>
      </c>
      <c r="D933" s="5">
        <v>125</v>
      </c>
      <c r="E933" s="5">
        <v>80</v>
      </c>
      <c r="F933" s="5">
        <v>55</v>
      </c>
      <c r="G933" s="5">
        <v>60</v>
      </c>
      <c r="H933" s="5">
        <v>60</v>
      </c>
      <c r="I933" s="5"/>
      <c r="J933" s="4" t="s">
        <v>80</v>
      </c>
      <c r="K933" s="4" t="s">
        <v>189</v>
      </c>
      <c r="L933" s="4" t="s">
        <v>92</v>
      </c>
      <c r="M933" s="5"/>
      <c r="N933" s="5"/>
      <c r="O933" s="5" t="b">
        <v>1</v>
      </c>
      <c r="P933" s="4" t="str">
        <f>IF(A933="",IF(ISNUMBER(SEARCH("NOT NULL",UPPER(A$3))),"''","null"),SUBSTITUTE(VLOOKUP(A$2,convert!$A$1:$B$4,2,0),"@@@",A933))</f>
        <v>'0760N01'</v>
      </c>
      <c r="Q933" s="4" t="str">
        <f>IF(B933="",IF(ISNUMBER(SEARCH("NOT NULL",UPPER(B$3))),"''","null"),SUBSTITUTE(VLOOKUP(B$2,convert!$A$1:$B$4,2,0),"@@@",B933))</f>
        <v>'キテルグマ'</v>
      </c>
      <c r="R933" s="4" t="str">
        <f>IF(C933="",IF(ISNUMBER(SEARCH("NOT NULL",UPPER(C$3))),"''","null"),SUBSTITUTE(VLOOKUP(C$2,convert!$A$1:$B$4,2,0),"@@@",C933))</f>
        <v>120</v>
      </c>
      <c r="S933" s="4" t="str">
        <f>IF(D933="",IF(ISNUMBER(SEARCH("NOT NULL",UPPER(D$3))),"''","null"),SUBSTITUTE(VLOOKUP(D$2,convert!$A$1:$B$4,2,0),"@@@",D933))</f>
        <v>125</v>
      </c>
      <c r="T933" s="4" t="str">
        <f>IF(E933="",IF(ISNUMBER(SEARCH("NOT NULL",UPPER(E$3))),"''","null"),SUBSTITUTE(VLOOKUP(E$2,convert!$A$1:$B$4,2,0),"@@@",E933))</f>
        <v>80</v>
      </c>
      <c r="U933" s="4" t="str">
        <f>IF(F933="",IF(ISNUMBER(SEARCH("NOT NULL",UPPER(F$3))),"''","null"),SUBSTITUTE(VLOOKUP(F$2,convert!$A$1:$B$4,2,0),"@@@",F933))</f>
        <v>55</v>
      </c>
      <c r="V933" s="4" t="str">
        <f>IF(G933="",IF(ISNUMBER(SEARCH("NOT NULL",UPPER(G$3))),"''","null"),SUBSTITUTE(VLOOKUP(G$2,convert!$A$1:$B$4,2,0),"@@@",G933))</f>
        <v>60</v>
      </c>
      <c r="W933" s="4" t="str">
        <f>IF(H933="",IF(ISNUMBER(SEARCH("NOT NULL",UPPER(H$3))),"''","null"),SUBSTITUTE(VLOOKUP(H$2,convert!$A$1:$B$4,2,0),"@@@",H933))</f>
        <v>60</v>
      </c>
      <c r="X933" s="4" t="str">
        <f>IF(I933="",IF(ISNUMBER(SEARCH("NOT NULL",UPPER(I$3))),"''","null"),SUBSTITUTE(VLOOKUP(I$2,convert!$A$1:$B$4,2,0),"@@@",I933))</f>
        <v>''</v>
      </c>
      <c r="Y933" s="4" t="str">
        <f>IF(J933="",IF(ISNUMBER(SEARCH("NOT NULL",UPPER(J$3))),"''","null"),SUBSTITUTE(VLOOKUP(J$2,convert!$A$1:$B$4,2,0),"@@@",J933))</f>
        <v>'normal'</v>
      </c>
      <c r="Z933" s="4" t="str">
        <f>IF(K933="",IF(ISNUMBER(SEARCH("NOT NULL",UPPER(K$3))),"''","null"),SUBSTITUTE(VLOOKUP(K$2,convert!$A$1:$B$4,2,0),"@@@",K933))</f>
        <v>'fighting'</v>
      </c>
      <c r="AA933" s="4" t="str">
        <f>IF(L933="",IF(ISNUMBER(SEARCH("NOT NULL",UPPER(L$3))),"''","null"),SUBSTITUTE(VLOOKUP(L$2,convert!$A$1:$B$4,2,0),"@@@",L933))</f>
        <v>'g7'</v>
      </c>
      <c r="AB933" s="4" t="str">
        <f>IF(M933="",IF(ISNUMBER(SEARCH("NOT NULL",UPPER(M$3))),"''","null"),SUBSTITUTE(VLOOKUP(M$2,convert!$A$1:$B$4,2,0),"@@@",M933))</f>
        <v>null</v>
      </c>
      <c r="AC933" s="4" t="str">
        <f>IF(N933="",IF(ISNUMBER(SEARCH("NOT NULL",UPPER(N$3))),"''","null"),SUBSTITUTE(VLOOKUP(N$2,convert!$A$1:$B$4,2,0),"@@@",N933))</f>
        <v>null</v>
      </c>
      <c r="AD933" s="4" t="str">
        <f>IF(O933="",IF(ISNUMBER(SEARCH("NOT NULL",UPPER(O$3))),"''","null"),SUBSTITUTE(VLOOKUP(O$2,convert!$A$1:$B$4,2,0),"@@@",O933))</f>
        <v>TRUE</v>
      </c>
      <c r="AE933" s="4" t="str">
        <f t="shared" si="14"/>
        <v>    ('0760N01', 'キテルグマ', 120, 125, 80, 55, 60, 60, '', 'normal', 'fighting', 'g7', null, null, TRUE),</v>
      </c>
    </row>
    <row r="934" spans="1:31">
      <c r="A934" s="4" t="s">
        <v>1873</v>
      </c>
      <c r="B934" s="4" t="s">
        <v>1874</v>
      </c>
      <c r="C934" s="5">
        <v>42</v>
      </c>
      <c r="D934" s="5">
        <v>30</v>
      </c>
      <c r="E934" s="5">
        <v>38</v>
      </c>
      <c r="F934" s="5">
        <v>30</v>
      </c>
      <c r="G934" s="5">
        <v>38</v>
      </c>
      <c r="H934" s="5">
        <v>32</v>
      </c>
      <c r="I934" s="5"/>
      <c r="J934" s="4" t="s">
        <v>30</v>
      </c>
      <c r="K934" s="5"/>
      <c r="L934" s="4" t="s">
        <v>92</v>
      </c>
      <c r="M934" s="5"/>
      <c r="N934" s="5"/>
      <c r="O934" s="5" t="b">
        <v>1</v>
      </c>
      <c r="P934" s="4" t="str">
        <f>IF(A934="",IF(ISNUMBER(SEARCH("NOT NULL",UPPER(A$3))),"''","null"),SUBSTITUTE(VLOOKUP(A$2,convert!$A$1:$B$4,2,0),"@@@",A934))</f>
        <v>'0761N01'</v>
      </c>
      <c r="Q934" s="4" t="str">
        <f>IF(B934="",IF(ISNUMBER(SEARCH("NOT NULL",UPPER(B$3))),"''","null"),SUBSTITUTE(VLOOKUP(B$2,convert!$A$1:$B$4,2,0),"@@@",B934))</f>
        <v>'アマカジ'</v>
      </c>
      <c r="R934" s="4" t="str">
        <f>IF(C934="",IF(ISNUMBER(SEARCH("NOT NULL",UPPER(C$3))),"''","null"),SUBSTITUTE(VLOOKUP(C$2,convert!$A$1:$B$4,2,0),"@@@",C934))</f>
        <v>42</v>
      </c>
      <c r="S934" s="4" t="str">
        <f>IF(D934="",IF(ISNUMBER(SEARCH("NOT NULL",UPPER(D$3))),"''","null"),SUBSTITUTE(VLOOKUP(D$2,convert!$A$1:$B$4,2,0),"@@@",D934))</f>
        <v>30</v>
      </c>
      <c r="T934" s="4" t="str">
        <f>IF(E934="",IF(ISNUMBER(SEARCH("NOT NULL",UPPER(E$3))),"''","null"),SUBSTITUTE(VLOOKUP(E$2,convert!$A$1:$B$4,2,0),"@@@",E934))</f>
        <v>38</v>
      </c>
      <c r="U934" s="4" t="str">
        <f>IF(F934="",IF(ISNUMBER(SEARCH("NOT NULL",UPPER(F$3))),"''","null"),SUBSTITUTE(VLOOKUP(F$2,convert!$A$1:$B$4,2,0),"@@@",F934))</f>
        <v>30</v>
      </c>
      <c r="V934" s="4" t="str">
        <f>IF(G934="",IF(ISNUMBER(SEARCH("NOT NULL",UPPER(G$3))),"''","null"),SUBSTITUTE(VLOOKUP(G$2,convert!$A$1:$B$4,2,0),"@@@",G934))</f>
        <v>38</v>
      </c>
      <c r="W934" s="4" t="str">
        <f>IF(H934="",IF(ISNUMBER(SEARCH("NOT NULL",UPPER(H$3))),"''","null"),SUBSTITUTE(VLOOKUP(H$2,convert!$A$1:$B$4,2,0),"@@@",H934))</f>
        <v>32</v>
      </c>
      <c r="X934" s="4" t="str">
        <f>IF(I934="",IF(ISNUMBER(SEARCH("NOT NULL",UPPER(I$3))),"''","null"),SUBSTITUTE(VLOOKUP(I$2,convert!$A$1:$B$4,2,0),"@@@",I934))</f>
        <v>''</v>
      </c>
      <c r="Y934" s="4" t="str">
        <f>IF(J934="",IF(ISNUMBER(SEARCH("NOT NULL",UPPER(J$3))),"''","null"),SUBSTITUTE(VLOOKUP(J$2,convert!$A$1:$B$4,2,0),"@@@",J934))</f>
        <v>'grass'</v>
      </c>
      <c r="Z934" s="4" t="str">
        <f>IF(K934="",IF(ISNUMBER(SEARCH("NOT NULL",UPPER(K$3))),"''","null"),SUBSTITUTE(VLOOKUP(K$2,convert!$A$1:$B$4,2,0),"@@@",K934))</f>
        <v>null</v>
      </c>
      <c r="AA934" s="4" t="str">
        <f>IF(L934="",IF(ISNUMBER(SEARCH("NOT NULL",UPPER(L$3))),"''","null"),SUBSTITUTE(VLOOKUP(L$2,convert!$A$1:$B$4,2,0),"@@@",L934))</f>
        <v>'g7'</v>
      </c>
      <c r="AB934" s="4" t="str">
        <f>IF(M934="",IF(ISNUMBER(SEARCH("NOT NULL",UPPER(M$3))),"''","null"),SUBSTITUTE(VLOOKUP(M$2,convert!$A$1:$B$4,2,0),"@@@",M934))</f>
        <v>null</v>
      </c>
      <c r="AC934" s="4" t="str">
        <f>IF(N934="",IF(ISNUMBER(SEARCH("NOT NULL",UPPER(N$3))),"''","null"),SUBSTITUTE(VLOOKUP(N$2,convert!$A$1:$B$4,2,0),"@@@",N934))</f>
        <v>null</v>
      </c>
      <c r="AD934" s="4" t="str">
        <f>IF(O934="",IF(ISNUMBER(SEARCH("NOT NULL",UPPER(O$3))),"''","null"),SUBSTITUTE(VLOOKUP(O$2,convert!$A$1:$B$4,2,0),"@@@",O934))</f>
        <v>TRUE</v>
      </c>
      <c r="AE934" s="4" t="str">
        <f t="shared" si="14"/>
        <v>    ('0761N01', 'アマカジ', 42, 30, 38, 30, 38, 32, '', 'grass', null, 'g7', null, null, TRUE),</v>
      </c>
    </row>
    <row r="935" spans="1:31">
      <c r="A935" s="4" t="s">
        <v>1875</v>
      </c>
      <c r="B935" s="4" t="s">
        <v>1876</v>
      </c>
      <c r="C935" s="5">
        <v>52</v>
      </c>
      <c r="D935" s="5">
        <v>40</v>
      </c>
      <c r="E935" s="5">
        <v>48</v>
      </c>
      <c r="F935" s="5">
        <v>40</v>
      </c>
      <c r="G935" s="5">
        <v>48</v>
      </c>
      <c r="H935" s="5">
        <v>62</v>
      </c>
      <c r="I935" s="5"/>
      <c r="J935" s="4" t="s">
        <v>30</v>
      </c>
      <c r="K935" s="5"/>
      <c r="L935" s="4" t="s">
        <v>92</v>
      </c>
      <c r="M935" s="5"/>
      <c r="N935" s="5"/>
      <c r="O935" s="5" t="b">
        <v>1</v>
      </c>
      <c r="P935" s="4" t="str">
        <f>IF(A935="",IF(ISNUMBER(SEARCH("NOT NULL",UPPER(A$3))),"''","null"),SUBSTITUTE(VLOOKUP(A$2,convert!$A$1:$B$4,2,0),"@@@",A935))</f>
        <v>'0762N01'</v>
      </c>
      <c r="Q935" s="4" t="str">
        <f>IF(B935="",IF(ISNUMBER(SEARCH("NOT NULL",UPPER(B$3))),"''","null"),SUBSTITUTE(VLOOKUP(B$2,convert!$A$1:$B$4,2,0),"@@@",B935))</f>
        <v>'アママイコ'</v>
      </c>
      <c r="R935" s="4" t="str">
        <f>IF(C935="",IF(ISNUMBER(SEARCH("NOT NULL",UPPER(C$3))),"''","null"),SUBSTITUTE(VLOOKUP(C$2,convert!$A$1:$B$4,2,0),"@@@",C935))</f>
        <v>52</v>
      </c>
      <c r="S935" s="4" t="str">
        <f>IF(D935="",IF(ISNUMBER(SEARCH("NOT NULL",UPPER(D$3))),"''","null"),SUBSTITUTE(VLOOKUP(D$2,convert!$A$1:$B$4,2,0),"@@@",D935))</f>
        <v>40</v>
      </c>
      <c r="T935" s="4" t="str">
        <f>IF(E935="",IF(ISNUMBER(SEARCH("NOT NULL",UPPER(E$3))),"''","null"),SUBSTITUTE(VLOOKUP(E$2,convert!$A$1:$B$4,2,0),"@@@",E935))</f>
        <v>48</v>
      </c>
      <c r="U935" s="4" t="str">
        <f>IF(F935="",IF(ISNUMBER(SEARCH("NOT NULL",UPPER(F$3))),"''","null"),SUBSTITUTE(VLOOKUP(F$2,convert!$A$1:$B$4,2,0),"@@@",F935))</f>
        <v>40</v>
      </c>
      <c r="V935" s="4" t="str">
        <f>IF(G935="",IF(ISNUMBER(SEARCH("NOT NULL",UPPER(G$3))),"''","null"),SUBSTITUTE(VLOOKUP(G$2,convert!$A$1:$B$4,2,0),"@@@",G935))</f>
        <v>48</v>
      </c>
      <c r="W935" s="4" t="str">
        <f>IF(H935="",IF(ISNUMBER(SEARCH("NOT NULL",UPPER(H$3))),"''","null"),SUBSTITUTE(VLOOKUP(H$2,convert!$A$1:$B$4,2,0),"@@@",H935))</f>
        <v>62</v>
      </c>
      <c r="X935" s="4" t="str">
        <f>IF(I935="",IF(ISNUMBER(SEARCH("NOT NULL",UPPER(I$3))),"''","null"),SUBSTITUTE(VLOOKUP(I$2,convert!$A$1:$B$4,2,0),"@@@",I935))</f>
        <v>''</v>
      </c>
      <c r="Y935" s="4" t="str">
        <f>IF(J935="",IF(ISNUMBER(SEARCH("NOT NULL",UPPER(J$3))),"''","null"),SUBSTITUTE(VLOOKUP(J$2,convert!$A$1:$B$4,2,0),"@@@",J935))</f>
        <v>'grass'</v>
      </c>
      <c r="Z935" s="4" t="str">
        <f>IF(K935="",IF(ISNUMBER(SEARCH("NOT NULL",UPPER(K$3))),"''","null"),SUBSTITUTE(VLOOKUP(K$2,convert!$A$1:$B$4,2,0),"@@@",K935))</f>
        <v>null</v>
      </c>
      <c r="AA935" s="4" t="str">
        <f>IF(L935="",IF(ISNUMBER(SEARCH("NOT NULL",UPPER(L$3))),"''","null"),SUBSTITUTE(VLOOKUP(L$2,convert!$A$1:$B$4,2,0),"@@@",L935))</f>
        <v>'g7'</v>
      </c>
      <c r="AB935" s="4" t="str">
        <f>IF(M935="",IF(ISNUMBER(SEARCH("NOT NULL",UPPER(M$3))),"''","null"),SUBSTITUTE(VLOOKUP(M$2,convert!$A$1:$B$4,2,0),"@@@",M935))</f>
        <v>null</v>
      </c>
      <c r="AC935" s="4" t="str">
        <f>IF(N935="",IF(ISNUMBER(SEARCH("NOT NULL",UPPER(N$3))),"''","null"),SUBSTITUTE(VLOOKUP(N$2,convert!$A$1:$B$4,2,0),"@@@",N935))</f>
        <v>null</v>
      </c>
      <c r="AD935" s="4" t="str">
        <f>IF(O935="",IF(ISNUMBER(SEARCH("NOT NULL",UPPER(O$3))),"''","null"),SUBSTITUTE(VLOOKUP(O$2,convert!$A$1:$B$4,2,0),"@@@",O935))</f>
        <v>TRUE</v>
      </c>
      <c r="AE935" s="4" t="str">
        <f t="shared" si="14"/>
        <v>    ('0762N01', 'アママイコ', 52, 40, 48, 40, 48, 62, '', 'grass', null, 'g7', null, null, TRUE),</v>
      </c>
    </row>
    <row r="936" spans="1:31">
      <c r="A936" s="4" t="s">
        <v>1877</v>
      </c>
      <c r="B936" s="4" t="s">
        <v>1878</v>
      </c>
      <c r="C936" s="5">
        <v>72</v>
      </c>
      <c r="D936" s="5">
        <v>120</v>
      </c>
      <c r="E936" s="5">
        <v>98</v>
      </c>
      <c r="F936" s="5">
        <v>50</v>
      </c>
      <c r="G936" s="5">
        <v>98</v>
      </c>
      <c r="H936" s="5">
        <v>72</v>
      </c>
      <c r="I936" s="5"/>
      <c r="J936" s="4" t="s">
        <v>30</v>
      </c>
      <c r="K936" s="5"/>
      <c r="L936" s="4" t="s">
        <v>92</v>
      </c>
      <c r="M936" s="5"/>
      <c r="N936" s="5"/>
      <c r="O936" s="5" t="b">
        <v>1</v>
      </c>
      <c r="P936" s="4" t="str">
        <f>IF(A936="",IF(ISNUMBER(SEARCH("NOT NULL",UPPER(A$3))),"''","null"),SUBSTITUTE(VLOOKUP(A$2,convert!$A$1:$B$4,2,0),"@@@",A936))</f>
        <v>'0763N01'</v>
      </c>
      <c r="Q936" s="4" t="str">
        <f>IF(B936="",IF(ISNUMBER(SEARCH("NOT NULL",UPPER(B$3))),"''","null"),SUBSTITUTE(VLOOKUP(B$2,convert!$A$1:$B$4,2,0),"@@@",B936))</f>
        <v>'アマージョ'</v>
      </c>
      <c r="R936" s="4" t="str">
        <f>IF(C936="",IF(ISNUMBER(SEARCH("NOT NULL",UPPER(C$3))),"''","null"),SUBSTITUTE(VLOOKUP(C$2,convert!$A$1:$B$4,2,0),"@@@",C936))</f>
        <v>72</v>
      </c>
      <c r="S936" s="4" t="str">
        <f>IF(D936="",IF(ISNUMBER(SEARCH("NOT NULL",UPPER(D$3))),"''","null"),SUBSTITUTE(VLOOKUP(D$2,convert!$A$1:$B$4,2,0),"@@@",D936))</f>
        <v>120</v>
      </c>
      <c r="T936" s="4" t="str">
        <f>IF(E936="",IF(ISNUMBER(SEARCH("NOT NULL",UPPER(E$3))),"''","null"),SUBSTITUTE(VLOOKUP(E$2,convert!$A$1:$B$4,2,0),"@@@",E936))</f>
        <v>98</v>
      </c>
      <c r="U936" s="4" t="str">
        <f>IF(F936="",IF(ISNUMBER(SEARCH("NOT NULL",UPPER(F$3))),"''","null"),SUBSTITUTE(VLOOKUP(F$2,convert!$A$1:$B$4,2,0),"@@@",F936))</f>
        <v>50</v>
      </c>
      <c r="V936" s="4" t="str">
        <f>IF(G936="",IF(ISNUMBER(SEARCH("NOT NULL",UPPER(G$3))),"''","null"),SUBSTITUTE(VLOOKUP(G$2,convert!$A$1:$B$4,2,0),"@@@",G936))</f>
        <v>98</v>
      </c>
      <c r="W936" s="4" t="str">
        <f>IF(H936="",IF(ISNUMBER(SEARCH("NOT NULL",UPPER(H$3))),"''","null"),SUBSTITUTE(VLOOKUP(H$2,convert!$A$1:$B$4,2,0),"@@@",H936))</f>
        <v>72</v>
      </c>
      <c r="X936" s="4" t="str">
        <f>IF(I936="",IF(ISNUMBER(SEARCH("NOT NULL",UPPER(I$3))),"''","null"),SUBSTITUTE(VLOOKUP(I$2,convert!$A$1:$B$4,2,0),"@@@",I936))</f>
        <v>''</v>
      </c>
      <c r="Y936" s="4" t="str">
        <f>IF(J936="",IF(ISNUMBER(SEARCH("NOT NULL",UPPER(J$3))),"''","null"),SUBSTITUTE(VLOOKUP(J$2,convert!$A$1:$B$4,2,0),"@@@",J936))</f>
        <v>'grass'</v>
      </c>
      <c r="Z936" s="4" t="str">
        <f>IF(K936="",IF(ISNUMBER(SEARCH("NOT NULL",UPPER(K$3))),"''","null"),SUBSTITUTE(VLOOKUP(K$2,convert!$A$1:$B$4,2,0),"@@@",K936))</f>
        <v>null</v>
      </c>
      <c r="AA936" s="4" t="str">
        <f>IF(L936="",IF(ISNUMBER(SEARCH("NOT NULL",UPPER(L$3))),"''","null"),SUBSTITUTE(VLOOKUP(L$2,convert!$A$1:$B$4,2,0),"@@@",L936))</f>
        <v>'g7'</v>
      </c>
      <c r="AB936" s="4" t="str">
        <f>IF(M936="",IF(ISNUMBER(SEARCH("NOT NULL",UPPER(M$3))),"''","null"),SUBSTITUTE(VLOOKUP(M$2,convert!$A$1:$B$4,2,0),"@@@",M936))</f>
        <v>null</v>
      </c>
      <c r="AC936" s="4" t="str">
        <f>IF(N936="",IF(ISNUMBER(SEARCH("NOT NULL",UPPER(N$3))),"''","null"),SUBSTITUTE(VLOOKUP(N$2,convert!$A$1:$B$4,2,0),"@@@",N936))</f>
        <v>null</v>
      </c>
      <c r="AD936" s="4" t="str">
        <f>IF(O936="",IF(ISNUMBER(SEARCH("NOT NULL",UPPER(O$3))),"''","null"),SUBSTITUTE(VLOOKUP(O$2,convert!$A$1:$B$4,2,0),"@@@",O936))</f>
        <v>TRUE</v>
      </c>
      <c r="AE936" s="4" t="str">
        <f t="shared" si="14"/>
        <v>    ('0763N01', 'アマージョ', 72, 120, 98, 50, 98, 72, '', 'grass', null, 'g7', null, null, TRUE),</v>
      </c>
    </row>
    <row r="937" spans="1:31">
      <c r="A937" s="4" t="s">
        <v>1879</v>
      </c>
      <c r="B937" s="4" t="s">
        <v>1880</v>
      </c>
      <c r="C937" s="5">
        <v>51</v>
      </c>
      <c r="D937" s="5">
        <v>52</v>
      </c>
      <c r="E937" s="5">
        <v>90</v>
      </c>
      <c r="F937" s="5">
        <v>82</v>
      </c>
      <c r="G937" s="5">
        <v>110</v>
      </c>
      <c r="H937" s="5">
        <v>100</v>
      </c>
      <c r="I937" s="5"/>
      <c r="J937" s="4" t="s">
        <v>137</v>
      </c>
      <c r="K937" s="5"/>
      <c r="L937" s="4" t="s">
        <v>92</v>
      </c>
      <c r="M937" s="5"/>
      <c r="N937" s="5"/>
      <c r="O937" s="5" t="b">
        <v>1</v>
      </c>
      <c r="P937" s="4" t="str">
        <f>IF(A937="",IF(ISNUMBER(SEARCH("NOT NULL",UPPER(A$3))),"''","null"),SUBSTITUTE(VLOOKUP(A$2,convert!$A$1:$B$4,2,0),"@@@",A937))</f>
        <v>'0764N01'</v>
      </c>
      <c r="Q937" s="4" t="str">
        <f>IF(B937="",IF(ISNUMBER(SEARCH("NOT NULL",UPPER(B$3))),"''","null"),SUBSTITUTE(VLOOKUP(B$2,convert!$A$1:$B$4,2,0),"@@@",B937))</f>
        <v>'キュワワー'</v>
      </c>
      <c r="R937" s="4" t="str">
        <f>IF(C937="",IF(ISNUMBER(SEARCH("NOT NULL",UPPER(C$3))),"''","null"),SUBSTITUTE(VLOOKUP(C$2,convert!$A$1:$B$4,2,0),"@@@",C937))</f>
        <v>51</v>
      </c>
      <c r="S937" s="4" t="str">
        <f>IF(D937="",IF(ISNUMBER(SEARCH("NOT NULL",UPPER(D$3))),"''","null"),SUBSTITUTE(VLOOKUP(D$2,convert!$A$1:$B$4,2,0),"@@@",D937))</f>
        <v>52</v>
      </c>
      <c r="T937" s="4" t="str">
        <f>IF(E937="",IF(ISNUMBER(SEARCH("NOT NULL",UPPER(E$3))),"''","null"),SUBSTITUTE(VLOOKUP(E$2,convert!$A$1:$B$4,2,0),"@@@",E937))</f>
        <v>90</v>
      </c>
      <c r="U937" s="4" t="str">
        <f>IF(F937="",IF(ISNUMBER(SEARCH("NOT NULL",UPPER(F$3))),"''","null"),SUBSTITUTE(VLOOKUP(F$2,convert!$A$1:$B$4,2,0),"@@@",F937))</f>
        <v>82</v>
      </c>
      <c r="V937" s="4" t="str">
        <f>IF(G937="",IF(ISNUMBER(SEARCH("NOT NULL",UPPER(G$3))),"''","null"),SUBSTITUTE(VLOOKUP(G$2,convert!$A$1:$B$4,2,0),"@@@",G937))</f>
        <v>110</v>
      </c>
      <c r="W937" s="4" t="str">
        <f>IF(H937="",IF(ISNUMBER(SEARCH("NOT NULL",UPPER(H$3))),"''","null"),SUBSTITUTE(VLOOKUP(H$2,convert!$A$1:$B$4,2,0),"@@@",H937))</f>
        <v>100</v>
      </c>
      <c r="X937" s="4" t="str">
        <f>IF(I937="",IF(ISNUMBER(SEARCH("NOT NULL",UPPER(I$3))),"''","null"),SUBSTITUTE(VLOOKUP(I$2,convert!$A$1:$B$4,2,0),"@@@",I937))</f>
        <v>''</v>
      </c>
      <c r="Y937" s="4" t="str">
        <f>IF(J937="",IF(ISNUMBER(SEARCH("NOT NULL",UPPER(J$3))),"''","null"),SUBSTITUTE(VLOOKUP(J$2,convert!$A$1:$B$4,2,0),"@@@",J937))</f>
        <v>'fairy'</v>
      </c>
      <c r="Z937" s="4" t="str">
        <f>IF(K937="",IF(ISNUMBER(SEARCH("NOT NULL",UPPER(K$3))),"''","null"),SUBSTITUTE(VLOOKUP(K$2,convert!$A$1:$B$4,2,0),"@@@",K937))</f>
        <v>null</v>
      </c>
      <c r="AA937" s="4" t="str">
        <f>IF(L937="",IF(ISNUMBER(SEARCH("NOT NULL",UPPER(L$3))),"''","null"),SUBSTITUTE(VLOOKUP(L$2,convert!$A$1:$B$4,2,0),"@@@",L937))</f>
        <v>'g7'</v>
      </c>
      <c r="AB937" s="4" t="str">
        <f>IF(M937="",IF(ISNUMBER(SEARCH("NOT NULL",UPPER(M$3))),"''","null"),SUBSTITUTE(VLOOKUP(M$2,convert!$A$1:$B$4,2,0),"@@@",M937))</f>
        <v>null</v>
      </c>
      <c r="AC937" s="4" t="str">
        <f>IF(N937="",IF(ISNUMBER(SEARCH("NOT NULL",UPPER(N$3))),"''","null"),SUBSTITUTE(VLOOKUP(N$2,convert!$A$1:$B$4,2,0),"@@@",N937))</f>
        <v>null</v>
      </c>
      <c r="AD937" s="4" t="str">
        <f>IF(O937="",IF(ISNUMBER(SEARCH("NOT NULL",UPPER(O$3))),"''","null"),SUBSTITUTE(VLOOKUP(O$2,convert!$A$1:$B$4,2,0),"@@@",O937))</f>
        <v>TRUE</v>
      </c>
      <c r="AE937" s="4" t="str">
        <f t="shared" si="14"/>
        <v>    ('0764N01', 'キュワワー', 51, 52, 90, 82, 110, 100, '', 'fairy', null, 'g7', null, null, TRUE),</v>
      </c>
    </row>
    <row r="938" spans="1:31">
      <c r="A938" s="4" t="s">
        <v>1881</v>
      </c>
      <c r="B938" s="4" t="s">
        <v>1882</v>
      </c>
      <c r="C938" s="5">
        <v>90</v>
      </c>
      <c r="D938" s="5">
        <v>60</v>
      </c>
      <c r="E938" s="5">
        <v>80</v>
      </c>
      <c r="F938" s="5">
        <v>90</v>
      </c>
      <c r="G938" s="5">
        <v>110</v>
      </c>
      <c r="H938" s="5">
        <v>60</v>
      </c>
      <c r="I938" s="5"/>
      <c r="J938" s="4" t="s">
        <v>80</v>
      </c>
      <c r="K938" s="4" t="s">
        <v>113</v>
      </c>
      <c r="L938" s="4" t="s">
        <v>92</v>
      </c>
      <c r="M938" s="5"/>
      <c r="N938" s="5"/>
      <c r="O938" s="5" t="b">
        <v>1</v>
      </c>
      <c r="P938" s="4" t="str">
        <f>IF(A938="",IF(ISNUMBER(SEARCH("NOT NULL",UPPER(A$3))),"''","null"),SUBSTITUTE(VLOOKUP(A$2,convert!$A$1:$B$4,2,0),"@@@",A938))</f>
        <v>'0765N01'</v>
      </c>
      <c r="Q938" s="4" t="str">
        <f>IF(B938="",IF(ISNUMBER(SEARCH("NOT NULL",UPPER(B$3))),"''","null"),SUBSTITUTE(VLOOKUP(B$2,convert!$A$1:$B$4,2,0),"@@@",B938))</f>
        <v>'ヤレユータン'</v>
      </c>
      <c r="R938" s="4" t="str">
        <f>IF(C938="",IF(ISNUMBER(SEARCH("NOT NULL",UPPER(C$3))),"''","null"),SUBSTITUTE(VLOOKUP(C$2,convert!$A$1:$B$4,2,0),"@@@",C938))</f>
        <v>90</v>
      </c>
      <c r="S938" s="4" t="str">
        <f>IF(D938="",IF(ISNUMBER(SEARCH("NOT NULL",UPPER(D$3))),"''","null"),SUBSTITUTE(VLOOKUP(D$2,convert!$A$1:$B$4,2,0),"@@@",D938))</f>
        <v>60</v>
      </c>
      <c r="T938" s="4" t="str">
        <f>IF(E938="",IF(ISNUMBER(SEARCH("NOT NULL",UPPER(E$3))),"''","null"),SUBSTITUTE(VLOOKUP(E$2,convert!$A$1:$B$4,2,0),"@@@",E938))</f>
        <v>80</v>
      </c>
      <c r="U938" s="4" t="str">
        <f>IF(F938="",IF(ISNUMBER(SEARCH("NOT NULL",UPPER(F$3))),"''","null"),SUBSTITUTE(VLOOKUP(F$2,convert!$A$1:$B$4,2,0),"@@@",F938))</f>
        <v>90</v>
      </c>
      <c r="V938" s="4" t="str">
        <f>IF(G938="",IF(ISNUMBER(SEARCH("NOT NULL",UPPER(G$3))),"''","null"),SUBSTITUTE(VLOOKUP(G$2,convert!$A$1:$B$4,2,0),"@@@",G938))</f>
        <v>110</v>
      </c>
      <c r="W938" s="4" t="str">
        <f>IF(H938="",IF(ISNUMBER(SEARCH("NOT NULL",UPPER(H$3))),"''","null"),SUBSTITUTE(VLOOKUP(H$2,convert!$A$1:$B$4,2,0),"@@@",H938))</f>
        <v>60</v>
      </c>
      <c r="X938" s="4" t="str">
        <f>IF(I938="",IF(ISNUMBER(SEARCH("NOT NULL",UPPER(I$3))),"''","null"),SUBSTITUTE(VLOOKUP(I$2,convert!$A$1:$B$4,2,0),"@@@",I938))</f>
        <v>''</v>
      </c>
      <c r="Y938" s="4" t="str">
        <f>IF(J938="",IF(ISNUMBER(SEARCH("NOT NULL",UPPER(J$3))),"''","null"),SUBSTITUTE(VLOOKUP(J$2,convert!$A$1:$B$4,2,0),"@@@",J938))</f>
        <v>'normal'</v>
      </c>
      <c r="Z938" s="4" t="str">
        <f>IF(K938="",IF(ISNUMBER(SEARCH("NOT NULL",UPPER(K$3))),"''","null"),SUBSTITUTE(VLOOKUP(K$2,convert!$A$1:$B$4,2,0),"@@@",K938))</f>
        <v>'psychic'</v>
      </c>
      <c r="AA938" s="4" t="str">
        <f>IF(L938="",IF(ISNUMBER(SEARCH("NOT NULL",UPPER(L$3))),"''","null"),SUBSTITUTE(VLOOKUP(L$2,convert!$A$1:$B$4,2,0),"@@@",L938))</f>
        <v>'g7'</v>
      </c>
      <c r="AB938" s="4" t="str">
        <f>IF(M938="",IF(ISNUMBER(SEARCH("NOT NULL",UPPER(M$3))),"''","null"),SUBSTITUTE(VLOOKUP(M$2,convert!$A$1:$B$4,2,0),"@@@",M938))</f>
        <v>null</v>
      </c>
      <c r="AC938" s="4" t="str">
        <f>IF(N938="",IF(ISNUMBER(SEARCH("NOT NULL",UPPER(N$3))),"''","null"),SUBSTITUTE(VLOOKUP(N$2,convert!$A$1:$B$4,2,0),"@@@",N938))</f>
        <v>null</v>
      </c>
      <c r="AD938" s="4" t="str">
        <f>IF(O938="",IF(ISNUMBER(SEARCH("NOT NULL",UPPER(O$3))),"''","null"),SUBSTITUTE(VLOOKUP(O$2,convert!$A$1:$B$4,2,0),"@@@",O938))</f>
        <v>TRUE</v>
      </c>
      <c r="AE938" s="4" t="str">
        <f t="shared" si="14"/>
        <v>    ('0765N01', 'ヤレユータン', 90, 60, 80, 90, 110, 60, '', 'normal', 'psychic', 'g7', null, null, TRUE),</v>
      </c>
    </row>
    <row r="939" spans="1:31">
      <c r="A939" s="4" t="s">
        <v>1883</v>
      </c>
      <c r="B939" s="4" t="s">
        <v>1884</v>
      </c>
      <c r="C939" s="5">
        <v>100</v>
      </c>
      <c r="D939" s="5">
        <v>120</v>
      </c>
      <c r="E939" s="5">
        <v>90</v>
      </c>
      <c r="F939" s="5">
        <v>40</v>
      </c>
      <c r="G939" s="5">
        <v>60</v>
      </c>
      <c r="H939" s="5">
        <v>80</v>
      </c>
      <c r="I939" s="5"/>
      <c r="J939" s="4" t="s">
        <v>189</v>
      </c>
      <c r="K939" s="5"/>
      <c r="L939" s="4" t="s">
        <v>92</v>
      </c>
      <c r="M939" s="5"/>
      <c r="N939" s="5"/>
      <c r="O939" s="5" t="b">
        <v>1</v>
      </c>
      <c r="P939" s="4" t="str">
        <f>IF(A939="",IF(ISNUMBER(SEARCH("NOT NULL",UPPER(A$3))),"''","null"),SUBSTITUTE(VLOOKUP(A$2,convert!$A$1:$B$4,2,0),"@@@",A939))</f>
        <v>'0766N01'</v>
      </c>
      <c r="Q939" s="4" t="str">
        <f>IF(B939="",IF(ISNUMBER(SEARCH("NOT NULL",UPPER(B$3))),"''","null"),SUBSTITUTE(VLOOKUP(B$2,convert!$A$1:$B$4,2,0),"@@@",B939))</f>
        <v>'ナゲツケサル'</v>
      </c>
      <c r="R939" s="4" t="str">
        <f>IF(C939="",IF(ISNUMBER(SEARCH("NOT NULL",UPPER(C$3))),"''","null"),SUBSTITUTE(VLOOKUP(C$2,convert!$A$1:$B$4,2,0),"@@@",C939))</f>
        <v>100</v>
      </c>
      <c r="S939" s="4" t="str">
        <f>IF(D939="",IF(ISNUMBER(SEARCH("NOT NULL",UPPER(D$3))),"''","null"),SUBSTITUTE(VLOOKUP(D$2,convert!$A$1:$B$4,2,0),"@@@",D939))</f>
        <v>120</v>
      </c>
      <c r="T939" s="4" t="str">
        <f>IF(E939="",IF(ISNUMBER(SEARCH("NOT NULL",UPPER(E$3))),"''","null"),SUBSTITUTE(VLOOKUP(E$2,convert!$A$1:$B$4,2,0),"@@@",E939))</f>
        <v>90</v>
      </c>
      <c r="U939" s="4" t="str">
        <f>IF(F939="",IF(ISNUMBER(SEARCH("NOT NULL",UPPER(F$3))),"''","null"),SUBSTITUTE(VLOOKUP(F$2,convert!$A$1:$B$4,2,0),"@@@",F939))</f>
        <v>40</v>
      </c>
      <c r="V939" s="4" t="str">
        <f>IF(G939="",IF(ISNUMBER(SEARCH("NOT NULL",UPPER(G$3))),"''","null"),SUBSTITUTE(VLOOKUP(G$2,convert!$A$1:$B$4,2,0),"@@@",G939))</f>
        <v>60</v>
      </c>
      <c r="W939" s="4" t="str">
        <f>IF(H939="",IF(ISNUMBER(SEARCH("NOT NULL",UPPER(H$3))),"''","null"),SUBSTITUTE(VLOOKUP(H$2,convert!$A$1:$B$4,2,0),"@@@",H939))</f>
        <v>80</v>
      </c>
      <c r="X939" s="4" t="str">
        <f>IF(I939="",IF(ISNUMBER(SEARCH("NOT NULL",UPPER(I$3))),"''","null"),SUBSTITUTE(VLOOKUP(I$2,convert!$A$1:$B$4,2,0),"@@@",I939))</f>
        <v>''</v>
      </c>
      <c r="Y939" s="4" t="str">
        <f>IF(J939="",IF(ISNUMBER(SEARCH("NOT NULL",UPPER(J$3))),"''","null"),SUBSTITUTE(VLOOKUP(J$2,convert!$A$1:$B$4,2,0),"@@@",J939))</f>
        <v>'fighting'</v>
      </c>
      <c r="Z939" s="4" t="str">
        <f>IF(K939="",IF(ISNUMBER(SEARCH("NOT NULL",UPPER(K$3))),"''","null"),SUBSTITUTE(VLOOKUP(K$2,convert!$A$1:$B$4,2,0),"@@@",K939))</f>
        <v>null</v>
      </c>
      <c r="AA939" s="4" t="str">
        <f>IF(L939="",IF(ISNUMBER(SEARCH("NOT NULL",UPPER(L$3))),"''","null"),SUBSTITUTE(VLOOKUP(L$2,convert!$A$1:$B$4,2,0),"@@@",L939))</f>
        <v>'g7'</v>
      </c>
      <c r="AB939" s="4" t="str">
        <f>IF(M939="",IF(ISNUMBER(SEARCH("NOT NULL",UPPER(M$3))),"''","null"),SUBSTITUTE(VLOOKUP(M$2,convert!$A$1:$B$4,2,0),"@@@",M939))</f>
        <v>null</v>
      </c>
      <c r="AC939" s="4" t="str">
        <f>IF(N939="",IF(ISNUMBER(SEARCH("NOT NULL",UPPER(N$3))),"''","null"),SUBSTITUTE(VLOOKUP(N$2,convert!$A$1:$B$4,2,0),"@@@",N939))</f>
        <v>null</v>
      </c>
      <c r="AD939" s="4" t="str">
        <f>IF(O939="",IF(ISNUMBER(SEARCH("NOT NULL",UPPER(O$3))),"''","null"),SUBSTITUTE(VLOOKUP(O$2,convert!$A$1:$B$4,2,0),"@@@",O939))</f>
        <v>TRUE</v>
      </c>
      <c r="AE939" s="4" t="str">
        <f t="shared" si="14"/>
        <v>    ('0766N01', 'ナゲツケサル', 100, 120, 90, 40, 60, 80, '', 'fighting', null, 'g7', null, null, TRUE),</v>
      </c>
    </row>
    <row r="940" spans="1:31">
      <c r="A940" s="4" t="s">
        <v>1885</v>
      </c>
      <c r="B940" s="4" t="s">
        <v>1886</v>
      </c>
      <c r="C940" s="5">
        <v>25</v>
      </c>
      <c r="D940" s="5">
        <v>35</v>
      </c>
      <c r="E940" s="5">
        <v>40</v>
      </c>
      <c r="F940" s="5">
        <v>20</v>
      </c>
      <c r="G940" s="5">
        <v>30</v>
      </c>
      <c r="H940" s="5">
        <v>80</v>
      </c>
      <c r="I940" s="5"/>
      <c r="J940" s="4" t="s">
        <v>64</v>
      </c>
      <c r="K940" s="4" t="s">
        <v>55</v>
      </c>
      <c r="L940" s="4" t="s">
        <v>92</v>
      </c>
      <c r="M940" s="5"/>
      <c r="N940" s="5"/>
      <c r="O940" s="5" t="b">
        <v>1</v>
      </c>
      <c r="P940" s="4" t="str">
        <f>IF(A940="",IF(ISNUMBER(SEARCH("NOT NULL",UPPER(A$3))),"''","null"),SUBSTITUTE(VLOOKUP(A$2,convert!$A$1:$B$4,2,0),"@@@",A940))</f>
        <v>'0767N01'</v>
      </c>
      <c r="Q940" s="4" t="str">
        <f>IF(B940="",IF(ISNUMBER(SEARCH("NOT NULL",UPPER(B$3))),"''","null"),SUBSTITUTE(VLOOKUP(B$2,convert!$A$1:$B$4,2,0),"@@@",B940))</f>
        <v>'コソクムシ'</v>
      </c>
      <c r="R940" s="4" t="str">
        <f>IF(C940="",IF(ISNUMBER(SEARCH("NOT NULL",UPPER(C$3))),"''","null"),SUBSTITUTE(VLOOKUP(C$2,convert!$A$1:$B$4,2,0),"@@@",C940))</f>
        <v>25</v>
      </c>
      <c r="S940" s="4" t="str">
        <f>IF(D940="",IF(ISNUMBER(SEARCH("NOT NULL",UPPER(D$3))),"''","null"),SUBSTITUTE(VLOOKUP(D$2,convert!$A$1:$B$4,2,0),"@@@",D940))</f>
        <v>35</v>
      </c>
      <c r="T940" s="4" t="str">
        <f>IF(E940="",IF(ISNUMBER(SEARCH("NOT NULL",UPPER(E$3))),"''","null"),SUBSTITUTE(VLOOKUP(E$2,convert!$A$1:$B$4,2,0),"@@@",E940))</f>
        <v>40</v>
      </c>
      <c r="U940" s="4" t="str">
        <f>IF(F940="",IF(ISNUMBER(SEARCH("NOT NULL",UPPER(F$3))),"''","null"),SUBSTITUTE(VLOOKUP(F$2,convert!$A$1:$B$4,2,0),"@@@",F940))</f>
        <v>20</v>
      </c>
      <c r="V940" s="4" t="str">
        <f>IF(G940="",IF(ISNUMBER(SEARCH("NOT NULL",UPPER(G$3))),"''","null"),SUBSTITUTE(VLOOKUP(G$2,convert!$A$1:$B$4,2,0),"@@@",G940))</f>
        <v>30</v>
      </c>
      <c r="W940" s="4" t="str">
        <f>IF(H940="",IF(ISNUMBER(SEARCH("NOT NULL",UPPER(H$3))),"''","null"),SUBSTITUTE(VLOOKUP(H$2,convert!$A$1:$B$4,2,0),"@@@",H940))</f>
        <v>80</v>
      </c>
      <c r="X940" s="4" t="str">
        <f>IF(I940="",IF(ISNUMBER(SEARCH("NOT NULL",UPPER(I$3))),"''","null"),SUBSTITUTE(VLOOKUP(I$2,convert!$A$1:$B$4,2,0),"@@@",I940))</f>
        <v>''</v>
      </c>
      <c r="Y940" s="4" t="str">
        <f>IF(J940="",IF(ISNUMBER(SEARCH("NOT NULL",UPPER(J$3))),"''","null"),SUBSTITUTE(VLOOKUP(J$2,convert!$A$1:$B$4,2,0),"@@@",J940))</f>
        <v>'bug'</v>
      </c>
      <c r="Z940" s="4" t="str">
        <f>IF(K940="",IF(ISNUMBER(SEARCH("NOT NULL",UPPER(K$3))),"''","null"),SUBSTITUTE(VLOOKUP(K$2,convert!$A$1:$B$4,2,0),"@@@",K940))</f>
        <v>'water'</v>
      </c>
      <c r="AA940" s="4" t="str">
        <f>IF(L940="",IF(ISNUMBER(SEARCH("NOT NULL",UPPER(L$3))),"''","null"),SUBSTITUTE(VLOOKUP(L$2,convert!$A$1:$B$4,2,0),"@@@",L940))</f>
        <v>'g7'</v>
      </c>
      <c r="AB940" s="4" t="str">
        <f>IF(M940="",IF(ISNUMBER(SEARCH("NOT NULL",UPPER(M$3))),"''","null"),SUBSTITUTE(VLOOKUP(M$2,convert!$A$1:$B$4,2,0),"@@@",M940))</f>
        <v>null</v>
      </c>
      <c r="AC940" s="4" t="str">
        <f>IF(N940="",IF(ISNUMBER(SEARCH("NOT NULL",UPPER(N$3))),"''","null"),SUBSTITUTE(VLOOKUP(N$2,convert!$A$1:$B$4,2,0),"@@@",N940))</f>
        <v>null</v>
      </c>
      <c r="AD940" s="4" t="str">
        <f>IF(O940="",IF(ISNUMBER(SEARCH("NOT NULL",UPPER(O$3))),"''","null"),SUBSTITUTE(VLOOKUP(O$2,convert!$A$1:$B$4,2,0),"@@@",O940))</f>
        <v>TRUE</v>
      </c>
      <c r="AE940" s="4" t="str">
        <f t="shared" si="14"/>
        <v>    ('0767N01', 'コソクムシ', 25, 35, 40, 20, 30, 80, '', 'bug', 'water', 'g7', null, null, TRUE),</v>
      </c>
    </row>
    <row r="941" spans="1:31">
      <c r="A941" s="4" t="s">
        <v>1887</v>
      </c>
      <c r="B941" s="4" t="s">
        <v>1888</v>
      </c>
      <c r="C941" s="5">
        <v>75</v>
      </c>
      <c r="D941" s="5">
        <v>125</v>
      </c>
      <c r="E941" s="5">
        <v>140</v>
      </c>
      <c r="F941" s="5">
        <v>60</v>
      </c>
      <c r="G941" s="5">
        <v>90</v>
      </c>
      <c r="H941" s="5">
        <v>40</v>
      </c>
      <c r="I941" s="5"/>
      <c r="J941" s="4" t="s">
        <v>64</v>
      </c>
      <c r="K941" s="4" t="s">
        <v>55</v>
      </c>
      <c r="L941" s="4" t="s">
        <v>92</v>
      </c>
      <c r="M941" s="5"/>
      <c r="N941" s="5"/>
      <c r="O941" s="5" t="b">
        <v>1</v>
      </c>
      <c r="P941" s="4" t="str">
        <f>IF(A941="",IF(ISNUMBER(SEARCH("NOT NULL",UPPER(A$3))),"''","null"),SUBSTITUTE(VLOOKUP(A$2,convert!$A$1:$B$4,2,0),"@@@",A941))</f>
        <v>'0768N01'</v>
      </c>
      <c r="Q941" s="4" t="str">
        <f>IF(B941="",IF(ISNUMBER(SEARCH("NOT NULL",UPPER(B$3))),"''","null"),SUBSTITUTE(VLOOKUP(B$2,convert!$A$1:$B$4,2,0),"@@@",B941))</f>
        <v>'グソクムシャ'</v>
      </c>
      <c r="R941" s="4" t="str">
        <f>IF(C941="",IF(ISNUMBER(SEARCH("NOT NULL",UPPER(C$3))),"''","null"),SUBSTITUTE(VLOOKUP(C$2,convert!$A$1:$B$4,2,0),"@@@",C941))</f>
        <v>75</v>
      </c>
      <c r="S941" s="4" t="str">
        <f>IF(D941="",IF(ISNUMBER(SEARCH("NOT NULL",UPPER(D$3))),"''","null"),SUBSTITUTE(VLOOKUP(D$2,convert!$A$1:$B$4,2,0),"@@@",D941))</f>
        <v>125</v>
      </c>
      <c r="T941" s="4" t="str">
        <f>IF(E941="",IF(ISNUMBER(SEARCH("NOT NULL",UPPER(E$3))),"''","null"),SUBSTITUTE(VLOOKUP(E$2,convert!$A$1:$B$4,2,0),"@@@",E941))</f>
        <v>140</v>
      </c>
      <c r="U941" s="4" t="str">
        <f>IF(F941="",IF(ISNUMBER(SEARCH("NOT NULL",UPPER(F$3))),"''","null"),SUBSTITUTE(VLOOKUP(F$2,convert!$A$1:$B$4,2,0),"@@@",F941))</f>
        <v>60</v>
      </c>
      <c r="V941" s="4" t="str">
        <f>IF(G941="",IF(ISNUMBER(SEARCH("NOT NULL",UPPER(G$3))),"''","null"),SUBSTITUTE(VLOOKUP(G$2,convert!$A$1:$B$4,2,0),"@@@",G941))</f>
        <v>90</v>
      </c>
      <c r="W941" s="4" t="str">
        <f>IF(H941="",IF(ISNUMBER(SEARCH("NOT NULL",UPPER(H$3))),"''","null"),SUBSTITUTE(VLOOKUP(H$2,convert!$A$1:$B$4,2,0),"@@@",H941))</f>
        <v>40</v>
      </c>
      <c r="X941" s="4" t="str">
        <f>IF(I941="",IF(ISNUMBER(SEARCH("NOT NULL",UPPER(I$3))),"''","null"),SUBSTITUTE(VLOOKUP(I$2,convert!$A$1:$B$4,2,0),"@@@",I941))</f>
        <v>''</v>
      </c>
      <c r="Y941" s="4" t="str">
        <f>IF(J941="",IF(ISNUMBER(SEARCH("NOT NULL",UPPER(J$3))),"''","null"),SUBSTITUTE(VLOOKUP(J$2,convert!$A$1:$B$4,2,0),"@@@",J941))</f>
        <v>'bug'</v>
      </c>
      <c r="Z941" s="4" t="str">
        <f>IF(K941="",IF(ISNUMBER(SEARCH("NOT NULL",UPPER(K$3))),"''","null"),SUBSTITUTE(VLOOKUP(K$2,convert!$A$1:$B$4,2,0),"@@@",K941))</f>
        <v>'water'</v>
      </c>
      <c r="AA941" s="4" t="str">
        <f>IF(L941="",IF(ISNUMBER(SEARCH("NOT NULL",UPPER(L$3))),"''","null"),SUBSTITUTE(VLOOKUP(L$2,convert!$A$1:$B$4,2,0),"@@@",L941))</f>
        <v>'g7'</v>
      </c>
      <c r="AB941" s="4" t="str">
        <f>IF(M941="",IF(ISNUMBER(SEARCH("NOT NULL",UPPER(M$3))),"''","null"),SUBSTITUTE(VLOOKUP(M$2,convert!$A$1:$B$4,2,0),"@@@",M941))</f>
        <v>null</v>
      </c>
      <c r="AC941" s="4" t="str">
        <f>IF(N941="",IF(ISNUMBER(SEARCH("NOT NULL",UPPER(N$3))),"''","null"),SUBSTITUTE(VLOOKUP(N$2,convert!$A$1:$B$4,2,0),"@@@",N941))</f>
        <v>null</v>
      </c>
      <c r="AD941" s="4" t="str">
        <f>IF(O941="",IF(ISNUMBER(SEARCH("NOT NULL",UPPER(O$3))),"''","null"),SUBSTITUTE(VLOOKUP(O$2,convert!$A$1:$B$4,2,0),"@@@",O941))</f>
        <v>TRUE</v>
      </c>
      <c r="AE941" s="4" t="str">
        <f t="shared" si="14"/>
        <v>    ('0768N01', 'グソクムシャ', 75, 125, 140, 60, 90, 40, '', 'bug', 'water', 'g7', null, null, TRUE),</v>
      </c>
    </row>
    <row r="942" spans="1:31">
      <c r="A942" s="4" t="s">
        <v>1889</v>
      </c>
      <c r="B942" s="4" t="s">
        <v>1890</v>
      </c>
      <c r="C942" s="5">
        <v>55</v>
      </c>
      <c r="D942" s="5">
        <v>55</v>
      </c>
      <c r="E942" s="5">
        <v>80</v>
      </c>
      <c r="F942" s="5">
        <v>70</v>
      </c>
      <c r="G942" s="5">
        <v>45</v>
      </c>
      <c r="H942" s="5">
        <v>15</v>
      </c>
      <c r="I942" s="5"/>
      <c r="J942" s="4" t="s">
        <v>281</v>
      </c>
      <c r="K942" s="4" t="s">
        <v>116</v>
      </c>
      <c r="L942" s="4" t="s">
        <v>92</v>
      </c>
      <c r="M942" s="5"/>
      <c r="N942" s="5"/>
      <c r="O942" s="5" t="b">
        <v>1</v>
      </c>
      <c r="P942" s="4" t="str">
        <f>IF(A942="",IF(ISNUMBER(SEARCH("NOT NULL",UPPER(A$3))),"''","null"),SUBSTITUTE(VLOOKUP(A$2,convert!$A$1:$B$4,2,0),"@@@",A942))</f>
        <v>'0769N01'</v>
      </c>
      <c r="Q942" s="4" t="str">
        <f>IF(B942="",IF(ISNUMBER(SEARCH("NOT NULL",UPPER(B$3))),"''","null"),SUBSTITUTE(VLOOKUP(B$2,convert!$A$1:$B$4,2,0),"@@@",B942))</f>
        <v>'スナバァ'</v>
      </c>
      <c r="R942" s="4" t="str">
        <f>IF(C942="",IF(ISNUMBER(SEARCH("NOT NULL",UPPER(C$3))),"''","null"),SUBSTITUTE(VLOOKUP(C$2,convert!$A$1:$B$4,2,0),"@@@",C942))</f>
        <v>55</v>
      </c>
      <c r="S942" s="4" t="str">
        <f>IF(D942="",IF(ISNUMBER(SEARCH("NOT NULL",UPPER(D$3))),"''","null"),SUBSTITUTE(VLOOKUP(D$2,convert!$A$1:$B$4,2,0),"@@@",D942))</f>
        <v>55</v>
      </c>
      <c r="T942" s="4" t="str">
        <f>IF(E942="",IF(ISNUMBER(SEARCH("NOT NULL",UPPER(E$3))),"''","null"),SUBSTITUTE(VLOOKUP(E$2,convert!$A$1:$B$4,2,0),"@@@",E942))</f>
        <v>80</v>
      </c>
      <c r="U942" s="4" t="str">
        <f>IF(F942="",IF(ISNUMBER(SEARCH("NOT NULL",UPPER(F$3))),"''","null"),SUBSTITUTE(VLOOKUP(F$2,convert!$A$1:$B$4,2,0),"@@@",F942))</f>
        <v>70</v>
      </c>
      <c r="V942" s="4" t="str">
        <f>IF(G942="",IF(ISNUMBER(SEARCH("NOT NULL",UPPER(G$3))),"''","null"),SUBSTITUTE(VLOOKUP(G$2,convert!$A$1:$B$4,2,0),"@@@",G942))</f>
        <v>45</v>
      </c>
      <c r="W942" s="4" t="str">
        <f>IF(H942="",IF(ISNUMBER(SEARCH("NOT NULL",UPPER(H$3))),"''","null"),SUBSTITUTE(VLOOKUP(H$2,convert!$A$1:$B$4,2,0),"@@@",H942))</f>
        <v>15</v>
      </c>
      <c r="X942" s="4" t="str">
        <f>IF(I942="",IF(ISNUMBER(SEARCH("NOT NULL",UPPER(I$3))),"''","null"),SUBSTITUTE(VLOOKUP(I$2,convert!$A$1:$B$4,2,0),"@@@",I942))</f>
        <v>''</v>
      </c>
      <c r="Y942" s="4" t="str">
        <f>IF(J942="",IF(ISNUMBER(SEARCH("NOT NULL",UPPER(J$3))),"''","null"),SUBSTITUTE(VLOOKUP(J$2,convert!$A$1:$B$4,2,0),"@@@",J942))</f>
        <v>'ghost'</v>
      </c>
      <c r="Z942" s="4" t="str">
        <f>IF(K942="",IF(ISNUMBER(SEARCH("NOT NULL",UPPER(K$3))),"''","null"),SUBSTITUTE(VLOOKUP(K$2,convert!$A$1:$B$4,2,0),"@@@",K942))</f>
        <v>'ground'</v>
      </c>
      <c r="AA942" s="4" t="str">
        <f>IF(L942="",IF(ISNUMBER(SEARCH("NOT NULL",UPPER(L$3))),"''","null"),SUBSTITUTE(VLOOKUP(L$2,convert!$A$1:$B$4,2,0),"@@@",L942))</f>
        <v>'g7'</v>
      </c>
      <c r="AB942" s="4" t="str">
        <f>IF(M942="",IF(ISNUMBER(SEARCH("NOT NULL",UPPER(M$3))),"''","null"),SUBSTITUTE(VLOOKUP(M$2,convert!$A$1:$B$4,2,0),"@@@",M942))</f>
        <v>null</v>
      </c>
      <c r="AC942" s="4" t="str">
        <f>IF(N942="",IF(ISNUMBER(SEARCH("NOT NULL",UPPER(N$3))),"''","null"),SUBSTITUTE(VLOOKUP(N$2,convert!$A$1:$B$4,2,0),"@@@",N942))</f>
        <v>null</v>
      </c>
      <c r="AD942" s="4" t="str">
        <f>IF(O942="",IF(ISNUMBER(SEARCH("NOT NULL",UPPER(O$3))),"''","null"),SUBSTITUTE(VLOOKUP(O$2,convert!$A$1:$B$4,2,0),"@@@",O942))</f>
        <v>TRUE</v>
      </c>
      <c r="AE942" s="4" t="str">
        <f t="shared" si="14"/>
        <v>    ('0769N01', 'スナバァ', 55, 55, 80, 70, 45, 15, '', 'ghost', 'ground', 'g7', null, null, TRUE),</v>
      </c>
    </row>
    <row r="943" spans="1:31">
      <c r="A943" s="4" t="s">
        <v>1891</v>
      </c>
      <c r="B943" s="4" t="s">
        <v>1892</v>
      </c>
      <c r="C943" s="5">
        <v>85</v>
      </c>
      <c r="D943" s="5">
        <v>75</v>
      </c>
      <c r="E943" s="5">
        <v>110</v>
      </c>
      <c r="F943" s="5">
        <v>100</v>
      </c>
      <c r="G943" s="5">
        <v>75</v>
      </c>
      <c r="H943" s="5">
        <v>35</v>
      </c>
      <c r="I943" s="5"/>
      <c r="J943" s="4" t="s">
        <v>281</v>
      </c>
      <c r="K943" s="4" t="s">
        <v>116</v>
      </c>
      <c r="L943" s="4" t="s">
        <v>92</v>
      </c>
      <c r="M943" s="5"/>
      <c r="N943" s="5"/>
      <c r="O943" s="5" t="b">
        <v>1</v>
      </c>
      <c r="P943" s="4" t="str">
        <f>IF(A943="",IF(ISNUMBER(SEARCH("NOT NULL",UPPER(A$3))),"''","null"),SUBSTITUTE(VLOOKUP(A$2,convert!$A$1:$B$4,2,0),"@@@",A943))</f>
        <v>'0770N01'</v>
      </c>
      <c r="Q943" s="4" t="str">
        <f>IF(B943="",IF(ISNUMBER(SEARCH("NOT NULL",UPPER(B$3))),"''","null"),SUBSTITUTE(VLOOKUP(B$2,convert!$A$1:$B$4,2,0),"@@@",B943))</f>
        <v>'シロデスナ'</v>
      </c>
      <c r="R943" s="4" t="str">
        <f>IF(C943="",IF(ISNUMBER(SEARCH("NOT NULL",UPPER(C$3))),"''","null"),SUBSTITUTE(VLOOKUP(C$2,convert!$A$1:$B$4,2,0),"@@@",C943))</f>
        <v>85</v>
      </c>
      <c r="S943" s="4" t="str">
        <f>IF(D943="",IF(ISNUMBER(SEARCH("NOT NULL",UPPER(D$3))),"''","null"),SUBSTITUTE(VLOOKUP(D$2,convert!$A$1:$B$4,2,0),"@@@",D943))</f>
        <v>75</v>
      </c>
      <c r="T943" s="4" t="str">
        <f>IF(E943="",IF(ISNUMBER(SEARCH("NOT NULL",UPPER(E$3))),"''","null"),SUBSTITUTE(VLOOKUP(E$2,convert!$A$1:$B$4,2,0),"@@@",E943))</f>
        <v>110</v>
      </c>
      <c r="U943" s="4" t="str">
        <f>IF(F943="",IF(ISNUMBER(SEARCH("NOT NULL",UPPER(F$3))),"''","null"),SUBSTITUTE(VLOOKUP(F$2,convert!$A$1:$B$4,2,0),"@@@",F943))</f>
        <v>100</v>
      </c>
      <c r="V943" s="4" t="str">
        <f>IF(G943="",IF(ISNUMBER(SEARCH("NOT NULL",UPPER(G$3))),"''","null"),SUBSTITUTE(VLOOKUP(G$2,convert!$A$1:$B$4,2,0),"@@@",G943))</f>
        <v>75</v>
      </c>
      <c r="W943" s="4" t="str">
        <f>IF(H943="",IF(ISNUMBER(SEARCH("NOT NULL",UPPER(H$3))),"''","null"),SUBSTITUTE(VLOOKUP(H$2,convert!$A$1:$B$4,2,0),"@@@",H943))</f>
        <v>35</v>
      </c>
      <c r="X943" s="4" t="str">
        <f>IF(I943="",IF(ISNUMBER(SEARCH("NOT NULL",UPPER(I$3))),"''","null"),SUBSTITUTE(VLOOKUP(I$2,convert!$A$1:$B$4,2,0),"@@@",I943))</f>
        <v>''</v>
      </c>
      <c r="Y943" s="4" t="str">
        <f>IF(J943="",IF(ISNUMBER(SEARCH("NOT NULL",UPPER(J$3))),"''","null"),SUBSTITUTE(VLOOKUP(J$2,convert!$A$1:$B$4,2,0),"@@@",J943))</f>
        <v>'ghost'</v>
      </c>
      <c r="Z943" s="4" t="str">
        <f>IF(K943="",IF(ISNUMBER(SEARCH("NOT NULL",UPPER(K$3))),"''","null"),SUBSTITUTE(VLOOKUP(K$2,convert!$A$1:$B$4,2,0),"@@@",K943))</f>
        <v>'ground'</v>
      </c>
      <c r="AA943" s="4" t="str">
        <f>IF(L943="",IF(ISNUMBER(SEARCH("NOT NULL",UPPER(L$3))),"''","null"),SUBSTITUTE(VLOOKUP(L$2,convert!$A$1:$B$4,2,0),"@@@",L943))</f>
        <v>'g7'</v>
      </c>
      <c r="AB943" s="4" t="str">
        <f>IF(M943="",IF(ISNUMBER(SEARCH("NOT NULL",UPPER(M$3))),"''","null"),SUBSTITUTE(VLOOKUP(M$2,convert!$A$1:$B$4,2,0),"@@@",M943))</f>
        <v>null</v>
      </c>
      <c r="AC943" s="4" t="str">
        <f>IF(N943="",IF(ISNUMBER(SEARCH("NOT NULL",UPPER(N$3))),"''","null"),SUBSTITUTE(VLOOKUP(N$2,convert!$A$1:$B$4,2,0),"@@@",N943))</f>
        <v>null</v>
      </c>
      <c r="AD943" s="4" t="str">
        <f>IF(O943="",IF(ISNUMBER(SEARCH("NOT NULL",UPPER(O$3))),"''","null"),SUBSTITUTE(VLOOKUP(O$2,convert!$A$1:$B$4,2,0),"@@@",O943))</f>
        <v>TRUE</v>
      </c>
      <c r="AE943" s="4" t="str">
        <f t="shared" si="14"/>
        <v>    ('0770N01', 'シロデスナ', 85, 75, 110, 100, 75, 35, '', 'ghost', 'ground', 'g7', null, null, TRUE),</v>
      </c>
    </row>
    <row r="944" spans="1:31">
      <c r="A944" s="4" t="s">
        <v>1893</v>
      </c>
      <c r="B944" s="4" t="s">
        <v>1894</v>
      </c>
      <c r="C944" s="5">
        <v>55</v>
      </c>
      <c r="D944" s="5">
        <v>60</v>
      </c>
      <c r="E944" s="5">
        <v>130</v>
      </c>
      <c r="F944" s="5">
        <v>30</v>
      </c>
      <c r="G944" s="5">
        <v>130</v>
      </c>
      <c r="H944" s="5">
        <v>5</v>
      </c>
      <c r="I944" s="5"/>
      <c r="J944" s="4" t="s">
        <v>55</v>
      </c>
      <c r="K944" s="5"/>
      <c r="L944" s="4" t="s">
        <v>92</v>
      </c>
      <c r="M944" s="5"/>
      <c r="N944" s="5"/>
      <c r="O944" s="5" t="b">
        <v>0</v>
      </c>
      <c r="P944" s="4" t="str">
        <f>IF(A944="",IF(ISNUMBER(SEARCH("NOT NULL",UPPER(A$3))),"''","null"),SUBSTITUTE(VLOOKUP(A$2,convert!$A$1:$B$4,2,0),"@@@",A944))</f>
        <v>'0771N01'</v>
      </c>
      <c r="Q944" s="4" t="str">
        <f>IF(B944="",IF(ISNUMBER(SEARCH("NOT NULL",UPPER(B$3))),"''","null"),SUBSTITUTE(VLOOKUP(B$2,convert!$A$1:$B$4,2,0),"@@@",B944))</f>
        <v>'ナマコブシ'</v>
      </c>
      <c r="R944" s="4" t="str">
        <f>IF(C944="",IF(ISNUMBER(SEARCH("NOT NULL",UPPER(C$3))),"''","null"),SUBSTITUTE(VLOOKUP(C$2,convert!$A$1:$B$4,2,0),"@@@",C944))</f>
        <v>55</v>
      </c>
      <c r="S944" s="4" t="str">
        <f>IF(D944="",IF(ISNUMBER(SEARCH("NOT NULL",UPPER(D$3))),"''","null"),SUBSTITUTE(VLOOKUP(D$2,convert!$A$1:$B$4,2,0),"@@@",D944))</f>
        <v>60</v>
      </c>
      <c r="T944" s="4" t="str">
        <f>IF(E944="",IF(ISNUMBER(SEARCH("NOT NULL",UPPER(E$3))),"''","null"),SUBSTITUTE(VLOOKUP(E$2,convert!$A$1:$B$4,2,0),"@@@",E944))</f>
        <v>130</v>
      </c>
      <c r="U944" s="4" t="str">
        <f>IF(F944="",IF(ISNUMBER(SEARCH("NOT NULL",UPPER(F$3))),"''","null"),SUBSTITUTE(VLOOKUP(F$2,convert!$A$1:$B$4,2,0),"@@@",F944))</f>
        <v>30</v>
      </c>
      <c r="V944" s="4" t="str">
        <f>IF(G944="",IF(ISNUMBER(SEARCH("NOT NULL",UPPER(G$3))),"''","null"),SUBSTITUTE(VLOOKUP(G$2,convert!$A$1:$B$4,2,0),"@@@",G944))</f>
        <v>130</v>
      </c>
      <c r="W944" s="4" t="str">
        <f>IF(H944="",IF(ISNUMBER(SEARCH("NOT NULL",UPPER(H$3))),"''","null"),SUBSTITUTE(VLOOKUP(H$2,convert!$A$1:$B$4,2,0),"@@@",H944))</f>
        <v>5</v>
      </c>
      <c r="X944" s="4" t="str">
        <f>IF(I944="",IF(ISNUMBER(SEARCH("NOT NULL",UPPER(I$3))),"''","null"),SUBSTITUTE(VLOOKUP(I$2,convert!$A$1:$B$4,2,0),"@@@",I944))</f>
        <v>''</v>
      </c>
      <c r="Y944" s="4" t="str">
        <f>IF(J944="",IF(ISNUMBER(SEARCH("NOT NULL",UPPER(J$3))),"''","null"),SUBSTITUTE(VLOOKUP(J$2,convert!$A$1:$B$4,2,0),"@@@",J944))</f>
        <v>'water'</v>
      </c>
      <c r="Z944" s="4" t="str">
        <f>IF(K944="",IF(ISNUMBER(SEARCH("NOT NULL",UPPER(K$3))),"''","null"),SUBSTITUTE(VLOOKUP(K$2,convert!$A$1:$B$4,2,0),"@@@",K944))</f>
        <v>null</v>
      </c>
      <c r="AA944" s="4" t="str">
        <f>IF(L944="",IF(ISNUMBER(SEARCH("NOT NULL",UPPER(L$3))),"''","null"),SUBSTITUTE(VLOOKUP(L$2,convert!$A$1:$B$4,2,0),"@@@",L944))</f>
        <v>'g7'</v>
      </c>
      <c r="AB944" s="4" t="str">
        <f>IF(M944="",IF(ISNUMBER(SEARCH("NOT NULL",UPPER(M$3))),"''","null"),SUBSTITUTE(VLOOKUP(M$2,convert!$A$1:$B$4,2,0),"@@@",M944))</f>
        <v>null</v>
      </c>
      <c r="AC944" s="4" t="str">
        <f>IF(N944="",IF(ISNUMBER(SEARCH("NOT NULL",UPPER(N$3))),"''","null"),SUBSTITUTE(VLOOKUP(N$2,convert!$A$1:$B$4,2,0),"@@@",N944))</f>
        <v>null</v>
      </c>
      <c r="AD944" s="4" t="str">
        <f>IF(O944="",IF(ISNUMBER(SEARCH("NOT NULL",UPPER(O$3))),"''","null"),SUBSTITUTE(VLOOKUP(O$2,convert!$A$1:$B$4,2,0),"@@@",O944))</f>
        <v>FALSE</v>
      </c>
      <c r="AE944" s="4" t="str">
        <f t="shared" si="14"/>
        <v>    ('0771N01', 'ナマコブシ', 55, 60, 130, 30, 130, 5, '', 'water', null, 'g7', null, null, FALSE),</v>
      </c>
    </row>
    <row r="945" spans="1:31">
      <c r="A945" s="4" t="s">
        <v>1895</v>
      </c>
      <c r="B945" s="4" t="s">
        <v>1896</v>
      </c>
      <c r="C945" s="5">
        <v>95</v>
      </c>
      <c r="D945" s="5">
        <v>95</v>
      </c>
      <c r="E945" s="5">
        <v>95</v>
      </c>
      <c r="F945" s="5">
        <v>95</v>
      </c>
      <c r="G945" s="5">
        <v>95</v>
      </c>
      <c r="H945" s="5">
        <v>59</v>
      </c>
      <c r="I945" s="5"/>
      <c r="J945" s="4" t="s">
        <v>80</v>
      </c>
      <c r="K945" s="5"/>
      <c r="L945" s="4" t="s">
        <v>92</v>
      </c>
      <c r="M945" s="5"/>
      <c r="N945" s="5"/>
      <c r="O945" s="5" t="b">
        <v>0</v>
      </c>
      <c r="P945" s="4" t="str">
        <f>IF(A945="",IF(ISNUMBER(SEARCH("NOT NULL",UPPER(A$3))),"''","null"),SUBSTITUTE(VLOOKUP(A$2,convert!$A$1:$B$4,2,0),"@@@",A945))</f>
        <v>'0772N01'</v>
      </c>
      <c r="Q945" s="4" t="str">
        <f>IF(B945="",IF(ISNUMBER(SEARCH("NOT NULL",UPPER(B$3))),"''","null"),SUBSTITUTE(VLOOKUP(B$2,convert!$A$1:$B$4,2,0),"@@@",B945))</f>
        <v>'タイプ：ヌル'</v>
      </c>
      <c r="R945" s="4" t="str">
        <f>IF(C945="",IF(ISNUMBER(SEARCH("NOT NULL",UPPER(C$3))),"''","null"),SUBSTITUTE(VLOOKUP(C$2,convert!$A$1:$B$4,2,0),"@@@",C945))</f>
        <v>95</v>
      </c>
      <c r="S945" s="4" t="str">
        <f>IF(D945="",IF(ISNUMBER(SEARCH("NOT NULL",UPPER(D$3))),"''","null"),SUBSTITUTE(VLOOKUP(D$2,convert!$A$1:$B$4,2,0),"@@@",D945))</f>
        <v>95</v>
      </c>
      <c r="T945" s="4" t="str">
        <f>IF(E945="",IF(ISNUMBER(SEARCH("NOT NULL",UPPER(E$3))),"''","null"),SUBSTITUTE(VLOOKUP(E$2,convert!$A$1:$B$4,2,0),"@@@",E945))</f>
        <v>95</v>
      </c>
      <c r="U945" s="4" t="str">
        <f>IF(F945="",IF(ISNUMBER(SEARCH("NOT NULL",UPPER(F$3))),"''","null"),SUBSTITUTE(VLOOKUP(F$2,convert!$A$1:$B$4,2,0),"@@@",F945))</f>
        <v>95</v>
      </c>
      <c r="V945" s="4" t="str">
        <f>IF(G945="",IF(ISNUMBER(SEARCH("NOT NULL",UPPER(G$3))),"''","null"),SUBSTITUTE(VLOOKUP(G$2,convert!$A$1:$B$4,2,0),"@@@",G945))</f>
        <v>95</v>
      </c>
      <c r="W945" s="4" t="str">
        <f>IF(H945="",IF(ISNUMBER(SEARCH("NOT NULL",UPPER(H$3))),"''","null"),SUBSTITUTE(VLOOKUP(H$2,convert!$A$1:$B$4,2,0),"@@@",H945))</f>
        <v>59</v>
      </c>
      <c r="X945" s="4" t="str">
        <f>IF(I945="",IF(ISNUMBER(SEARCH("NOT NULL",UPPER(I$3))),"''","null"),SUBSTITUTE(VLOOKUP(I$2,convert!$A$1:$B$4,2,0),"@@@",I945))</f>
        <v>''</v>
      </c>
      <c r="Y945" s="4" t="str">
        <f>IF(J945="",IF(ISNUMBER(SEARCH("NOT NULL",UPPER(J$3))),"''","null"),SUBSTITUTE(VLOOKUP(J$2,convert!$A$1:$B$4,2,0),"@@@",J945))</f>
        <v>'normal'</v>
      </c>
      <c r="Z945" s="4" t="str">
        <f>IF(K945="",IF(ISNUMBER(SEARCH("NOT NULL",UPPER(K$3))),"''","null"),SUBSTITUTE(VLOOKUP(K$2,convert!$A$1:$B$4,2,0),"@@@",K945))</f>
        <v>null</v>
      </c>
      <c r="AA945" s="4" t="str">
        <f>IF(L945="",IF(ISNUMBER(SEARCH("NOT NULL",UPPER(L$3))),"''","null"),SUBSTITUTE(VLOOKUP(L$2,convert!$A$1:$B$4,2,0),"@@@",L945))</f>
        <v>'g7'</v>
      </c>
      <c r="AB945" s="4" t="str">
        <f>IF(M945="",IF(ISNUMBER(SEARCH("NOT NULL",UPPER(M$3))),"''","null"),SUBSTITUTE(VLOOKUP(M$2,convert!$A$1:$B$4,2,0),"@@@",M945))</f>
        <v>null</v>
      </c>
      <c r="AC945" s="4" t="str">
        <f>IF(N945="",IF(ISNUMBER(SEARCH("NOT NULL",UPPER(N$3))),"''","null"),SUBSTITUTE(VLOOKUP(N$2,convert!$A$1:$B$4,2,0),"@@@",N945))</f>
        <v>null</v>
      </c>
      <c r="AD945" s="4" t="str">
        <f>IF(O945="",IF(ISNUMBER(SEARCH("NOT NULL",UPPER(O$3))),"''","null"),SUBSTITUTE(VLOOKUP(O$2,convert!$A$1:$B$4,2,0),"@@@",O945))</f>
        <v>FALSE</v>
      </c>
      <c r="AE945" s="4" t="str">
        <f t="shared" si="14"/>
        <v>    ('0772N01', 'タイプ：ヌル', 95, 95, 95, 95, 95, 59, '', 'normal', null, 'g7', null, null, FALSE),</v>
      </c>
    </row>
    <row r="946" spans="1:31">
      <c r="A946" s="4" t="s">
        <v>1897</v>
      </c>
      <c r="B946" s="4" t="s">
        <v>1898</v>
      </c>
      <c r="C946" s="5">
        <v>95</v>
      </c>
      <c r="D946" s="5">
        <v>95</v>
      </c>
      <c r="E946" s="5">
        <v>95</v>
      </c>
      <c r="F946" s="5">
        <v>95</v>
      </c>
      <c r="G946" s="5">
        <v>95</v>
      </c>
      <c r="H946" s="5">
        <v>95</v>
      </c>
      <c r="I946" s="5"/>
      <c r="J946" s="4" t="s">
        <v>80</v>
      </c>
      <c r="K946" s="5"/>
      <c r="L946" s="4" t="s">
        <v>92</v>
      </c>
      <c r="M946" s="5"/>
      <c r="N946" s="5"/>
      <c r="O946" s="5" t="b">
        <v>0</v>
      </c>
      <c r="P946" s="4" t="str">
        <f>IF(A946="",IF(ISNUMBER(SEARCH("NOT NULL",UPPER(A$3))),"''","null"),SUBSTITUTE(VLOOKUP(A$2,convert!$A$1:$B$4,2,0),"@@@",A946))</f>
        <v>'0773N01'</v>
      </c>
      <c r="Q946" s="4" t="str">
        <f>IF(B946="",IF(ISNUMBER(SEARCH("NOT NULL",UPPER(B$3))),"''","null"),SUBSTITUTE(VLOOKUP(B$2,convert!$A$1:$B$4,2,0),"@@@",B946))</f>
        <v>'シルヴァディ'</v>
      </c>
      <c r="R946" s="4" t="str">
        <f>IF(C946="",IF(ISNUMBER(SEARCH("NOT NULL",UPPER(C$3))),"''","null"),SUBSTITUTE(VLOOKUP(C$2,convert!$A$1:$B$4,2,0),"@@@",C946))</f>
        <v>95</v>
      </c>
      <c r="S946" s="4" t="str">
        <f>IF(D946="",IF(ISNUMBER(SEARCH("NOT NULL",UPPER(D$3))),"''","null"),SUBSTITUTE(VLOOKUP(D$2,convert!$A$1:$B$4,2,0),"@@@",D946))</f>
        <v>95</v>
      </c>
      <c r="T946" s="4" t="str">
        <f>IF(E946="",IF(ISNUMBER(SEARCH("NOT NULL",UPPER(E$3))),"''","null"),SUBSTITUTE(VLOOKUP(E$2,convert!$A$1:$B$4,2,0),"@@@",E946))</f>
        <v>95</v>
      </c>
      <c r="U946" s="4" t="str">
        <f>IF(F946="",IF(ISNUMBER(SEARCH("NOT NULL",UPPER(F$3))),"''","null"),SUBSTITUTE(VLOOKUP(F$2,convert!$A$1:$B$4,2,0),"@@@",F946))</f>
        <v>95</v>
      </c>
      <c r="V946" s="4" t="str">
        <f>IF(G946="",IF(ISNUMBER(SEARCH("NOT NULL",UPPER(G$3))),"''","null"),SUBSTITUTE(VLOOKUP(G$2,convert!$A$1:$B$4,2,0),"@@@",G946))</f>
        <v>95</v>
      </c>
      <c r="W946" s="4" t="str">
        <f>IF(H946="",IF(ISNUMBER(SEARCH("NOT NULL",UPPER(H$3))),"''","null"),SUBSTITUTE(VLOOKUP(H$2,convert!$A$1:$B$4,2,0),"@@@",H946))</f>
        <v>95</v>
      </c>
      <c r="X946" s="4" t="str">
        <f>IF(I946="",IF(ISNUMBER(SEARCH("NOT NULL",UPPER(I$3))),"''","null"),SUBSTITUTE(VLOOKUP(I$2,convert!$A$1:$B$4,2,0),"@@@",I946))</f>
        <v>''</v>
      </c>
      <c r="Y946" s="4" t="str">
        <f>IF(J946="",IF(ISNUMBER(SEARCH("NOT NULL",UPPER(J$3))),"''","null"),SUBSTITUTE(VLOOKUP(J$2,convert!$A$1:$B$4,2,0),"@@@",J946))</f>
        <v>'normal'</v>
      </c>
      <c r="Z946" s="4" t="str">
        <f>IF(K946="",IF(ISNUMBER(SEARCH("NOT NULL",UPPER(K$3))),"''","null"),SUBSTITUTE(VLOOKUP(K$2,convert!$A$1:$B$4,2,0),"@@@",K946))</f>
        <v>null</v>
      </c>
      <c r="AA946" s="4" t="str">
        <f>IF(L946="",IF(ISNUMBER(SEARCH("NOT NULL",UPPER(L$3))),"''","null"),SUBSTITUTE(VLOOKUP(L$2,convert!$A$1:$B$4,2,0),"@@@",L946))</f>
        <v>'g7'</v>
      </c>
      <c r="AB946" s="4" t="str">
        <f>IF(M946="",IF(ISNUMBER(SEARCH("NOT NULL",UPPER(M$3))),"''","null"),SUBSTITUTE(VLOOKUP(M$2,convert!$A$1:$B$4,2,0),"@@@",M946))</f>
        <v>null</v>
      </c>
      <c r="AC946" s="4" t="str">
        <f>IF(N946="",IF(ISNUMBER(SEARCH("NOT NULL",UPPER(N$3))),"''","null"),SUBSTITUTE(VLOOKUP(N$2,convert!$A$1:$B$4,2,0),"@@@",N946))</f>
        <v>null</v>
      </c>
      <c r="AD946" s="4" t="str">
        <f>IF(O946="",IF(ISNUMBER(SEARCH("NOT NULL",UPPER(O$3))),"''","null"),SUBSTITUTE(VLOOKUP(O$2,convert!$A$1:$B$4,2,0),"@@@",O946))</f>
        <v>FALSE</v>
      </c>
      <c r="AE946" s="4" t="str">
        <f t="shared" si="14"/>
        <v>    ('0773N01', 'シルヴァディ', 95, 95, 95, 95, 95, 95, '', 'normal', null, 'g7', null, null, FALSE),</v>
      </c>
    </row>
    <row r="947" spans="1:31">
      <c r="A947" s="4" t="s">
        <v>1899</v>
      </c>
      <c r="B947" s="4" t="s">
        <v>1900</v>
      </c>
      <c r="C947" s="5">
        <v>60</v>
      </c>
      <c r="D947" s="5">
        <v>60</v>
      </c>
      <c r="E947" s="5">
        <v>100</v>
      </c>
      <c r="F947" s="5">
        <v>60</v>
      </c>
      <c r="G947" s="5">
        <v>100</v>
      </c>
      <c r="H947" s="5">
        <v>60</v>
      </c>
      <c r="I947" s="4" t="s">
        <v>1901</v>
      </c>
      <c r="J947" s="4" t="s">
        <v>196</v>
      </c>
      <c r="K947" s="4" t="s">
        <v>47</v>
      </c>
      <c r="L947" s="4" t="s">
        <v>92</v>
      </c>
      <c r="M947" s="5"/>
      <c r="N947" s="5"/>
      <c r="O947" s="5" t="b">
        <v>0</v>
      </c>
      <c r="P947" s="4" t="str">
        <f>IF(A947="",IF(ISNUMBER(SEARCH("NOT NULL",UPPER(A$3))),"''","null"),SUBSTITUTE(VLOOKUP(A$2,convert!$A$1:$B$4,2,0),"@@@",A947))</f>
        <v>'0774N01'</v>
      </c>
      <c r="Q947" s="4" t="str">
        <f>IF(B947="",IF(ISNUMBER(SEARCH("NOT NULL",UPPER(B$3))),"''","null"),SUBSTITUTE(VLOOKUP(B$2,convert!$A$1:$B$4,2,0),"@@@",B947))</f>
        <v>'メテノ'</v>
      </c>
      <c r="R947" s="4" t="str">
        <f>IF(C947="",IF(ISNUMBER(SEARCH("NOT NULL",UPPER(C$3))),"''","null"),SUBSTITUTE(VLOOKUP(C$2,convert!$A$1:$B$4,2,0),"@@@",C947))</f>
        <v>60</v>
      </c>
      <c r="S947" s="4" t="str">
        <f>IF(D947="",IF(ISNUMBER(SEARCH("NOT NULL",UPPER(D$3))),"''","null"),SUBSTITUTE(VLOOKUP(D$2,convert!$A$1:$B$4,2,0),"@@@",D947))</f>
        <v>60</v>
      </c>
      <c r="T947" s="4" t="str">
        <f>IF(E947="",IF(ISNUMBER(SEARCH("NOT NULL",UPPER(E$3))),"''","null"),SUBSTITUTE(VLOOKUP(E$2,convert!$A$1:$B$4,2,0),"@@@",E947))</f>
        <v>100</v>
      </c>
      <c r="U947" s="4" t="str">
        <f>IF(F947="",IF(ISNUMBER(SEARCH("NOT NULL",UPPER(F$3))),"''","null"),SUBSTITUTE(VLOOKUP(F$2,convert!$A$1:$B$4,2,0),"@@@",F947))</f>
        <v>60</v>
      </c>
      <c r="V947" s="4" t="str">
        <f>IF(G947="",IF(ISNUMBER(SEARCH("NOT NULL",UPPER(G$3))),"''","null"),SUBSTITUTE(VLOOKUP(G$2,convert!$A$1:$B$4,2,0),"@@@",G947))</f>
        <v>100</v>
      </c>
      <c r="W947" s="4" t="str">
        <f>IF(H947="",IF(ISNUMBER(SEARCH("NOT NULL",UPPER(H$3))),"''","null"),SUBSTITUTE(VLOOKUP(H$2,convert!$A$1:$B$4,2,0),"@@@",H947))</f>
        <v>60</v>
      </c>
      <c r="X947" s="4" t="str">
        <f>IF(I947="",IF(ISNUMBER(SEARCH("NOT NULL",UPPER(I$3))),"''","null"),SUBSTITUTE(VLOOKUP(I$2,convert!$A$1:$B$4,2,0),"@@@",I947))</f>
        <v>'りゅうせいのすがた'</v>
      </c>
      <c r="Y947" s="4" t="str">
        <f>IF(J947="",IF(ISNUMBER(SEARCH("NOT NULL",UPPER(J$3))),"''","null"),SUBSTITUTE(VLOOKUP(J$2,convert!$A$1:$B$4,2,0),"@@@",J947))</f>
        <v>'rock'</v>
      </c>
      <c r="Z947" s="4" t="str">
        <f>IF(K947="",IF(ISNUMBER(SEARCH("NOT NULL",UPPER(K$3))),"''","null"),SUBSTITUTE(VLOOKUP(K$2,convert!$A$1:$B$4,2,0),"@@@",K947))</f>
        <v>'flying'</v>
      </c>
      <c r="AA947" s="4" t="str">
        <f>IF(L947="",IF(ISNUMBER(SEARCH("NOT NULL",UPPER(L$3))),"''","null"),SUBSTITUTE(VLOOKUP(L$2,convert!$A$1:$B$4,2,0),"@@@",L947))</f>
        <v>'g7'</v>
      </c>
      <c r="AB947" s="4" t="str">
        <f>IF(M947="",IF(ISNUMBER(SEARCH("NOT NULL",UPPER(M$3))),"''","null"),SUBSTITUTE(VLOOKUP(M$2,convert!$A$1:$B$4,2,0),"@@@",M947))</f>
        <v>null</v>
      </c>
      <c r="AC947" s="4" t="str">
        <f>IF(N947="",IF(ISNUMBER(SEARCH("NOT NULL",UPPER(N$3))),"''","null"),SUBSTITUTE(VLOOKUP(N$2,convert!$A$1:$B$4,2,0),"@@@",N947))</f>
        <v>null</v>
      </c>
      <c r="AD947" s="4" t="str">
        <f>IF(O947="",IF(ISNUMBER(SEARCH("NOT NULL",UPPER(O$3))),"''","null"),SUBSTITUTE(VLOOKUP(O$2,convert!$A$1:$B$4,2,0),"@@@",O947))</f>
        <v>FALSE</v>
      </c>
      <c r="AE947" s="4" t="str">
        <f t="shared" si="14"/>
        <v>    ('0774N01', 'メテノ', 60, 60, 100, 60, 100, 60, 'りゅうせいのすがた', 'rock', 'flying', 'g7', null, null, FALSE),</v>
      </c>
    </row>
    <row r="948" spans="1:31">
      <c r="A948" s="4" t="s">
        <v>1902</v>
      </c>
      <c r="B948" s="4" t="s">
        <v>1900</v>
      </c>
      <c r="C948" s="5">
        <v>60</v>
      </c>
      <c r="D948" s="5">
        <v>100</v>
      </c>
      <c r="E948" s="5">
        <v>60</v>
      </c>
      <c r="F948" s="5">
        <v>100</v>
      </c>
      <c r="G948" s="5">
        <v>60</v>
      </c>
      <c r="H948" s="5">
        <v>120</v>
      </c>
      <c r="I948" s="4" t="s">
        <v>1903</v>
      </c>
      <c r="J948" s="4" t="s">
        <v>196</v>
      </c>
      <c r="K948" s="4" t="s">
        <v>47</v>
      </c>
      <c r="L948" s="4" t="s">
        <v>92</v>
      </c>
      <c r="M948" s="5"/>
      <c r="N948" s="5"/>
      <c r="O948" s="5" t="b">
        <v>0</v>
      </c>
      <c r="P948" s="4" t="str">
        <f>IF(A948="",IF(ISNUMBER(SEARCH("NOT NULL",UPPER(A$3))),"''","null"),SUBSTITUTE(VLOOKUP(A$2,convert!$A$1:$B$4,2,0),"@@@",A948))</f>
        <v>'0774N02'</v>
      </c>
      <c r="Q948" s="4" t="str">
        <f>IF(B948="",IF(ISNUMBER(SEARCH("NOT NULL",UPPER(B$3))),"''","null"),SUBSTITUTE(VLOOKUP(B$2,convert!$A$1:$B$4,2,0),"@@@",B948))</f>
        <v>'メテノ'</v>
      </c>
      <c r="R948" s="4" t="str">
        <f>IF(C948="",IF(ISNUMBER(SEARCH("NOT NULL",UPPER(C$3))),"''","null"),SUBSTITUTE(VLOOKUP(C$2,convert!$A$1:$B$4,2,0),"@@@",C948))</f>
        <v>60</v>
      </c>
      <c r="S948" s="4" t="str">
        <f>IF(D948="",IF(ISNUMBER(SEARCH("NOT NULL",UPPER(D$3))),"''","null"),SUBSTITUTE(VLOOKUP(D$2,convert!$A$1:$B$4,2,0),"@@@",D948))</f>
        <v>100</v>
      </c>
      <c r="T948" s="4" t="str">
        <f>IF(E948="",IF(ISNUMBER(SEARCH("NOT NULL",UPPER(E$3))),"''","null"),SUBSTITUTE(VLOOKUP(E$2,convert!$A$1:$B$4,2,0),"@@@",E948))</f>
        <v>60</v>
      </c>
      <c r="U948" s="4" t="str">
        <f>IF(F948="",IF(ISNUMBER(SEARCH("NOT NULL",UPPER(F$3))),"''","null"),SUBSTITUTE(VLOOKUP(F$2,convert!$A$1:$B$4,2,0),"@@@",F948))</f>
        <v>100</v>
      </c>
      <c r="V948" s="4" t="str">
        <f>IF(G948="",IF(ISNUMBER(SEARCH("NOT NULL",UPPER(G$3))),"''","null"),SUBSTITUTE(VLOOKUP(G$2,convert!$A$1:$B$4,2,0),"@@@",G948))</f>
        <v>60</v>
      </c>
      <c r="W948" s="4" t="str">
        <f>IF(H948="",IF(ISNUMBER(SEARCH("NOT NULL",UPPER(H$3))),"''","null"),SUBSTITUTE(VLOOKUP(H$2,convert!$A$1:$B$4,2,0),"@@@",H948))</f>
        <v>120</v>
      </c>
      <c r="X948" s="4" t="str">
        <f>IF(I948="",IF(ISNUMBER(SEARCH("NOT NULL",UPPER(I$3))),"''","null"),SUBSTITUTE(VLOOKUP(I$2,convert!$A$1:$B$4,2,0),"@@@",I948))</f>
        <v>'コア'</v>
      </c>
      <c r="Y948" s="4" t="str">
        <f>IF(J948="",IF(ISNUMBER(SEARCH("NOT NULL",UPPER(J$3))),"''","null"),SUBSTITUTE(VLOOKUP(J$2,convert!$A$1:$B$4,2,0),"@@@",J948))</f>
        <v>'rock'</v>
      </c>
      <c r="Z948" s="4" t="str">
        <f>IF(K948="",IF(ISNUMBER(SEARCH("NOT NULL",UPPER(K$3))),"''","null"),SUBSTITUTE(VLOOKUP(K$2,convert!$A$1:$B$4,2,0),"@@@",K948))</f>
        <v>'flying'</v>
      </c>
      <c r="AA948" s="4" t="str">
        <f>IF(L948="",IF(ISNUMBER(SEARCH("NOT NULL",UPPER(L$3))),"''","null"),SUBSTITUTE(VLOOKUP(L$2,convert!$A$1:$B$4,2,0),"@@@",L948))</f>
        <v>'g7'</v>
      </c>
      <c r="AB948" s="4" t="str">
        <f>IF(M948="",IF(ISNUMBER(SEARCH("NOT NULL",UPPER(M$3))),"''","null"),SUBSTITUTE(VLOOKUP(M$2,convert!$A$1:$B$4,2,0),"@@@",M948))</f>
        <v>null</v>
      </c>
      <c r="AC948" s="4" t="str">
        <f>IF(N948="",IF(ISNUMBER(SEARCH("NOT NULL",UPPER(N$3))),"''","null"),SUBSTITUTE(VLOOKUP(N$2,convert!$A$1:$B$4,2,0),"@@@",N948))</f>
        <v>null</v>
      </c>
      <c r="AD948" s="4" t="str">
        <f>IF(O948="",IF(ISNUMBER(SEARCH("NOT NULL",UPPER(O$3))),"''","null"),SUBSTITUTE(VLOOKUP(O$2,convert!$A$1:$B$4,2,0),"@@@",O948))</f>
        <v>FALSE</v>
      </c>
      <c r="AE948" s="4" t="str">
        <f t="shared" si="14"/>
        <v>    ('0774N02', 'メテノ', 60, 100, 60, 100, 60, 120, 'コア', 'rock', 'flying', 'g7', null, null, FALSE),</v>
      </c>
    </row>
    <row r="949" spans="1:31">
      <c r="A949" s="4" t="s">
        <v>1904</v>
      </c>
      <c r="B949" s="4" t="s">
        <v>1905</v>
      </c>
      <c r="C949" s="5">
        <v>65</v>
      </c>
      <c r="D949" s="5">
        <v>115</v>
      </c>
      <c r="E949" s="5">
        <v>65</v>
      </c>
      <c r="F949" s="5">
        <v>75</v>
      </c>
      <c r="G949" s="5">
        <v>95</v>
      </c>
      <c r="H949" s="5">
        <v>65</v>
      </c>
      <c r="I949" s="5"/>
      <c r="J949" s="4" t="s">
        <v>80</v>
      </c>
      <c r="K949" s="5"/>
      <c r="L949" s="4" t="s">
        <v>92</v>
      </c>
      <c r="M949" s="5"/>
      <c r="N949" s="5"/>
      <c r="O949" s="5" t="b">
        <v>0</v>
      </c>
      <c r="P949" s="4" t="str">
        <f>IF(A949="",IF(ISNUMBER(SEARCH("NOT NULL",UPPER(A$3))),"''","null"),SUBSTITUTE(VLOOKUP(A$2,convert!$A$1:$B$4,2,0),"@@@",A949))</f>
        <v>'0775N01'</v>
      </c>
      <c r="Q949" s="4" t="str">
        <f>IF(B949="",IF(ISNUMBER(SEARCH("NOT NULL",UPPER(B$3))),"''","null"),SUBSTITUTE(VLOOKUP(B$2,convert!$A$1:$B$4,2,0),"@@@",B949))</f>
        <v>'ネッコアラ'</v>
      </c>
      <c r="R949" s="4" t="str">
        <f>IF(C949="",IF(ISNUMBER(SEARCH("NOT NULL",UPPER(C$3))),"''","null"),SUBSTITUTE(VLOOKUP(C$2,convert!$A$1:$B$4,2,0),"@@@",C949))</f>
        <v>65</v>
      </c>
      <c r="S949" s="4" t="str">
        <f>IF(D949="",IF(ISNUMBER(SEARCH("NOT NULL",UPPER(D$3))),"''","null"),SUBSTITUTE(VLOOKUP(D$2,convert!$A$1:$B$4,2,0),"@@@",D949))</f>
        <v>115</v>
      </c>
      <c r="T949" s="4" t="str">
        <f>IF(E949="",IF(ISNUMBER(SEARCH("NOT NULL",UPPER(E$3))),"''","null"),SUBSTITUTE(VLOOKUP(E$2,convert!$A$1:$B$4,2,0),"@@@",E949))</f>
        <v>65</v>
      </c>
      <c r="U949" s="4" t="str">
        <f>IF(F949="",IF(ISNUMBER(SEARCH("NOT NULL",UPPER(F$3))),"''","null"),SUBSTITUTE(VLOOKUP(F$2,convert!$A$1:$B$4,2,0),"@@@",F949))</f>
        <v>75</v>
      </c>
      <c r="V949" s="4" t="str">
        <f>IF(G949="",IF(ISNUMBER(SEARCH("NOT NULL",UPPER(G$3))),"''","null"),SUBSTITUTE(VLOOKUP(G$2,convert!$A$1:$B$4,2,0),"@@@",G949))</f>
        <v>95</v>
      </c>
      <c r="W949" s="4" t="str">
        <f>IF(H949="",IF(ISNUMBER(SEARCH("NOT NULL",UPPER(H$3))),"''","null"),SUBSTITUTE(VLOOKUP(H$2,convert!$A$1:$B$4,2,0),"@@@",H949))</f>
        <v>65</v>
      </c>
      <c r="X949" s="4" t="str">
        <f>IF(I949="",IF(ISNUMBER(SEARCH("NOT NULL",UPPER(I$3))),"''","null"),SUBSTITUTE(VLOOKUP(I$2,convert!$A$1:$B$4,2,0),"@@@",I949))</f>
        <v>''</v>
      </c>
      <c r="Y949" s="4" t="str">
        <f>IF(J949="",IF(ISNUMBER(SEARCH("NOT NULL",UPPER(J$3))),"''","null"),SUBSTITUTE(VLOOKUP(J$2,convert!$A$1:$B$4,2,0),"@@@",J949))</f>
        <v>'normal'</v>
      </c>
      <c r="Z949" s="4" t="str">
        <f>IF(K949="",IF(ISNUMBER(SEARCH("NOT NULL",UPPER(K$3))),"''","null"),SUBSTITUTE(VLOOKUP(K$2,convert!$A$1:$B$4,2,0),"@@@",K949))</f>
        <v>null</v>
      </c>
      <c r="AA949" s="4" t="str">
        <f>IF(L949="",IF(ISNUMBER(SEARCH("NOT NULL",UPPER(L$3))),"''","null"),SUBSTITUTE(VLOOKUP(L$2,convert!$A$1:$B$4,2,0),"@@@",L949))</f>
        <v>'g7'</v>
      </c>
      <c r="AB949" s="4" t="str">
        <f>IF(M949="",IF(ISNUMBER(SEARCH("NOT NULL",UPPER(M$3))),"''","null"),SUBSTITUTE(VLOOKUP(M$2,convert!$A$1:$B$4,2,0),"@@@",M949))</f>
        <v>null</v>
      </c>
      <c r="AC949" s="4" t="str">
        <f>IF(N949="",IF(ISNUMBER(SEARCH("NOT NULL",UPPER(N$3))),"''","null"),SUBSTITUTE(VLOOKUP(N$2,convert!$A$1:$B$4,2,0),"@@@",N949))</f>
        <v>null</v>
      </c>
      <c r="AD949" s="4" t="str">
        <f>IF(O949="",IF(ISNUMBER(SEARCH("NOT NULL",UPPER(O$3))),"''","null"),SUBSTITUTE(VLOOKUP(O$2,convert!$A$1:$B$4,2,0),"@@@",O949))</f>
        <v>FALSE</v>
      </c>
      <c r="AE949" s="4" t="str">
        <f t="shared" si="14"/>
        <v>    ('0775N01', 'ネッコアラ', 65, 115, 65, 75, 95, 65, '', 'normal', null, 'g7', null, null, FALSE),</v>
      </c>
    </row>
    <row r="950" spans="1:31">
      <c r="A950" s="4" t="s">
        <v>1906</v>
      </c>
      <c r="B950" s="4" t="s">
        <v>1907</v>
      </c>
      <c r="C950" s="5">
        <v>60</v>
      </c>
      <c r="D950" s="5">
        <v>78</v>
      </c>
      <c r="E950" s="5">
        <v>135</v>
      </c>
      <c r="F950" s="5">
        <v>91</v>
      </c>
      <c r="G950" s="5">
        <v>85</v>
      </c>
      <c r="H950" s="5">
        <v>36</v>
      </c>
      <c r="I950" s="5"/>
      <c r="J950" s="4" t="s">
        <v>42</v>
      </c>
      <c r="K950" s="4" t="s">
        <v>50</v>
      </c>
      <c r="L950" s="4" t="s">
        <v>92</v>
      </c>
      <c r="M950" s="5"/>
      <c r="N950" s="5"/>
      <c r="O950" s="5" t="b">
        <v>1</v>
      </c>
      <c r="P950" s="4" t="str">
        <f>IF(A950="",IF(ISNUMBER(SEARCH("NOT NULL",UPPER(A$3))),"''","null"),SUBSTITUTE(VLOOKUP(A$2,convert!$A$1:$B$4,2,0),"@@@",A950))</f>
        <v>'0776N01'</v>
      </c>
      <c r="Q950" s="4" t="str">
        <f>IF(B950="",IF(ISNUMBER(SEARCH("NOT NULL",UPPER(B$3))),"''","null"),SUBSTITUTE(VLOOKUP(B$2,convert!$A$1:$B$4,2,0),"@@@",B950))</f>
        <v>'バクガメス'</v>
      </c>
      <c r="R950" s="4" t="str">
        <f>IF(C950="",IF(ISNUMBER(SEARCH("NOT NULL",UPPER(C$3))),"''","null"),SUBSTITUTE(VLOOKUP(C$2,convert!$A$1:$B$4,2,0),"@@@",C950))</f>
        <v>60</v>
      </c>
      <c r="S950" s="4" t="str">
        <f>IF(D950="",IF(ISNUMBER(SEARCH("NOT NULL",UPPER(D$3))),"''","null"),SUBSTITUTE(VLOOKUP(D$2,convert!$A$1:$B$4,2,0),"@@@",D950))</f>
        <v>78</v>
      </c>
      <c r="T950" s="4" t="str">
        <f>IF(E950="",IF(ISNUMBER(SEARCH("NOT NULL",UPPER(E$3))),"''","null"),SUBSTITUTE(VLOOKUP(E$2,convert!$A$1:$B$4,2,0),"@@@",E950))</f>
        <v>135</v>
      </c>
      <c r="U950" s="4" t="str">
        <f>IF(F950="",IF(ISNUMBER(SEARCH("NOT NULL",UPPER(F$3))),"''","null"),SUBSTITUTE(VLOOKUP(F$2,convert!$A$1:$B$4,2,0),"@@@",F950))</f>
        <v>91</v>
      </c>
      <c r="V950" s="4" t="str">
        <f>IF(G950="",IF(ISNUMBER(SEARCH("NOT NULL",UPPER(G$3))),"''","null"),SUBSTITUTE(VLOOKUP(G$2,convert!$A$1:$B$4,2,0),"@@@",G950))</f>
        <v>85</v>
      </c>
      <c r="W950" s="4" t="str">
        <f>IF(H950="",IF(ISNUMBER(SEARCH("NOT NULL",UPPER(H$3))),"''","null"),SUBSTITUTE(VLOOKUP(H$2,convert!$A$1:$B$4,2,0),"@@@",H950))</f>
        <v>36</v>
      </c>
      <c r="X950" s="4" t="str">
        <f>IF(I950="",IF(ISNUMBER(SEARCH("NOT NULL",UPPER(I$3))),"''","null"),SUBSTITUTE(VLOOKUP(I$2,convert!$A$1:$B$4,2,0),"@@@",I950))</f>
        <v>''</v>
      </c>
      <c r="Y950" s="4" t="str">
        <f>IF(J950="",IF(ISNUMBER(SEARCH("NOT NULL",UPPER(J$3))),"''","null"),SUBSTITUTE(VLOOKUP(J$2,convert!$A$1:$B$4,2,0),"@@@",J950))</f>
        <v>'fire'</v>
      </c>
      <c r="Z950" s="4" t="str">
        <f>IF(K950="",IF(ISNUMBER(SEARCH("NOT NULL",UPPER(K$3))),"''","null"),SUBSTITUTE(VLOOKUP(K$2,convert!$A$1:$B$4,2,0),"@@@",K950))</f>
        <v>'dragon'</v>
      </c>
      <c r="AA950" s="4" t="str">
        <f>IF(L950="",IF(ISNUMBER(SEARCH("NOT NULL",UPPER(L$3))),"''","null"),SUBSTITUTE(VLOOKUP(L$2,convert!$A$1:$B$4,2,0),"@@@",L950))</f>
        <v>'g7'</v>
      </c>
      <c r="AB950" s="4" t="str">
        <f>IF(M950="",IF(ISNUMBER(SEARCH("NOT NULL",UPPER(M$3))),"''","null"),SUBSTITUTE(VLOOKUP(M$2,convert!$A$1:$B$4,2,0),"@@@",M950))</f>
        <v>null</v>
      </c>
      <c r="AC950" s="4" t="str">
        <f>IF(N950="",IF(ISNUMBER(SEARCH("NOT NULL",UPPER(N$3))),"''","null"),SUBSTITUTE(VLOOKUP(N$2,convert!$A$1:$B$4,2,0),"@@@",N950))</f>
        <v>null</v>
      </c>
      <c r="AD950" s="4" t="str">
        <f>IF(O950="",IF(ISNUMBER(SEARCH("NOT NULL",UPPER(O$3))),"''","null"),SUBSTITUTE(VLOOKUP(O$2,convert!$A$1:$B$4,2,0),"@@@",O950))</f>
        <v>TRUE</v>
      </c>
      <c r="AE950" s="4" t="str">
        <f t="shared" si="14"/>
        <v>    ('0776N01', 'バクガメス', 60, 78, 135, 91, 85, 36, '', 'fire', 'dragon', 'g7', null, null, TRUE),</v>
      </c>
    </row>
    <row r="951" spans="1:31">
      <c r="A951" s="4" t="s">
        <v>1908</v>
      </c>
      <c r="B951" s="4" t="s">
        <v>1909</v>
      </c>
      <c r="C951" s="5">
        <v>65</v>
      </c>
      <c r="D951" s="5">
        <v>98</v>
      </c>
      <c r="E951" s="5">
        <v>63</v>
      </c>
      <c r="F951" s="5">
        <v>40</v>
      </c>
      <c r="G951" s="5">
        <v>73</v>
      </c>
      <c r="H951" s="5">
        <v>96</v>
      </c>
      <c r="I951" s="5"/>
      <c r="J951" s="4" t="s">
        <v>106</v>
      </c>
      <c r="K951" s="4" t="s">
        <v>119</v>
      </c>
      <c r="L951" s="4" t="s">
        <v>92</v>
      </c>
      <c r="M951" s="5"/>
      <c r="N951" s="5"/>
      <c r="O951" s="5" t="b">
        <v>1</v>
      </c>
      <c r="P951" s="4" t="str">
        <f>IF(A951="",IF(ISNUMBER(SEARCH("NOT NULL",UPPER(A$3))),"''","null"),SUBSTITUTE(VLOOKUP(A$2,convert!$A$1:$B$4,2,0),"@@@",A951))</f>
        <v>'0777N01'</v>
      </c>
      <c r="Q951" s="4" t="str">
        <f>IF(B951="",IF(ISNUMBER(SEARCH("NOT NULL",UPPER(B$3))),"''","null"),SUBSTITUTE(VLOOKUP(B$2,convert!$A$1:$B$4,2,0),"@@@",B951))</f>
        <v>'トゲデマル'</v>
      </c>
      <c r="R951" s="4" t="str">
        <f>IF(C951="",IF(ISNUMBER(SEARCH("NOT NULL",UPPER(C$3))),"''","null"),SUBSTITUTE(VLOOKUP(C$2,convert!$A$1:$B$4,2,0),"@@@",C951))</f>
        <v>65</v>
      </c>
      <c r="S951" s="4" t="str">
        <f>IF(D951="",IF(ISNUMBER(SEARCH("NOT NULL",UPPER(D$3))),"''","null"),SUBSTITUTE(VLOOKUP(D$2,convert!$A$1:$B$4,2,0),"@@@",D951))</f>
        <v>98</v>
      </c>
      <c r="T951" s="4" t="str">
        <f>IF(E951="",IF(ISNUMBER(SEARCH("NOT NULL",UPPER(E$3))),"''","null"),SUBSTITUTE(VLOOKUP(E$2,convert!$A$1:$B$4,2,0),"@@@",E951))</f>
        <v>63</v>
      </c>
      <c r="U951" s="4" t="str">
        <f>IF(F951="",IF(ISNUMBER(SEARCH("NOT NULL",UPPER(F$3))),"''","null"),SUBSTITUTE(VLOOKUP(F$2,convert!$A$1:$B$4,2,0),"@@@",F951))</f>
        <v>40</v>
      </c>
      <c r="V951" s="4" t="str">
        <f>IF(G951="",IF(ISNUMBER(SEARCH("NOT NULL",UPPER(G$3))),"''","null"),SUBSTITUTE(VLOOKUP(G$2,convert!$A$1:$B$4,2,0),"@@@",G951))</f>
        <v>73</v>
      </c>
      <c r="W951" s="4" t="str">
        <f>IF(H951="",IF(ISNUMBER(SEARCH("NOT NULL",UPPER(H$3))),"''","null"),SUBSTITUTE(VLOOKUP(H$2,convert!$A$1:$B$4,2,0),"@@@",H951))</f>
        <v>96</v>
      </c>
      <c r="X951" s="4" t="str">
        <f>IF(I951="",IF(ISNUMBER(SEARCH("NOT NULL",UPPER(I$3))),"''","null"),SUBSTITUTE(VLOOKUP(I$2,convert!$A$1:$B$4,2,0),"@@@",I951))</f>
        <v>''</v>
      </c>
      <c r="Y951" s="4" t="str">
        <f>IF(J951="",IF(ISNUMBER(SEARCH("NOT NULL",UPPER(J$3))),"''","null"),SUBSTITUTE(VLOOKUP(J$2,convert!$A$1:$B$4,2,0),"@@@",J951))</f>
        <v>'electric'</v>
      </c>
      <c r="Z951" s="4" t="str">
        <f>IF(K951="",IF(ISNUMBER(SEARCH("NOT NULL",UPPER(K$3))),"''","null"),SUBSTITUTE(VLOOKUP(K$2,convert!$A$1:$B$4,2,0),"@@@",K951))</f>
        <v>'steel'</v>
      </c>
      <c r="AA951" s="4" t="str">
        <f>IF(L951="",IF(ISNUMBER(SEARCH("NOT NULL",UPPER(L$3))),"''","null"),SUBSTITUTE(VLOOKUP(L$2,convert!$A$1:$B$4,2,0),"@@@",L951))</f>
        <v>'g7'</v>
      </c>
      <c r="AB951" s="4" t="str">
        <f>IF(M951="",IF(ISNUMBER(SEARCH("NOT NULL",UPPER(M$3))),"''","null"),SUBSTITUTE(VLOOKUP(M$2,convert!$A$1:$B$4,2,0),"@@@",M951))</f>
        <v>null</v>
      </c>
      <c r="AC951" s="4" t="str">
        <f>IF(N951="",IF(ISNUMBER(SEARCH("NOT NULL",UPPER(N$3))),"''","null"),SUBSTITUTE(VLOOKUP(N$2,convert!$A$1:$B$4,2,0),"@@@",N951))</f>
        <v>null</v>
      </c>
      <c r="AD951" s="4" t="str">
        <f>IF(O951="",IF(ISNUMBER(SEARCH("NOT NULL",UPPER(O$3))),"''","null"),SUBSTITUTE(VLOOKUP(O$2,convert!$A$1:$B$4,2,0),"@@@",O951))</f>
        <v>TRUE</v>
      </c>
      <c r="AE951" s="4" t="str">
        <f t="shared" si="14"/>
        <v>    ('0777N01', 'トゲデマル', 65, 98, 63, 40, 73, 96, '', 'electric', 'steel', 'g7', null, null, TRUE),</v>
      </c>
    </row>
    <row r="952" spans="1:31">
      <c r="A952" s="4" t="s">
        <v>1910</v>
      </c>
      <c r="B952" s="4" t="s">
        <v>1911</v>
      </c>
      <c r="C952" s="5">
        <v>55</v>
      </c>
      <c r="D952" s="5">
        <v>90</v>
      </c>
      <c r="E952" s="5">
        <v>80</v>
      </c>
      <c r="F952" s="5">
        <v>50</v>
      </c>
      <c r="G952" s="5">
        <v>105</v>
      </c>
      <c r="H952" s="5">
        <v>96</v>
      </c>
      <c r="I952" s="5"/>
      <c r="J952" s="4" t="s">
        <v>281</v>
      </c>
      <c r="K952" s="4" t="s">
        <v>137</v>
      </c>
      <c r="L952" s="4" t="s">
        <v>92</v>
      </c>
      <c r="M952" s="5"/>
      <c r="N952" s="5"/>
      <c r="O952" s="5" t="b">
        <v>0</v>
      </c>
      <c r="P952" s="4" t="str">
        <f>IF(A952="",IF(ISNUMBER(SEARCH("NOT NULL",UPPER(A$3))),"''","null"),SUBSTITUTE(VLOOKUP(A$2,convert!$A$1:$B$4,2,0),"@@@",A952))</f>
        <v>'0778N01'</v>
      </c>
      <c r="Q952" s="4" t="str">
        <f>IF(B952="",IF(ISNUMBER(SEARCH("NOT NULL",UPPER(B$3))),"''","null"),SUBSTITUTE(VLOOKUP(B$2,convert!$A$1:$B$4,2,0),"@@@",B952))</f>
        <v>'ミミッキュ'</v>
      </c>
      <c r="R952" s="4" t="str">
        <f>IF(C952="",IF(ISNUMBER(SEARCH("NOT NULL",UPPER(C$3))),"''","null"),SUBSTITUTE(VLOOKUP(C$2,convert!$A$1:$B$4,2,0),"@@@",C952))</f>
        <v>55</v>
      </c>
      <c r="S952" s="4" t="str">
        <f>IF(D952="",IF(ISNUMBER(SEARCH("NOT NULL",UPPER(D$3))),"''","null"),SUBSTITUTE(VLOOKUP(D$2,convert!$A$1:$B$4,2,0),"@@@",D952))</f>
        <v>90</v>
      </c>
      <c r="T952" s="4" t="str">
        <f>IF(E952="",IF(ISNUMBER(SEARCH("NOT NULL",UPPER(E$3))),"''","null"),SUBSTITUTE(VLOOKUP(E$2,convert!$A$1:$B$4,2,0),"@@@",E952))</f>
        <v>80</v>
      </c>
      <c r="U952" s="4" t="str">
        <f>IF(F952="",IF(ISNUMBER(SEARCH("NOT NULL",UPPER(F$3))),"''","null"),SUBSTITUTE(VLOOKUP(F$2,convert!$A$1:$B$4,2,0),"@@@",F952))</f>
        <v>50</v>
      </c>
      <c r="V952" s="4" t="str">
        <f>IF(G952="",IF(ISNUMBER(SEARCH("NOT NULL",UPPER(G$3))),"''","null"),SUBSTITUTE(VLOOKUP(G$2,convert!$A$1:$B$4,2,0),"@@@",G952))</f>
        <v>105</v>
      </c>
      <c r="W952" s="4" t="str">
        <f>IF(H952="",IF(ISNUMBER(SEARCH("NOT NULL",UPPER(H$3))),"''","null"),SUBSTITUTE(VLOOKUP(H$2,convert!$A$1:$B$4,2,0),"@@@",H952))</f>
        <v>96</v>
      </c>
      <c r="X952" s="4" t="str">
        <f>IF(I952="",IF(ISNUMBER(SEARCH("NOT NULL",UPPER(I$3))),"''","null"),SUBSTITUTE(VLOOKUP(I$2,convert!$A$1:$B$4,2,0),"@@@",I952))</f>
        <v>''</v>
      </c>
      <c r="Y952" s="4" t="str">
        <f>IF(J952="",IF(ISNUMBER(SEARCH("NOT NULL",UPPER(J$3))),"''","null"),SUBSTITUTE(VLOOKUP(J$2,convert!$A$1:$B$4,2,0),"@@@",J952))</f>
        <v>'ghost'</v>
      </c>
      <c r="Z952" s="4" t="str">
        <f>IF(K952="",IF(ISNUMBER(SEARCH("NOT NULL",UPPER(K$3))),"''","null"),SUBSTITUTE(VLOOKUP(K$2,convert!$A$1:$B$4,2,0),"@@@",K952))</f>
        <v>'fairy'</v>
      </c>
      <c r="AA952" s="4" t="str">
        <f>IF(L952="",IF(ISNUMBER(SEARCH("NOT NULL",UPPER(L$3))),"''","null"),SUBSTITUTE(VLOOKUP(L$2,convert!$A$1:$B$4,2,0),"@@@",L952))</f>
        <v>'g7'</v>
      </c>
      <c r="AB952" s="4" t="str">
        <f>IF(M952="",IF(ISNUMBER(SEARCH("NOT NULL",UPPER(M$3))),"''","null"),SUBSTITUTE(VLOOKUP(M$2,convert!$A$1:$B$4,2,0),"@@@",M952))</f>
        <v>null</v>
      </c>
      <c r="AC952" s="4" t="str">
        <f>IF(N952="",IF(ISNUMBER(SEARCH("NOT NULL",UPPER(N$3))),"''","null"),SUBSTITUTE(VLOOKUP(N$2,convert!$A$1:$B$4,2,0),"@@@",N952))</f>
        <v>null</v>
      </c>
      <c r="AD952" s="4" t="str">
        <f>IF(O952="",IF(ISNUMBER(SEARCH("NOT NULL",UPPER(O$3))),"''","null"),SUBSTITUTE(VLOOKUP(O$2,convert!$A$1:$B$4,2,0),"@@@",O952))</f>
        <v>FALSE</v>
      </c>
      <c r="AE952" s="4" t="str">
        <f t="shared" si="14"/>
        <v>    ('0778N01', 'ミミッキュ', 55, 90, 80, 50, 105, 96, '', 'ghost', 'fairy', 'g7', null, null, FALSE),</v>
      </c>
    </row>
    <row r="953" spans="1:31">
      <c r="A953" s="4" t="s">
        <v>1912</v>
      </c>
      <c r="B953" s="4" t="s">
        <v>1913</v>
      </c>
      <c r="C953" s="5">
        <v>68</v>
      </c>
      <c r="D953" s="5">
        <v>105</v>
      </c>
      <c r="E953" s="5">
        <v>70</v>
      </c>
      <c r="F953" s="5">
        <v>70</v>
      </c>
      <c r="G953" s="5">
        <v>70</v>
      </c>
      <c r="H953" s="5">
        <v>92</v>
      </c>
      <c r="I953" s="5"/>
      <c r="J953" s="4" t="s">
        <v>55</v>
      </c>
      <c r="K953" s="4" t="s">
        <v>113</v>
      </c>
      <c r="L953" s="4" t="s">
        <v>92</v>
      </c>
      <c r="M953" s="5"/>
      <c r="N953" s="5"/>
      <c r="O953" s="5" t="b">
        <v>1</v>
      </c>
      <c r="P953" s="4" t="str">
        <f>IF(A953="",IF(ISNUMBER(SEARCH("NOT NULL",UPPER(A$3))),"''","null"),SUBSTITUTE(VLOOKUP(A$2,convert!$A$1:$B$4,2,0),"@@@",A953))</f>
        <v>'0779N01'</v>
      </c>
      <c r="Q953" s="4" t="str">
        <f>IF(B953="",IF(ISNUMBER(SEARCH("NOT NULL",UPPER(B$3))),"''","null"),SUBSTITUTE(VLOOKUP(B$2,convert!$A$1:$B$4,2,0),"@@@",B953))</f>
        <v>'ハギギシリ'</v>
      </c>
      <c r="R953" s="4" t="str">
        <f>IF(C953="",IF(ISNUMBER(SEARCH("NOT NULL",UPPER(C$3))),"''","null"),SUBSTITUTE(VLOOKUP(C$2,convert!$A$1:$B$4,2,0),"@@@",C953))</f>
        <v>68</v>
      </c>
      <c r="S953" s="4" t="str">
        <f>IF(D953="",IF(ISNUMBER(SEARCH("NOT NULL",UPPER(D$3))),"''","null"),SUBSTITUTE(VLOOKUP(D$2,convert!$A$1:$B$4,2,0),"@@@",D953))</f>
        <v>105</v>
      </c>
      <c r="T953" s="4" t="str">
        <f>IF(E953="",IF(ISNUMBER(SEARCH("NOT NULL",UPPER(E$3))),"''","null"),SUBSTITUTE(VLOOKUP(E$2,convert!$A$1:$B$4,2,0),"@@@",E953))</f>
        <v>70</v>
      </c>
      <c r="U953" s="4" t="str">
        <f>IF(F953="",IF(ISNUMBER(SEARCH("NOT NULL",UPPER(F$3))),"''","null"),SUBSTITUTE(VLOOKUP(F$2,convert!$A$1:$B$4,2,0),"@@@",F953))</f>
        <v>70</v>
      </c>
      <c r="V953" s="4" t="str">
        <f>IF(G953="",IF(ISNUMBER(SEARCH("NOT NULL",UPPER(G$3))),"''","null"),SUBSTITUTE(VLOOKUP(G$2,convert!$A$1:$B$4,2,0),"@@@",G953))</f>
        <v>70</v>
      </c>
      <c r="W953" s="4" t="str">
        <f>IF(H953="",IF(ISNUMBER(SEARCH("NOT NULL",UPPER(H$3))),"''","null"),SUBSTITUTE(VLOOKUP(H$2,convert!$A$1:$B$4,2,0),"@@@",H953))</f>
        <v>92</v>
      </c>
      <c r="X953" s="4" t="str">
        <f>IF(I953="",IF(ISNUMBER(SEARCH("NOT NULL",UPPER(I$3))),"''","null"),SUBSTITUTE(VLOOKUP(I$2,convert!$A$1:$B$4,2,0),"@@@",I953))</f>
        <v>''</v>
      </c>
      <c r="Y953" s="4" t="str">
        <f>IF(J953="",IF(ISNUMBER(SEARCH("NOT NULL",UPPER(J$3))),"''","null"),SUBSTITUTE(VLOOKUP(J$2,convert!$A$1:$B$4,2,0),"@@@",J953))</f>
        <v>'water'</v>
      </c>
      <c r="Z953" s="4" t="str">
        <f>IF(K953="",IF(ISNUMBER(SEARCH("NOT NULL",UPPER(K$3))),"''","null"),SUBSTITUTE(VLOOKUP(K$2,convert!$A$1:$B$4,2,0),"@@@",K953))</f>
        <v>'psychic'</v>
      </c>
      <c r="AA953" s="4" t="str">
        <f>IF(L953="",IF(ISNUMBER(SEARCH("NOT NULL",UPPER(L$3))),"''","null"),SUBSTITUTE(VLOOKUP(L$2,convert!$A$1:$B$4,2,0),"@@@",L953))</f>
        <v>'g7'</v>
      </c>
      <c r="AB953" s="4" t="str">
        <f>IF(M953="",IF(ISNUMBER(SEARCH("NOT NULL",UPPER(M$3))),"''","null"),SUBSTITUTE(VLOOKUP(M$2,convert!$A$1:$B$4,2,0),"@@@",M953))</f>
        <v>null</v>
      </c>
      <c r="AC953" s="4" t="str">
        <f>IF(N953="",IF(ISNUMBER(SEARCH("NOT NULL",UPPER(N$3))),"''","null"),SUBSTITUTE(VLOOKUP(N$2,convert!$A$1:$B$4,2,0),"@@@",N953))</f>
        <v>null</v>
      </c>
      <c r="AD953" s="4" t="str">
        <f>IF(O953="",IF(ISNUMBER(SEARCH("NOT NULL",UPPER(O$3))),"''","null"),SUBSTITUTE(VLOOKUP(O$2,convert!$A$1:$B$4,2,0),"@@@",O953))</f>
        <v>TRUE</v>
      </c>
      <c r="AE953" s="4" t="str">
        <f t="shared" si="14"/>
        <v>    ('0779N01', 'ハギギシリ', 68, 105, 70, 70, 70, 92, '', 'water', 'psychic', 'g7', null, null, TRUE),</v>
      </c>
    </row>
    <row r="954" spans="1:31">
      <c r="A954" s="4" t="s">
        <v>1914</v>
      </c>
      <c r="B954" s="4" t="s">
        <v>1915</v>
      </c>
      <c r="C954" s="5">
        <v>78</v>
      </c>
      <c r="D954" s="5">
        <v>60</v>
      </c>
      <c r="E954" s="5">
        <v>85</v>
      </c>
      <c r="F954" s="5">
        <v>135</v>
      </c>
      <c r="G954" s="5">
        <v>91</v>
      </c>
      <c r="H954" s="5">
        <v>36</v>
      </c>
      <c r="I954" s="5"/>
      <c r="J954" s="4" t="s">
        <v>80</v>
      </c>
      <c r="K954" s="4" t="s">
        <v>50</v>
      </c>
      <c r="L954" s="4" t="s">
        <v>92</v>
      </c>
      <c r="M954" s="5"/>
      <c r="N954" s="5"/>
      <c r="O954" s="5" t="b">
        <v>1</v>
      </c>
      <c r="P954" s="4" t="str">
        <f>IF(A954="",IF(ISNUMBER(SEARCH("NOT NULL",UPPER(A$3))),"''","null"),SUBSTITUTE(VLOOKUP(A$2,convert!$A$1:$B$4,2,0),"@@@",A954))</f>
        <v>'0780N01'</v>
      </c>
      <c r="Q954" s="4" t="str">
        <f>IF(B954="",IF(ISNUMBER(SEARCH("NOT NULL",UPPER(B$3))),"''","null"),SUBSTITUTE(VLOOKUP(B$2,convert!$A$1:$B$4,2,0),"@@@",B954))</f>
        <v>'ジジーロン'</v>
      </c>
      <c r="R954" s="4" t="str">
        <f>IF(C954="",IF(ISNUMBER(SEARCH("NOT NULL",UPPER(C$3))),"''","null"),SUBSTITUTE(VLOOKUP(C$2,convert!$A$1:$B$4,2,0),"@@@",C954))</f>
        <v>78</v>
      </c>
      <c r="S954" s="4" t="str">
        <f>IF(D954="",IF(ISNUMBER(SEARCH("NOT NULL",UPPER(D$3))),"''","null"),SUBSTITUTE(VLOOKUP(D$2,convert!$A$1:$B$4,2,0),"@@@",D954))</f>
        <v>60</v>
      </c>
      <c r="T954" s="4" t="str">
        <f>IF(E954="",IF(ISNUMBER(SEARCH("NOT NULL",UPPER(E$3))),"''","null"),SUBSTITUTE(VLOOKUP(E$2,convert!$A$1:$B$4,2,0),"@@@",E954))</f>
        <v>85</v>
      </c>
      <c r="U954" s="4" t="str">
        <f>IF(F954="",IF(ISNUMBER(SEARCH("NOT NULL",UPPER(F$3))),"''","null"),SUBSTITUTE(VLOOKUP(F$2,convert!$A$1:$B$4,2,0),"@@@",F954))</f>
        <v>135</v>
      </c>
      <c r="V954" s="4" t="str">
        <f>IF(G954="",IF(ISNUMBER(SEARCH("NOT NULL",UPPER(G$3))),"''","null"),SUBSTITUTE(VLOOKUP(G$2,convert!$A$1:$B$4,2,0),"@@@",G954))</f>
        <v>91</v>
      </c>
      <c r="W954" s="4" t="str">
        <f>IF(H954="",IF(ISNUMBER(SEARCH("NOT NULL",UPPER(H$3))),"''","null"),SUBSTITUTE(VLOOKUP(H$2,convert!$A$1:$B$4,2,0),"@@@",H954))</f>
        <v>36</v>
      </c>
      <c r="X954" s="4" t="str">
        <f>IF(I954="",IF(ISNUMBER(SEARCH("NOT NULL",UPPER(I$3))),"''","null"),SUBSTITUTE(VLOOKUP(I$2,convert!$A$1:$B$4,2,0),"@@@",I954))</f>
        <v>''</v>
      </c>
      <c r="Y954" s="4" t="str">
        <f>IF(J954="",IF(ISNUMBER(SEARCH("NOT NULL",UPPER(J$3))),"''","null"),SUBSTITUTE(VLOOKUP(J$2,convert!$A$1:$B$4,2,0),"@@@",J954))</f>
        <v>'normal'</v>
      </c>
      <c r="Z954" s="4" t="str">
        <f>IF(K954="",IF(ISNUMBER(SEARCH("NOT NULL",UPPER(K$3))),"''","null"),SUBSTITUTE(VLOOKUP(K$2,convert!$A$1:$B$4,2,0),"@@@",K954))</f>
        <v>'dragon'</v>
      </c>
      <c r="AA954" s="4" t="str">
        <f>IF(L954="",IF(ISNUMBER(SEARCH("NOT NULL",UPPER(L$3))),"''","null"),SUBSTITUTE(VLOOKUP(L$2,convert!$A$1:$B$4,2,0),"@@@",L954))</f>
        <v>'g7'</v>
      </c>
      <c r="AB954" s="4" t="str">
        <f>IF(M954="",IF(ISNUMBER(SEARCH("NOT NULL",UPPER(M$3))),"''","null"),SUBSTITUTE(VLOOKUP(M$2,convert!$A$1:$B$4,2,0),"@@@",M954))</f>
        <v>null</v>
      </c>
      <c r="AC954" s="4" t="str">
        <f>IF(N954="",IF(ISNUMBER(SEARCH("NOT NULL",UPPER(N$3))),"''","null"),SUBSTITUTE(VLOOKUP(N$2,convert!$A$1:$B$4,2,0),"@@@",N954))</f>
        <v>null</v>
      </c>
      <c r="AD954" s="4" t="str">
        <f>IF(O954="",IF(ISNUMBER(SEARCH("NOT NULL",UPPER(O$3))),"''","null"),SUBSTITUTE(VLOOKUP(O$2,convert!$A$1:$B$4,2,0),"@@@",O954))</f>
        <v>TRUE</v>
      </c>
      <c r="AE954" s="4" t="str">
        <f t="shared" si="14"/>
        <v>    ('0780N01', 'ジジーロン', 78, 60, 85, 135, 91, 36, '', 'normal', 'dragon', 'g7', null, null, TRUE),</v>
      </c>
    </row>
    <row r="955" spans="1:31">
      <c r="A955" s="4" t="s">
        <v>1916</v>
      </c>
      <c r="B955" s="4" t="s">
        <v>1917</v>
      </c>
      <c r="C955" s="5">
        <v>70</v>
      </c>
      <c r="D955" s="5">
        <v>131</v>
      </c>
      <c r="E955" s="5">
        <v>100</v>
      </c>
      <c r="F955" s="5">
        <v>86</v>
      </c>
      <c r="G955" s="5">
        <v>90</v>
      </c>
      <c r="H955" s="5">
        <v>40</v>
      </c>
      <c r="I955" s="5"/>
      <c r="J955" s="4" t="s">
        <v>281</v>
      </c>
      <c r="K955" s="4" t="s">
        <v>30</v>
      </c>
      <c r="L955" s="4" t="s">
        <v>92</v>
      </c>
      <c r="M955" s="5"/>
      <c r="N955" s="5"/>
      <c r="O955" s="5" t="b">
        <v>0</v>
      </c>
      <c r="P955" s="4" t="str">
        <f>IF(A955="",IF(ISNUMBER(SEARCH("NOT NULL",UPPER(A$3))),"''","null"),SUBSTITUTE(VLOOKUP(A$2,convert!$A$1:$B$4,2,0),"@@@",A955))</f>
        <v>'0781N01'</v>
      </c>
      <c r="Q955" s="4" t="str">
        <f>IF(B955="",IF(ISNUMBER(SEARCH("NOT NULL",UPPER(B$3))),"''","null"),SUBSTITUTE(VLOOKUP(B$2,convert!$A$1:$B$4,2,0),"@@@",B955))</f>
        <v>'ダダリン'</v>
      </c>
      <c r="R955" s="4" t="str">
        <f>IF(C955="",IF(ISNUMBER(SEARCH("NOT NULL",UPPER(C$3))),"''","null"),SUBSTITUTE(VLOOKUP(C$2,convert!$A$1:$B$4,2,0),"@@@",C955))</f>
        <v>70</v>
      </c>
      <c r="S955" s="4" t="str">
        <f>IF(D955="",IF(ISNUMBER(SEARCH("NOT NULL",UPPER(D$3))),"''","null"),SUBSTITUTE(VLOOKUP(D$2,convert!$A$1:$B$4,2,0),"@@@",D955))</f>
        <v>131</v>
      </c>
      <c r="T955" s="4" t="str">
        <f>IF(E955="",IF(ISNUMBER(SEARCH("NOT NULL",UPPER(E$3))),"''","null"),SUBSTITUTE(VLOOKUP(E$2,convert!$A$1:$B$4,2,0),"@@@",E955))</f>
        <v>100</v>
      </c>
      <c r="U955" s="4" t="str">
        <f>IF(F955="",IF(ISNUMBER(SEARCH("NOT NULL",UPPER(F$3))),"''","null"),SUBSTITUTE(VLOOKUP(F$2,convert!$A$1:$B$4,2,0),"@@@",F955))</f>
        <v>86</v>
      </c>
      <c r="V955" s="4" t="str">
        <f>IF(G955="",IF(ISNUMBER(SEARCH("NOT NULL",UPPER(G$3))),"''","null"),SUBSTITUTE(VLOOKUP(G$2,convert!$A$1:$B$4,2,0),"@@@",G955))</f>
        <v>90</v>
      </c>
      <c r="W955" s="4" t="str">
        <f>IF(H955="",IF(ISNUMBER(SEARCH("NOT NULL",UPPER(H$3))),"''","null"),SUBSTITUTE(VLOOKUP(H$2,convert!$A$1:$B$4,2,0),"@@@",H955))</f>
        <v>40</v>
      </c>
      <c r="X955" s="4" t="str">
        <f>IF(I955="",IF(ISNUMBER(SEARCH("NOT NULL",UPPER(I$3))),"''","null"),SUBSTITUTE(VLOOKUP(I$2,convert!$A$1:$B$4,2,0),"@@@",I955))</f>
        <v>''</v>
      </c>
      <c r="Y955" s="4" t="str">
        <f>IF(J955="",IF(ISNUMBER(SEARCH("NOT NULL",UPPER(J$3))),"''","null"),SUBSTITUTE(VLOOKUP(J$2,convert!$A$1:$B$4,2,0),"@@@",J955))</f>
        <v>'ghost'</v>
      </c>
      <c r="Z955" s="4" t="str">
        <f>IF(K955="",IF(ISNUMBER(SEARCH("NOT NULL",UPPER(K$3))),"''","null"),SUBSTITUTE(VLOOKUP(K$2,convert!$A$1:$B$4,2,0),"@@@",K955))</f>
        <v>'grass'</v>
      </c>
      <c r="AA955" s="4" t="str">
        <f>IF(L955="",IF(ISNUMBER(SEARCH("NOT NULL",UPPER(L$3))),"''","null"),SUBSTITUTE(VLOOKUP(L$2,convert!$A$1:$B$4,2,0),"@@@",L955))</f>
        <v>'g7'</v>
      </c>
      <c r="AB955" s="4" t="str">
        <f>IF(M955="",IF(ISNUMBER(SEARCH("NOT NULL",UPPER(M$3))),"''","null"),SUBSTITUTE(VLOOKUP(M$2,convert!$A$1:$B$4,2,0),"@@@",M955))</f>
        <v>null</v>
      </c>
      <c r="AC955" s="4" t="str">
        <f>IF(N955="",IF(ISNUMBER(SEARCH("NOT NULL",UPPER(N$3))),"''","null"),SUBSTITUTE(VLOOKUP(N$2,convert!$A$1:$B$4,2,0),"@@@",N955))</f>
        <v>null</v>
      </c>
      <c r="AD955" s="4" t="str">
        <f>IF(O955="",IF(ISNUMBER(SEARCH("NOT NULL",UPPER(O$3))),"''","null"),SUBSTITUTE(VLOOKUP(O$2,convert!$A$1:$B$4,2,0),"@@@",O955))</f>
        <v>FALSE</v>
      </c>
      <c r="AE955" s="4" t="str">
        <f t="shared" si="14"/>
        <v>    ('0781N01', 'ダダリン', 70, 131, 100, 86, 90, 40, '', 'ghost', 'grass', 'g7', null, null, FALSE),</v>
      </c>
    </row>
    <row r="956" spans="1:31">
      <c r="A956" s="4" t="s">
        <v>1918</v>
      </c>
      <c r="B956" s="4" t="s">
        <v>1919</v>
      </c>
      <c r="C956" s="5">
        <v>45</v>
      </c>
      <c r="D956" s="5">
        <v>55</v>
      </c>
      <c r="E956" s="5">
        <v>65</v>
      </c>
      <c r="F956" s="5">
        <v>45</v>
      </c>
      <c r="G956" s="5">
        <v>45</v>
      </c>
      <c r="H956" s="5">
        <v>45</v>
      </c>
      <c r="I956" s="5"/>
      <c r="J956" s="4" t="s">
        <v>50</v>
      </c>
      <c r="K956" s="5"/>
      <c r="L956" s="4" t="s">
        <v>92</v>
      </c>
      <c r="M956" s="5"/>
      <c r="N956" s="5"/>
      <c r="O956" s="5" t="b">
        <v>1</v>
      </c>
      <c r="P956" s="4" t="str">
        <f>IF(A956="",IF(ISNUMBER(SEARCH("NOT NULL",UPPER(A$3))),"''","null"),SUBSTITUTE(VLOOKUP(A$2,convert!$A$1:$B$4,2,0),"@@@",A956))</f>
        <v>'0782N01'</v>
      </c>
      <c r="Q956" s="4" t="str">
        <f>IF(B956="",IF(ISNUMBER(SEARCH("NOT NULL",UPPER(B$3))),"''","null"),SUBSTITUTE(VLOOKUP(B$2,convert!$A$1:$B$4,2,0),"@@@",B956))</f>
        <v>'ジャラコ'</v>
      </c>
      <c r="R956" s="4" t="str">
        <f>IF(C956="",IF(ISNUMBER(SEARCH("NOT NULL",UPPER(C$3))),"''","null"),SUBSTITUTE(VLOOKUP(C$2,convert!$A$1:$B$4,2,0),"@@@",C956))</f>
        <v>45</v>
      </c>
      <c r="S956" s="4" t="str">
        <f>IF(D956="",IF(ISNUMBER(SEARCH("NOT NULL",UPPER(D$3))),"''","null"),SUBSTITUTE(VLOOKUP(D$2,convert!$A$1:$B$4,2,0),"@@@",D956))</f>
        <v>55</v>
      </c>
      <c r="T956" s="4" t="str">
        <f>IF(E956="",IF(ISNUMBER(SEARCH("NOT NULL",UPPER(E$3))),"''","null"),SUBSTITUTE(VLOOKUP(E$2,convert!$A$1:$B$4,2,0),"@@@",E956))</f>
        <v>65</v>
      </c>
      <c r="U956" s="4" t="str">
        <f>IF(F956="",IF(ISNUMBER(SEARCH("NOT NULL",UPPER(F$3))),"''","null"),SUBSTITUTE(VLOOKUP(F$2,convert!$A$1:$B$4,2,0),"@@@",F956))</f>
        <v>45</v>
      </c>
      <c r="V956" s="4" t="str">
        <f>IF(G956="",IF(ISNUMBER(SEARCH("NOT NULL",UPPER(G$3))),"''","null"),SUBSTITUTE(VLOOKUP(G$2,convert!$A$1:$B$4,2,0),"@@@",G956))</f>
        <v>45</v>
      </c>
      <c r="W956" s="4" t="str">
        <f>IF(H956="",IF(ISNUMBER(SEARCH("NOT NULL",UPPER(H$3))),"''","null"),SUBSTITUTE(VLOOKUP(H$2,convert!$A$1:$B$4,2,0),"@@@",H956))</f>
        <v>45</v>
      </c>
      <c r="X956" s="4" t="str">
        <f>IF(I956="",IF(ISNUMBER(SEARCH("NOT NULL",UPPER(I$3))),"''","null"),SUBSTITUTE(VLOOKUP(I$2,convert!$A$1:$B$4,2,0),"@@@",I956))</f>
        <v>''</v>
      </c>
      <c r="Y956" s="4" t="str">
        <f>IF(J956="",IF(ISNUMBER(SEARCH("NOT NULL",UPPER(J$3))),"''","null"),SUBSTITUTE(VLOOKUP(J$2,convert!$A$1:$B$4,2,0),"@@@",J956))</f>
        <v>'dragon'</v>
      </c>
      <c r="Z956" s="4" t="str">
        <f>IF(K956="",IF(ISNUMBER(SEARCH("NOT NULL",UPPER(K$3))),"''","null"),SUBSTITUTE(VLOOKUP(K$2,convert!$A$1:$B$4,2,0),"@@@",K956))</f>
        <v>null</v>
      </c>
      <c r="AA956" s="4" t="str">
        <f>IF(L956="",IF(ISNUMBER(SEARCH("NOT NULL",UPPER(L$3))),"''","null"),SUBSTITUTE(VLOOKUP(L$2,convert!$A$1:$B$4,2,0),"@@@",L956))</f>
        <v>'g7'</v>
      </c>
      <c r="AB956" s="4" t="str">
        <f>IF(M956="",IF(ISNUMBER(SEARCH("NOT NULL",UPPER(M$3))),"''","null"),SUBSTITUTE(VLOOKUP(M$2,convert!$A$1:$B$4,2,0),"@@@",M956))</f>
        <v>null</v>
      </c>
      <c r="AC956" s="4" t="str">
        <f>IF(N956="",IF(ISNUMBER(SEARCH("NOT NULL",UPPER(N$3))),"''","null"),SUBSTITUTE(VLOOKUP(N$2,convert!$A$1:$B$4,2,0),"@@@",N956))</f>
        <v>null</v>
      </c>
      <c r="AD956" s="4" t="str">
        <f>IF(O956="",IF(ISNUMBER(SEARCH("NOT NULL",UPPER(O$3))),"''","null"),SUBSTITUTE(VLOOKUP(O$2,convert!$A$1:$B$4,2,0),"@@@",O956))</f>
        <v>TRUE</v>
      </c>
      <c r="AE956" s="4" t="str">
        <f t="shared" si="14"/>
        <v>    ('0782N01', 'ジャラコ', 45, 55, 65, 45, 45, 45, '', 'dragon', null, 'g7', null, null, TRUE),</v>
      </c>
    </row>
    <row r="957" spans="1:31">
      <c r="A957" s="4" t="s">
        <v>1920</v>
      </c>
      <c r="B957" s="4" t="s">
        <v>1921</v>
      </c>
      <c r="C957" s="5">
        <v>55</v>
      </c>
      <c r="D957" s="5">
        <v>75</v>
      </c>
      <c r="E957" s="5">
        <v>90</v>
      </c>
      <c r="F957" s="5">
        <v>65</v>
      </c>
      <c r="G957" s="5">
        <v>70</v>
      </c>
      <c r="H957" s="5">
        <v>65</v>
      </c>
      <c r="I957" s="5"/>
      <c r="J957" s="4" t="s">
        <v>50</v>
      </c>
      <c r="K957" s="4" t="s">
        <v>189</v>
      </c>
      <c r="L957" s="4" t="s">
        <v>92</v>
      </c>
      <c r="M957" s="5"/>
      <c r="N957" s="5"/>
      <c r="O957" s="5" t="b">
        <v>1</v>
      </c>
      <c r="P957" s="4" t="str">
        <f>IF(A957="",IF(ISNUMBER(SEARCH("NOT NULL",UPPER(A$3))),"''","null"),SUBSTITUTE(VLOOKUP(A$2,convert!$A$1:$B$4,2,0),"@@@",A957))</f>
        <v>'0783N01'</v>
      </c>
      <c r="Q957" s="4" t="str">
        <f>IF(B957="",IF(ISNUMBER(SEARCH("NOT NULL",UPPER(B$3))),"''","null"),SUBSTITUTE(VLOOKUP(B$2,convert!$A$1:$B$4,2,0),"@@@",B957))</f>
        <v>'ジャランゴ'</v>
      </c>
      <c r="R957" s="4" t="str">
        <f>IF(C957="",IF(ISNUMBER(SEARCH("NOT NULL",UPPER(C$3))),"''","null"),SUBSTITUTE(VLOOKUP(C$2,convert!$A$1:$B$4,2,0),"@@@",C957))</f>
        <v>55</v>
      </c>
      <c r="S957" s="4" t="str">
        <f>IF(D957="",IF(ISNUMBER(SEARCH("NOT NULL",UPPER(D$3))),"''","null"),SUBSTITUTE(VLOOKUP(D$2,convert!$A$1:$B$4,2,0),"@@@",D957))</f>
        <v>75</v>
      </c>
      <c r="T957" s="4" t="str">
        <f>IF(E957="",IF(ISNUMBER(SEARCH("NOT NULL",UPPER(E$3))),"''","null"),SUBSTITUTE(VLOOKUP(E$2,convert!$A$1:$B$4,2,0),"@@@",E957))</f>
        <v>90</v>
      </c>
      <c r="U957" s="4" t="str">
        <f>IF(F957="",IF(ISNUMBER(SEARCH("NOT NULL",UPPER(F$3))),"''","null"),SUBSTITUTE(VLOOKUP(F$2,convert!$A$1:$B$4,2,0),"@@@",F957))</f>
        <v>65</v>
      </c>
      <c r="V957" s="4" t="str">
        <f>IF(G957="",IF(ISNUMBER(SEARCH("NOT NULL",UPPER(G$3))),"''","null"),SUBSTITUTE(VLOOKUP(G$2,convert!$A$1:$B$4,2,0),"@@@",G957))</f>
        <v>70</v>
      </c>
      <c r="W957" s="4" t="str">
        <f>IF(H957="",IF(ISNUMBER(SEARCH("NOT NULL",UPPER(H$3))),"''","null"),SUBSTITUTE(VLOOKUP(H$2,convert!$A$1:$B$4,2,0),"@@@",H957))</f>
        <v>65</v>
      </c>
      <c r="X957" s="4" t="str">
        <f>IF(I957="",IF(ISNUMBER(SEARCH("NOT NULL",UPPER(I$3))),"''","null"),SUBSTITUTE(VLOOKUP(I$2,convert!$A$1:$B$4,2,0),"@@@",I957))</f>
        <v>''</v>
      </c>
      <c r="Y957" s="4" t="str">
        <f>IF(J957="",IF(ISNUMBER(SEARCH("NOT NULL",UPPER(J$3))),"''","null"),SUBSTITUTE(VLOOKUP(J$2,convert!$A$1:$B$4,2,0),"@@@",J957))</f>
        <v>'dragon'</v>
      </c>
      <c r="Z957" s="4" t="str">
        <f>IF(K957="",IF(ISNUMBER(SEARCH("NOT NULL",UPPER(K$3))),"''","null"),SUBSTITUTE(VLOOKUP(K$2,convert!$A$1:$B$4,2,0),"@@@",K957))</f>
        <v>'fighting'</v>
      </c>
      <c r="AA957" s="4" t="str">
        <f>IF(L957="",IF(ISNUMBER(SEARCH("NOT NULL",UPPER(L$3))),"''","null"),SUBSTITUTE(VLOOKUP(L$2,convert!$A$1:$B$4,2,0),"@@@",L957))</f>
        <v>'g7'</v>
      </c>
      <c r="AB957" s="4" t="str">
        <f>IF(M957="",IF(ISNUMBER(SEARCH("NOT NULL",UPPER(M$3))),"''","null"),SUBSTITUTE(VLOOKUP(M$2,convert!$A$1:$B$4,2,0),"@@@",M957))</f>
        <v>null</v>
      </c>
      <c r="AC957" s="4" t="str">
        <f>IF(N957="",IF(ISNUMBER(SEARCH("NOT NULL",UPPER(N$3))),"''","null"),SUBSTITUTE(VLOOKUP(N$2,convert!$A$1:$B$4,2,0),"@@@",N957))</f>
        <v>null</v>
      </c>
      <c r="AD957" s="4" t="str">
        <f>IF(O957="",IF(ISNUMBER(SEARCH("NOT NULL",UPPER(O$3))),"''","null"),SUBSTITUTE(VLOOKUP(O$2,convert!$A$1:$B$4,2,0),"@@@",O957))</f>
        <v>TRUE</v>
      </c>
      <c r="AE957" s="4" t="str">
        <f t="shared" si="14"/>
        <v>    ('0783N01', 'ジャランゴ', 55, 75, 90, 65, 70, 65, '', 'dragon', 'fighting', 'g7', null, null, TRUE),</v>
      </c>
    </row>
    <row r="958" spans="1:31">
      <c r="A958" s="4" t="s">
        <v>1922</v>
      </c>
      <c r="B958" s="4" t="s">
        <v>1923</v>
      </c>
      <c r="C958" s="5">
        <v>75</v>
      </c>
      <c r="D958" s="5">
        <v>110</v>
      </c>
      <c r="E958" s="5">
        <v>125</v>
      </c>
      <c r="F958" s="5">
        <v>100</v>
      </c>
      <c r="G958" s="5">
        <v>105</v>
      </c>
      <c r="H958" s="5">
        <v>85</v>
      </c>
      <c r="I958" s="5"/>
      <c r="J958" s="4" t="s">
        <v>50</v>
      </c>
      <c r="K958" s="4" t="s">
        <v>189</v>
      </c>
      <c r="L958" s="4" t="s">
        <v>92</v>
      </c>
      <c r="M958" s="5"/>
      <c r="N958" s="5"/>
      <c r="O958" s="5" t="b">
        <v>1</v>
      </c>
      <c r="P958" s="4" t="str">
        <f>IF(A958="",IF(ISNUMBER(SEARCH("NOT NULL",UPPER(A$3))),"''","null"),SUBSTITUTE(VLOOKUP(A$2,convert!$A$1:$B$4,2,0),"@@@",A958))</f>
        <v>'0784N01'</v>
      </c>
      <c r="Q958" s="4" t="str">
        <f>IF(B958="",IF(ISNUMBER(SEARCH("NOT NULL",UPPER(B$3))),"''","null"),SUBSTITUTE(VLOOKUP(B$2,convert!$A$1:$B$4,2,0),"@@@",B958))</f>
        <v>'ジャラランガ'</v>
      </c>
      <c r="R958" s="4" t="str">
        <f>IF(C958="",IF(ISNUMBER(SEARCH("NOT NULL",UPPER(C$3))),"''","null"),SUBSTITUTE(VLOOKUP(C$2,convert!$A$1:$B$4,2,0),"@@@",C958))</f>
        <v>75</v>
      </c>
      <c r="S958" s="4" t="str">
        <f>IF(D958="",IF(ISNUMBER(SEARCH("NOT NULL",UPPER(D$3))),"''","null"),SUBSTITUTE(VLOOKUP(D$2,convert!$A$1:$B$4,2,0),"@@@",D958))</f>
        <v>110</v>
      </c>
      <c r="T958" s="4" t="str">
        <f>IF(E958="",IF(ISNUMBER(SEARCH("NOT NULL",UPPER(E$3))),"''","null"),SUBSTITUTE(VLOOKUP(E$2,convert!$A$1:$B$4,2,0),"@@@",E958))</f>
        <v>125</v>
      </c>
      <c r="U958" s="4" t="str">
        <f>IF(F958="",IF(ISNUMBER(SEARCH("NOT NULL",UPPER(F$3))),"''","null"),SUBSTITUTE(VLOOKUP(F$2,convert!$A$1:$B$4,2,0),"@@@",F958))</f>
        <v>100</v>
      </c>
      <c r="V958" s="4" t="str">
        <f>IF(G958="",IF(ISNUMBER(SEARCH("NOT NULL",UPPER(G$3))),"''","null"),SUBSTITUTE(VLOOKUP(G$2,convert!$A$1:$B$4,2,0),"@@@",G958))</f>
        <v>105</v>
      </c>
      <c r="W958" s="4" t="str">
        <f>IF(H958="",IF(ISNUMBER(SEARCH("NOT NULL",UPPER(H$3))),"''","null"),SUBSTITUTE(VLOOKUP(H$2,convert!$A$1:$B$4,2,0),"@@@",H958))</f>
        <v>85</v>
      </c>
      <c r="X958" s="4" t="str">
        <f>IF(I958="",IF(ISNUMBER(SEARCH("NOT NULL",UPPER(I$3))),"''","null"),SUBSTITUTE(VLOOKUP(I$2,convert!$A$1:$B$4,2,0),"@@@",I958))</f>
        <v>''</v>
      </c>
      <c r="Y958" s="4" t="str">
        <f>IF(J958="",IF(ISNUMBER(SEARCH("NOT NULL",UPPER(J$3))),"''","null"),SUBSTITUTE(VLOOKUP(J$2,convert!$A$1:$B$4,2,0),"@@@",J958))</f>
        <v>'dragon'</v>
      </c>
      <c r="Z958" s="4" t="str">
        <f>IF(K958="",IF(ISNUMBER(SEARCH("NOT NULL",UPPER(K$3))),"''","null"),SUBSTITUTE(VLOOKUP(K$2,convert!$A$1:$B$4,2,0),"@@@",K958))</f>
        <v>'fighting'</v>
      </c>
      <c r="AA958" s="4" t="str">
        <f>IF(L958="",IF(ISNUMBER(SEARCH("NOT NULL",UPPER(L$3))),"''","null"),SUBSTITUTE(VLOOKUP(L$2,convert!$A$1:$B$4,2,0),"@@@",L958))</f>
        <v>'g7'</v>
      </c>
      <c r="AB958" s="4" t="str">
        <f>IF(M958="",IF(ISNUMBER(SEARCH("NOT NULL",UPPER(M$3))),"''","null"),SUBSTITUTE(VLOOKUP(M$2,convert!$A$1:$B$4,2,0),"@@@",M958))</f>
        <v>null</v>
      </c>
      <c r="AC958" s="4" t="str">
        <f>IF(N958="",IF(ISNUMBER(SEARCH("NOT NULL",UPPER(N$3))),"''","null"),SUBSTITUTE(VLOOKUP(N$2,convert!$A$1:$B$4,2,0),"@@@",N958))</f>
        <v>null</v>
      </c>
      <c r="AD958" s="4" t="str">
        <f>IF(O958="",IF(ISNUMBER(SEARCH("NOT NULL",UPPER(O$3))),"''","null"),SUBSTITUTE(VLOOKUP(O$2,convert!$A$1:$B$4,2,0),"@@@",O958))</f>
        <v>TRUE</v>
      </c>
      <c r="AE958" s="4" t="str">
        <f t="shared" si="14"/>
        <v>    ('0784N01', 'ジャラランガ', 75, 110, 125, 100, 105, 85, '', 'dragon', 'fighting', 'g7', null, null, TRUE),</v>
      </c>
    </row>
    <row r="959" spans="1:31">
      <c r="A959" s="4" t="s">
        <v>1924</v>
      </c>
      <c r="B959" s="4" t="s">
        <v>1925</v>
      </c>
      <c r="C959" s="5">
        <v>70</v>
      </c>
      <c r="D959" s="5">
        <v>115</v>
      </c>
      <c r="E959" s="5">
        <v>85</v>
      </c>
      <c r="F959" s="5">
        <v>95</v>
      </c>
      <c r="G959" s="5">
        <v>75</v>
      </c>
      <c r="H959" s="5">
        <v>130</v>
      </c>
      <c r="I959" s="5"/>
      <c r="J959" s="4" t="s">
        <v>106</v>
      </c>
      <c r="K959" s="4" t="s">
        <v>137</v>
      </c>
      <c r="L959" s="4" t="s">
        <v>92</v>
      </c>
      <c r="M959" s="5"/>
      <c r="N959" s="5"/>
      <c r="O959" s="5" t="b">
        <v>1</v>
      </c>
      <c r="P959" s="4" t="str">
        <f>IF(A959="",IF(ISNUMBER(SEARCH("NOT NULL",UPPER(A$3))),"''","null"),SUBSTITUTE(VLOOKUP(A$2,convert!$A$1:$B$4,2,0),"@@@",A959))</f>
        <v>'0785N01'</v>
      </c>
      <c r="Q959" s="4" t="str">
        <f>IF(B959="",IF(ISNUMBER(SEARCH("NOT NULL",UPPER(B$3))),"''","null"),SUBSTITUTE(VLOOKUP(B$2,convert!$A$1:$B$4,2,0),"@@@",B959))</f>
        <v>'カプ・コケコ'</v>
      </c>
      <c r="R959" s="4" t="str">
        <f>IF(C959="",IF(ISNUMBER(SEARCH("NOT NULL",UPPER(C$3))),"''","null"),SUBSTITUTE(VLOOKUP(C$2,convert!$A$1:$B$4,2,0),"@@@",C959))</f>
        <v>70</v>
      </c>
      <c r="S959" s="4" t="str">
        <f>IF(D959="",IF(ISNUMBER(SEARCH("NOT NULL",UPPER(D$3))),"''","null"),SUBSTITUTE(VLOOKUP(D$2,convert!$A$1:$B$4,2,0),"@@@",D959))</f>
        <v>115</v>
      </c>
      <c r="T959" s="4" t="str">
        <f>IF(E959="",IF(ISNUMBER(SEARCH("NOT NULL",UPPER(E$3))),"''","null"),SUBSTITUTE(VLOOKUP(E$2,convert!$A$1:$B$4,2,0),"@@@",E959))</f>
        <v>85</v>
      </c>
      <c r="U959" s="4" t="str">
        <f>IF(F959="",IF(ISNUMBER(SEARCH("NOT NULL",UPPER(F$3))),"''","null"),SUBSTITUTE(VLOOKUP(F$2,convert!$A$1:$B$4,2,0),"@@@",F959))</f>
        <v>95</v>
      </c>
      <c r="V959" s="4" t="str">
        <f>IF(G959="",IF(ISNUMBER(SEARCH("NOT NULL",UPPER(G$3))),"''","null"),SUBSTITUTE(VLOOKUP(G$2,convert!$A$1:$B$4,2,0),"@@@",G959))</f>
        <v>75</v>
      </c>
      <c r="W959" s="4" t="str">
        <f>IF(H959="",IF(ISNUMBER(SEARCH("NOT NULL",UPPER(H$3))),"''","null"),SUBSTITUTE(VLOOKUP(H$2,convert!$A$1:$B$4,2,0),"@@@",H959))</f>
        <v>130</v>
      </c>
      <c r="X959" s="4" t="str">
        <f>IF(I959="",IF(ISNUMBER(SEARCH("NOT NULL",UPPER(I$3))),"''","null"),SUBSTITUTE(VLOOKUP(I$2,convert!$A$1:$B$4,2,0),"@@@",I959))</f>
        <v>''</v>
      </c>
      <c r="Y959" s="4" t="str">
        <f>IF(J959="",IF(ISNUMBER(SEARCH("NOT NULL",UPPER(J$3))),"''","null"),SUBSTITUTE(VLOOKUP(J$2,convert!$A$1:$B$4,2,0),"@@@",J959))</f>
        <v>'electric'</v>
      </c>
      <c r="Z959" s="4" t="str">
        <f>IF(K959="",IF(ISNUMBER(SEARCH("NOT NULL",UPPER(K$3))),"''","null"),SUBSTITUTE(VLOOKUP(K$2,convert!$A$1:$B$4,2,0),"@@@",K959))</f>
        <v>'fairy'</v>
      </c>
      <c r="AA959" s="4" t="str">
        <f>IF(L959="",IF(ISNUMBER(SEARCH("NOT NULL",UPPER(L$3))),"''","null"),SUBSTITUTE(VLOOKUP(L$2,convert!$A$1:$B$4,2,0),"@@@",L959))</f>
        <v>'g7'</v>
      </c>
      <c r="AB959" s="4" t="str">
        <f>IF(M959="",IF(ISNUMBER(SEARCH("NOT NULL",UPPER(M$3))),"''","null"),SUBSTITUTE(VLOOKUP(M$2,convert!$A$1:$B$4,2,0),"@@@",M959))</f>
        <v>null</v>
      </c>
      <c r="AC959" s="4" t="str">
        <f>IF(N959="",IF(ISNUMBER(SEARCH("NOT NULL",UPPER(N$3))),"''","null"),SUBSTITUTE(VLOOKUP(N$2,convert!$A$1:$B$4,2,0),"@@@",N959))</f>
        <v>null</v>
      </c>
      <c r="AD959" s="4" t="str">
        <f>IF(O959="",IF(ISNUMBER(SEARCH("NOT NULL",UPPER(O$3))),"''","null"),SUBSTITUTE(VLOOKUP(O$2,convert!$A$1:$B$4,2,0),"@@@",O959))</f>
        <v>TRUE</v>
      </c>
      <c r="AE959" s="4" t="str">
        <f t="shared" si="14"/>
        <v>    ('0785N01', 'カプ・コケコ', 70, 115, 85, 95, 75, 130, '', 'electric', 'fairy', 'g7', null, null, TRUE),</v>
      </c>
    </row>
    <row r="960" spans="1:31">
      <c r="A960" s="4" t="s">
        <v>1926</v>
      </c>
      <c r="B960" s="4" t="s">
        <v>1927</v>
      </c>
      <c r="C960" s="5">
        <v>70</v>
      </c>
      <c r="D960" s="5">
        <v>85</v>
      </c>
      <c r="E960" s="5">
        <v>75</v>
      </c>
      <c r="F960" s="5">
        <v>130</v>
      </c>
      <c r="G960" s="5">
        <v>115</v>
      </c>
      <c r="H960" s="5">
        <v>95</v>
      </c>
      <c r="I960" s="5"/>
      <c r="J960" s="4" t="s">
        <v>113</v>
      </c>
      <c r="K960" s="4" t="s">
        <v>137</v>
      </c>
      <c r="L960" s="4" t="s">
        <v>92</v>
      </c>
      <c r="M960" s="5"/>
      <c r="N960" s="5"/>
      <c r="O960" s="5" t="b">
        <v>1</v>
      </c>
      <c r="P960" s="4" t="str">
        <f>IF(A960="",IF(ISNUMBER(SEARCH("NOT NULL",UPPER(A$3))),"''","null"),SUBSTITUTE(VLOOKUP(A$2,convert!$A$1:$B$4,2,0),"@@@",A960))</f>
        <v>'0786N01'</v>
      </c>
      <c r="Q960" s="4" t="str">
        <f>IF(B960="",IF(ISNUMBER(SEARCH("NOT NULL",UPPER(B$3))),"''","null"),SUBSTITUTE(VLOOKUP(B$2,convert!$A$1:$B$4,2,0),"@@@",B960))</f>
        <v>'カプ・テテフ'</v>
      </c>
      <c r="R960" s="4" t="str">
        <f>IF(C960="",IF(ISNUMBER(SEARCH("NOT NULL",UPPER(C$3))),"''","null"),SUBSTITUTE(VLOOKUP(C$2,convert!$A$1:$B$4,2,0),"@@@",C960))</f>
        <v>70</v>
      </c>
      <c r="S960" s="4" t="str">
        <f>IF(D960="",IF(ISNUMBER(SEARCH("NOT NULL",UPPER(D$3))),"''","null"),SUBSTITUTE(VLOOKUP(D$2,convert!$A$1:$B$4,2,0),"@@@",D960))</f>
        <v>85</v>
      </c>
      <c r="T960" s="4" t="str">
        <f>IF(E960="",IF(ISNUMBER(SEARCH("NOT NULL",UPPER(E$3))),"''","null"),SUBSTITUTE(VLOOKUP(E$2,convert!$A$1:$B$4,2,0),"@@@",E960))</f>
        <v>75</v>
      </c>
      <c r="U960" s="4" t="str">
        <f>IF(F960="",IF(ISNUMBER(SEARCH("NOT NULL",UPPER(F$3))),"''","null"),SUBSTITUTE(VLOOKUP(F$2,convert!$A$1:$B$4,2,0),"@@@",F960))</f>
        <v>130</v>
      </c>
      <c r="V960" s="4" t="str">
        <f>IF(G960="",IF(ISNUMBER(SEARCH("NOT NULL",UPPER(G$3))),"''","null"),SUBSTITUTE(VLOOKUP(G$2,convert!$A$1:$B$4,2,0),"@@@",G960))</f>
        <v>115</v>
      </c>
      <c r="W960" s="4" t="str">
        <f>IF(H960="",IF(ISNUMBER(SEARCH("NOT NULL",UPPER(H$3))),"''","null"),SUBSTITUTE(VLOOKUP(H$2,convert!$A$1:$B$4,2,0),"@@@",H960))</f>
        <v>95</v>
      </c>
      <c r="X960" s="4" t="str">
        <f>IF(I960="",IF(ISNUMBER(SEARCH("NOT NULL",UPPER(I$3))),"''","null"),SUBSTITUTE(VLOOKUP(I$2,convert!$A$1:$B$4,2,0),"@@@",I960))</f>
        <v>''</v>
      </c>
      <c r="Y960" s="4" t="str">
        <f>IF(J960="",IF(ISNUMBER(SEARCH("NOT NULL",UPPER(J$3))),"''","null"),SUBSTITUTE(VLOOKUP(J$2,convert!$A$1:$B$4,2,0),"@@@",J960))</f>
        <v>'psychic'</v>
      </c>
      <c r="Z960" s="4" t="str">
        <f>IF(K960="",IF(ISNUMBER(SEARCH("NOT NULL",UPPER(K$3))),"''","null"),SUBSTITUTE(VLOOKUP(K$2,convert!$A$1:$B$4,2,0),"@@@",K960))</f>
        <v>'fairy'</v>
      </c>
      <c r="AA960" s="4" t="str">
        <f>IF(L960="",IF(ISNUMBER(SEARCH("NOT NULL",UPPER(L$3))),"''","null"),SUBSTITUTE(VLOOKUP(L$2,convert!$A$1:$B$4,2,0),"@@@",L960))</f>
        <v>'g7'</v>
      </c>
      <c r="AB960" s="4" t="str">
        <f>IF(M960="",IF(ISNUMBER(SEARCH("NOT NULL",UPPER(M$3))),"''","null"),SUBSTITUTE(VLOOKUP(M$2,convert!$A$1:$B$4,2,0),"@@@",M960))</f>
        <v>null</v>
      </c>
      <c r="AC960" s="4" t="str">
        <f>IF(N960="",IF(ISNUMBER(SEARCH("NOT NULL",UPPER(N$3))),"''","null"),SUBSTITUTE(VLOOKUP(N$2,convert!$A$1:$B$4,2,0),"@@@",N960))</f>
        <v>null</v>
      </c>
      <c r="AD960" s="4" t="str">
        <f>IF(O960="",IF(ISNUMBER(SEARCH("NOT NULL",UPPER(O$3))),"''","null"),SUBSTITUTE(VLOOKUP(O$2,convert!$A$1:$B$4,2,0),"@@@",O960))</f>
        <v>TRUE</v>
      </c>
      <c r="AE960" s="4" t="str">
        <f t="shared" si="14"/>
        <v>    ('0786N01', 'カプ・テテフ', 70, 85, 75, 130, 115, 95, '', 'psychic', 'fairy', 'g7', null, null, TRUE),</v>
      </c>
    </row>
    <row r="961" spans="1:31">
      <c r="A961" s="4" t="s">
        <v>1928</v>
      </c>
      <c r="B961" s="4" t="s">
        <v>1929</v>
      </c>
      <c r="C961" s="5">
        <v>70</v>
      </c>
      <c r="D961" s="5">
        <v>130</v>
      </c>
      <c r="E961" s="5">
        <v>115</v>
      </c>
      <c r="F961" s="5">
        <v>85</v>
      </c>
      <c r="G961" s="5">
        <v>95</v>
      </c>
      <c r="H961" s="5">
        <v>75</v>
      </c>
      <c r="I961" s="5"/>
      <c r="J961" s="4" t="s">
        <v>30</v>
      </c>
      <c r="K961" s="4" t="s">
        <v>137</v>
      </c>
      <c r="L961" s="4" t="s">
        <v>92</v>
      </c>
      <c r="M961" s="5"/>
      <c r="N961" s="5"/>
      <c r="O961" s="5" t="b">
        <v>1</v>
      </c>
      <c r="P961" s="4" t="str">
        <f>IF(A961="",IF(ISNUMBER(SEARCH("NOT NULL",UPPER(A$3))),"''","null"),SUBSTITUTE(VLOOKUP(A$2,convert!$A$1:$B$4,2,0),"@@@",A961))</f>
        <v>'0787N01'</v>
      </c>
      <c r="Q961" s="4" t="str">
        <f>IF(B961="",IF(ISNUMBER(SEARCH("NOT NULL",UPPER(B$3))),"''","null"),SUBSTITUTE(VLOOKUP(B$2,convert!$A$1:$B$4,2,0),"@@@",B961))</f>
        <v>'カプ・ブルル'</v>
      </c>
      <c r="R961" s="4" t="str">
        <f>IF(C961="",IF(ISNUMBER(SEARCH("NOT NULL",UPPER(C$3))),"''","null"),SUBSTITUTE(VLOOKUP(C$2,convert!$A$1:$B$4,2,0),"@@@",C961))</f>
        <v>70</v>
      </c>
      <c r="S961" s="4" t="str">
        <f>IF(D961="",IF(ISNUMBER(SEARCH("NOT NULL",UPPER(D$3))),"''","null"),SUBSTITUTE(VLOOKUP(D$2,convert!$A$1:$B$4,2,0),"@@@",D961))</f>
        <v>130</v>
      </c>
      <c r="T961" s="4" t="str">
        <f>IF(E961="",IF(ISNUMBER(SEARCH("NOT NULL",UPPER(E$3))),"''","null"),SUBSTITUTE(VLOOKUP(E$2,convert!$A$1:$B$4,2,0),"@@@",E961))</f>
        <v>115</v>
      </c>
      <c r="U961" s="4" t="str">
        <f>IF(F961="",IF(ISNUMBER(SEARCH("NOT NULL",UPPER(F$3))),"''","null"),SUBSTITUTE(VLOOKUP(F$2,convert!$A$1:$B$4,2,0),"@@@",F961))</f>
        <v>85</v>
      </c>
      <c r="V961" s="4" t="str">
        <f>IF(G961="",IF(ISNUMBER(SEARCH("NOT NULL",UPPER(G$3))),"''","null"),SUBSTITUTE(VLOOKUP(G$2,convert!$A$1:$B$4,2,0),"@@@",G961))</f>
        <v>95</v>
      </c>
      <c r="W961" s="4" t="str">
        <f>IF(H961="",IF(ISNUMBER(SEARCH("NOT NULL",UPPER(H$3))),"''","null"),SUBSTITUTE(VLOOKUP(H$2,convert!$A$1:$B$4,2,0),"@@@",H961))</f>
        <v>75</v>
      </c>
      <c r="X961" s="4" t="str">
        <f>IF(I961="",IF(ISNUMBER(SEARCH("NOT NULL",UPPER(I$3))),"''","null"),SUBSTITUTE(VLOOKUP(I$2,convert!$A$1:$B$4,2,0),"@@@",I961))</f>
        <v>''</v>
      </c>
      <c r="Y961" s="4" t="str">
        <f>IF(J961="",IF(ISNUMBER(SEARCH("NOT NULL",UPPER(J$3))),"''","null"),SUBSTITUTE(VLOOKUP(J$2,convert!$A$1:$B$4,2,0),"@@@",J961))</f>
        <v>'grass'</v>
      </c>
      <c r="Z961" s="4" t="str">
        <f>IF(K961="",IF(ISNUMBER(SEARCH("NOT NULL",UPPER(K$3))),"''","null"),SUBSTITUTE(VLOOKUP(K$2,convert!$A$1:$B$4,2,0),"@@@",K961))</f>
        <v>'fairy'</v>
      </c>
      <c r="AA961" s="4" t="str">
        <f>IF(L961="",IF(ISNUMBER(SEARCH("NOT NULL",UPPER(L$3))),"''","null"),SUBSTITUTE(VLOOKUP(L$2,convert!$A$1:$B$4,2,0),"@@@",L961))</f>
        <v>'g7'</v>
      </c>
      <c r="AB961" s="4" t="str">
        <f>IF(M961="",IF(ISNUMBER(SEARCH("NOT NULL",UPPER(M$3))),"''","null"),SUBSTITUTE(VLOOKUP(M$2,convert!$A$1:$B$4,2,0),"@@@",M961))</f>
        <v>null</v>
      </c>
      <c r="AC961" s="4" t="str">
        <f>IF(N961="",IF(ISNUMBER(SEARCH("NOT NULL",UPPER(N$3))),"''","null"),SUBSTITUTE(VLOOKUP(N$2,convert!$A$1:$B$4,2,0),"@@@",N961))</f>
        <v>null</v>
      </c>
      <c r="AD961" s="4" t="str">
        <f>IF(O961="",IF(ISNUMBER(SEARCH("NOT NULL",UPPER(O$3))),"''","null"),SUBSTITUTE(VLOOKUP(O$2,convert!$A$1:$B$4,2,0),"@@@",O961))</f>
        <v>TRUE</v>
      </c>
      <c r="AE961" s="4" t="str">
        <f t="shared" si="14"/>
        <v>    ('0787N01', 'カプ・ブルル', 70, 130, 115, 85, 95, 75, '', 'grass', 'fairy', 'g7', null, null, TRUE),</v>
      </c>
    </row>
    <row r="962" spans="1:31">
      <c r="A962" s="4" t="s">
        <v>1930</v>
      </c>
      <c r="B962" s="4" t="s">
        <v>1931</v>
      </c>
      <c r="C962" s="5">
        <v>70</v>
      </c>
      <c r="D962" s="5">
        <v>75</v>
      </c>
      <c r="E962" s="5">
        <v>115</v>
      </c>
      <c r="F962" s="5">
        <v>95</v>
      </c>
      <c r="G962" s="5">
        <v>130</v>
      </c>
      <c r="H962" s="5">
        <v>85</v>
      </c>
      <c r="I962" s="5"/>
      <c r="J962" s="4" t="s">
        <v>55</v>
      </c>
      <c r="K962" s="4" t="s">
        <v>137</v>
      </c>
      <c r="L962" s="4" t="s">
        <v>92</v>
      </c>
      <c r="M962" s="5"/>
      <c r="N962" s="5"/>
      <c r="O962" s="5" t="b">
        <v>1</v>
      </c>
      <c r="P962" s="4" t="str">
        <f>IF(A962="",IF(ISNUMBER(SEARCH("NOT NULL",UPPER(A$3))),"''","null"),SUBSTITUTE(VLOOKUP(A$2,convert!$A$1:$B$4,2,0),"@@@",A962))</f>
        <v>'0788N01'</v>
      </c>
      <c r="Q962" s="4" t="str">
        <f>IF(B962="",IF(ISNUMBER(SEARCH("NOT NULL",UPPER(B$3))),"''","null"),SUBSTITUTE(VLOOKUP(B$2,convert!$A$1:$B$4,2,0),"@@@",B962))</f>
        <v>'カプ・レヒレ'</v>
      </c>
      <c r="R962" s="4" t="str">
        <f>IF(C962="",IF(ISNUMBER(SEARCH("NOT NULL",UPPER(C$3))),"''","null"),SUBSTITUTE(VLOOKUP(C$2,convert!$A$1:$B$4,2,0),"@@@",C962))</f>
        <v>70</v>
      </c>
      <c r="S962" s="4" t="str">
        <f>IF(D962="",IF(ISNUMBER(SEARCH("NOT NULL",UPPER(D$3))),"''","null"),SUBSTITUTE(VLOOKUP(D$2,convert!$A$1:$B$4,2,0),"@@@",D962))</f>
        <v>75</v>
      </c>
      <c r="T962" s="4" t="str">
        <f>IF(E962="",IF(ISNUMBER(SEARCH("NOT NULL",UPPER(E$3))),"''","null"),SUBSTITUTE(VLOOKUP(E$2,convert!$A$1:$B$4,2,0),"@@@",E962))</f>
        <v>115</v>
      </c>
      <c r="U962" s="4" t="str">
        <f>IF(F962="",IF(ISNUMBER(SEARCH("NOT NULL",UPPER(F$3))),"''","null"),SUBSTITUTE(VLOOKUP(F$2,convert!$A$1:$B$4,2,0),"@@@",F962))</f>
        <v>95</v>
      </c>
      <c r="V962" s="4" t="str">
        <f>IF(G962="",IF(ISNUMBER(SEARCH("NOT NULL",UPPER(G$3))),"''","null"),SUBSTITUTE(VLOOKUP(G$2,convert!$A$1:$B$4,2,0),"@@@",G962))</f>
        <v>130</v>
      </c>
      <c r="W962" s="4" t="str">
        <f>IF(H962="",IF(ISNUMBER(SEARCH("NOT NULL",UPPER(H$3))),"''","null"),SUBSTITUTE(VLOOKUP(H$2,convert!$A$1:$B$4,2,0),"@@@",H962))</f>
        <v>85</v>
      </c>
      <c r="X962" s="4" t="str">
        <f>IF(I962="",IF(ISNUMBER(SEARCH("NOT NULL",UPPER(I$3))),"''","null"),SUBSTITUTE(VLOOKUP(I$2,convert!$A$1:$B$4,2,0),"@@@",I962))</f>
        <v>''</v>
      </c>
      <c r="Y962" s="4" t="str">
        <f>IF(J962="",IF(ISNUMBER(SEARCH("NOT NULL",UPPER(J$3))),"''","null"),SUBSTITUTE(VLOOKUP(J$2,convert!$A$1:$B$4,2,0),"@@@",J962))</f>
        <v>'water'</v>
      </c>
      <c r="Z962" s="4" t="str">
        <f>IF(K962="",IF(ISNUMBER(SEARCH("NOT NULL",UPPER(K$3))),"''","null"),SUBSTITUTE(VLOOKUP(K$2,convert!$A$1:$B$4,2,0),"@@@",K962))</f>
        <v>'fairy'</v>
      </c>
      <c r="AA962" s="4" t="str">
        <f>IF(L962="",IF(ISNUMBER(SEARCH("NOT NULL",UPPER(L$3))),"''","null"),SUBSTITUTE(VLOOKUP(L$2,convert!$A$1:$B$4,2,0),"@@@",L962))</f>
        <v>'g7'</v>
      </c>
      <c r="AB962" s="4" t="str">
        <f>IF(M962="",IF(ISNUMBER(SEARCH("NOT NULL",UPPER(M$3))),"''","null"),SUBSTITUTE(VLOOKUP(M$2,convert!$A$1:$B$4,2,0),"@@@",M962))</f>
        <v>null</v>
      </c>
      <c r="AC962" s="4" t="str">
        <f>IF(N962="",IF(ISNUMBER(SEARCH("NOT NULL",UPPER(N$3))),"''","null"),SUBSTITUTE(VLOOKUP(N$2,convert!$A$1:$B$4,2,0),"@@@",N962))</f>
        <v>null</v>
      </c>
      <c r="AD962" s="4" t="str">
        <f>IF(O962="",IF(ISNUMBER(SEARCH("NOT NULL",UPPER(O$3))),"''","null"),SUBSTITUTE(VLOOKUP(O$2,convert!$A$1:$B$4,2,0),"@@@",O962))</f>
        <v>TRUE</v>
      </c>
      <c r="AE962" s="4" t="str">
        <f t="shared" si="14"/>
        <v>    ('0788N01', 'カプ・レヒレ', 70, 75, 115, 95, 130, 85, '', 'water', 'fairy', 'g7', null, null, TRUE),</v>
      </c>
    </row>
    <row r="963" spans="1:31">
      <c r="A963" s="4" t="s">
        <v>1932</v>
      </c>
      <c r="B963" s="4" t="s">
        <v>1933</v>
      </c>
      <c r="C963" s="5">
        <v>43</v>
      </c>
      <c r="D963" s="5">
        <v>29</v>
      </c>
      <c r="E963" s="5">
        <v>31</v>
      </c>
      <c r="F963" s="5">
        <v>29</v>
      </c>
      <c r="G963" s="5">
        <v>31</v>
      </c>
      <c r="H963" s="5">
        <v>37</v>
      </c>
      <c r="I963" s="5"/>
      <c r="J963" s="4" t="s">
        <v>113</v>
      </c>
      <c r="K963" s="5"/>
      <c r="L963" s="4" t="s">
        <v>92</v>
      </c>
      <c r="M963" s="5"/>
      <c r="N963" s="5"/>
      <c r="O963" s="5" t="b">
        <v>1</v>
      </c>
      <c r="P963" s="4" t="str">
        <f>IF(A963="",IF(ISNUMBER(SEARCH("NOT NULL",UPPER(A$3))),"''","null"),SUBSTITUTE(VLOOKUP(A$2,convert!$A$1:$B$4,2,0),"@@@",A963))</f>
        <v>'0789N01'</v>
      </c>
      <c r="Q963" s="4" t="str">
        <f>IF(B963="",IF(ISNUMBER(SEARCH("NOT NULL",UPPER(B$3))),"''","null"),SUBSTITUTE(VLOOKUP(B$2,convert!$A$1:$B$4,2,0),"@@@",B963))</f>
        <v>'コスモッグ'</v>
      </c>
      <c r="R963" s="4" t="str">
        <f>IF(C963="",IF(ISNUMBER(SEARCH("NOT NULL",UPPER(C$3))),"''","null"),SUBSTITUTE(VLOOKUP(C$2,convert!$A$1:$B$4,2,0),"@@@",C963))</f>
        <v>43</v>
      </c>
      <c r="S963" s="4" t="str">
        <f>IF(D963="",IF(ISNUMBER(SEARCH("NOT NULL",UPPER(D$3))),"''","null"),SUBSTITUTE(VLOOKUP(D$2,convert!$A$1:$B$4,2,0),"@@@",D963))</f>
        <v>29</v>
      </c>
      <c r="T963" s="4" t="str">
        <f>IF(E963="",IF(ISNUMBER(SEARCH("NOT NULL",UPPER(E$3))),"''","null"),SUBSTITUTE(VLOOKUP(E$2,convert!$A$1:$B$4,2,0),"@@@",E963))</f>
        <v>31</v>
      </c>
      <c r="U963" s="4" t="str">
        <f>IF(F963="",IF(ISNUMBER(SEARCH("NOT NULL",UPPER(F$3))),"''","null"),SUBSTITUTE(VLOOKUP(F$2,convert!$A$1:$B$4,2,0),"@@@",F963))</f>
        <v>29</v>
      </c>
      <c r="V963" s="4" t="str">
        <f>IF(G963="",IF(ISNUMBER(SEARCH("NOT NULL",UPPER(G$3))),"''","null"),SUBSTITUTE(VLOOKUP(G$2,convert!$A$1:$B$4,2,0),"@@@",G963))</f>
        <v>31</v>
      </c>
      <c r="W963" s="4" t="str">
        <f>IF(H963="",IF(ISNUMBER(SEARCH("NOT NULL",UPPER(H$3))),"''","null"),SUBSTITUTE(VLOOKUP(H$2,convert!$A$1:$B$4,2,0),"@@@",H963))</f>
        <v>37</v>
      </c>
      <c r="X963" s="4" t="str">
        <f>IF(I963="",IF(ISNUMBER(SEARCH("NOT NULL",UPPER(I$3))),"''","null"),SUBSTITUTE(VLOOKUP(I$2,convert!$A$1:$B$4,2,0),"@@@",I963))</f>
        <v>''</v>
      </c>
      <c r="Y963" s="4" t="str">
        <f>IF(J963="",IF(ISNUMBER(SEARCH("NOT NULL",UPPER(J$3))),"''","null"),SUBSTITUTE(VLOOKUP(J$2,convert!$A$1:$B$4,2,0),"@@@",J963))</f>
        <v>'psychic'</v>
      </c>
      <c r="Z963" s="4" t="str">
        <f>IF(K963="",IF(ISNUMBER(SEARCH("NOT NULL",UPPER(K$3))),"''","null"),SUBSTITUTE(VLOOKUP(K$2,convert!$A$1:$B$4,2,0),"@@@",K963))</f>
        <v>null</v>
      </c>
      <c r="AA963" s="4" t="str">
        <f>IF(L963="",IF(ISNUMBER(SEARCH("NOT NULL",UPPER(L$3))),"''","null"),SUBSTITUTE(VLOOKUP(L$2,convert!$A$1:$B$4,2,0),"@@@",L963))</f>
        <v>'g7'</v>
      </c>
      <c r="AB963" s="4" t="str">
        <f>IF(M963="",IF(ISNUMBER(SEARCH("NOT NULL",UPPER(M$3))),"''","null"),SUBSTITUTE(VLOOKUP(M$2,convert!$A$1:$B$4,2,0),"@@@",M963))</f>
        <v>null</v>
      </c>
      <c r="AC963" s="4" t="str">
        <f>IF(N963="",IF(ISNUMBER(SEARCH("NOT NULL",UPPER(N$3))),"''","null"),SUBSTITUTE(VLOOKUP(N$2,convert!$A$1:$B$4,2,0),"@@@",N963))</f>
        <v>null</v>
      </c>
      <c r="AD963" s="4" t="str">
        <f>IF(O963="",IF(ISNUMBER(SEARCH("NOT NULL",UPPER(O$3))),"''","null"),SUBSTITUTE(VLOOKUP(O$2,convert!$A$1:$B$4,2,0),"@@@",O963))</f>
        <v>TRUE</v>
      </c>
      <c r="AE963" s="4" t="str">
        <f t="shared" si="14"/>
        <v>    ('0789N01', 'コスモッグ', 43, 29, 31, 29, 31, 37, '', 'psychic', null, 'g7', null, null, TRUE),</v>
      </c>
    </row>
    <row r="964" spans="1:31">
      <c r="A964" s="4" t="s">
        <v>1934</v>
      </c>
      <c r="B964" s="4" t="s">
        <v>1935</v>
      </c>
      <c r="C964" s="5">
        <v>43</v>
      </c>
      <c r="D964" s="5">
        <v>29</v>
      </c>
      <c r="E964" s="5">
        <v>131</v>
      </c>
      <c r="F964" s="5">
        <v>29</v>
      </c>
      <c r="G964" s="5">
        <v>131</v>
      </c>
      <c r="H964" s="5">
        <v>37</v>
      </c>
      <c r="I964" s="5"/>
      <c r="J964" s="4" t="s">
        <v>113</v>
      </c>
      <c r="K964" s="5"/>
      <c r="L964" s="4" t="s">
        <v>92</v>
      </c>
      <c r="M964" s="5"/>
      <c r="N964" s="5"/>
      <c r="O964" s="5" t="b">
        <v>1</v>
      </c>
      <c r="P964" s="4" t="str">
        <f>IF(A964="",IF(ISNUMBER(SEARCH("NOT NULL",UPPER(A$3))),"''","null"),SUBSTITUTE(VLOOKUP(A$2,convert!$A$1:$B$4,2,0),"@@@",A964))</f>
        <v>'0790N01'</v>
      </c>
      <c r="Q964" s="4" t="str">
        <f>IF(B964="",IF(ISNUMBER(SEARCH("NOT NULL",UPPER(B$3))),"''","null"),SUBSTITUTE(VLOOKUP(B$2,convert!$A$1:$B$4,2,0),"@@@",B964))</f>
        <v>'コスモウム'</v>
      </c>
      <c r="R964" s="4" t="str">
        <f>IF(C964="",IF(ISNUMBER(SEARCH("NOT NULL",UPPER(C$3))),"''","null"),SUBSTITUTE(VLOOKUP(C$2,convert!$A$1:$B$4,2,0),"@@@",C964))</f>
        <v>43</v>
      </c>
      <c r="S964" s="4" t="str">
        <f>IF(D964="",IF(ISNUMBER(SEARCH("NOT NULL",UPPER(D$3))),"''","null"),SUBSTITUTE(VLOOKUP(D$2,convert!$A$1:$B$4,2,0),"@@@",D964))</f>
        <v>29</v>
      </c>
      <c r="T964" s="4" t="str">
        <f>IF(E964="",IF(ISNUMBER(SEARCH("NOT NULL",UPPER(E$3))),"''","null"),SUBSTITUTE(VLOOKUP(E$2,convert!$A$1:$B$4,2,0),"@@@",E964))</f>
        <v>131</v>
      </c>
      <c r="U964" s="4" t="str">
        <f>IF(F964="",IF(ISNUMBER(SEARCH("NOT NULL",UPPER(F$3))),"''","null"),SUBSTITUTE(VLOOKUP(F$2,convert!$A$1:$B$4,2,0),"@@@",F964))</f>
        <v>29</v>
      </c>
      <c r="V964" s="4" t="str">
        <f>IF(G964="",IF(ISNUMBER(SEARCH("NOT NULL",UPPER(G$3))),"''","null"),SUBSTITUTE(VLOOKUP(G$2,convert!$A$1:$B$4,2,0),"@@@",G964))</f>
        <v>131</v>
      </c>
      <c r="W964" s="4" t="str">
        <f>IF(H964="",IF(ISNUMBER(SEARCH("NOT NULL",UPPER(H$3))),"''","null"),SUBSTITUTE(VLOOKUP(H$2,convert!$A$1:$B$4,2,0),"@@@",H964))</f>
        <v>37</v>
      </c>
      <c r="X964" s="4" t="str">
        <f>IF(I964="",IF(ISNUMBER(SEARCH("NOT NULL",UPPER(I$3))),"''","null"),SUBSTITUTE(VLOOKUP(I$2,convert!$A$1:$B$4,2,0),"@@@",I964))</f>
        <v>''</v>
      </c>
      <c r="Y964" s="4" t="str">
        <f>IF(J964="",IF(ISNUMBER(SEARCH("NOT NULL",UPPER(J$3))),"''","null"),SUBSTITUTE(VLOOKUP(J$2,convert!$A$1:$B$4,2,0),"@@@",J964))</f>
        <v>'psychic'</v>
      </c>
      <c r="Z964" s="4" t="str">
        <f>IF(K964="",IF(ISNUMBER(SEARCH("NOT NULL",UPPER(K$3))),"''","null"),SUBSTITUTE(VLOOKUP(K$2,convert!$A$1:$B$4,2,0),"@@@",K964))</f>
        <v>null</v>
      </c>
      <c r="AA964" s="4" t="str">
        <f>IF(L964="",IF(ISNUMBER(SEARCH("NOT NULL",UPPER(L$3))),"''","null"),SUBSTITUTE(VLOOKUP(L$2,convert!$A$1:$B$4,2,0),"@@@",L964))</f>
        <v>'g7'</v>
      </c>
      <c r="AB964" s="4" t="str">
        <f>IF(M964="",IF(ISNUMBER(SEARCH("NOT NULL",UPPER(M$3))),"''","null"),SUBSTITUTE(VLOOKUP(M$2,convert!$A$1:$B$4,2,0),"@@@",M964))</f>
        <v>null</v>
      </c>
      <c r="AC964" s="4" t="str">
        <f>IF(N964="",IF(ISNUMBER(SEARCH("NOT NULL",UPPER(N$3))),"''","null"),SUBSTITUTE(VLOOKUP(N$2,convert!$A$1:$B$4,2,0),"@@@",N964))</f>
        <v>null</v>
      </c>
      <c r="AD964" s="4" t="str">
        <f>IF(O964="",IF(ISNUMBER(SEARCH("NOT NULL",UPPER(O$3))),"''","null"),SUBSTITUTE(VLOOKUP(O$2,convert!$A$1:$B$4,2,0),"@@@",O964))</f>
        <v>TRUE</v>
      </c>
      <c r="AE964" s="4" t="str">
        <f t="shared" si="14"/>
        <v>    ('0790N01', 'コスモウム', 43, 29, 131, 29, 131, 37, '', 'psychic', null, 'g7', null, null, TRUE),</v>
      </c>
    </row>
    <row r="965" spans="1:31">
      <c r="A965" s="4" t="s">
        <v>1936</v>
      </c>
      <c r="B965" s="4" t="s">
        <v>1937</v>
      </c>
      <c r="C965" s="5">
        <v>137</v>
      </c>
      <c r="D965" s="5">
        <v>137</v>
      </c>
      <c r="E965" s="5">
        <v>107</v>
      </c>
      <c r="F965" s="5">
        <v>113</v>
      </c>
      <c r="G965" s="5">
        <v>89</v>
      </c>
      <c r="H965" s="5">
        <v>97</v>
      </c>
      <c r="I965" s="5"/>
      <c r="J965" s="4" t="s">
        <v>113</v>
      </c>
      <c r="K965" s="4" t="s">
        <v>119</v>
      </c>
      <c r="L965" s="4" t="s">
        <v>92</v>
      </c>
      <c r="M965" s="5"/>
      <c r="N965" s="5"/>
      <c r="O965" s="5" t="b">
        <v>1</v>
      </c>
      <c r="P965" s="4" t="str">
        <f>IF(A965="",IF(ISNUMBER(SEARCH("NOT NULL",UPPER(A$3))),"''","null"),SUBSTITUTE(VLOOKUP(A$2,convert!$A$1:$B$4,2,0),"@@@",A965))</f>
        <v>'0791N01'</v>
      </c>
      <c r="Q965" s="4" t="str">
        <f>IF(B965="",IF(ISNUMBER(SEARCH("NOT NULL",UPPER(B$3))),"''","null"),SUBSTITUTE(VLOOKUP(B$2,convert!$A$1:$B$4,2,0),"@@@",B965))</f>
        <v>'ソルガレオ'</v>
      </c>
      <c r="R965" s="4" t="str">
        <f>IF(C965="",IF(ISNUMBER(SEARCH("NOT NULL",UPPER(C$3))),"''","null"),SUBSTITUTE(VLOOKUP(C$2,convert!$A$1:$B$4,2,0),"@@@",C965))</f>
        <v>137</v>
      </c>
      <c r="S965" s="4" t="str">
        <f>IF(D965="",IF(ISNUMBER(SEARCH("NOT NULL",UPPER(D$3))),"''","null"),SUBSTITUTE(VLOOKUP(D$2,convert!$A$1:$B$4,2,0),"@@@",D965))</f>
        <v>137</v>
      </c>
      <c r="T965" s="4" t="str">
        <f>IF(E965="",IF(ISNUMBER(SEARCH("NOT NULL",UPPER(E$3))),"''","null"),SUBSTITUTE(VLOOKUP(E$2,convert!$A$1:$B$4,2,0),"@@@",E965))</f>
        <v>107</v>
      </c>
      <c r="U965" s="4" t="str">
        <f>IF(F965="",IF(ISNUMBER(SEARCH("NOT NULL",UPPER(F$3))),"''","null"),SUBSTITUTE(VLOOKUP(F$2,convert!$A$1:$B$4,2,0),"@@@",F965))</f>
        <v>113</v>
      </c>
      <c r="V965" s="4" t="str">
        <f>IF(G965="",IF(ISNUMBER(SEARCH("NOT NULL",UPPER(G$3))),"''","null"),SUBSTITUTE(VLOOKUP(G$2,convert!$A$1:$B$4,2,0),"@@@",G965))</f>
        <v>89</v>
      </c>
      <c r="W965" s="4" t="str">
        <f>IF(H965="",IF(ISNUMBER(SEARCH("NOT NULL",UPPER(H$3))),"''","null"),SUBSTITUTE(VLOOKUP(H$2,convert!$A$1:$B$4,2,0),"@@@",H965))</f>
        <v>97</v>
      </c>
      <c r="X965" s="4" t="str">
        <f>IF(I965="",IF(ISNUMBER(SEARCH("NOT NULL",UPPER(I$3))),"''","null"),SUBSTITUTE(VLOOKUP(I$2,convert!$A$1:$B$4,2,0),"@@@",I965))</f>
        <v>''</v>
      </c>
      <c r="Y965" s="4" t="str">
        <f>IF(J965="",IF(ISNUMBER(SEARCH("NOT NULL",UPPER(J$3))),"''","null"),SUBSTITUTE(VLOOKUP(J$2,convert!$A$1:$B$4,2,0),"@@@",J965))</f>
        <v>'psychic'</v>
      </c>
      <c r="Z965" s="4" t="str">
        <f>IF(K965="",IF(ISNUMBER(SEARCH("NOT NULL",UPPER(K$3))),"''","null"),SUBSTITUTE(VLOOKUP(K$2,convert!$A$1:$B$4,2,0),"@@@",K965))</f>
        <v>'steel'</v>
      </c>
      <c r="AA965" s="4" t="str">
        <f>IF(L965="",IF(ISNUMBER(SEARCH("NOT NULL",UPPER(L$3))),"''","null"),SUBSTITUTE(VLOOKUP(L$2,convert!$A$1:$B$4,2,0),"@@@",L965))</f>
        <v>'g7'</v>
      </c>
      <c r="AB965" s="4" t="str">
        <f>IF(M965="",IF(ISNUMBER(SEARCH("NOT NULL",UPPER(M$3))),"''","null"),SUBSTITUTE(VLOOKUP(M$2,convert!$A$1:$B$4,2,0),"@@@",M965))</f>
        <v>null</v>
      </c>
      <c r="AC965" s="4" t="str">
        <f>IF(N965="",IF(ISNUMBER(SEARCH("NOT NULL",UPPER(N$3))),"''","null"),SUBSTITUTE(VLOOKUP(N$2,convert!$A$1:$B$4,2,0),"@@@",N965))</f>
        <v>null</v>
      </c>
      <c r="AD965" s="4" t="str">
        <f>IF(O965="",IF(ISNUMBER(SEARCH("NOT NULL",UPPER(O$3))),"''","null"),SUBSTITUTE(VLOOKUP(O$2,convert!$A$1:$B$4,2,0),"@@@",O965))</f>
        <v>TRUE</v>
      </c>
      <c r="AE965" s="4" t="str">
        <f t="shared" ref="AE965:AE1028" si="15">"    ("&amp;_xlfn.TEXTJOIN(", ",FALSE,P965:AD965)&amp;"),"</f>
        <v>    ('0791N01', 'ソルガレオ', 137, 137, 107, 113, 89, 97, '', 'psychic', 'steel', 'g7', null, null, TRUE),</v>
      </c>
    </row>
    <row r="966" spans="1:31">
      <c r="A966" s="4" t="s">
        <v>1938</v>
      </c>
      <c r="B966" s="4" t="s">
        <v>1939</v>
      </c>
      <c r="C966" s="5">
        <v>137</v>
      </c>
      <c r="D966" s="5">
        <v>113</v>
      </c>
      <c r="E966" s="5">
        <v>89</v>
      </c>
      <c r="F966" s="5">
        <v>137</v>
      </c>
      <c r="G966" s="5">
        <v>107</v>
      </c>
      <c r="H966" s="5">
        <v>97</v>
      </c>
      <c r="I966" s="5"/>
      <c r="J966" s="4" t="s">
        <v>113</v>
      </c>
      <c r="K966" s="4" t="s">
        <v>281</v>
      </c>
      <c r="L966" s="4" t="s">
        <v>92</v>
      </c>
      <c r="M966" s="5"/>
      <c r="N966" s="5"/>
      <c r="O966" s="5" t="b">
        <v>1</v>
      </c>
      <c r="P966" s="4" t="str">
        <f>IF(A966="",IF(ISNUMBER(SEARCH("NOT NULL",UPPER(A$3))),"''","null"),SUBSTITUTE(VLOOKUP(A$2,convert!$A$1:$B$4,2,0),"@@@",A966))</f>
        <v>'0792N01'</v>
      </c>
      <c r="Q966" s="4" t="str">
        <f>IF(B966="",IF(ISNUMBER(SEARCH("NOT NULL",UPPER(B$3))),"''","null"),SUBSTITUTE(VLOOKUP(B$2,convert!$A$1:$B$4,2,0),"@@@",B966))</f>
        <v>'ルナアーラ'</v>
      </c>
      <c r="R966" s="4" t="str">
        <f>IF(C966="",IF(ISNUMBER(SEARCH("NOT NULL",UPPER(C$3))),"''","null"),SUBSTITUTE(VLOOKUP(C$2,convert!$A$1:$B$4,2,0),"@@@",C966))</f>
        <v>137</v>
      </c>
      <c r="S966" s="4" t="str">
        <f>IF(D966="",IF(ISNUMBER(SEARCH("NOT NULL",UPPER(D$3))),"''","null"),SUBSTITUTE(VLOOKUP(D$2,convert!$A$1:$B$4,2,0),"@@@",D966))</f>
        <v>113</v>
      </c>
      <c r="T966" s="4" t="str">
        <f>IF(E966="",IF(ISNUMBER(SEARCH("NOT NULL",UPPER(E$3))),"''","null"),SUBSTITUTE(VLOOKUP(E$2,convert!$A$1:$B$4,2,0),"@@@",E966))</f>
        <v>89</v>
      </c>
      <c r="U966" s="4" t="str">
        <f>IF(F966="",IF(ISNUMBER(SEARCH("NOT NULL",UPPER(F$3))),"''","null"),SUBSTITUTE(VLOOKUP(F$2,convert!$A$1:$B$4,2,0),"@@@",F966))</f>
        <v>137</v>
      </c>
      <c r="V966" s="4" t="str">
        <f>IF(G966="",IF(ISNUMBER(SEARCH("NOT NULL",UPPER(G$3))),"''","null"),SUBSTITUTE(VLOOKUP(G$2,convert!$A$1:$B$4,2,0),"@@@",G966))</f>
        <v>107</v>
      </c>
      <c r="W966" s="4" t="str">
        <f>IF(H966="",IF(ISNUMBER(SEARCH("NOT NULL",UPPER(H$3))),"''","null"),SUBSTITUTE(VLOOKUP(H$2,convert!$A$1:$B$4,2,0),"@@@",H966))</f>
        <v>97</v>
      </c>
      <c r="X966" s="4" t="str">
        <f>IF(I966="",IF(ISNUMBER(SEARCH("NOT NULL",UPPER(I$3))),"''","null"),SUBSTITUTE(VLOOKUP(I$2,convert!$A$1:$B$4,2,0),"@@@",I966))</f>
        <v>''</v>
      </c>
      <c r="Y966" s="4" t="str">
        <f>IF(J966="",IF(ISNUMBER(SEARCH("NOT NULL",UPPER(J$3))),"''","null"),SUBSTITUTE(VLOOKUP(J$2,convert!$A$1:$B$4,2,0),"@@@",J966))</f>
        <v>'psychic'</v>
      </c>
      <c r="Z966" s="4" t="str">
        <f>IF(K966="",IF(ISNUMBER(SEARCH("NOT NULL",UPPER(K$3))),"''","null"),SUBSTITUTE(VLOOKUP(K$2,convert!$A$1:$B$4,2,0),"@@@",K966))</f>
        <v>'ghost'</v>
      </c>
      <c r="AA966" s="4" t="str">
        <f>IF(L966="",IF(ISNUMBER(SEARCH("NOT NULL",UPPER(L$3))),"''","null"),SUBSTITUTE(VLOOKUP(L$2,convert!$A$1:$B$4,2,0),"@@@",L966))</f>
        <v>'g7'</v>
      </c>
      <c r="AB966" s="4" t="str">
        <f>IF(M966="",IF(ISNUMBER(SEARCH("NOT NULL",UPPER(M$3))),"''","null"),SUBSTITUTE(VLOOKUP(M$2,convert!$A$1:$B$4,2,0),"@@@",M966))</f>
        <v>null</v>
      </c>
      <c r="AC966" s="4" t="str">
        <f>IF(N966="",IF(ISNUMBER(SEARCH("NOT NULL",UPPER(N$3))),"''","null"),SUBSTITUTE(VLOOKUP(N$2,convert!$A$1:$B$4,2,0),"@@@",N966))</f>
        <v>null</v>
      </c>
      <c r="AD966" s="4" t="str">
        <f>IF(O966="",IF(ISNUMBER(SEARCH("NOT NULL",UPPER(O$3))),"''","null"),SUBSTITUTE(VLOOKUP(O$2,convert!$A$1:$B$4,2,0),"@@@",O966))</f>
        <v>TRUE</v>
      </c>
      <c r="AE966" s="4" t="str">
        <f t="shared" si="15"/>
        <v>    ('0792N01', 'ルナアーラ', 137, 113, 89, 137, 107, 97, '', 'psychic', 'ghost', 'g7', null, null, TRUE),</v>
      </c>
    </row>
    <row r="967" spans="1:31">
      <c r="A967" s="4" t="s">
        <v>1940</v>
      </c>
      <c r="B967" s="4" t="s">
        <v>1941</v>
      </c>
      <c r="C967" s="5">
        <v>109</v>
      </c>
      <c r="D967" s="5">
        <v>53</v>
      </c>
      <c r="E967" s="5">
        <v>47</v>
      </c>
      <c r="F967" s="5">
        <v>127</v>
      </c>
      <c r="G967" s="5">
        <v>131</v>
      </c>
      <c r="H967" s="5">
        <v>103</v>
      </c>
      <c r="I967" s="5"/>
      <c r="J967" s="4" t="s">
        <v>196</v>
      </c>
      <c r="K967" s="4" t="s">
        <v>31</v>
      </c>
      <c r="L967" s="4" t="s">
        <v>92</v>
      </c>
      <c r="M967" s="5"/>
      <c r="N967" s="5"/>
      <c r="O967" s="5" t="b">
        <v>1</v>
      </c>
      <c r="P967" s="4" t="str">
        <f>IF(A967="",IF(ISNUMBER(SEARCH("NOT NULL",UPPER(A$3))),"''","null"),SUBSTITUTE(VLOOKUP(A$2,convert!$A$1:$B$4,2,0),"@@@",A967))</f>
        <v>'0793N01'</v>
      </c>
      <c r="Q967" s="4" t="str">
        <f>IF(B967="",IF(ISNUMBER(SEARCH("NOT NULL",UPPER(B$3))),"''","null"),SUBSTITUTE(VLOOKUP(B$2,convert!$A$1:$B$4,2,0),"@@@",B967))</f>
        <v>'ウツロイド'</v>
      </c>
      <c r="R967" s="4" t="str">
        <f>IF(C967="",IF(ISNUMBER(SEARCH("NOT NULL",UPPER(C$3))),"''","null"),SUBSTITUTE(VLOOKUP(C$2,convert!$A$1:$B$4,2,0),"@@@",C967))</f>
        <v>109</v>
      </c>
      <c r="S967" s="4" t="str">
        <f>IF(D967="",IF(ISNUMBER(SEARCH("NOT NULL",UPPER(D$3))),"''","null"),SUBSTITUTE(VLOOKUP(D$2,convert!$A$1:$B$4,2,0),"@@@",D967))</f>
        <v>53</v>
      </c>
      <c r="T967" s="4" t="str">
        <f>IF(E967="",IF(ISNUMBER(SEARCH("NOT NULL",UPPER(E$3))),"''","null"),SUBSTITUTE(VLOOKUP(E$2,convert!$A$1:$B$4,2,0),"@@@",E967))</f>
        <v>47</v>
      </c>
      <c r="U967" s="4" t="str">
        <f>IF(F967="",IF(ISNUMBER(SEARCH("NOT NULL",UPPER(F$3))),"''","null"),SUBSTITUTE(VLOOKUP(F$2,convert!$A$1:$B$4,2,0),"@@@",F967))</f>
        <v>127</v>
      </c>
      <c r="V967" s="4" t="str">
        <f>IF(G967="",IF(ISNUMBER(SEARCH("NOT NULL",UPPER(G$3))),"''","null"),SUBSTITUTE(VLOOKUP(G$2,convert!$A$1:$B$4,2,0),"@@@",G967))</f>
        <v>131</v>
      </c>
      <c r="W967" s="4" t="str">
        <f>IF(H967="",IF(ISNUMBER(SEARCH("NOT NULL",UPPER(H$3))),"''","null"),SUBSTITUTE(VLOOKUP(H$2,convert!$A$1:$B$4,2,0),"@@@",H967))</f>
        <v>103</v>
      </c>
      <c r="X967" s="4" t="str">
        <f>IF(I967="",IF(ISNUMBER(SEARCH("NOT NULL",UPPER(I$3))),"''","null"),SUBSTITUTE(VLOOKUP(I$2,convert!$A$1:$B$4,2,0),"@@@",I967))</f>
        <v>''</v>
      </c>
      <c r="Y967" s="4" t="str">
        <f>IF(J967="",IF(ISNUMBER(SEARCH("NOT NULL",UPPER(J$3))),"''","null"),SUBSTITUTE(VLOOKUP(J$2,convert!$A$1:$B$4,2,0),"@@@",J967))</f>
        <v>'rock'</v>
      </c>
      <c r="Z967" s="4" t="str">
        <f>IF(K967="",IF(ISNUMBER(SEARCH("NOT NULL",UPPER(K$3))),"''","null"),SUBSTITUTE(VLOOKUP(K$2,convert!$A$1:$B$4,2,0),"@@@",K967))</f>
        <v>'poison'</v>
      </c>
      <c r="AA967" s="4" t="str">
        <f>IF(L967="",IF(ISNUMBER(SEARCH("NOT NULL",UPPER(L$3))),"''","null"),SUBSTITUTE(VLOOKUP(L$2,convert!$A$1:$B$4,2,0),"@@@",L967))</f>
        <v>'g7'</v>
      </c>
      <c r="AB967" s="4" t="str">
        <f>IF(M967="",IF(ISNUMBER(SEARCH("NOT NULL",UPPER(M$3))),"''","null"),SUBSTITUTE(VLOOKUP(M$2,convert!$A$1:$B$4,2,0),"@@@",M967))</f>
        <v>null</v>
      </c>
      <c r="AC967" s="4" t="str">
        <f>IF(N967="",IF(ISNUMBER(SEARCH("NOT NULL",UPPER(N$3))),"''","null"),SUBSTITUTE(VLOOKUP(N$2,convert!$A$1:$B$4,2,0),"@@@",N967))</f>
        <v>null</v>
      </c>
      <c r="AD967" s="4" t="str">
        <f>IF(O967="",IF(ISNUMBER(SEARCH("NOT NULL",UPPER(O$3))),"''","null"),SUBSTITUTE(VLOOKUP(O$2,convert!$A$1:$B$4,2,0),"@@@",O967))</f>
        <v>TRUE</v>
      </c>
      <c r="AE967" s="4" t="str">
        <f t="shared" si="15"/>
        <v>    ('0793N01', 'ウツロイド', 109, 53, 47, 127, 131, 103, '', 'rock', 'poison', 'g7', null, null, TRUE),</v>
      </c>
    </row>
    <row r="968" spans="1:31">
      <c r="A968" s="4" t="s">
        <v>1942</v>
      </c>
      <c r="B968" s="4" t="s">
        <v>1943</v>
      </c>
      <c r="C968" s="5">
        <v>107</v>
      </c>
      <c r="D968" s="5">
        <v>139</v>
      </c>
      <c r="E968" s="5">
        <v>139</v>
      </c>
      <c r="F968" s="5">
        <v>53</v>
      </c>
      <c r="G968" s="5">
        <v>53</v>
      </c>
      <c r="H968" s="5">
        <v>79</v>
      </c>
      <c r="I968" s="5"/>
      <c r="J968" s="4" t="s">
        <v>64</v>
      </c>
      <c r="K968" s="4" t="s">
        <v>189</v>
      </c>
      <c r="L968" s="4" t="s">
        <v>92</v>
      </c>
      <c r="M968" s="5"/>
      <c r="N968" s="5"/>
      <c r="O968" s="5" t="b">
        <v>1</v>
      </c>
      <c r="P968" s="4" t="str">
        <f>IF(A968="",IF(ISNUMBER(SEARCH("NOT NULL",UPPER(A$3))),"''","null"),SUBSTITUTE(VLOOKUP(A$2,convert!$A$1:$B$4,2,0),"@@@",A968))</f>
        <v>'0794N01'</v>
      </c>
      <c r="Q968" s="4" t="str">
        <f>IF(B968="",IF(ISNUMBER(SEARCH("NOT NULL",UPPER(B$3))),"''","null"),SUBSTITUTE(VLOOKUP(B$2,convert!$A$1:$B$4,2,0),"@@@",B968))</f>
        <v>'マッシブーン'</v>
      </c>
      <c r="R968" s="4" t="str">
        <f>IF(C968="",IF(ISNUMBER(SEARCH("NOT NULL",UPPER(C$3))),"''","null"),SUBSTITUTE(VLOOKUP(C$2,convert!$A$1:$B$4,2,0),"@@@",C968))</f>
        <v>107</v>
      </c>
      <c r="S968" s="4" t="str">
        <f>IF(D968="",IF(ISNUMBER(SEARCH("NOT NULL",UPPER(D$3))),"''","null"),SUBSTITUTE(VLOOKUP(D$2,convert!$A$1:$B$4,2,0),"@@@",D968))</f>
        <v>139</v>
      </c>
      <c r="T968" s="4" t="str">
        <f>IF(E968="",IF(ISNUMBER(SEARCH("NOT NULL",UPPER(E$3))),"''","null"),SUBSTITUTE(VLOOKUP(E$2,convert!$A$1:$B$4,2,0),"@@@",E968))</f>
        <v>139</v>
      </c>
      <c r="U968" s="4" t="str">
        <f>IF(F968="",IF(ISNUMBER(SEARCH("NOT NULL",UPPER(F$3))),"''","null"),SUBSTITUTE(VLOOKUP(F$2,convert!$A$1:$B$4,2,0),"@@@",F968))</f>
        <v>53</v>
      </c>
      <c r="V968" s="4" t="str">
        <f>IF(G968="",IF(ISNUMBER(SEARCH("NOT NULL",UPPER(G$3))),"''","null"),SUBSTITUTE(VLOOKUP(G$2,convert!$A$1:$B$4,2,0),"@@@",G968))</f>
        <v>53</v>
      </c>
      <c r="W968" s="4" t="str">
        <f>IF(H968="",IF(ISNUMBER(SEARCH("NOT NULL",UPPER(H$3))),"''","null"),SUBSTITUTE(VLOOKUP(H$2,convert!$A$1:$B$4,2,0),"@@@",H968))</f>
        <v>79</v>
      </c>
      <c r="X968" s="4" t="str">
        <f>IF(I968="",IF(ISNUMBER(SEARCH("NOT NULL",UPPER(I$3))),"''","null"),SUBSTITUTE(VLOOKUP(I$2,convert!$A$1:$B$4,2,0),"@@@",I968))</f>
        <v>''</v>
      </c>
      <c r="Y968" s="4" t="str">
        <f>IF(J968="",IF(ISNUMBER(SEARCH("NOT NULL",UPPER(J$3))),"''","null"),SUBSTITUTE(VLOOKUP(J$2,convert!$A$1:$B$4,2,0),"@@@",J968))</f>
        <v>'bug'</v>
      </c>
      <c r="Z968" s="4" t="str">
        <f>IF(K968="",IF(ISNUMBER(SEARCH("NOT NULL",UPPER(K$3))),"''","null"),SUBSTITUTE(VLOOKUP(K$2,convert!$A$1:$B$4,2,0),"@@@",K968))</f>
        <v>'fighting'</v>
      </c>
      <c r="AA968" s="4" t="str">
        <f>IF(L968="",IF(ISNUMBER(SEARCH("NOT NULL",UPPER(L$3))),"''","null"),SUBSTITUTE(VLOOKUP(L$2,convert!$A$1:$B$4,2,0),"@@@",L968))</f>
        <v>'g7'</v>
      </c>
      <c r="AB968" s="4" t="str">
        <f>IF(M968="",IF(ISNUMBER(SEARCH("NOT NULL",UPPER(M$3))),"''","null"),SUBSTITUTE(VLOOKUP(M$2,convert!$A$1:$B$4,2,0),"@@@",M968))</f>
        <v>null</v>
      </c>
      <c r="AC968" s="4" t="str">
        <f>IF(N968="",IF(ISNUMBER(SEARCH("NOT NULL",UPPER(N$3))),"''","null"),SUBSTITUTE(VLOOKUP(N$2,convert!$A$1:$B$4,2,0),"@@@",N968))</f>
        <v>null</v>
      </c>
      <c r="AD968" s="4" t="str">
        <f>IF(O968="",IF(ISNUMBER(SEARCH("NOT NULL",UPPER(O$3))),"''","null"),SUBSTITUTE(VLOOKUP(O$2,convert!$A$1:$B$4,2,0),"@@@",O968))</f>
        <v>TRUE</v>
      </c>
      <c r="AE968" s="4" t="str">
        <f t="shared" si="15"/>
        <v>    ('0794N01', 'マッシブーン', 107, 139, 139, 53, 53, 79, '', 'bug', 'fighting', 'g7', null, null, TRUE),</v>
      </c>
    </row>
    <row r="969" spans="1:31">
      <c r="A969" s="4" t="s">
        <v>1944</v>
      </c>
      <c r="B969" s="4" t="s">
        <v>1945</v>
      </c>
      <c r="C969" s="5">
        <v>71</v>
      </c>
      <c r="D969" s="5">
        <v>137</v>
      </c>
      <c r="E969" s="5">
        <v>37</v>
      </c>
      <c r="F969" s="5">
        <v>137</v>
      </c>
      <c r="G969" s="5">
        <v>37</v>
      </c>
      <c r="H969" s="5">
        <v>151</v>
      </c>
      <c r="I969" s="5"/>
      <c r="J969" s="4" t="s">
        <v>64</v>
      </c>
      <c r="K969" s="4" t="s">
        <v>189</v>
      </c>
      <c r="L969" s="4" t="s">
        <v>92</v>
      </c>
      <c r="M969" s="5"/>
      <c r="N969" s="5"/>
      <c r="O969" s="5" t="b">
        <v>1</v>
      </c>
      <c r="P969" s="4" t="str">
        <f>IF(A969="",IF(ISNUMBER(SEARCH("NOT NULL",UPPER(A$3))),"''","null"),SUBSTITUTE(VLOOKUP(A$2,convert!$A$1:$B$4,2,0),"@@@",A969))</f>
        <v>'0795N01'</v>
      </c>
      <c r="Q969" s="4" t="str">
        <f>IF(B969="",IF(ISNUMBER(SEARCH("NOT NULL",UPPER(B$3))),"''","null"),SUBSTITUTE(VLOOKUP(B$2,convert!$A$1:$B$4,2,0),"@@@",B969))</f>
        <v>'フェローチェ'</v>
      </c>
      <c r="R969" s="4" t="str">
        <f>IF(C969="",IF(ISNUMBER(SEARCH("NOT NULL",UPPER(C$3))),"''","null"),SUBSTITUTE(VLOOKUP(C$2,convert!$A$1:$B$4,2,0),"@@@",C969))</f>
        <v>71</v>
      </c>
      <c r="S969" s="4" t="str">
        <f>IF(D969="",IF(ISNUMBER(SEARCH("NOT NULL",UPPER(D$3))),"''","null"),SUBSTITUTE(VLOOKUP(D$2,convert!$A$1:$B$4,2,0),"@@@",D969))</f>
        <v>137</v>
      </c>
      <c r="T969" s="4" t="str">
        <f>IF(E969="",IF(ISNUMBER(SEARCH("NOT NULL",UPPER(E$3))),"''","null"),SUBSTITUTE(VLOOKUP(E$2,convert!$A$1:$B$4,2,0),"@@@",E969))</f>
        <v>37</v>
      </c>
      <c r="U969" s="4" t="str">
        <f>IF(F969="",IF(ISNUMBER(SEARCH("NOT NULL",UPPER(F$3))),"''","null"),SUBSTITUTE(VLOOKUP(F$2,convert!$A$1:$B$4,2,0),"@@@",F969))</f>
        <v>137</v>
      </c>
      <c r="V969" s="4" t="str">
        <f>IF(G969="",IF(ISNUMBER(SEARCH("NOT NULL",UPPER(G$3))),"''","null"),SUBSTITUTE(VLOOKUP(G$2,convert!$A$1:$B$4,2,0),"@@@",G969))</f>
        <v>37</v>
      </c>
      <c r="W969" s="4" t="str">
        <f>IF(H969="",IF(ISNUMBER(SEARCH("NOT NULL",UPPER(H$3))),"''","null"),SUBSTITUTE(VLOOKUP(H$2,convert!$A$1:$B$4,2,0),"@@@",H969))</f>
        <v>151</v>
      </c>
      <c r="X969" s="4" t="str">
        <f>IF(I969="",IF(ISNUMBER(SEARCH("NOT NULL",UPPER(I$3))),"''","null"),SUBSTITUTE(VLOOKUP(I$2,convert!$A$1:$B$4,2,0),"@@@",I969))</f>
        <v>''</v>
      </c>
      <c r="Y969" s="4" t="str">
        <f>IF(J969="",IF(ISNUMBER(SEARCH("NOT NULL",UPPER(J$3))),"''","null"),SUBSTITUTE(VLOOKUP(J$2,convert!$A$1:$B$4,2,0),"@@@",J969))</f>
        <v>'bug'</v>
      </c>
      <c r="Z969" s="4" t="str">
        <f>IF(K969="",IF(ISNUMBER(SEARCH("NOT NULL",UPPER(K$3))),"''","null"),SUBSTITUTE(VLOOKUP(K$2,convert!$A$1:$B$4,2,0),"@@@",K969))</f>
        <v>'fighting'</v>
      </c>
      <c r="AA969" s="4" t="str">
        <f>IF(L969="",IF(ISNUMBER(SEARCH("NOT NULL",UPPER(L$3))),"''","null"),SUBSTITUTE(VLOOKUP(L$2,convert!$A$1:$B$4,2,0),"@@@",L969))</f>
        <v>'g7'</v>
      </c>
      <c r="AB969" s="4" t="str">
        <f>IF(M969="",IF(ISNUMBER(SEARCH("NOT NULL",UPPER(M$3))),"''","null"),SUBSTITUTE(VLOOKUP(M$2,convert!$A$1:$B$4,2,0),"@@@",M969))</f>
        <v>null</v>
      </c>
      <c r="AC969" s="4" t="str">
        <f>IF(N969="",IF(ISNUMBER(SEARCH("NOT NULL",UPPER(N$3))),"''","null"),SUBSTITUTE(VLOOKUP(N$2,convert!$A$1:$B$4,2,0),"@@@",N969))</f>
        <v>null</v>
      </c>
      <c r="AD969" s="4" t="str">
        <f>IF(O969="",IF(ISNUMBER(SEARCH("NOT NULL",UPPER(O$3))),"''","null"),SUBSTITUTE(VLOOKUP(O$2,convert!$A$1:$B$4,2,0),"@@@",O969))</f>
        <v>TRUE</v>
      </c>
      <c r="AE969" s="4" t="str">
        <f t="shared" si="15"/>
        <v>    ('0795N01', 'フェローチェ', 71, 137, 37, 137, 37, 151, '', 'bug', 'fighting', 'g7', null, null, TRUE),</v>
      </c>
    </row>
    <row r="970" spans="1:31">
      <c r="A970" s="4" t="s">
        <v>1946</v>
      </c>
      <c r="B970" s="4" t="s">
        <v>1947</v>
      </c>
      <c r="C970" s="5">
        <v>83</v>
      </c>
      <c r="D970" s="5">
        <v>89</v>
      </c>
      <c r="E970" s="5">
        <v>71</v>
      </c>
      <c r="F970" s="5">
        <v>173</v>
      </c>
      <c r="G970" s="5">
        <v>71</v>
      </c>
      <c r="H970" s="5">
        <v>83</v>
      </c>
      <c r="I970" s="5"/>
      <c r="J970" s="4" t="s">
        <v>106</v>
      </c>
      <c r="K970" s="5"/>
      <c r="L970" s="4" t="s">
        <v>92</v>
      </c>
      <c r="M970" s="5"/>
      <c r="N970" s="5"/>
      <c r="O970" s="5" t="b">
        <v>1</v>
      </c>
      <c r="P970" s="4" t="str">
        <f>IF(A970="",IF(ISNUMBER(SEARCH("NOT NULL",UPPER(A$3))),"''","null"),SUBSTITUTE(VLOOKUP(A$2,convert!$A$1:$B$4,2,0),"@@@",A970))</f>
        <v>'0796N01'</v>
      </c>
      <c r="Q970" s="4" t="str">
        <f>IF(B970="",IF(ISNUMBER(SEARCH("NOT NULL",UPPER(B$3))),"''","null"),SUBSTITUTE(VLOOKUP(B$2,convert!$A$1:$B$4,2,0),"@@@",B970))</f>
        <v>'デンジュモク'</v>
      </c>
      <c r="R970" s="4" t="str">
        <f>IF(C970="",IF(ISNUMBER(SEARCH("NOT NULL",UPPER(C$3))),"''","null"),SUBSTITUTE(VLOOKUP(C$2,convert!$A$1:$B$4,2,0),"@@@",C970))</f>
        <v>83</v>
      </c>
      <c r="S970" s="4" t="str">
        <f>IF(D970="",IF(ISNUMBER(SEARCH("NOT NULL",UPPER(D$3))),"''","null"),SUBSTITUTE(VLOOKUP(D$2,convert!$A$1:$B$4,2,0),"@@@",D970))</f>
        <v>89</v>
      </c>
      <c r="T970" s="4" t="str">
        <f>IF(E970="",IF(ISNUMBER(SEARCH("NOT NULL",UPPER(E$3))),"''","null"),SUBSTITUTE(VLOOKUP(E$2,convert!$A$1:$B$4,2,0),"@@@",E970))</f>
        <v>71</v>
      </c>
      <c r="U970" s="4" t="str">
        <f>IF(F970="",IF(ISNUMBER(SEARCH("NOT NULL",UPPER(F$3))),"''","null"),SUBSTITUTE(VLOOKUP(F$2,convert!$A$1:$B$4,2,0),"@@@",F970))</f>
        <v>173</v>
      </c>
      <c r="V970" s="4" t="str">
        <f>IF(G970="",IF(ISNUMBER(SEARCH("NOT NULL",UPPER(G$3))),"''","null"),SUBSTITUTE(VLOOKUP(G$2,convert!$A$1:$B$4,2,0),"@@@",G970))</f>
        <v>71</v>
      </c>
      <c r="W970" s="4" t="str">
        <f>IF(H970="",IF(ISNUMBER(SEARCH("NOT NULL",UPPER(H$3))),"''","null"),SUBSTITUTE(VLOOKUP(H$2,convert!$A$1:$B$4,2,0),"@@@",H970))</f>
        <v>83</v>
      </c>
      <c r="X970" s="4" t="str">
        <f>IF(I970="",IF(ISNUMBER(SEARCH("NOT NULL",UPPER(I$3))),"''","null"),SUBSTITUTE(VLOOKUP(I$2,convert!$A$1:$B$4,2,0),"@@@",I970))</f>
        <v>''</v>
      </c>
      <c r="Y970" s="4" t="str">
        <f>IF(J970="",IF(ISNUMBER(SEARCH("NOT NULL",UPPER(J$3))),"''","null"),SUBSTITUTE(VLOOKUP(J$2,convert!$A$1:$B$4,2,0),"@@@",J970))</f>
        <v>'electric'</v>
      </c>
      <c r="Z970" s="4" t="str">
        <f>IF(K970="",IF(ISNUMBER(SEARCH("NOT NULL",UPPER(K$3))),"''","null"),SUBSTITUTE(VLOOKUP(K$2,convert!$A$1:$B$4,2,0),"@@@",K970))</f>
        <v>null</v>
      </c>
      <c r="AA970" s="4" t="str">
        <f>IF(L970="",IF(ISNUMBER(SEARCH("NOT NULL",UPPER(L$3))),"''","null"),SUBSTITUTE(VLOOKUP(L$2,convert!$A$1:$B$4,2,0),"@@@",L970))</f>
        <v>'g7'</v>
      </c>
      <c r="AB970" s="4" t="str">
        <f>IF(M970="",IF(ISNUMBER(SEARCH("NOT NULL",UPPER(M$3))),"''","null"),SUBSTITUTE(VLOOKUP(M$2,convert!$A$1:$B$4,2,0),"@@@",M970))</f>
        <v>null</v>
      </c>
      <c r="AC970" s="4" t="str">
        <f>IF(N970="",IF(ISNUMBER(SEARCH("NOT NULL",UPPER(N$3))),"''","null"),SUBSTITUTE(VLOOKUP(N$2,convert!$A$1:$B$4,2,0),"@@@",N970))</f>
        <v>null</v>
      </c>
      <c r="AD970" s="4" t="str">
        <f>IF(O970="",IF(ISNUMBER(SEARCH("NOT NULL",UPPER(O$3))),"''","null"),SUBSTITUTE(VLOOKUP(O$2,convert!$A$1:$B$4,2,0),"@@@",O970))</f>
        <v>TRUE</v>
      </c>
      <c r="AE970" s="4" t="str">
        <f t="shared" si="15"/>
        <v>    ('0796N01', 'デンジュモク', 83, 89, 71, 173, 71, 83, '', 'electric', null, 'g7', null, null, TRUE),</v>
      </c>
    </row>
    <row r="971" spans="1:31">
      <c r="A971" s="4" t="s">
        <v>1948</v>
      </c>
      <c r="B971" s="4" t="s">
        <v>1949</v>
      </c>
      <c r="C971" s="5">
        <v>97</v>
      </c>
      <c r="D971" s="5">
        <v>101</v>
      </c>
      <c r="E971" s="5">
        <v>103</v>
      </c>
      <c r="F971" s="5">
        <v>107</v>
      </c>
      <c r="G971" s="5">
        <v>101</v>
      </c>
      <c r="H971" s="5">
        <v>61</v>
      </c>
      <c r="I971" s="5"/>
      <c r="J971" s="4" t="s">
        <v>119</v>
      </c>
      <c r="K971" s="4" t="s">
        <v>47</v>
      </c>
      <c r="L971" s="4" t="s">
        <v>92</v>
      </c>
      <c r="M971" s="5"/>
      <c r="N971" s="5"/>
      <c r="O971" s="5" t="b">
        <v>1</v>
      </c>
      <c r="P971" s="4" t="str">
        <f>IF(A971="",IF(ISNUMBER(SEARCH("NOT NULL",UPPER(A$3))),"''","null"),SUBSTITUTE(VLOOKUP(A$2,convert!$A$1:$B$4,2,0),"@@@",A971))</f>
        <v>'0797N01'</v>
      </c>
      <c r="Q971" s="4" t="str">
        <f>IF(B971="",IF(ISNUMBER(SEARCH("NOT NULL",UPPER(B$3))),"''","null"),SUBSTITUTE(VLOOKUP(B$2,convert!$A$1:$B$4,2,0),"@@@",B971))</f>
        <v>'テッカグヤ'</v>
      </c>
      <c r="R971" s="4" t="str">
        <f>IF(C971="",IF(ISNUMBER(SEARCH("NOT NULL",UPPER(C$3))),"''","null"),SUBSTITUTE(VLOOKUP(C$2,convert!$A$1:$B$4,2,0),"@@@",C971))</f>
        <v>97</v>
      </c>
      <c r="S971" s="4" t="str">
        <f>IF(D971="",IF(ISNUMBER(SEARCH("NOT NULL",UPPER(D$3))),"''","null"),SUBSTITUTE(VLOOKUP(D$2,convert!$A$1:$B$4,2,0),"@@@",D971))</f>
        <v>101</v>
      </c>
      <c r="T971" s="4" t="str">
        <f>IF(E971="",IF(ISNUMBER(SEARCH("NOT NULL",UPPER(E$3))),"''","null"),SUBSTITUTE(VLOOKUP(E$2,convert!$A$1:$B$4,2,0),"@@@",E971))</f>
        <v>103</v>
      </c>
      <c r="U971" s="4" t="str">
        <f>IF(F971="",IF(ISNUMBER(SEARCH("NOT NULL",UPPER(F$3))),"''","null"),SUBSTITUTE(VLOOKUP(F$2,convert!$A$1:$B$4,2,0),"@@@",F971))</f>
        <v>107</v>
      </c>
      <c r="V971" s="4" t="str">
        <f>IF(G971="",IF(ISNUMBER(SEARCH("NOT NULL",UPPER(G$3))),"''","null"),SUBSTITUTE(VLOOKUP(G$2,convert!$A$1:$B$4,2,0),"@@@",G971))</f>
        <v>101</v>
      </c>
      <c r="W971" s="4" t="str">
        <f>IF(H971="",IF(ISNUMBER(SEARCH("NOT NULL",UPPER(H$3))),"''","null"),SUBSTITUTE(VLOOKUP(H$2,convert!$A$1:$B$4,2,0),"@@@",H971))</f>
        <v>61</v>
      </c>
      <c r="X971" s="4" t="str">
        <f>IF(I971="",IF(ISNUMBER(SEARCH("NOT NULL",UPPER(I$3))),"''","null"),SUBSTITUTE(VLOOKUP(I$2,convert!$A$1:$B$4,2,0),"@@@",I971))</f>
        <v>''</v>
      </c>
      <c r="Y971" s="4" t="str">
        <f>IF(J971="",IF(ISNUMBER(SEARCH("NOT NULL",UPPER(J$3))),"''","null"),SUBSTITUTE(VLOOKUP(J$2,convert!$A$1:$B$4,2,0),"@@@",J971))</f>
        <v>'steel'</v>
      </c>
      <c r="Z971" s="4" t="str">
        <f>IF(K971="",IF(ISNUMBER(SEARCH("NOT NULL",UPPER(K$3))),"''","null"),SUBSTITUTE(VLOOKUP(K$2,convert!$A$1:$B$4,2,0),"@@@",K971))</f>
        <v>'flying'</v>
      </c>
      <c r="AA971" s="4" t="str">
        <f>IF(L971="",IF(ISNUMBER(SEARCH("NOT NULL",UPPER(L$3))),"''","null"),SUBSTITUTE(VLOOKUP(L$2,convert!$A$1:$B$4,2,0),"@@@",L971))</f>
        <v>'g7'</v>
      </c>
      <c r="AB971" s="4" t="str">
        <f>IF(M971="",IF(ISNUMBER(SEARCH("NOT NULL",UPPER(M$3))),"''","null"),SUBSTITUTE(VLOOKUP(M$2,convert!$A$1:$B$4,2,0),"@@@",M971))</f>
        <v>null</v>
      </c>
      <c r="AC971" s="4" t="str">
        <f>IF(N971="",IF(ISNUMBER(SEARCH("NOT NULL",UPPER(N$3))),"''","null"),SUBSTITUTE(VLOOKUP(N$2,convert!$A$1:$B$4,2,0),"@@@",N971))</f>
        <v>null</v>
      </c>
      <c r="AD971" s="4" t="str">
        <f>IF(O971="",IF(ISNUMBER(SEARCH("NOT NULL",UPPER(O$3))),"''","null"),SUBSTITUTE(VLOOKUP(O$2,convert!$A$1:$B$4,2,0),"@@@",O971))</f>
        <v>TRUE</v>
      </c>
      <c r="AE971" s="4" t="str">
        <f t="shared" si="15"/>
        <v>    ('0797N01', 'テッカグヤ', 97, 101, 103, 107, 101, 61, '', 'steel', 'flying', 'g7', null, null, TRUE),</v>
      </c>
    </row>
    <row r="972" spans="1:31">
      <c r="A972" s="4" t="s">
        <v>1950</v>
      </c>
      <c r="B972" s="4" t="s">
        <v>1951</v>
      </c>
      <c r="C972" s="5">
        <v>59</v>
      </c>
      <c r="D972" s="5">
        <v>181</v>
      </c>
      <c r="E972" s="5">
        <v>131</v>
      </c>
      <c r="F972" s="5">
        <v>59</v>
      </c>
      <c r="G972" s="5">
        <v>31</v>
      </c>
      <c r="H972" s="5">
        <v>109</v>
      </c>
      <c r="I972" s="5"/>
      <c r="J972" s="4" t="s">
        <v>30</v>
      </c>
      <c r="K972" s="4" t="s">
        <v>119</v>
      </c>
      <c r="L972" s="4" t="s">
        <v>92</v>
      </c>
      <c r="M972" s="5"/>
      <c r="N972" s="5"/>
      <c r="O972" s="5" t="b">
        <v>1</v>
      </c>
      <c r="P972" s="4" t="str">
        <f>IF(A972="",IF(ISNUMBER(SEARCH("NOT NULL",UPPER(A$3))),"''","null"),SUBSTITUTE(VLOOKUP(A$2,convert!$A$1:$B$4,2,0),"@@@",A972))</f>
        <v>'0798N01'</v>
      </c>
      <c r="Q972" s="4" t="str">
        <f>IF(B972="",IF(ISNUMBER(SEARCH("NOT NULL",UPPER(B$3))),"''","null"),SUBSTITUTE(VLOOKUP(B$2,convert!$A$1:$B$4,2,0),"@@@",B972))</f>
        <v>'カミツルギ'</v>
      </c>
      <c r="R972" s="4" t="str">
        <f>IF(C972="",IF(ISNUMBER(SEARCH("NOT NULL",UPPER(C$3))),"''","null"),SUBSTITUTE(VLOOKUP(C$2,convert!$A$1:$B$4,2,0),"@@@",C972))</f>
        <v>59</v>
      </c>
      <c r="S972" s="4" t="str">
        <f>IF(D972="",IF(ISNUMBER(SEARCH("NOT NULL",UPPER(D$3))),"''","null"),SUBSTITUTE(VLOOKUP(D$2,convert!$A$1:$B$4,2,0),"@@@",D972))</f>
        <v>181</v>
      </c>
      <c r="T972" s="4" t="str">
        <f>IF(E972="",IF(ISNUMBER(SEARCH("NOT NULL",UPPER(E$3))),"''","null"),SUBSTITUTE(VLOOKUP(E$2,convert!$A$1:$B$4,2,0),"@@@",E972))</f>
        <v>131</v>
      </c>
      <c r="U972" s="4" t="str">
        <f>IF(F972="",IF(ISNUMBER(SEARCH("NOT NULL",UPPER(F$3))),"''","null"),SUBSTITUTE(VLOOKUP(F$2,convert!$A$1:$B$4,2,0),"@@@",F972))</f>
        <v>59</v>
      </c>
      <c r="V972" s="4" t="str">
        <f>IF(G972="",IF(ISNUMBER(SEARCH("NOT NULL",UPPER(G$3))),"''","null"),SUBSTITUTE(VLOOKUP(G$2,convert!$A$1:$B$4,2,0),"@@@",G972))</f>
        <v>31</v>
      </c>
      <c r="W972" s="4" t="str">
        <f>IF(H972="",IF(ISNUMBER(SEARCH("NOT NULL",UPPER(H$3))),"''","null"),SUBSTITUTE(VLOOKUP(H$2,convert!$A$1:$B$4,2,0),"@@@",H972))</f>
        <v>109</v>
      </c>
      <c r="X972" s="4" t="str">
        <f>IF(I972="",IF(ISNUMBER(SEARCH("NOT NULL",UPPER(I$3))),"''","null"),SUBSTITUTE(VLOOKUP(I$2,convert!$A$1:$B$4,2,0),"@@@",I972))</f>
        <v>''</v>
      </c>
      <c r="Y972" s="4" t="str">
        <f>IF(J972="",IF(ISNUMBER(SEARCH("NOT NULL",UPPER(J$3))),"''","null"),SUBSTITUTE(VLOOKUP(J$2,convert!$A$1:$B$4,2,0),"@@@",J972))</f>
        <v>'grass'</v>
      </c>
      <c r="Z972" s="4" t="str">
        <f>IF(K972="",IF(ISNUMBER(SEARCH("NOT NULL",UPPER(K$3))),"''","null"),SUBSTITUTE(VLOOKUP(K$2,convert!$A$1:$B$4,2,0),"@@@",K972))</f>
        <v>'steel'</v>
      </c>
      <c r="AA972" s="4" t="str">
        <f>IF(L972="",IF(ISNUMBER(SEARCH("NOT NULL",UPPER(L$3))),"''","null"),SUBSTITUTE(VLOOKUP(L$2,convert!$A$1:$B$4,2,0),"@@@",L972))</f>
        <v>'g7'</v>
      </c>
      <c r="AB972" s="4" t="str">
        <f>IF(M972="",IF(ISNUMBER(SEARCH("NOT NULL",UPPER(M$3))),"''","null"),SUBSTITUTE(VLOOKUP(M$2,convert!$A$1:$B$4,2,0),"@@@",M972))</f>
        <v>null</v>
      </c>
      <c r="AC972" s="4" t="str">
        <f>IF(N972="",IF(ISNUMBER(SEARCH("NOT NULL",UPPER(N$3))),"''","null"),SUBSTITUTE(VLOOKUP(N$2,convert!$A$1:$B$4,2,0),"@@@",N972))</f>
        <v>null</v>
      </c>
      <c r="AD972" s="4" t="str">
        <f>IF(O972="",IF(ISNUMBER(SEARCH("NOT NULL",UPPER(O$3))),"''","null"),SUBSTITUTE(VLOOKUP(O$2,convert!$A$1:$B$4,2,0),"@@@",O972))</f>
        <v>TRUE</v>
      </c>
      <c r="AE972" s="4" t="str">
        <f t="shared" si="15"/>
        <v>    ('0798N01', 'カミツルギ', 59, 181, 131, 59, 31, 109, '', 'grass', 'steel', 'g7', null, null, TRUE),</v>
      </c>
    </row>
    <row r="973" spans="1:31">
      <c r="A973" s="4" t="s">
        <v>1952</v>
      </c>
      <c r="B973" s="4" t="s">
        <v>1953</v>
      </c>
      <c r="C973" s="5">
        <v>223</v>
      </c>
      <c r="D973" s="5">
        <v>101</v>
      </c>
      <c r="E973" s="5">
        <v>53</v>
      </c>
      <c r="F973" s="5">
        <v>97</v>
      </c>
      <c r="G973" s="5">
        <v>53</v>
      </c>
      <c r="H973" s="5">
        <v>43</v>
      </c>
      <c r="I973" s="5"/>
      <c r="J973" s="4" t="s">
        <v>91</v>
      </c>
      <c r="K973" s="4" t="s">
        <v>50</v>
      </c>
      <c r="L973" s="4" t="s">
        <v>92</v>
      </c>
      <c r="M973" s="5"/>
      <c r="N973" s="5"/>
      <c r="O973" s="5" t="b">
        <v>1</v>
      </c>
      <c r="P973" s="4" t="str">
        <f>IF(A973="",IF(ISNUMBER(SEARCH("NOT NULL",UPPER(A$3))),"''","null"),SUBSTITUTE(VLOOKUP(A$2,convert!$A$1:$B$4,2,0),"@@@",A973))</f>
        <v>'0799N01'</v>
      </c>
      <c r="Q973" s="4" t="str">
        <f>IF(B973="",IF(ISNUMBER(SEARCH("NOT NULL",UPPER(B$3))),"''","null"),SUBSTITUTE(VLOOKUP(B$2,convert!$A$1:$B$4,2,0),"@@@",B973))</f>
        <v>'アクジキング'</v>
      </c>
      <c r="R973" s="4" t="str">
        <f>IF(C973="",IF(ISNUMBER(SEARCH("NOT NULL",UPPER(C$3))),"''","null"),SUBSTITUTE(VLOOKUP(C$2,convert!$A$1:$B$4,2,0),"@@@",C973))</f>
        <v>223</v>
      </c>
      <c r="S973" s="4" t="str">
        <f>IF(D973="",IF(ISNUMBER(SEARCH("NOT NULL",UPPER(D$3))),"''","null"),SUBSTITUTE(VLOOKUP(D$2,convert!$A$1:$B$4,2,0),"@@@",D973))</f>
        <v>101</v>
      </c>
      <c r="T973" s="4" t="str">
        <f>IF(E973="",IF(ISNUMBER(SEARCH("NOT NULL",UPPER(E$3))),"''","null"),SUBSTITUTE(VLOOKUP(E$2,convert!$A$1:$B$4,2,0),"@@@",E973))</f>
        <v>53</v>
      </c>
      <c r="U973" s="4" t="str">
        <f>IF(F973="",IF(ISNUMBER(SEARCH("NOT NULL",UPPER(F$3))),"''","null"),SUBSTITUTE(VLOOKUP(F$2,convert!$A$1:$B$4,2,0),"@@@",F973))</f>
        <v>97</v>
      </c>
      <c r="V973" s="4" t="str">
        <f>IF(G973="",IF(ISNUMBER(SEARCH("NOT NULL",UPPER(G$3))),"''","null"),SUBSTITUTE(VLOOKUP(G$2,convert!$A$1:$B$4,2,0),"@@@",G973))</f>
        <v>53</v>
      </c>
      <c r="W973" s="4" t="str">
        <f>IF(H973="",IF(ISNUMBER(SEARCH("NOT NULL",UPPER(H$3))),"''","null"),SUBSTITUTE(VLOOKUP(H$2,convert!$A$1:$B$4,2,0),"@@@",H973))</f>
        <v>43</v>
      </c>
      <c r="X973" s="4" t="str">
        <f>IF(I973="",IF(ISNUMBER(SEARCH("NOT NULL",UPPER(I$3))),"''","null"),SUBSTITUTE(VLOOKUP(I$2,convert!$A$1:$B$4,2,0),"@@@",I973))</f>
        <v>''</v>
      </c>
      <c r="Y973" s="4" t="str">
        <f>IF(J973="",IF(ISNUMBER(SEARCH("NOT NULL",UPPER(J$3))),"''","null"),SUBSTITUTE(VLOOKUP(J$2,convert!$A$1:$B$4,2,0),"@@@",J973))</f>
        <v>'dark'</v>
      </c>
      <c r="Z973" s="4" t="str">
        <f>IF(K973="",IF(ISNUMBER(SEARCH("NOT NULL",UPPER(K$3))),"''","null"),SUBSTITUTE(VLOOKUP(K$2,convert!$A$1:$B$4,2,0),"@@@",K973))</f>
        <v>'dragon'</v>
      </c>
      <c r="AA973" s="4" t="str">
        <f>IF(L973="",IF(ISNUMBER(SEARCH("NOT NULL",UPPER(L$3))),"''","null"),SUBSTITUTE(VLOOKUP(L$2,convert!$A$1:$B$4,2,0),"@@@",L973))</f>
        <v>'g7'</v>
      </c>
      <c r="AB973" s="4" t="str">
        <f>IF(M973="",IF(ISNUMBER(SEARCH("NOT NULL",UPPER(M$3))),"''","null"),SUBSTITUTE(VLOOKUP(M$2,convert!$A$1:$B$4,2,0),"@@@",M973))</f>
        <v>null</v>
      </c>
      <c r="AC973" s="4" t="str">
        <f>IF(N973="",IF(ISNUMBER(SEARCH("NOT NULL",UPPER(N$3))),"''","null"),SUBSTITUTE(VLOOKUP(N$2,convert!$A$1:$B$4,2,0),"@@@",N973))</f>
        <v>null</v>
      </c>
      <c r="AD973" s="4" t="str">
        <f>IF(O973="",IF(ISNUMBER(SEARCH("NOT NULL",UPPER(O$3))),"''","null"),SUBSTITUTE(VLOOKUP(O$2,convert!$A$1:$B$4,2,0),"@@@",O973))</f>
        <v>TRUE</v>
      </c>
      <c r="AE973" s="4" t="str">
        <f t="shared" si="15"/>
        <v>    ('0799N01', 'アクジキング', 223, 101, 53, 97, 53, 43, '', 'dark', 'dragon', 'g7', null, null, TRUE),</v>
      </c>
    </row>
    <row r="974" spans="1:31">
      <c r="A974" s="4" t="s">
        <v>1954</v>
      </c>
      <c r="B974" s="4" t="s">
        <v>1955</v>
      </c>
      <c r="C974" s="5">
        <v>97</v>
      </c>
      <c r="D974" s="5">
        <v>107</v>
      </c>
      <c r="E974" s="5">
        <v>101</v>
      </c>
      <c r="F974" s="5">
        <v>127</v>
      </c>
      <c r="G974" s="5">
        <v>89</v>
      </c>
      <c r="H974" s="5">
        <v>79</v>
      </c>
      <c r="I974" s="5"/>
      <c r="J974" s="4" t="s">
        <v>113</v>
      </c>
      <c r="K974" s="5"/>
      <c r="L974" s="4" t="s">
        <v>92</v>
      </c>
      <c r="M974" s="5"/>
      <c r="N974" s="5"/>
      <c r="O974" s="5" t="b">
        <v>0</v>
      </c>
      <c r="P974" s="4" t="str">
        <f>IF(A974="",IF(ISNUMBER(SEARCH("NOT NULL",UPPER(A$3))),"''","null"),SUBSTITUTE(VLOOKUP(A$2,convert!$A$1:$B$4,2,0),"@@@",A974))</f>
        <v>'0800N01'</v>
      </c>
      <c r="Q974" s="4" t="str">
        <f>IF(B974="",IF(ISNUMBER(SEARCH("NOT NULL",UPPER(B$3))),"''","null"),SUBSTITUTE(VLOOKUP(B$2,convert!$A$1:$B$4,2,0),"@@@",B974))</f>
        <v>'ネクロズマ'</v>
      </c>
      <c r="R974" s="4" t="str">
        <f>IF(C974="",IF(ISNUMBER(SEARCH("NOT NULL",UPPER(C$3))),"''","null"),SUBSTITUTE(VLOOKUP(C$2,convert!$A$1:$B$4,2,0),"@@@",C974))</f>
        <v>97</v>
      </c>
      <c r="S974" s="4" t="str">
        <f>IF(D974="",IF(ISNUMBER(SEARCH("NOT NULL",UPPER(D$3))),"''","null"),SUBSTITUTE(VLOOKUP(D$2,convert!$A$1:$B$4,2,0),"@@@",D974))</f>
        <v>107</v>
      </c>
      <c r="T974" s="4" t="str">
        <f>IF(E974="",IF(ISNUMBER(SEARCH("NOT NULL",UPPER(E$3))),"''","null"),SUBSTITUTE(VLOOKUP(E$2,convert!$A$1:$B$4,2,0),"@@@",E974))</f>
        <v>101</v>
      </c>
      <c r="U974" s="4" t="str">
        <f>IF(F974="",IF(ISNUMBER(SEARCH("NOT NULL",UPPER(F$3))),"''","null"),SUBSTITUTE(VLOOKUP(F$2,convert!$A$1:$B$4,2,0),"@@@",F974))</f>
        <v>127</v>
      </c>
      <c r="V974" s="4" t="str">
        <f>IF(G974="",IF(ISNUMBER(SEARCH("NOT NULL",UPPER(G$3))),"''","null"),SUBSTITUTE(VLOOKUP(G$2,convert!$A$1:$B$4,2,0),"@@@",G974))</f>
        <v>89</v>
      </c>
      <c r="W974" s="4" t="str">
        <f>IF(H974="",IF(ISNUMBER(SEARCH("NOT NULL",UPPER(H$3))),"''","null"),SUBSTITUTE(VLOOKUP(H$2,convert!$A$1:$B$4,2,0),"@@@",H974))</f>
        <v>79</v>
      </c>
      <c r="X974" s="4" t="str">
        <f>IF(I974="",IF(ISNUMBER(SEARCH("NOT NULL",UPPER(I$3))),"''","null"),SUBSTITUTE(VLOOKUP(I$2,convert!$A$1:$B$4,2,0),"@@@",I974))</f>
        <v>''</v>
      </c>
      <c r="Y974" s="4" t="str">
        <f>IF(J974="",IF(ISNUMBER(SEARCH("NOT NULL",UPPER(J$3))),"''","null"),SUBSTITUTE(VLOOKUP(J$2,convert!$A$1:$B$4,2,0),"@@@",J974))</f>
        <v>'psychic'</v>
      </c>
      <c r="Z974" s="4" t="str">
        <f>IF(K974="",IF(ISNUMBER(SEARCH("NOT NULL",UPPER(K$3))),"''","null"),SUBSTITUTE(VLOOKUP(K$2,convert!$A$1:$B$4,2,0),"@@@",K974))</f>
        <v>null</v>
      </c>
      <c r="AA974" s="4" t="str">
        <f>IF(L974="",IF(ISNUMBER(SEARCH("NOT NULL",UPPER(L$3))),"''","null"),SUBSTITUTE(VLOOKUP(L$2,convert!$A$1:$B$4,2,0),"@@@",L974))</f>
        <v>'g7'</v>
      </c>
      <c r="AB974" s="4" t="str">
        <f>IF(M974="",IF(ISNUMBER(SEARCH("NOT NULL",UPPER(M$3))),"''","null"),SUBSTITUTE(VLOOKUP(M$2,convert!$A$1:$B$4,2,0),"@@@",M974))</f>
        <v>null</v>
      </c>
      <c r="AC974" s="4" t="str">
        <f>IF(N974="",IF(ISNUMBER(SEARCH("NOT NULL",UPPER(N$3))),"''","null"),SUBSTITUTE(VLOOKUP(N$2,convert!$A$1:$B$4,2,0),"@@@",N974))</f>
        <v>null</v>
      </c>
      <c r="AD974" s="4" t="str">
        <f>IF(O974="",IF(ISNUMBER(SEARCH("NOT NULL",UPPER(O$3))),"''","null"),SUBSTITUTE(VLOOKUP(O$2,convert!$A$1:$B$4,2,0),"@@@",O974))</f>
        <v>FALSE</v>
      </c>
      <c r="AE974" s="4" t="str">
        <f t="shared" si="15"/>
        <v>    ('0800N01', 'ネクロズマ', 97, 107, 101, 127, 89, 79, '', 'psychic', null, 'g7', null, null, FALSE),</v>
      </c>
    </row>
    <row r="975" spans="1:31">
      <c r="A975" s="4" t="s">
        <v>1956</v>
      </c>
      <c r="B975" s="4" t="s">
        <v>1955</v>
      </c>
      <c r="C975" s="5">
        <v>97</v>
      </c>
      <c r="D975" s="5">
        <v>157</v>
      </c>
      <c r="E975" s="5">
        <v>127</v>
      </c>
      <c r="F975" s="5">
        <v>113</v>
      </c>
      <c r="G975" s="5">
        <v>109</v>
      </c>
      <c r="H975" s="5">
        <v>77</v>
      </c>
      <c r="I975" s="4" t="s">
        <v>1957</v>
      </c>
      <c r="J975" s="4" t="s">
        <v>113</v>
      </c>
      <c r="K975" s="4" t="s">
        <v>119</v>
      </c>
      <c r="L975" s="4" t="s">
        <v>92</v>
      </c>
      <c r="M975" s="5"/>
      <c r="N975" s="5"/>
      <c r="O975" s="5" t="b">
        <v>0</v>
      </c>
      <c r="P975" s="4" t="str">
        <f>IF(A975="",IF(ISNUMBER(SEARCH("NOT NULL",UPPER(A$3))),"''","null"),SUBSTITUTE(VLOOKUP(A$2,convert!$A$1:$B$4,2,0),"@@@",A975))</f>
        <v>'0800N02'</v>
      </c>
      <c r="Q975" s="4" t="str">
        <f>IF(B975="",IF(ISNUMBER(SEARCH("NOT NULL",UPPER(B$3))),"''","null"),SUBSTITUTE(VLOOKUP(B$2,convert!$A$1:$B$4,2,0),"@@@",B975))</f>
        <v>'ネクロズマ'</v>
      </c>
      <c r="R975" s="4" t="str">
        <f>IF(C975="",IF(ISNUMBER(SEARCH("NOT NULL",UPPER(C$3))),"''","null"),SUBSTITUTE(VLOOKUP(C$2,convert!$A$1:$B$4,2,0),"@@@",C975))</f>
        <v>97</v>
      </c>
      <c r="S975" s="4" t="str">
        <f>IF(D975="",IF(ISNUMBER(SEARCH("NOT NULL",UPPER(D$3))),"''","null"),SUBSTITUTE(VLOOKUP(D$2,convert!$A$1:$B$4,2,0),"@@@",D975))</f>
        <v>157</v>
      </c>
      <c r="T975" s="4" t="str">
        <f>IF(E975="",IF(ISNUMBER(SEARCH("NOT NULL",UPPER(E$3))),"''","null"),SUBSTITUTE(VLOOKUP(E$2,convert!$A$1:$B$4,2,0),"@@@",E975))</f>
        <v>127</v>
      </c>
      <c r="U975" s="4" t="str">
        <f>IF(F975="",IF(ISNUMBER(SEARCH("NOT NULL",UPPER(F$3))),"''","null"),SUBSTITUTE(VLOOKUP(F$2,convert!$A$1:$B$4,2,0),"@@@",F975))</f>
        <v>113</v>
      </c>
      <c r="V975" s="4" t="str">
        <f>IF(G975="",IF(ISNUMBER(SEARCH("NOT NULL",UPPER(G$3))),"''","null"),SUBSTITUTE(VLOOKUP(G$2,convert!$A$1:$B$4,2,0),"@@@",G975))</f>
        <v>109</v>
      </c>
      <c r="W975" s="4" t="str">
        <f>IF(H975="",IF(ISNUMBER(SEARCH("NOT NULL",UPPER(H$3))),"''","null"),SUBSTITUTE(VLOOKUP(H$2,convert!$A$1:$B$4,2,0),"@@@",H975))</f>
        <v>77</v>
      </c>
      <c r="X975" s="4" t="str">
        <f>IF(I975="",IF(ISNUMBER(SEARCH("NOT NULL",UPPER(I$3))),"''","null"),SUBSTITUTE(VLOOKUP(I$2,convert!$A$1:$B$4,2,0),"@@@",I975))</f>
        <v>'たそがれのたてがみ(日食)'</v>
      </c>
      <c r="Y975" s="4" t="str">
        <f>IF(J975="",IF(ISNUMBER(SEARCH("NOT NULL",UPPER(J$3))),"''","null"),SUBSTITUTE(VLOOKUP(J$2,convert!$A$1:$B$4,2,0),"@@@",J975))</f>
        <v>'psychic'</v>
      </c>
      <c r="Z975" s="4" t="str">
        <f>IF(K975="",IF(ISNUMBER(SEARCH("NOT NULL",UPPER(K$3))),"''","null"),SUBSTITUTE(VLOOKUP(K$2,convert!$A$1:$B$4,2,0),"@@@",K975))</f>
        <v>'steel'</v>
      </c>
      <c r="AA975" s="4" t="str">
        <f>IF(L975="",IF(ISNUMBER(SEARCH("NOT NULL",UPPER(L$3))),"''","null"),SUBSTITUTE(VLOOKUP(L$2,convert!$A$1:$B$4,2,0),"@@@",L975))</f>
        <v>'g7'</v>
      </c>
      <c r="AB975" s="4" t="str">
        <f>IF(M975="",IF(ISNUMBER(SEARCH("NOT NULL",UPPER(M$3))),"''","null"),SUBSTITUTE(VLOOKUP(M$2,convert!$A$1:$B$4,2,0),"@@@",M975))</f>
        <v>null</v>
      </c>
      <c r="AC975" s="4" t="str">
        <f>IF(N975="",IF(ISNUMBER(SEARCH("NOT NULL",UPPER(N$3))),"''","null"),SUBSTITUTE(VLOOKUP(N$2,convert!$A$1:$B$4,2,0),"@@@",N975))</f>
        <v>null</v>
      </c>
      <c r="AD975" s="4" t="str">
        <f>IF(O975="",IF(ISNUMBER(SEARCH("NOT NULL",UPPER(O$3))),"''","null"),SUBSTITUTE(VLOOKUP(O$2,convert!$A$1:$B$4,2,0),"@@@",O975))</f>
        <v>FALSE</v>
      </c>
      <c r="AE975" s="4" t="str">
        <f t="shared" si="15"/>
        <v>    ('0800N02', 'ネクロズマ', 97, 157, 127, 113, 109, 77, 'たそがれのたてがみ(日食)', 'psychic', 'steel', 'g7', null, null, FALSE),</v>
      </c>
    </row>
    <row r="976" spans="1:31">
      <c r="A976" s="4" t="s">
        <v>1958</v>
      </c>
      <c r="B976" s="4" t="s">
        <v>1955</v>
      </c>
      <c r="C976" s="5">
        <v>97</v>
      </c>
      <c r="D976" s="5">
        <v>113</v>
      </c>
      <c r="E976" s="5">
        <v>109</v>
      </c>
      <c r="F976" s="5">
        <v>157</v>
      </c>
      <c r="G976" s="5">
        <v>127</v>
      </c>
      <c r="H976" s="5">
        <v>77</v>
      </c>
      <c r="I976" s="4" t="s">
        <v>1959</v>
      </c>
      <c r="J976" s="4" t="s">
        <v>113</v>
      </c>
      <c r="K976" s="4" t="s">
        <v>281</v>
      </c>
      <c r="L976" s="4" t="s">
        <v>92</v>
      </c>
      <c r="M976" s="5"/>
      <c r="N976" s="5"/>
      <c r="O976" s="5" t="b">
        <v>0</v>
      </c>
      <c r="P976" s="4" t="str">
        <f>IF(A976="",IF(ISNUMBER(SEARCH("NOT NULL",UPPER(A$3))),"''","null"),SUBSTITUTE(VLOOKUP(A$2,convert!$A$1:$B$4,2,0),"@@@",A976))</f>
        <v>'0800N03'</v>
      </c>
      <c r="Q976" s="4" t="str">
        <f>IF(B976="",IF(ISNUMBER(SEARCH("NOT NULL",UPPER(B$3))),"''","null"),SUBSTITUTE(VLOOKUP(B$2,convert!$A$1:$B$4,2,0),"@@@",B976))</f>
        <v>'ネクロズマ'</v>
      </c>
      <c r="R976" s="4" t="str">
        <f>IF(C976="",IF(ISNUMBER(SEARCH("NOT NULL",UPPER(C$3))),"''","null"),SUBSTITUTE(VLOOKUP(C$2,convert!$A$1:$B$4,2,0),"@@@",C976))</f>
        <v>97</v>
      </c>
      <c r="S976" s="4" t="str">
        <f>IF(D976="",IF(ISNUMBER(SEARCH("NOT NULL",UPPER(D$3))),"''","null"),SUBSTITUTE(VLOOKUP(D$2,convert!$A$1:$B$4,2,0),"@@@",D976))</f>
        <v>113</v>
      </c>
      <c r="T976" s="4" t="str">
        <f>IF(E976="",IF(ISNUMBER(SEARCH("NOT NULL",UPPER(E$3))),"''","null"),SUBSTITUTE(VLOOKUP(E$2,convert!$A$1:$B$4,2,0),"@@@",E976))</f>
        <v>109</v>
      </c>
      <c r="U976" s="4" t="str">
        <f>IF(F976="",IF(ISNUMBER(SEARCH("NOT NULL",UPPER(F$3))),"''","null"),SUBSTITUTE(VLOOKUP(F$2,convert!$A$1:$B$4,2,0),"@@@",F976))</f>
        <v>157</v>
      </c>
      <c r="V976" s="4" t="str">
        <f>IF(G976="",IF(ISNUMBER(SEARCH("NOT NULL",UPPER(G$3))),"''","null"),SUBSTITUTE(VLOOKUP(G$2,convert!$A$1:$B$4,2,0),"@@@",G976))</f>
        <v>127</v>
      </c>
      <c r="W976" s="4" t="str">
        <f>IF(H976="",IF(ISNUMBER(SEARCH("NOT NULL",UPPER(H$3))),"''","null"),SUBSTITUTE(VLOOKUP(H$2,convert!$A$1:$B$4,2,0),"@@@",H976))</f>
        <v>77</v>
      </c>
      <c r="X976" s="4" t="str">
        <f>IF(I976="",IF(ISNUMBER(SEARCH("NOT NULL",UPPER(I$3))),"''","null"),SUBSTITUTE(VLOOKUP(I$2,convert!$A$1:$B$4,2,0),"@@@",I976))</f>
        <v>'あかつきのつばさ(月食)'</v>
      </c>
      <c r="Y976" s="4" t="str">
        <f>IF(J976="",IF(ISNUMBER(SEARCH("NOT NULL",UPPER(J$3))),"''","null"),SUBSTITUTE(VLOOKUP(J$2,convert!$A$1:$B$4,2,0),"@@@",J976))</f>
        <v>'psychic'</v>
      </c>
      <c r="Z976" s="4" t="str">
        <f>IF(K976="",IF(ISNUMBER(SEARCH("NOT NULL",UPPER(K$3))),"''","null"),SUBSTITUTE(VLOOKUP(K$2,convert!$A$1:$B$4,2,0),"@@@",K976))</f>
        <v>'ghost'</v>
      </c>
      <c r="AA976" s="4" t="str">
        <f>IF(L976="",IF(ISNUMBER(SEARCH("NOT NULL",UPPER(L$3))),"''","null"),SUBSTITUTE(VLOOKUP(L$2,convert!$A$1:$B$4,2,0),"@@@",L976))</f>
        <v>'g7'</v>
      </c>
      <c r="AB976" s="4" t="str">
        <f>IF(M976="",IF(ISNUMBER(SEARCH("NOT NULL",UPPER(M$3))),"''","null"),SUBSTITUTE(VLOOKUP(M$2,convert!$A$1:$B$4,2,0),"@@@",M976))</f>
        <v>null</v>
      </c>
      <c r="AC976" s="4" t="str">
        <f>IF(N976="",IF(ISNUMBER(SEARCH("NOT NULL",UPPER(N$3))),"''","null"),SUBSTITUTE(VLOOKUP(N$2,convert!$A$1:$B$4,2,0),"@@@",N976))</f>
        <v>null</v>
      </c>
      <c r="AD976" s="4" t="str">
        <f>IF(O976="",IF(ISNUMBER(SEARCH("NOT NULL",UPPER(O$3))),"''","null"),SUBSTITUTE(VLOOKUP(O$2,convert!$A$1:$B$4,2,0),"@@@",O976))</f>
        <v>FALSE</v>
      </c>
      <c r="AE976" s="4" t="str">
        <f t="shared" si="15"/>
        <v>    ('0800N03', 'ネクロズマ', 97, 113, 109, 157, 127, 77, 'あかつきのつばさ(月食)', 'psychic', 'ghost', 'g7', null, null, FALSE),</v>
      </c>
    </row>
    <row r="977" spans="1:31">
      <c r="A977" s="4" t="s">
        <v>1960</v>
      </c>
      <c r="B977" s="4" t="s">
        <v>1955</v>
      </c>
      <c r="C977" s="5">
        <v>97</v>
      </c>
      <c r="D977" s="5">
        <v>167</v>
      </c>
      <c r="E977" s="5">
        <v>97</v>
      </c>
      <c r="F977" s="5">
        <v>167</v>
      </c>
      <c r="G977" s="5">
        <v>97</v>
      </c>
      <c r="H977" s="5">
        <v>129</v>
      </c>
      <c r="I977" s="4" t="s">
        <v>1961</v>
      </c>
      <c r="J977" s="4" t="s">
        <v>113</v>
      </c>
      <c r="K977" s="4" t="s">
        <v>50</v>
      </c>
      <c r="L977" s="4" t="s">
        <v>92</v>
      </c>
      <c r="M977" s="5"/>
      <c r="N977" s="5"/>
      <c r="O977" s="5" t="b">
        <v>0</v>
      </c>
      <c r="P977" s="4" t="str">
        <f>IF(A977="",IF(ISNUMBER(SEARCH("NOT NULL",UPPER(A$3))),"''","null"),SUBSTITUTE(VLOOKUP(A$2,convert!$A$1:$B$4,2,0),"@@@",A977))</f>
        <v>'0800N04'</v>
      </c>
      <c r="Q977" s="4" t="str">
        <f>IF(B977="",IF(ISNUMBER(SEARCH("NOT NULL",UPPER(B$3))),"''","null"),SUBSTITUTE(VLOOKUP(B$2,convert!$A$1:$B$4,2,0),"@@@",B977))</f>
        <v>'ネクロズマ'</v>
      </c>
      <c r="R977" s="4" t="str">
        <f>IF(C977="",IF(ISNUMBER(SEARCH("NOT NULL",UPPER(C$3))),"''","null"),SUBSTITUTE(VLOOKUP(C$2,convert!$A$1:$B$4,2,0),"@@@",C977))</f>
        <v>97</v>
      </c>
      <c r="S977" s="4" t="str">
        <f>IF(D977="",IF(ISNUMBER(SEARCH("NOT NULL",UPPER(D$3))),"''","null"),SUBSTITUTE(VLOOKUP(D$2,convert!$A$1:$B$4,2,0),"@@@",D977))</f>
        <v>167</v>
      </c>
      <c r="T977" s="4" t="str">
        <f>IF(E977="",IF(ISNUMBER(SEARCH("NOT NULL",UPPER(E$3))),"''","null"),SUBSTITUTE(VLOOKUP(E$2,convert!$A$1:$B$4,2,0),"@@@",E977))</f>
        <v>97</v>
      </c>
      <c r="U977" s="4" t="str">
        <f>IF(F977="",IF(ISNUMBER(SEARCH("NOT NULL",UPPER(F$3))),"''","null"),SUBSTITUTE(VLOOKUP(F$2,convert!$A$1:$B$4,2,0),"@@@",F977))</f>
        <v>167</v>
      </c>
      <c r="V977" s="4" t="str">
        <f>IF(G977="",IF(ISNUMBER(SEARCH("NOT NULL",UPPER(G$3))),"''","null"),SUBSTITUTE(VLOOKUP(G$2,convert!$A$1:$B$4,2,0),"@@@",G977))</f>
        <v>97</v>
      </c>
      <c r="W977" s="4" t="str">
        <f>IF(H977="",IF(ISNUMBER(SEARCH("NOT NULL",UPPER(H$3))),"''","null"),SUBSTITUTE(VLOOKUP(H$2,convert!$A$1:$B$4,2,0),"@@@",H977))</f>
        <v>129</v>
      </c>
      <c r="X977" s="4" t="str">
        <f>IF(I977="",IF(ISNUMBER(SEARCH("NOT NULL",UPPER(I$3))),"''","null"),SUBSTITUTE(VLOOKUP(I$2,convert!$A$1:$B$4,2,0),"@@@",I977))</f>
        <v>'ウルトラネクロズマ'</v>
      </c>
      <c r="Y977" s="4" t="str">
        <f>IF(J977="",IF(ISNUMBER(SEARCH("NOT NULL",UPPER(J$3))),"''","null"),SUBSTITUTE(VLOOKUP(J$2,convert!$A$1:$B$4,2,0),"@@@",J977))</f>
        <v>'psychic'</v>
      </c>
      <c r="Z977" s="4" t="str">
        <f>IF(K977="",IF(ISNUMBER(SEARCH("NOT NULL",UPPER(K$3))),"''","null"),SUBSTITUTE(VLOOKUP(K$2,convert!$A$1:$B$4,2,0),"@@@",K977))</f>
        <v>'dragon'</v>
      </c>
      <c r="AA977" s="4" t="str">
        <f>IF(L977="",IF(ISNUMBER(SEARCH("NOT NULL",UPPER(L$3))),"''","null"),SUBSTITUTE(VLOOKUP(L$2,convert!$A$1:$B$4,2,0),"@@@",L977))</f>
        <v>'g7'</v>
      </c>
      <c r="AB977" s="4" t="str">
        <f>IF(M977="",IF(ISNUMBER(SEARCH("NOT NULL",UPPER(M$3))),"''","null"),SUBSTITUTE(VLOOKUP(M$2,convert!$A$1:$B$4,2,0),"@@@",M977))</f>
        <v>null</v>
      </c>
      <c r="AC977" s="4" t="str">
        <f>IF(N977="",IF(ISNUMBER(SEARCH("NOT NULL",UPPER(N$3))),"''","null"),SUBSTITUTE(VLOOKUP(N$2,convert!$A$1:$B$4,2,0),"@@@",N977))</f>
        <v>null</v>
      </c>
      <c r="AD977" s="4" t="str">
        <f>IF(O977="",IF(ISNUMBER(SEARCH("NOT NULL",UPPER(O$3))),"''","null"),SUBSTITUTE(VLOOKUP(O$2,convert!$A$1:$B$4,2,0),"@@@",O977))</f>
        <v>FALSE</v>
      </c>
      <c r="AE977" s="4" t="str">
        <f t="shared" si="15"/>
        <v>    ('0800N04', 'ネクロズマ', 97, 167, 97, 167, 97, 129, 'ウルトラネクロズマ', 'psychic', 'dragon', 'g7', null, null, FALSE),</v>
      </c>
    </row>
    <row r="978" spans="1:31">
      <c r="A978" s="4" t="s">
        <v>1962</v>
      </c>
      <c r="B978" s="4" t="s">
        <v>1963</v>
      </c>
      <c r="C978" s="5">
        <v>80</v>
      </c>
      <c r="D978" s="5">
        <v>95</v>
      </c>
      <c r="E978" s="5">
        <v>115</v>
      </c>
      <c r="F978" s="5">
        <v>130</v>
      </c>
      <c r="G978" s="5">
        <v>115</v>
      </c>
      <c r="H978" s="5">
        <v>65</v>
      </c>
      <c r="I978" s="5"/>
      <c r="J978" s="4" t="s">
        <v>119</v>
      </c>
      <c r="K978" s="4" t="s">
        <v>137</v>
      </c>
      <c r="L978" s="4" t="s">
        <v>92</v>
      </c>
      <c r="M978" s="5"/>
      <c r="N978" s="5"/>
      <c r="O978" s="5" t="b">
        <v>0</v>
      </c>
      <c r="P978" s="4" t="str">
        <f>IF(A978="",IF(ISNUMBER(SEARCH("NOT NULL",UPPER(A$3))),"''","null"),SUBSTITUTE(VLOOKUP(A$2,convert!$A$1:$B$4,2,0),"@@@",A978))</f>
        <v>'0801N01'</v>
      </c>
      <c r="Q978" s="4" t="str">
        <f>IF(B978="",IF(ISNUMBER(SEARCH("NOT NULL",UPPER(B$3))),"''","null"),SUBSTITUTE(VLOOKUP(B$2,convert!$A$1:$B$4,2,0),"@@@",B978))</f>
        <v>'マギアナ'</v>
      </c>
      <c r="R978" s="4" t="str">
        <f>IF(C978="",IF(ISNUMBER(SEARCH("NOT NULL",UPPER(C$3))),"''","null"),SUBSTITUTE(VLOOKUP(C$2,convert!$A$1:$B$4,2,0),"@@@",C978))</f>
        <v>80</v>
      </c>
      <c r="S978" s="4" t="str">
        <f>IF(D978="",IF(ISNUMBER(SEARCH("NOT NULL",UPPER(D$3))),"''","null"),SUBSTITUTE(VLOOKUP(D$2,convert!$A$1:$B$4,2,0),"@@@",D978))</f>
        <v>95</v>
      </c>
      <c r="T978" s="4" t="str">
        <f>IF(E978="",IF(ISNUMBER(SEARCH("NOT NULL",UPPER(E$3))),"''","null"),SUBSTITUTE(VLOOKUP(E$2,convert!$A$1:$B$4,2,0),"@@@",E978))</f>
        <v>115</v>
      </c>
      <c r="U978" s="4" t="str">
        <f>IF(F978="",IF(ISNUMBER(SEARCH("NOT NULL",UPPER(F$3))),"''","null"),SUBSTITUTE(VLOOKUP(F$2,convert!$A$1:$B$4,2,0),"@@@",F978))</f>
        <v>130</v>
      </c>
      <c r="V978" s="4" t="str">
        <f>IF(G978="",IF(ISNUMBER(SEARCH("NOT NULL",UPPER(G$3))),"''","null"),SUBSTITUTE(VLOOKUP(G$2,convert!$A$1:$B$4,2,0),"@@@",G978))</f>
        <v>115</v>
      </c>
      <c r="W978" s="4" t="str">
        <f>IF(H978="",IF(ISNUMBER(SEARCH("NOT NULL",UPPER(H$3))),"''","null"),SUBSTITUTE(VLOOKUP(H$2,convert!$A$1:$B$4,2,0),"@@@",H978))</f>
        <v>65</v>
      </c>
      <c r="X978" s="4" t="str">
        <f>IF(I978="",IF(ISNUMBER(SEARCH("NOT NULL",UPPER(I$3))),"''","null"),SUBSTITUTE(VLOOKUP(I$2,convert!$A$1:$B$4,2,0),"@@@",I978))</f>
        <v>''</v>
      </c>
      <c r="Y978" s="4" t="str">
        <f>IF(J978="",IF(ISNUMBER(SEARCH("NOT NULL",UPPER(J$3))),"''","null"),SUBSTITUTE(VLOOKUP(J$2,convert!$A$1:$B$4,2,0),"@@@",J978))</f>
        <v>'steel'</v>
      </c>
      <c r="Z978" s="4" t="str">
        <f>IF(K978="",IF(ISNUMBER(SEARCH("NOT NULL",UPPER(K$3))),"''","null"),SUBSTITUTE(VLOOKUP(K$2,convert!$A$1:$B$4,2,0),"@@@",K978))</f>
        <v>'fairy'</v>
      </c>
      <c r="AA978" s="4" t="str">
        <f>IF(L978="",IF(ISNUMBER(SEARCH("NOT NULL",UPPER(L$3))),"''","null"),SUBSTITUTE(VLOOKUP(L$2,convert!$A$1:$B$4,2,0),"@@@",L978))</f>
        <v>'g7'</v>
      </c>
      <c r="AB978" s="4" t="str">
        <f>IF(M978="",IF(ISNUMBER(SEARCH("NOT NULL",UPPER(M$3))),"''","null"),SUBSTITUTE(VLOOKUP(M$2,convert!$A$1:$B$4,2,0),"@@@",M978))</f>
        <v>null</v>
      </c>
      <c r="AC978" s="4" t="str">
        <f>IF(N978="",IF(ISNUMBER(SEARCH("NOT NULL",UPPER(N$3))),"''","null"),SUBSTITUTE(VLOOKUP(N$2,convert!$A$1:$B$4,2,0),"@@@",N978))</f>
        <v>null</v>
      </c>
      <c r="AD978" s="4" t="str">
        <f>IF(O978="",IF(ISNUMBER(SEARCH("NOT NULL",UPPER(O$3))),"''","null"),SUBSTITUTE(VLOOKUP(O$2,convert!$A$1:$B$4,2,0),"@@@",O978))</f>
        <v>FALSE</v>
      </c>
      <c r="AE978" s="4" t="str">
        <f t="shared" si="15"/>
        <v>    ('0801N01', 'マギアナ', 80, 95, 115, 130, 115, 65, '', 'steel', 'fairy', 'g7', null, null, FALSE),</v>
      </c>
    </row>
    <row r="979" spans="1:31">
      <c r="A979" s="4" t="s">
        <v>1964</v>
      </c>
      <c r="B979" s="4" t="s">
        <v>1965</v>
      </c>
      <c r="C979" s="5">
        <v>90</v>
      </c>
      <c r="D979" s="5">
        <v>125</v>
      </c>
      <c r="E979" s="5">
        <v>80</v>
      </c>
      <c r="F979" s="5">
        <v>90</v>
      </c>
      <c r="G979" s="5">
        <v>90</v>
      </c>
      <c r="H979" s="5">
        <v>125</v>
      </c>
      <c r="I979" s="5"/>
      <c r="J979" s="4" t="s">
        <v>189</v>
      </c>
      <c r="K979" s="4" t="s">
        <v>281</v>
      </c>
      <c r="L979" s="4" t="s">
        <v>92</v>
      </c>
      <c r="M979" s="5"/>
      <c r="N979" s="5"/>
      <c r="O979" s="5" t="b">
        <v>0</v>
      </c>
      <c r="P979" s="4" t="str">
        <f>IF(A979="",IF(ISNUMBER(SEARCH("NOT NULL",UPPER(A$3))),"''","null"),SUBSTITUTE(VLOOKUP(A$2,convert!$A$1:$B$4,2,0),"@@@",A979))</f>
        <v>'0802N01'</v>
      </c>
      <c r="Q979" s="4" t="str">
        <f>IF(B979="",IF(ISNUMBER(SEARCH("NOT NULL",UPPER(B$3))),"''","null"),SUBSTITUTE(VLOOKUP(B$2,convert!$A$1:$B$4,2,0),"@@@",B979))</f>
        <v>'マーシャドー'</v>
      </c>
      <c r="R979" s="4" t="str">
        <f>IF(C979="",IF(ISNUMBER(SEARCH("NOT NULL",UPPER(C$3))),"''","null"),SUBSTITUTE(VLOOKUP(C$2,convert!$A$1:$B$4,2,0),"@@@",C979))</f>
        <v>90</v>
      </c>
      <c r="S979" s="4" t="str">
        <f>IF(D979="",IF(ISNUMBER(SEARCH("NOT NULL",UPPER(D$3))),"''","null"),SUBSTITUTE(VLOOKUP(D$2,convert!$A$1:$B$4,2,0),"@@@",D979))</f>
        <v>125</v>
      </c>
      <c r="T979" s="4" t="str">
        <f>IF(E979="",IF(ISNUMBER(SEARCH("NOT NULL",UPPER(E$3))),"''","null"),SUBSTITUTE(VLOOKUP(E$2,convert!$A$1:$B$4,2,0),"@@@",E979))</f>
        <v>80</v>
      </c>
      <c r="U979" s="4" t="str">
        <f>IF(F979="",IF(ISNUMBER(SEARCH("NOT NULL",UPPER(F$3))),"''","null"),SUBSTITUTE(VLOOKUP(F$2,convert!$A$1:$B$4,2,0),"@@@",F979))</f>
        <v>90</v>
      </c>
      <c r="V979" s="4" t="str">
        <f>IF(G979="",IF(ISNUMBER(SEARCH("NOT NULL",UPPER(G$3))),"''","null"),SUBSTITUTE(VLOOKUP(G$2,convert!$A$1:$B$4,2,0),"@@@",G979))</f>
        <v>90</v>
      </c>
      <c r="W979" s="4" t="str">
        <f>IF(H979="",IF(ISNUMBER(SEARCH("NOT NULL",UPPER(H$3))),"''","null"),SUBSTITUTE(VLOOKUP(H$2,convert!$A$1:$B$4,2,0),"@@@",H979))</f>
        <v>125</v>
      </c>
      <c r="X979" s="4" t="str">
        <f>IF(I979="",IF(ISNUMBER(SEARCH("NOT NULL",UPPER(I$3))),"''","null"),SUBSTITUTE(VLOOKUP(I$2,convert!$A$1:$B$4,2,0),"@@@",I979))</f>
        <v>''</v>
      </c>
      <c r="Y979" s="4" t="str">
        <f>IF(J979="",IF(ISNUMBER(SEARCH("NOT NULL",UPPER(J$3))),"''","null"),SUBSTITUTE(VLOOKUP(J$2,convert!$A$1:$B$4,2,0),"@@@",J979))</f>
        <v>'fighting'</v>
      </c>
      <c r="Z979" s="4" t="str">
        <f>IF(K979="",IF(ISNUMBER(SEARCH("NOT NULL",UPPER(K$3))),"''","null"),SUBSTITUTE(VLOOKUP(K$2,convert!$A$1:$B$4,2,0),"@@@",K979))</f>
        <v>'ghost'</v>
      </c>
      <c r="AA979" s="4" t="str">
        <f>IF(L979="",IF(ISNUMBER(SEARCH("NOT NULL",UPPER(L$3))),"''","null"),SUBSTITUTE(VLOOKUP(L$2,convert!$A$1:$B$4,2,0),"@@@",L979))</f>
        <v>'g7'</v>
      </c>
      <c r="AB979" s="4" t="str">
        <f>IF(M979="",IF(ISNUMBER(SEARCH("NOT NULL",UPPER(M$3))),"''","null"),SUBSTITUTE(VLOOKUP(M$2,convert!$A$1:$B$4,2,0),"@@@",M979))</f>
        <v>null</v>
      </c>
      <c r="AC979" s="4" t="str">
        <f>IF(N979="",IF(ISNUMBER(SEARCH("NOT NULL",UPPER(N$3))),"''","null"),SUBSTITUTE(VLOOKUP(N$2,convert!$A$1:$B$4,2,0),"@@@",N979))</f>
        <v>null</v>
      </c>
      <c r="AD979" s="4" t="str">
        <f>IF(O979="",IF(ISNUMBER(SEARCH("NOT NULL",UPPER(O$3))),"''","null"),SUBSTITUTE(VLOOKUP(O$2,convert!$A$1:$B$4,2,0),"@@@",O979))</f>
        <v>FALSE</v>
      </c>
      <c r="AE979" s="4" t="str">
        <f t="shared" si="15"/>
        <v>    ('0802N01', 'マーシャドー', 90, 125, 80, 90, 90, 125, '', 'fighting', 'ghost', 'g7', null, null, FALSE),</v>
      </c>
    </row>
    <row r="980" spans="1:31">
      <c r="A980" s="4" t="s">
        <v>1966</v>
      </c>
      <c r="B980" s="4" t="s">
        <v>1967</v>
      </c>
      <c r="C980" s="5">
        <v>67</v>
      </c>
      <c r="D980" s="5">
        <v>73</v>
      </c>
      <c r="E980" s="5">
        <v>67</v>
      </c>
      <c r="F980" s="5">
        <v>73</v>
      </c>
      <c r="G980" s="5">
        <v>67</v>
      </c>
      <c r="H980" s="5">
        <v>73</v>
      </c>
      <c r="I980" s="5"/>
      <c r="J980" s="4" t="s">
        <v>31</v>
      </c>
      <c r="K980" s="5"/>
      <c r="L980" s="4" t="s">
        <v>92</v>
      </c>
      <c r="M980" s="5"/>
      <c r="N980" s="5"/>
      <c r="O980" s="5" t="b">
        <v>0</v>
      </c>
      <c r="P980" s="4" t="str">
        <f>IF(A980="",IF(ISNUMBER(SEARCH("NOT NULL",UPPER(A$3))),"''","null"),SUBSTITUTE(VLOOKUP(A$2,convert!$A$1:$B$4,2,0),"@@@",A980))</f>
        <v>'0803N01'</v>
      </c>
      <c r="Q980" s="4" t="str">
        <f>IF(B980="",IF(ISNUMBER(SEARCH("NOT NULL",UPPER(B$3))),"''","null"),SUBSTITUTE(VLOOKUP(B$2,convert!$A$1:$B$4,2,0),"@@@",B980))</f>
        <v>'ベベノム'</v>
      </c>
      <c r="R980" s="4" t="str">
        <f>IF(C980="",IF(ISNUMBER(SEARCH("NOT NULL",UPPER(C$3))),"''","null"),SUBSTITUTE(VLOOKUP(C$2,convert!$A$1:$B$4,2,0),"@@@",C980))</f>
        <v>67</v>
      </c>
      <c r="S980" s="4" t="str">
        <f>IF(D980="",IF(ISNUMBER(SEARCH("NOT NULL",UPPER(D$3))),"''","null"),SUBSTITUTE(VLOOKUP(D$2,convert!$A$1:$B$4,2,0),"@@@",D980))</f>
        <v>73</v>
      </c>
      <c r="T980" s="4" t="str">
        <f>IF(E980="",IF(ISNUMBER(SEARCH("NOT NULL",UPPER(E$3))),"''","null"),SUBSTITUTE(VLOOKUP(E$2,convert!$A$1:$B$4,2,0),"@@@",E980))</f>
        <v>67</v>
      </c>
      <c r="U980" s="4" t="str">
        <f>IF(F980="",IF(ISNUMBER(SEARCH("NOT NULL",UPPER(F$3))),"''","null"),SUBSTITUTE(VLOOKUP(F$2,convert!$A$1:$B$4,2,0),"@@@",F980))</f>
        <v>73</v>
      </c>
      <c r="V980" s="4" t="str">
        <f>IF(G980="",IF(ISNUMBER(SEARCH("NOT NULL",UPPER(G$3))),"''","null"),SUBSTITUTE(VLOOKUP(G$2,convert!$A$1:$B$4,2,0),"@@@",G980))</f>
        <v>67</v>
      </c>
      <c r="W980" s="4" t="str">
        <f>IF(H980="",IF(ISNUMBER(SEARCH("NOT NULL",UPPER(H$3))),"''","null"),SUBSTITUTE(VLOOKUP(H$2,convert!$A$1:$B$4,2,0),"@@@",H980))</f>
        <v>73</v>
      </c>
      <c r="X980" s="4" t="str">
        <f>IF(I980="",IF(ISNUMBER(SEARCH("NOT NULL",UPPER(I$3))),"''","null"),SUBSTITUTE(VLOOKUP(I$2,convert!$A$1:$B$4,2,0),"@@@",I980))</f>
        <v>''</v>
      </c>
      <c r="Y980" s="4" t="str">
        <f>IF(J980="",IF(ISNUMBER(SEARCH("NOT NULL",UPPER(J$3))),"''","null"),SUBSTITUTE(VLOOKUP(J$2,convert!$A$1:$B$4,2,0),"@@@",J980))</f>
        <v>'poison'</v>
      </c>
      <c r="Z980" s="4" t="str">
        <f>IF(K980="",IF(ISNUMBER(SEARCH("NOT NULL",UPPER(K$3))),"''","null"),SUBSTITUTE(VLOOKUP(K$2,convert!$A$1:$B$4,2,0),"@@@",K980))</f>
        <v>null</v>
      </c>
      <c r="AA980" s="4" t="str">
        <f>IF(L980="",IF(ISNUMBER(SEARCH("NOT NULL",UPPER(L$3))),"''","null"),SUBSTITUTE(VLOOKUP(L$2,convert!$A$1:$B$4,2,0),"@@@",L980))</f>
        <v>'g7'</v>
      </c>
      <c r="AB980" s="4" t="str">
        <f>IF(M980="",IF(ISNUMBER(SEARCH("NOT NULL",UPPER(M$3))),"''","null"),SUBSTITUTE(VLOOKUP(M$2,convert!$A$1:$B$4,2,0),"@@@",M980))</f>
        <v>null</v>
      </c>
      <c r="AC980" s="4" t="str">
        <f>IF(N980="",IF(ISNUMBER(SEARCH("NOT NULL",UPPER(N$3))),"''","null"),SUBSTITUTE(VLOOKUP(N$2,convert!$A$1:$B$4,2,0),"@@@",N980))</f>
        <v>null</v>
      </c>
      <c r="AD980" s="4" t="str">
        <f>IF(O980="",IF(ISNUMBER(SEARCH("NOT NULL",UPPER(O$3))),"''","null"),SUBSTITUTE(VLOOKUP(O$2,convert!$A$1:$B$4,2,0),"@@@",O980))</f>
        <v>FALSE</v>
      </c>
      <c r="AE980" s="4" t="str">
        <f t="shared" si="15"/>
        <v>    ('0803N01', 'ベベノム', 67, 73, 67, 73, 67, 73, '', 'poison', null, 'g7', null, null, FALSE),</v>
      </c>
    </row>
    <row r="981" spans="1:31">
      <c r="A981" s="4" t="s">
        <v>1968</v>
      </c>
      <c r="B981" s="4" t="s">
        <v>1969</v>
      </c>
      <c r="C981" s="5">
        <v>73</v>
      </c>
      <c r="D981" s="5">
        <v>73</v>
      </c>
      <c r="E981" s="5">
        <v>73</v>
      </c>
      <c r="F981" s="5">
        <v>127</v>
      </c>
      <c r="G981" s="5">
        <v>73</v>
      </c>
      <c r="H981" s="5">
        <v>121</v>
      </c>
      <c r="I981" s="5"/>
      <c r="J981" s="4" t="s">
        <v>31</v>
      </c>
      <c r="K981" s="4" t="s">
        <v>50</v>
      </c>
      <c r="L981" s="4" t="s">
        <v>92</v>
      </c>
      <c r="M981" s="5"/>
      <c r="N981" s="5"/>
      <c r="O981" s="5" t="b">
        <v>0</v>
      </c>
      <c r="P981" s="4" t="str">
        <f>IF(A981="",IF(ISNUMBER(SEARCH("NOT NULL",UPPER(A$3))),"''","null"),SUBSTITUTE(VLOOKUP(A$2,convert!$A$1:$B$4,2,0),"@@@",A981))</f>
        <v>'0804N01'</v>
      </c>
      <c r="Q981" s="4" t="str">
        <f>IF(B981="",IF(ISNUMBER(SEARCH("NOT NULL",UPPER(B$3))),"''","null"),SUBSTITUTE(VLOOKUP(B$2,convert!$A$1:$B$4,2,0),"@@@",B981))</f>
        <v>'アーゴヨン'</v>
      </c>
      <c r="R981" s="4" t="str">
        <f>IF(C981="",IF(ISNUMBER(SEARCH("NOT NULL",UPPER(C$3))),"''","null"),SUBSTITUTE(VLOOKUP(C$2,convert!$A$1:$B$4,2,0),"@@@",C981))</f>
        <v>73</v>
      </c>
      <c r="S981" s="4" t="str">
        <f>IF(D981="",IF(ISNUMBER(SEARCH("NOT NULL",UPPER(D$3))),"''","null"),SUBSTITUTE(VLOOKUP(D$2,convert!$A$1:$B$4,2,0),"@@@",D981))</f>
        <v>73</v>
      </c>
      <c r="T981" s="4" t="str">
        <f>IF(E981="",IF(ISNUMBER(SEARCH("NOT NULL",UPPER(E$3))),"''","null"),SUBSTITUTE(VLOOKUP(E$2,convert!$A$1:$B$4,2,0),"@@@",E981))</f>
        <v>73</v>
      </c>
      <c r="U981" s="4" t="str">
        <f>IF(F981="",IF(ISNUMBER(SEARCH("NOT NULL",UPPER(F$3))),"''","null"),SUBSTITUTE(VLOOKUP(F$2,convert!$A$1:$B$4,2,0),"@@@",F981))</f>
        <v>127</v>
      </c>
      <c r="V981" s="4" t="str">
        <f>IF(G981="",IF(ISNUMBER(SEARCH("NOT NULL",UPPER(G$3))),"''","null"),SUBSTITUTE(VLOOKUP(G$2,convert!$A$1:$B$4,2,0),"@@@",G981))</f>
        <v>73</v>
      </c>
      <c r="W981" s="4" t="str">
        <f>IF(H981="",IF(ISNUMBER(SEARCH("NOT NULL",UPPER(H$3))),"''","null"),SUBSTITUTE(VLOOKUP(H$2,convert!$A$1:$B$4,2,0),"@@@",H981))</f>
        <v>121</v>
      </c>
      <c r="X981" s="4" t="str">
        <f>IF(I981="",IF(ISNUMBER(SEARCH("NOT NULL",UPPER(I$3))),"''","null"),SUBSTITUTE(VLOOKUP(I$2,convert!$A$1:$B$4,2,0),"@@@",I981))</f>
        <v>''</v>
      </c>
      <c r="Y981" s="4" t="str">
        <f>IF(J981="",IF(ISNUMBER(SEARCH("NOT NULL",UPPER(J$3))),"''","null"),SUBSTITUTE(VLOOKUP(J$2,convert!$A$1:$B$4,2,0),"@@@",J981))</f>
        <v>'poison'</v>
      </c>
      <c r="Z981" s="4" t="str">
        <f>IF(K981="",IF(ISNUMBER(SEARCH("NOT NULL",UPPER(K$3))),"''","null"),SUBSTITUTE(VLOOKUP(K$2,convert!$A$1:$B$4,2,0),"@@@",K981))</f>
        <v>'dragon'</v>
      </c>
      <c r="AA981" s="4" t="str">
        <f>IF(L981="",IF(ISNUMBER(SEARCH("NOT NULL",UPPER(L$3))),"''","null"),SUBSTITUTE(VLOOKUP(L$2,convert!$A$1:$B$4,2,0),"@@@",L981))</f>
        <v>'g7'</v>
      </c>
      <c r="AB981" s="4" t="str">
        <f>IF(M981="",IF(ISNUMBER(SEARCH("NOT NULL",UPPER(M$3))),"''","null"),SUBSTITUTE(VLOOKUP(M$2,convert!$A$1:$B$4,2,0),"@@@",M981))</f>
        <v>null</v>
      </c>
      <c r="AC981" s="4" t="str">
        <f>IF(N981="",IF(ISNUMBER(SEARCH("NOT NULL",UPPER(N$3))),"''","null"),SUBSTITUTE(VLOOKUP(N$2,convert!$A$1:$B$4,2,0),"@@@",N981))</f>
        <v>null</v>
      </c>
      <c r="AD981" s="4" t="str">
        <f>IF(O981="",IF(ISNUMBER(SEARCH("NOT NULL",UPPER(O$3))),"''","null"),SUBSTITUTE(VLOOKUP(O$2,convert!$A$1:$B$4,2,0),"@@@",O981))</f>
        <v>FALSE</v>
      </c>
      <c r="AE981" s="4" t="str">
        <f t="shared" si="15"/>
        <v>    ('0804N01', 'アーゴヨン', 73, 73, 73, 127, 73, 121, '', 'poison', 'dragon', 'g7', null, null, FALSE),</v>
      </c>
    </row>
    <row r="982" spans="1:31">
      <c r="A982" s="4" t="s">
        <v>1970</v>
      </c>
      <c r="B982" s="4" t="s">
        <v>1971</v>
      </c>
      <c r="C982" s="5">
        <v>61</v>
      </c>
      <c r="D982" s="5">
        <v>131</v>
      </c>
      <c r="E982" s="5">
        <v>211</v>
      </c>
      <c r="F982" s="5">
        <v>53</v>
      </c>
      <c r="G982" s="5">
        <v>101</v>
      </c>
      <c r="H982" s="5">
        <v>13</v>
      </c>
      <c r="I982" s="5"/>
      <c r="J982" s="4" t="s">
        <v>196</v>
      </c>
      <c r="K982" s="4" t="s">
        <v>119</v>
      </c>
      <c r="L982" s="4" t="s">
        <v>92</v>
      </c>
      <c r="M982" s="5"/>
      <c r="N982" s="5"/>
      <c r="O982" s="5" t="b">
        <v>0</v>
      </c>
      <c r="P982" s="4" t="str">
        <f>IF(A982="",IF(ISNUMBER(SEARCH("NOT NULL",UPPER(A$3))),"''","null"),SUBSTITUTE(VLOOKUP(A$2,convert!$A$1:$B$4,2,0),"@@@",A982))</f>
        <v>'0805N01'</v>
      </c>
      <c r="Q982" s="4" t="str">
        <f>IF(B982="",IF(ISNUMBER(SEARCH("NOT NULL",UPPER(B$3))),"''","null"),SUBSTITUTE(VLOOKUP(B$2,convert!$A$1:$B$4,2,0),"@@@",B982))</f>
        <v>'ツンデツンデ'</v>
      </c>
      <c r="R982" s="4" t="str">
        <f>IF(C982="",IF(ISNUMBER(SEARCH("NOT NULL",UPPER(C$3))),"''","null"),SUBSTITUTE(VLOOKUP(C$2,convert!$A$1:$B$4,2,0),"@@@",C982))</f>
        <v>61</v>
      </c>
      <c r="S982" s="4" t="str">
        <f>IF(D982="",IF(ISNUMBER(SEARCH("NOT NULL",UPPER(D$3))),"''","null"),SUBSTITUTE(VLOOKUP(D$2,convert!$A$1:$B$4,2,0),"@@@",D982))</f>
        <v>131</v>
      </c>
      <c r="T982" s="4" t="str">
        <f>IF(E982="",IF(ISNUMBER(SEARCH("NOT NULL",UPPER(E$3))),"''","null"),SUBSTITUTE(VLOOKUP(E$2,convert!$A$1:$B$4,2,0),"@@@",E982))</f>
        <v>211</v>
      </c>
      <c r="U982" s="4" t="str">
        <f>IF(F982="",IF(ISNUMBER(SEARCH("NOT NULL",UPPER(F$3))),"''","null"),SUBSTITUTE(VLOOKUP(F$2,convert!$A$1:$B$4,2,0),"@@@",F982))</f>
        <v>53</v>
      </c>
      <c r="V982" s="4" t="str">
        <f>IF(G982="",IF(ISNUMBER(SEARCH("NOT NULL",UPPER(G$3))),"''","null"),SUBSTITUTE(VLOOKUP(G$2,convert!$A$1:$B$4,2,0),"@@@",G982))</f>
        <v>101</v>
      </c>
      <c r="W982" s="4" t="str">
        <f>IF(H982="",IF(ISNUMBER(SEARCH("NOT NULL",UPPER(H$3))),"''","null"),SUBSTITUTE(VLOOKUP(H$2,convert!$A$1:$B$4,2,0),"@@@",H982))</f>
        <v>13</v>
      </c>
      <c r="X982" s="4" t="str">
        <f>IF(I982="",IF(ISNUMBER(SEARCH("NOT NULL",UPPER(I$3))),"''","null"),SUBSTITUTE(VLOOKUP(I$2,convert!$A$1:$B$4,2,0),"@@@",I982))</f>
        <v>''</v>
      </c>
      <c r="Y982" s="4" t="str">
        <f>IF(J982="",IF(ISNUMBER(SEARCH("NOT NULL",UPPER(J$3))),"''","null"),SUBSTITUTE(VLOOKUP(J$2,convert!$A$1:$B$4,2,0),"@@@",J982))</f>
        <v>'rock'</v>
      </c>
      <c r="Z982" s="4" t="str">
        <f>IF(K982="",IF(ISNUMBER(SEARCH("NOT NULL",UPPER(K$3))),"''","null"),SUBSTITUTE(VLOOKUP(K$2,convert!$A$1:$B$4,2,0),"@@@",K982))</f>
        <v>'steel'</v>
      </c>
      <c r="AA982" s="4" t="str">
        <f>IF(L982="",IF(ISNUMBER(SEARCH("NOT NULL",UPPER(L$3))),"''","null"),SUBSTITUTE(VLOOKUP(L$2,convert!$A$1:$B$4,2,0),"@@@",L982))</f>
        <v>'g7'</v>
      </c>
      <c r="AB982" s="4" t="str">
        <f>IF(M982="",IF(ISNUMBER(SEARCH("NOT NULL",UPPER(M$3))),"''","null"),SUBSTITUTE(VLOOKUP(M$2,convert!$A$1:$B$4,2,0),"@@@",M982))</f>
        <v>null</v>
      </c>
      <c r="AC982" s="4" t="str">
        <f>IF(N982="",IF(ISNUMBER(SEARCH("NOT NULL",UPPER(N$3))),"''","null"),SUBSTITUTE(VLOOKUP(N$2,convert!$A$1:$B$4,2,0),"@@@",N982))</f>
        <v>null</v>
      </c>
      <c r="AD982" s="4" t="str">
        <f>IF(O982="",IF(ISNUMBER(SEARCH("NOT NULL",UPPER(O$3))),"''","null"),SUBSTITUTE(VLOOKUP(O$2,convert!$A$1:$B$4,2,0),"@@@",O982))</f>
        <v>FALSE</v>
      </c>
      <c r="AE982" s="4" t="str">
        <f t="shared" si="15"/>
        <v>    ('0805N01', 'ツンデツンデ', 61, 131, 211, 53, 101, 13, '', 'rock', 'steel', 'g7', null, null, FALSE),</v>
      </c>
    </row>
    <row r="983" spans="1:31">
      <c r="A983" s="4" t="s">
        <v>1972</v>
      </c>
      <c r="B983" s="4" t="s">
        <v>1973</v>
      </c>
      <c r="C983" s="5">
        <v>53</v>
      </c>
      <c r="D983" s="5">
        <v>127</v>
      </c>
      <c r="E983" s="5">
        <v>53</v>
      </c>
      <c r="F983" s="5">
        <v>151</v>
      </c>
      <c r="G983" s="5">
        <v>79</v>
      </c>
      <c r="H983" s="5">
        <v>107</v>
      </c>
      <c r="I983" s="5"/>
      <c r="J983" s="4" t="s">
        <v>42</v>
      </c>
      <c r="K983" s="4" t="s">
        <v>281</v>
      </c>
      <c r="L983" s="4" t="s">
        <v>92</v>
      </c>
      <c r="M983" s="5"/>
      <c r="N983" s="5"/>
      <c r="O983" s="5" t="b">
        <v>0</v>
      </c>
      <c r="P983" s="4" t="str">
        <f>IF(A983="",IF(ISNUMBER(SEARCH("NOT NULL",UPPER(A$3))),"''","null"),SUBSTITUTE(VLOOKUP(A$2,convert!$A$1:$B$4,2,0),"@@@",A983))</f>
        <v>'0806N01'</v>
      </c>
      <c r="Q983" s="4" t="str">
        <f>IF(B983="",IF(ISNUMBER(SEARCH("NOT NULL",UPPER(B$3))),"''","null"),SUBSTITUTE(VLOOKUP(B$2,convert!$A$1:$B$4,2,0),"@@@",B983))</f>
        <v>'ズガドーン'</v>
      </c>
      <c r="R983" s="4" t="str">
        <f>IF(C983="",IF(ISNUMBER(SEARCH("NOT NULL",UPPER(C$3))),"''","null"),SUBSTITUTE(VLOOKUP(C$2,convert!$A$1:$B$4,2,0),"@@@",C983))</f>
        <v>53</v>
      </c>
      <c r="S983" s="4" t="str">
        <f>IF(D983="",IF(ISNUMBER(SEARCH("NOT NULL",UPPER(D$3))),"''","null"),SUBSTITUTE(VLOOKUP(D$2,convert!$A$1:$B$4,2,0),"@@@",D983))</f>
        <v>127</v>
      </c>
      <c r="T983" s="4" t="str">
        <f>IF(E983="",IF(ISNUMBER(SEARCH("NOT NULL",UPPER(E$3))),"''","null"),SUBSTITUTE(VLOOKUP(E$2,convert!$A$1:$B$4,2,0),"@@@",E983))</f>
        <v>53</v>
      </c>
      <c r="U983" s="4" t="str">
        <f>IF(F983="",IF(ISNUMBER(SEARCH("NOT NULL",UPPER(F$3))),"''","null"),SUBSTITUTE(VLOOKUP(F$2,convert!$A$1:$B$4,2,0),"@@@",F983))</f>
        <v>151</v>
      </c>
      <c r="V983" s="4" t="str">
        <f>IF(G983="",IF(ISNUMBER(SEARCH("NOT NULL",UPPER(G$3))),"''","null"),SUBSTITUTE(VLOOKUP(G$2,convert!$A$1:$B$4,2,0),"@@@",G983))</f>
        <v>79</v>
      </c>
      <c r="W983" s="4" t="str">
        <f>IF(H983="",IF(ISNUMBER(SEARCH("NOT NULL",UPPER(H$3))),"''","null"),SUBSTITUTE(VLOOKUP(H$2,convert!$A$1:$B$4,2,0),"@@@",H983))</f>
        <v>107</v>
      </c>
      <c r="X983" s="4" t="str">
        <f>IF(I983="",IF(ISNUMBER(SEARCH("NOT NULL",UPPER(I$3))),"''","null"),SUBSTITUTE(VLOOKUP(I$2,convert!$A$1:$B$4,2,0),"@@@",I983))</f>
        <v>''</v>
      </c>
      <c r="Y983" s="4" t="str">
        <f>IF(J983="",IF(ISNUMBER(SEARCH("NOT NULL",UPPER(J$3))),"''","null"),SUBSTITUTE(VLOOKUP(J$2,convert!$A$1:$B$4,2,0),"@@@",J983))</f>
        <v>'fire'</v>
      </c>
      <c r="Z983" s="4" t="str">
        <f>IF(K983="",IF(ISNUMBER(SEARCH("NOT NULL",UPPER(K$3))),"''","null"),SUBSTITUTE(VLOOKUP(K$2,convert!$A$1:$B$4,2,0),"@@@",K983))</f>
        <v>'ghost'</v>
      </c>
      <c r="AA983" s="4" t="str">
        <f>IF(L983="",IF(ISNUMBER(SEARCH("NOT NULL",UPPER(L$3))),"''","null"),SUBSTITUTE(VLOOKUP(L$2,convert!$A$1:$B$4,2,0),"@@@",L983))</f>
        <v>'g7'</v>
      </c>
      <c r="AB983" s="4" t="str">
        <f>IF(M983="",IF(ISNUMBER(SEARCH("NOT NULL",UPPER(M$3))),"''","null"),SUBSTITUTE(VLOOKUP(M$2,convert!$A$1:$B$4,2,0),"@@@",M983))</f>
        <v>null</v>
      </c>
      <c r="AC983" s="4" t="str">
        <f>IF(N983="",IF(ISNUMBER(SEARCH("NOT NULL",UPPER(N$3))),"''","null"),SUBSTITUTE(VLOOKUP(N$2,convert!$A$1:$B$4,2,0),"@@@",N983))</f>
        <v>null</v>
      </c>
      <c r="AD983" s="4" t="str">
        <f>IF(O983="",IF(ISNUMBER(SEARCH("NOT NULL",UPPER(O$3))),"''","null"),SUBSTITUTE(VLOOKUP(O$2,convert!$A$1:$B$4,2,0),"@@@",O983))</f>
        <v>FALSE</v>
      </c>
      <c r="AE983" s="4" t="str">
        <f t="shared" si="15"/>
        <v>    ('0806N01', 'ズガドーン', 53, 127, 53, 151, 79, 107, '', 'fire', 'ghost', 'g7', null, null, FALSE),</v>
      </c>
    </row>
    <row r="984" spans="1:31">
      <c r="A984" s="4" t="s">
        <v>1974</v>
      </c>
      <c r="B984" s="4" t="s">
        <v>1975</v>
      </c>
      <c r="C984" s="5">
        <v>88</v>
      </c>
      <c r="D984" s="5">
        <v>112</v>
      </c>
      <c r="E984" s="5">
        <v>75</v>
      </c>
      <c r="F984" s="5">
        <v>102</v>
      </c>
      <c r="G984" s="5">
        <v>80</v>
      </c>
      <c r="H984" s="5">
        <v>143</v>
      </c>
      <c r="I984" s="5"/>
      <c r="J984" s="4" t="s">
        <v>106</v>
      </c>
      <c r="K984" s="5"/>
      <c r="L984" s="4" t="s">
        <v>92</v>
      </c>
      <c r="M984" s="5"/>
      <c r="N984" s="5"/>
      <c r="O984" s="5" t="b">
        <v>0</v>
      </c>
      <c r="P984" s="4" t="str">
        <f>IF(A984="",IF(ISNUMBER(SEARCH("NOT NULL",UPPER(A$3))),"''","null"),SUBSTITUTE(VLOOKUP(A$2,convert!$A$1:$B$4,2,0),"@@@",A984))</f>
        <v>'0807N01'</v>
      </c>
      <c r="Q984" s="4" t="str">
        <f>IF(B984="",IF(ISNUMBER(SEARCH("NOT NULL",UPPER(B$3))),"''","null"),SUBSTITUTE(VLOOKUP(B$2,convert!$A$1:$B$4,2,0),"@@@",B984))</f>
        <v>'ゼラオラ'</v>
      </c>
      <c r="R984" s="4" t="str">
        <f>IF(C984="",IF(ISNUMBER(SEARCH("NOT NULL",UPPER(C$3))),"''","null"),SUBSTITUTE(VLOOKUP(C$2,convert!$A$1:$B$4,2,0),"@@@",C984))</f>
        <v>88</v>
      </c>
      <c r="S984" s="4" t="str">
        <f>IF(D984="",IF(ISNUMBER(SEARCH("NOT NULL",UPPER(D$3))),"''","null"),SUBSTITUTE(VLOOKUP(D$2,convert!$A$1:$B$4,2,0),"@@@",D984))</f>
        <v>112</v>
      </c>
      <c r="T984" s="4" t="str">
        <f>IF(E984="",IF(ISNUMBER(SEARCH("NOT NULL",UPPER(E$3))),"''","null"),SUBSTITUTE(VLOOKUP(E$2,convert!$A$1:$B$4,2,0),"@@@",E984))</f>
        <v>75</v>
      </c>
      <c r="U984" s="4" t="str">
        <f>IF(F984="",IF(ISNUMBER(SEARCH("NOT NULL",UPPER(F$3))),"''","null"),SUBSTITUTE(VLOOKUP(F$2,convert!$A$1:$B$4,2,0),"@@@",F984))</f>
        <v>102</v>
      </c>
      <c r="V984" s="4" t="str">
        <f>IF(G984="",IF(ISNUMBER(SEARCH("NOT NULL",UPPER(G$3))),"''","null"),SUBSTITUTE(VLOOKUP(G$2,convert!$A$1:$B$4,2,0),"@@@",G984))</f>
        <v>80</v>
      </c>
      <c r="W984" s="4" t="str">
        <f>IF(H984="",IF(ISNUMBER(SEARCH("NOT NULL",UPPER(H$3))),"''","null"),SUBSTITUTE(VLOOKUP(H$2,convert!$A$1:$B$4,2,0),"@@@",H984))</f>
        <v>143</v>
      </c>
      <c r="X984" s="4" t="str">
        <f>IF(I984="",IF(ISNUMBER(SEARCH("NOT NULL",UPPER(I$3))),"''","null"),SUBSTITUTE(VLOOKUP(I$2,convert!$A$1:$B$4,2,0),"@@@",I984))</f>
        <v>''</v>
      </c>
      <c r="Y984" s="4" t="str">
        <f>IF(J984="",IF(ISNUMBER(SEARCH("NOT NULL",UPPER(J$3))),"''","null"),SUBSTITUTE(VLOOKUP(J$2,convert!$A$1:$B$4,2,0),"@@@",J984))</f>
        <v>'electric'</v>
      </c>
      <c r="Z984" s="4" t="str">
        <f>IF(K984="",IF(ISNUMBER(SEARCH("NOT NULL",UPPER(K$3))),"''","null"),SUBSTITUTE(VLOOKUP(K$2,convert!$A$1:$B$4,2,0),"@@@",K984))</f>
        <v>null</v>
      </c>
      <c r="AA984" s="4" t="str">
        <f>IF(L984="",IF(ISNUMBER(SEARCH("NOT NULL",UPPER(L$3))),"''","null"),SUBSTITUTE(VLOOKUP(L$2,convert!$A$1:$B$4,2,0),"@@@",L984))</f>
        <v>'g7'</v>
      </c>
      <c r="AB984" s="4" t="str">
        <f>IF(M984="",IF(ISNUMBER(SEARCH("NOT NULL",UPPER(M$3))),"''","null"),SUBSTITUTE(VLOOKUP(M$2,convert!$A$1:$B$4,2,0),"@@@",M984))</f>
        <v>null</v>
      </c>
      <c r="AC984" s="4" t="str">
        <f>IF(N984="",IF(ISNUMBER(SEARCH("NOT NULL",UPPER(N$3))),"''","null"),SUBSTITUTE(VLOOKUP(N$2,convert!$A$1:$B$4,2,0),"@@@",N984))</f>
        <v>null</v>
      </c>
      <c r="AD984" s="4" t="str">
        <f>IF(O984="",IF(ISNUMBER(SEARCH("NOT NULL",UPPER(O$3))),"''","null"),SUBSTITUTE(VLOOKUP(O$2,convert!$A$1:$B$4,2,0),"@@@",O984))</f>
        <v>FALSE</v>
      </c>
      <c r="AE984" s="4" t="str">
        <f t="shared" si="15"/>
        <v>    ('0807N01', 'ゼラオラ', 88, 112, 75, 102, 80, 143, '', 'electric', null, 'g7', null, null, FALSE),</v>
      </c>
    </row>
    <row r="985" spans="1:31">
      <c r="A985" s="4" t="s">
        <v>1976</v>
      </c>
      <c r="B985" s="4" t="s">
        <v>1977</v>
      </c>
      <c r="C985" s="5">
        <v>46</v>
      </c>
      <c r="D985" s="5">
        <v>65</v>
      </c>
      <c r="E985" s="5">
        <v>65</v>
      </c>
      <c r="F985" s="5">
        <v>55</v>
      </c>
      <c r="G985" s="5">
        <v>35</v>
      </c>
      <c r="H985" s="5">
        <v>34</v>
      </c>
      <c r="I985" s="5"/>
      <c r="J985" s="4" t="s">
        <v>119</v>
      </c>
      <c r="K985" s="5"/>
      <c r="L985" s="4" t="s">
        <v>109</v>
      </c>
      <c r="M985" s="5"/>
      <c r="N985" s="5"/>
      <c r="O985" s="5" t="b">
        <v>1</v>
      </c>
      <c r="P985" s="4" t="str">
        <f>IF(A985="",IF(ISNUMBER(SEARCH("NOT NULL",UPPER(A$3))),"''","null"),SUBSTITUTE(VLOOKUP(A$2,convert!$A$1:$B$4,2,0),"@@@",A985))</f>
        <v>'0808N01'</v>
      </c>
      <c r="Q985" s="4" t="str">
        <f>IF(B985="",IF(ISNUMBER(SEARCH("NOT NULL",UPPER(B$3))),"''","null"),SUBSTITUTE(VLOOKUP(B$2,convert!$A$1:$B$4,2,0),"@@@",B985))</f>
        <v>'メルタン'</v>
      </c>
      <c r="R985" s="4" t="str">
        <f>IF(C985="",IF(ISNUMBER(SEARCH("NOT NULL",UPPER(C$3))),"''","null"),SUBSTITUTE(VLOOKUP(C$2,convert!$A$1:$B$4,2,0),"@@@",C985))</f>
        <v>46</v>
      </c>
      <c r="S985" s="4" t="str">
        <f>IF(D985="",IF(ISNUMBER(SEARCH("NOT NULL",UPPER(D$3))),"''","null"),SUBSTITUTE(VLOOKUP(D$2,convert!$A$1:$B$4,2,0),"@@@",D985))</f>
        <v>65</v>
      </c>
      <c r="T985" s="4" t="str">
        <f>IF(E985="",IF(ISNUMBER(SEARCH("NOT NULL",UPPER(E$3))),"''","null"),SUBSTITUTE(VLOOKUP(E$2,convert!$A$1:$B$4,2,0),"@@@",E985))</f>
        <v>65</v>
      </c>
      <c r="U985" s="4" t="str">
        <f>IF(F985="",IF(ISNUMBER(SEARCH("NOT NULL",UPPER(F$3))),"''","null"),SUBSTITUTE(VLOOKUP(F$2,convert!$A$1:$B$4,2,0),"@@@",F985))</f>
        <v>55</v>
      </c>
      <c r="V985" s="4" t="str">
        <f>IF(G985="",IF(ISNUMBER(SEARCH("NOT NULL",UPPER(G$3))),"''","null"),SUBSTITUTE(VLOOKUP(G$2,convert!$A$1:$B$4,2,0),"@@@",G985))</f>
        <v>35</v>
      </c>
      <c r="W985" s="4" t="str">
        <f>IF(H985="",IF(ISNUMBER(SEARCH("NOT NULL",UPPER(H$3))),"''","null"),SUBSTITUTE(VLOOKUP(H$2,convert!$A$1:$B$4,2,0),"@@@",H985))</f>
        <v>34</v>
      </c>
      <c r="X985" s="4" t="str">
        <f>IF(I985="",IF(ISNUMBER(SEARCH("NOT NULL",UPPER(I$3))),"''","null"),SUBSTITUTE(VLOOKUP(I$2,convert!$A$1:$B$4,2,0),"@@@",I985))</f>
        <v>''</v>
      </c>
      <c r="Y985" s="4" t="str">
        <f>IF(J985="",IF(ISNUMBER(SEARCH("NOT NULL",UPPER(J$3))),"''","null"),SUBSTITUTE(VLOOKUP(J$2,convert!$A$1:$B$4,2,0),"@@@",J985))</f>
        <v>'steel'</v>
      </c>
      <c r="Z985" s="4" t="str">
        <f>IF(K985="",IF(ISNUMBER(SEARCH("NOT NULL",UPPER(K$3))),"''","null"),SUBSTITUTE(VLOOKUP(K$2,convert!$A$1:$B$4,2,0),"@@@",K985))</f>
        <v>null</v>
      </c>
      <c r="AA985" s="4" t="str">
        <f>IF(L985="",IF(ISNUMBER(SEARCH("NOT NULL",UPPER(L$3))),"''","null"),SUBSTITUTE(VLOOKUP(L$2,convert!$A$1:$B$4,2,0),"@@@",L985))</f>
        <v>'g7pv'</v>
      </c>
      <c r="AB985" s="4" t="str">
        <f>IF(M985="",IF(ISNUMBER(SEARCH("NOT NULL",UPPER(M$3))),"''","null"),SUBSTITUTE(VLOOKUP(M$2,convert!$A$1:$B$4,2,0),"@@@",M985))</f>
        <v>null</v>
      </c>
      <c r="AC985" s="4" t="str">
        <f>IF(N985="",IF(ISNUMBER(SEARCH("NOT NULL",UPPER(N$3))),"''","null"),SUBSTITUTE(VLOOKUP(N$2,convert!$A$1:$B$4,2,0),"@@@",N985))</f>
        <v>null</v>
      </c>
      <c r="AD985" s="4" t="str">
        <f>IF(O985="",IF(ISNUMBER(SEARCH("NOT NULL",UPPER(O$3))),"''","null"),SUBSTITUTE(VLOOKUP(O$2,convert!$A$1:$B$4,2,0),"@@@",O985))</f>
        <v>TRUE</v>
      </c>
      <c r="AE985" s="4" t="str">
        <f t="shared" si="15"/>
        <v>    ('0808N01', 'メルタン', 46, 65, 65, 55, 35, 34, '', 'steel', null, 'g7pv', null, null, TRUE),</v>
      </c>
    </row>
    <row r="986" spans="1:31">
      <c r="A986" s="4" t="s">
        <v>1978</v>
      </c>
      <c r="B986" s="4" t="s">
        <v>1979</v>
      </c>
      <c r="C986" s="5">
        <v>135</v>
      </c>
      <c r="D986" s="5">
        <v>143</v>
      </c>
      <c r="E986" s="5">
        <v>143</v>
      </c>
      <c r="F986" s="5">
        <v>80</v>
      </c>
      <c r="G986" s="5">
        <v>65</v>
      </c>
      <c r="H986" s="5">
        <v>34</v>
      </c>
      <c r="I986" s="5"/>
      <c r="J986" s="4" t="s">
        <v>119</v>
      </c>
      <c r="K986" s="5"/>
      <c r="L986" s="4" t="s">
        <v>109</v>
      </c>
      <c r="M986" s="5"/>
      <c r="N986" s="5"/>
      <c r="O986" s="5" t="b">
        <v>1</v>
      </c>
      <c r="P986" s="4" t="str">
        <f>IF(A986="",IF(ISNUMBER(SEARCH("NOT NULL",UPPER(A$3))),"''","null"),SUBSTITUTE(VLOOKUP(A$2,convert!$A$1:$B$4,2,0),"@@@",A986))</f>
        <v>'0809N01'</v>
      </c>
      <c r="Q986" s="4" t="str">
        <f>IF(B986="",IF(ISNUMBER(SEARCH("NOT NULL",UPPER(B$3))),"''","null"),SUBSTITUTE(VLOOKUP(B$2,convert!$A$1:$B$4,2,0),"@@@",B986))</f>
        <v>'メルメタル'</v>
      </c>
      <c r="R986" s="4" t="str">
        <f>IF(C986="",IF(ISNUMBER(SEARCH("NOT NULL",UPPER(C$3))),"''","null"),SUBSTITUTE(VLOOKUP(C$2,convert!$A$1:$B$4,2,0),"@@@",C986))</f>
        <v>135</v>
      </c>
      <c r="S986" s="4" t="str">
        <f>IF(D986="",IF(ISNUMBER(SEARCH("NOT NULL",UPPER(D$3))),"''","null"),SUBSTITUTE(VLOOKUP(D$2,convert!$A$1:$B$4,2,0),"@@@",D986))</f>
        <v>143</v>
      </c>
      <c r="T986" s="4" t="str">
        <f>IF(E986="",IF(ISNUMBER(SEARCH("NOT NULL",UPPER(E$3))),"''","null"),SUBSTITUTE(VLOOKUP(E$2,convert!$A$1:$B$4,2,0),"@@@",E986))</f>
        <v>143</v>
      </c>
      <c r="U986" s="4" t="str">
        <f>IF(F986="",IF(ISNUMBER(SEARCH("NOT NULL",UPPER(F$3))),"''","null"),SUBSTITUTE(VLOOKUP(F$2,convert!$A$1:$B$4,2,0),"@@@",F986))</f>
        <v>80</v>
      </c>
      <c r="V986" s="4" t="str">
        <f>IF(G986="",IF(ISNUMBER(SEARCH("NOT NULL",UPPER(G$3))),"''","null"),SUBSTITUTE(VLOOKUP(G$2,convert!$A$1:$B$4,2,0),"@@@",G986))</f>
        <v>65</v>
      </c>
      <c r="W986" s="4" t="str">
        <f>IF(H986="",IF(ISNUMBER(SEARCH("NOT NULL",UPPER(H$3))),"''","null"),SUBSTITUTE(VLOOKUP(H$2,convert!$A$1:$B$4,2,0),"@@@",H986))</f>
        <v>34</v>
      </c>
      <c r="X986" s="4" t="str">
        <f>IF(I986="",IF(ISNUMBER(SEARCH("NOT NULL",UPPER(I$3))),"''","null"),SUBSTITUTE(VLOOKUP(I$2,convert!$A$1:$B$4,2,0),"@@@",I986))</f>
        <v>''</v>
      </c>
      <c r="Y986" s="4" t="str">
        <f>IF(J986="",IF(ISNUMBER(SEARCH("NOT NULL",UPPER(J$3))),"''","null"),SUBSTITUTE(VLOOKUP(J$2,convert!$A$1:$B$4,2,0),"@@@",J986))</f>
        <v>'steel'</v>
      </c>
      <c r="Z986" s="4" t="str">
        <f>IF(K986="",IF(ISNUMBER(SEARCH("NOT NULL",UPPER(K$3))),"''","null"),SUBSTITUTE(VLOOKUP(K$2,convert!$A$1:$B$4,2,0),"@@@",K986))</f>
        <v>null</v>
      </c>
      <c r="AA986" s="4" t="str">
        <f>IF(L986="",IF(ISNUMBER(SEARCH("NOT NULL",UPPER(L$3))),"''","null"),SUBSTITUTE(VLOOKUP(L$2,convert!$A$1:$B$4,2,0),"@@@",L986))</f>
        <v>'g7pv'</v>
      </c>
      <c r="AB986" s="4" t="str">
        <f>IF(M986="",IF(ISNUMBER(SEARCH("NOT NULL",UPPER(M$3))),"''","null"),SUBSTITUTE(VLOOKUP(M$2,convert!$A$1:$B$4,2,0),"@@@",M986))</f>
        <v>null</v>
      </c>
      <c r="AC986" s="4" t="str">
        <f>IF(N986="",IF(ISNUMBER(SEARCH("NOT NULL",UPPER(N$3))),"''","null"),SUBSTITUTE(VLOOKUP(N$2,convert!$A$1:$B$4,2,0),"@@@",N986))</f>
        <v>null</v>
      </c>
      <c r="AD986" s="4" t="str">
        <f>IF(O986="",IF(ISNUMBER(SEARCH("NOT NULL",UPPER(O$3))),"''","null"),SUBSTITUTE(VLOOKUP(O$2,convert!$A$1:$B$4,2,0),"@@@",O986))</f>
        <v>TRUE</v>
      </c>
      <c r="AE986" s="4" t="str">
        <f t="shared" si="15"/>
        <v>    ('0809N01', 'メルメタル', 135, 143, 143, 80, 65, 34, '', 'steel', null, 'g7pv', null, null, TRUE),</v>
      </c>
    </row>
    <row r="987" spans="1:31">
      <c r="A987" s="4" t="s">
        <v>1980</v>
      </c>
      <c r="B987" s="4" t="s">
        <v>1981</v>
      </c>
      <c r="C987" s="5">
        <v>50</v>
      </c>
      <c r="D987" s="5">
        <v>65</v>
      </c>
      <c r="E987" s="5">
        <v>50</v>
      </c>
      <c r="F987" s="5">
        <v>40</v>
      </c>
      <c r="G987" s="5">
        <v>40</v>
      </c>
      <c r="H987" s="5">
        <v>65</v>
      </c>
      <c r="I987" s="5"/>
      <c r="J987" s="4" t="s">
        <v>30</v>
      </c>
      <c r="K987" s="5"/>
      <c r="L987" s="4" t="s">
        <v>179</v>
      </c>
      <c r="M987" s="5"/>
      <c r="N987" s="5"/>
      <c r="O987" s="5" t="b">
        <v>0</v>
      </c>
      <c r="P987" s="4" t="str">
        <f>IF(A987="",IF(ISNUMBER(SEARCH("NOT NULL",UPPER(A$3))),"''","null"),SUBSTITUTE(VLOOKUP(A$2,convert!$A$1:$B$4,2,0),"@@@",A987))</f>
        <v>'0810N01'</v>
      </c>
      <c r="Q987" s="4" t="str">
        <f>IF(B987="",IF(ISNUMBER(SEARCH("NOT NULL",UPPER(B$3))),"''","null"),SUBSTITUTE(VLOOKUP(B$2,convert!$A$1:$B$4,2,0),"@@@",B987))</f>
        <v>'サルノリ'</v>
      </c>
      <c r="R987" s="4" t="str">
        <f>IF(C987="",IF(ISNUMBER(SEARCH("NOT NULL",UPPER(C$3))),"''","null"),SUBSTITUTE(VLOOKUP(C$2,convert!$A$1:$B$4,2,0),"@@@",C987))</f>
        <v>50</v>
      </c>
      <c r="S987" s="4" t="str">
        <f>IF(D987="",IF(ISNUMBER(SEARCH("NOT NULL",UPPER(D$3))),"''","null"),SUBSTITUTE(VLOOKUP(D$2,convert!$A$1:$B$4,2,0),"@@@",D987))</f>
        <v>65</v>
      </c>
      <c r="T987" s="4" t="str">
        <f>IF(E987="",IF(ISNUMBER(SEARCH("NOT NULL",UPPER(E$3))),"''","null"),SUBSTITUTE(VLOOKUP(E$2,convert!$A$1:$B$4,2,0),"@@@",E987))</f>
        <v>50</v>
      </c>
      <c r="U987" s="4" t="str">
        <f>IF(F987="",IF(ISNUMBER(SEARCH("NOT NULL",UPPER(F$3))),"''","null"),SUBSTITUTE(VLOOKUP(F$2,convert!$A$1:$B$4,2,0),"@@@",F987))</f>
        <v>40</v>
      </c>
      <c r="V987" s="4" t="str">
        <f>IF(G987="",IF(ISNUMBER(SEARCH("NOT NULL",UPPER(G$3))),"''","null"),SUBSTITUTE(VLOOKUP(G$2,convert!$A$1:$B$4,2,0),"@@@",G987))</f>
        <v>40</v>
      </c>
      <c r="W987" s="4" t="str">
        <f>IF(H987="",IF(ISNUMBER(SEARCH("NOT NULL",UPPER(H$3))),"''","null"),SUBSTITUTE(VLOOKUP(H$2,convert!$A$1:$B$4,2,0),"@@@",H987))</f>
        <v>65</v>
      </c>
      <c r="X987" s="4" t="str">
        <f>IF(I987="",IF(ISNUMBER(SEARCH("NOT NULL",UPPER(I$3))),"''","null"),SUBSTITUTE(VLOOKUP(I$2,convert!$A$1:$B$4,2,0),"@@@",I987))</f>
        <v>''</v>
      </c>
      <c r="Y987" s="4" t="str">
        <f>IF(J987="",IF(ISNUMBER(SEARCH("NOT NULL",UPPER(J$3))),"''","null"),SUBSTITUTE(VLOOKUP(J$2,convert!$A$1:$B$4,2,0),"@@@",J987))</f>
        <v>'grass'</v>
      </c>
      <c r="Z987" s="4" t="str">
        <f>IF(K987="",IF(ISNUMBER(SEARCH("NOT NULL",UPPER(K$3))),"''","null"),SUBSTITUTE(VLOOKUP(K$2,convert!$A$1:$B$4,2,0),"@@@",K987))</f>
        <v>null</v>
      </c>
      <c r="AA987" s="4" t="str">
        <f>IF(L987="",IF(ISNUMBER(SEARCH("NOT NULL",UPPER(L$3))),"''","null"),SUBSTITUTE(VLOOKUP(L$2,convert!$A$1:$B$4,2,0),"@@@",L987))</f>
        <v>'g8'</v>
      </c>
      <c r="AB987" s="4" t="str">
        <f>IF(M987="",IF(ISNUMBER(SEARCH("NOT NULL",UPPER(M$3))),"''","null"),SUBSTITUTE(VLOOKUP(M$2,convert!$A$1:$B$4,2,0),"@@@",M987))</f>
        <v>null</v>
      </c>
      <c r="AC987" s="4" t="str">
        <f>IF(N987="",IF(ISNUMBER(SEARCH("NOT NULL",UPPER(N$3))),"''","null"),SUBSTITUTE(VLOOKUP(N$2,convert!$A$1:$B$4,2,0),"@@@",N987))</f>
        <v>null</v>
      </c>
      <c r="AD987" s="4" t="str">
        <f>IF(O987="",IF(ISNUMBER(SEARCH("NOT NULL",UPPER(O$3))),"''","null"),SUBSTITUTE(VLOOKUP(O$2,convert!$A$1:$B$4,2,0),"@@@",O987))</f>
        <v>FALSE</v>
      </c>
      <c r="AE987" s="4" t="str">
        <f t="shared" si="15"/>
        <v>    ('0810N01', 'サルノリ', 50, 65, 50, 40, 40, 65, '', 'grass', null, 'g8', null, null, FALSE),</v>
      </c>
    </row>
    <row r="988" spans="1:31">
      <c r="A988" s="4" t="s">
        <v>1982</v>
      </c>
      <c r="B988" s="4" t="s">
        <v>1983</v>
      </c>
      <c r="C988" s="5">
        <v>70</v>
      </c>
      <c r="D988" s="5">
        <v>85</v>
      </c>
      <c r="E988" s="5">
        <v>70</v>
      </c>
      <c r="F988" s="5">
        <v>55</v>
      </c>
      <c r="G988" s="5">
        <v>60</v>
      </c>
      <c r="H988" s="5">
        <v>80</v>
      </c>
      <c r="I988" s="5"/>
      <c r="J988" s="4" t="s">
        <v>30</v>
      </c>
      <c r="K988" s="5"/>
      <c r="L988" s="4" t="s">
        <v>179</v>
      </c>
      <c r="M988" s="5"/>
      <c r="N988" s="5"/>
      <c r="O988" s="5" t="b">
        <v>0</v>
      </c>
      <c r="P988" s="4" t="str">
        <f>IF(A988="",IF(ISNUMBER(SEARCH("NOT NULL",UPPER(A$3))),"''","null"),SUBSTITUTE(VLOOKUP(A$2,convert!$A$1:$B$4,2,0),"@@@",A988))</f>
        <v>'0811N01'</v>
      </c>
      <c r="Q988" s="4" t="str">
        <f>IF(B988="",IF(ISNUMBER(SEARCH("NOT NULL",UPPER(B$3))),"''","null"),SUBSTITUTE(VLOOKUP(B$2,convert!$A$1:$B$4,2,0),"@@@",B988))</f>
        <v>'バチンキー'</v>
      </c>
      <c r="R988" s="4" t="str">
        <f>IF(C988="",IF(ISNUMBER(SEARCH("NOT NULL",UPPER(C$3))),"''","null"),SUBSTITUTE(VLOOKUP(C$2,convert!$A$1:$B$4,2,0),"@@@",C988))</f>
        <v>70</v>
      </c>
      <c r="S988" s="4" t="str">
        <f>IF(D988="",IF(ISNUMBER(SEARCH("NOT NULL",UPPER(D$3))),"''","null"),SUBSTITUTE(VLOOKUP(D$2,convert!$A$1:$B$4,2,0),"@@@",D988))</f>
        <v>85</v>
      </c>
      <c r="T988" s="4" t="str">
        <f>IF(E988="",IF(ISNUMBER(SEARCH("NOT NULL",UPPER(E$3))),"''","null"),SUBSTITUTE(VLOOKUP(E$2,convert!$A$1:$B$4,2,0),"@@@",E988))</f>
        <v>70</v>
      </c>
      <c r="U988" s="4" t="str">
        <f>IF(F988="",IF(ISNUMBER(SEARCH("NOT NULL",UPPER(F$3))),"''","null"),SUBSTITUTE(VLOOKUP(F$2,convert!$A$1:$B$4,2,0),"@@@",F988))</f>
        <v>55</v>
      </c>
      <c r="V988" s="4" t="str">
        <f>IF(G988="",IF(ISNUMBER(SEARCH("NOT NULL",UPPER(G$3))),"''","null"),SUBSTITUTE(VLOOKUP(G$2,convert!$A$1:$B$4,2,0),"@@@",G988))</f>
        <v>60</v>
      </c>
      <c r="W988" s="4" t="str">
        <f>IF(H988="",IF(ISNUMBER(SEARCH("NOT NULL",UPPER(H$3))),"''","null"),SUBSTITUTE(VLOOKUP(H$2,convert!$A$1:$B$4,2,0),"@@@",H988))</f>
        <v>80</v>
      </c>
      <c r="X988" s="4" t="str">
        <f>IF(I988="",IF(ISNUMBER(SEARCH("NOT NULL",UPPER(I$3))),"''","null"),SUBSTITUTE(VLOOKUP(I$2,convert!$A$1:$B$4,2,0),"@@@",I988))</f>
        <v>''</v>
      </c>
      <c r="Y988" s="4" t="str">
        <f>IF(J988="",IF(ISNUMBER(SEARCH("NOT NULL",UPPER(J$3))),"''","null"),SUBSTITUTE(VLOOKUP(J$2,convert!$A$1:$B$4,2,0),"@@@",J988))</f>
        <v>'grass'</v>
      </c>
      <c r="Z988" s="4" t="str">
        <f>IF(K988="",IF(ISNUMBER(SEARCH("NOT NULL",UPPER(K$3))),"''","null"),SUBSTITUTE(VLOOKUP(K$2,convert!$A$1:$B$4,2,0),"@@@",K988))</f>
        <v>null</v>
      </c>
      <c r="AA988" s="4" t="str">
        <f>IF(L988="",IF(ISNUMBER(SEARCH("NOT NULL",UPPER(L$3))),"''","null"),SUBSTITUTE(VLOOKUP(L$2,convert!$A$1:$B$4,2,0),"@@@",L988))</f>
        <v>'g8'</v>
      </c>
      <c r="AB988" s="4" t="str">
        <f>IF(M988="",IF(ISNUMBER(SEARCH("NOT NULL",UPPER(M$3))),"''","null"),SUBSTITUTE(VLOOKUP(M$2,convert!$A$1:$B$4,2,0),"@@@",M988))</f>
        <v>null</v>
      </c>
      <c r="AC988" s="4" t="str">
        <f>IF(N988="",IF(ISNUMBER(SEARCH("NOT NULL",UPPER(N$3))),"''","null"),SUBSTITUTE(VLOOKUP(N$2,convert!$A$1:$B$4,2,0),"@@@",N988))</f>
        <v>null</v>
      </c>
      <c r="AD988" s="4" t="str">
        <f>IF(O988="",IF(ISNUMBER(SEARCH("NOT NULL",UPPER(O$3))),"''","null"),SUBSTITUTE(VLOOKUP(O$2,convert!$A$1:$B$4,2,0),"@@@",O988))</f>
        <v>FALSE</v>
      </c>
      <c r="AE988" s="4" t="str">
        <f t="shared" si="15"/>
        <v>    ('0811N01', 'バチンキー', 70, 85, 70, 55, 60, 80, '', 'grass', null, 'g8', null, null, FALSE),</v>
      </c>
    </row>
    <row r="989" spans="1:31">
      <c r="A989" s="4" t="s">
        <v>1984</v>
      </c>
      <c r="B989" s="4" t="s">
        <v>1985</v>
      </c>
      <c r="C989" s="5">
        <v>100</v>
      </c>
      <c r="D989" s="5">
        <v>125</v>
      </c>
      <c r="E989" s="5">
        <v>90</v>
      </c>
      <c r="F989" s="5">
        <v>60</v>
      </c>
      <c r="G989" s="5">
        <v>70</v>
      </c>
      <c r="H989" s="5">
        <v>85</v>
      </c>
      <c r="I989" s="5"/>
      <c r="J989" s="4" t="s">
        <v>30</v>
      </c>
      <c r="K989" s="5"/>
      <c r="L989" s="4" t="s">
        <v>179</v>
      </c>
      <c r="M989" s="5"/>
      <c r="N989" s="5"/>
      <c r="O989" s="5" t="b">
        <v>0</v>
      </c>
      <c r="P989" s="4" t="str">
        <f>IF(A989="",IF(ISNUMBER(SEARCH("NOT NULL",UPPER(A$3))),"''","null"),SUBSTITUTE(VLOOKUP(A$2,convert!$A$1:$B$4,2,0),"@@@",A989))</f>
        <v>'0812N01'</v>
      </c>
      <c r="Q989" s="4" t="str">
        <f>IF(B989="",IF(ISNUMBER(SEARCH("NOT NULL",UPPER(B$3))),"''","null"),SUBSTITUTE(VLOOKUP(B$2,convert!$A$1:$B$4,2,0),"@@@",B989))</f>
        <v>'ゴリランダー'</v>
      </c>
      <c r="R989" s="4" t="str">
        <f>IF(C989="",IF(ISNUMBER(SEARCH("NOT NULL",UPPER(C$3))),"''","null"),SUBSTITUTE(VLOOKUP(C$2,convert!$A$1:$B$4,2,0),"@@@",C989))</f>
        <v>100</v>
      </c>
      <c r="S989" s="4" t="str">
        <f>IF(D989="",IF(ISNUMBER(SEARCH("NOT NULL",UPPER(D$3))),"''","null"),SUBSTITUTE(VLOOKUP(D$2,convert!$A$1:$B$4,2,0),"@@@",D989))</f>
        <v>125</v>
      </c>
      <c r="T989" s="4" t="str">
        <f>IF(E989="",IF(ISNUMBER(SEARCH("NOT NULL",UPPER(E$3))),"''","null"),SUBSTITUTE(VLOOKUP(E$2,convert!$A$1:$B$4,2,0),"@@@",E989))</f>
        <v>90</v>
      </c>
      <c r="U989" s="4" t="str">
        <f>IF(F989="",IF(ISNUMBER(SEARCH("NOT NULL",UPPER(F$3))),"''","null"),SUBSTITUTE(VLOOKUP(F$2,convert!$A$1:$B$4,2,0),"@@@",F989))</f>
        <v>60</v>
      </c>
      <c r="V989" s="4" t="str">
        <f>IF(G989="",IF(ISNUMBER(SEARCH("NOT NULL",UPPER(G$3))),"''","null"),SUBSTITUTE(VLOOKUP(G$2,convert!$A$1:$B$4,2,0),"@@@",G989))</f>
        <v>70</v>
      </c>
      <c r="W989" s="4" t="str">
        <f>IF(H989="",IF(ISNUMBER(SEARCH("NOT NULL",UPPER(H$3))),"''","null"),SUBSTITUTE(VLOOKUP(H$2,convert!$A$1:$B$4,2,0),"@@@",H989))</f>
        <v>85</v>
      </c>
      <c r="X989" s="4" t="str">
        <f>IF(I989="",IF(ISNUMBER(SEARCH("NOT NULL",UPPER(I$3))),"''","null"),SUBSTITUTE(VLOOKUP(I$2,convert!$A$1:$B$4,2,0),"@@@",I989))</f>
        <v>''</v>
      </c>
      <c r="Y989" s="4" t="str">
        <f>IF(J989="",IF(ISNUMBER(SEARCH("NOT NULL",UPPER(J$3))),"''","null"),SUBSTITUTE(VLOOKUP(J$2,convert!$A$1:$B$4,2,0),"@@@",J989))</f>
        <v>'grass'</v>
      </c>
      <c r="Z989" s="4" t="str">
        <f>IF(K989="",IF(ISNUMBER(SEARCH("NOT NULL",UPPER(K$3))),"''","null"),SUBSTITUTE(VLOOKUP(K$2,convert!$A$1:$B$4,2,0),"@@@",K989))</f>
        <v>null</v>
      </c>
      <c r="AA989" s="4" t="str">
        <f>IF(L989="",IF(ISNUMBER(SEARCH("NOT NULL",UPPER(L$3))),"''","null"),SUBSTITUTE(VLOOKUP(L$2,convert!$A$1:$B$4,2,0),"@@@",L989))</f>
        <v>'g8'</v>
      </c>
      <c r="AB989" s="4" t="str">
        <f>IF(M989="",IF(ISNUMBER(SEARCH("NOT NULL",UPPER(M$3))),"''","null"),SUBSTITUTE(VLOOKUP(M$2,convert!$A$1:$B$4,2,0),"@@@",M989))</f>
        <v>null</v>
      </c>
      <c r="AC989" s="4" t="str">
        <f>IF(N989="",IF(ISNUMBER(SEARCH("NOT NULL",UPPER(N$3))),"''","null"),SUBSTITUTE(VLOOKUP(N$2,convert!$A$1:$B$4,2,0),"@@@",N989))</f>
        <v>null</v>
      </c>
      <c r="AD989" s="4" t="str">
        <f>IF(O989="",IF(ISNUMBER(SEARCH("NOT NULL",UPPER(O$3))),"''","null"),SUBSTITUTE(VLOOKUP(O$2,convert!$A$1:$B$4,2,0),"@@@",O989))</f>
        <v>FALSE</v>
      </c>
      <c r="AE989" s="4" t="str">
        <f t="shared" si="15"/>
        <v>    ('0812N01', 'ゴリランダー', 100, 125, 90, 60, 70, 85, '', 'grass', null, 'g8', null, null, FALSE),</v>
      </c>
    </row>
    <row r="990" spans="1:31">
      <c r="A990" s="4" t="s">
        <v>1986</v>
      </c>
      <c r="B990" s="4" t="s">
        <v>1987</v>
      </c>
      <c r="C990" s="5">
        <v>50</v>
      </c>
      <c r="D990" s="5">
        <v>71</v>
      </c>
      <c r="E990" s="5">
        <v>40</v>
      </c>
      <c r="F990" s="5">
        <v>40</v>
      </c>
      <c r="G990" s="5">
        <v>40</v>
      </c>
      <c r="H990" s="5">
        <v>69</v>
      </c>
      <c r="I990" s="5"/>
      <c r="J990" s="4" t="s">
        <v>42</v>
      </c>
      <c r="K990" s="5"/>
      <c r="L990" s="4" t="s">
        <v>179</v>
      </c>
      <c r="M990" s="5"/>
      <c r="N990" s="5"/>
      <c r="O990" s="5" t="b">
        <v>0</v>
      </c>
      <c r="P990" s="4" t="str">
        <f>IF(A990="",IF(ISNUMBER(SEARCH("NOT NULL",UPPER(A$3))),"''","null"),SUBSTITUTE(VLOOKUP(A$2,convert!$A$1:$B$4,2,0),"@@@",A990))</f>
        <v>'0813N01'</v>
      </c>
      <c r="Q990" s="4" t="str">
        <f>IF(B990="",IF(ISNUMBER(SEARCH("NOT NULL",UPPER(B$3))),"''","null"),SUBSTITUTE(VLOOKUP(B$2,convert!$A$1:$B$4,2,0),"@@@",B990))</f>
        <v>'ヒバニー'</v>
      </c>
      <c r="R990" s="4" t="str">
        <f>IF(C990="",IF(ISNUMBER(SEARCH("NOT NULL",UPPER(C$3))),"''","null"),SUBSTITUTE(VLOOKUP(C$2,convert!$A$1:$B$4,2,0),"@@@",C990))</f>
        <v>50</v>
      </c>
      <c r="S990" s="4" t="str">
        <f>IF(D990="",IF(ISNUMBER(SEARCH("NOT NULL",UPPER(D$3))),"''","null"),SUBSTITUTE(VLOOKUP(D$2,convert!$A$1:$B$4,2,0),"@@@",D990))</f>
        <v>71</v>
      </c>
      <c r="T990" s="4" t="str">
        <f>IF(E990="",IF(ISNUMBER(SEARCH("NOT NULL",UPPER(E$3))),"''","null"),SUBSTITUTE(VLOOKUP(E$2,convert!$A$1:$B$4,2,0),"@@@",E990))</f>
        <v>40</v>
      </c>
      <c r="U990" s="4" t="str">
        <f>IF(F990="",IF(ISNUMBER(SEARCH("NOT NULL",UPPER(F$3))),"''","null"),SUBSTITUTE(VLOOKUP(F$2,convert!$A$1:$B$4,2,0),"@@@",F990))</f>
        <v>40</v>
      </c>
      <c r="V990" s="4" t="str">
        <f>IF(G990="",IF(ISNUMBER(SEARCH("NOT NULL",UPPER(G$3))),"''","null"),SUBSTITUTE(VLOOKUP(G$2,convert!$A$1:$B$4,2,0),"@@@",G990))</f>
        <v>40</v>
      </c>
      <c r="W990" s="4" t="str">
        <f>IF(H990="",IF(ISNUMBER(SEARCH("NOT NULL",UPPER(H$3))),"''","null"),SUBSTITUTE(VLOOKUP(H$2,convert!$A$1:$B$4,2,0),"@@@",H990))</f>
        <v>69</v>
      </c>
      <c r="X990" s="4" t="str">
        <f>IF(I990="",IF(ISNUMBER(SEARCH("NOT NULL",UPPER(I$3))),"''","null"),SUBSTITUTE(VLOOKUP(I$2,convert!$A$1:$B$4,2,0),"@@@",I990))</f>
        <v>''</v>
      </c>
      <c r="Y990" s="4" t="str">
        <f>IF(J990="",IF(ISNUMBER(SEARCH("NOT NULL",UPPER(J$3))),"''","null"),SUBSTITUTE(VLOOKUP(J$2,convert!$A$1:$B$4,2,0),"@@@",J990))</f>
        <v>'fire'</v>
      </c>
      <c r="Z990" s="4" t="str">
        <f>IF(K990="",IF(ISNUMBER(SEARCH("NOT NULL",UPPER(K$3))),"''","null"),SUBSTITUTE(VLOOKUP(K$2,convert!$A$1:$B$4,2,0),"@@@",K990))</f>
        <v>null</v>
      </c>
      <c r="AA990" s="4" t="str">
        <f>IF(L990="",IF(ISNUMBER(SEARCH("NOT NULL",UPPER(L$3))),"''","null"),SUBSTITUTE(VLOOKUP(L$2,convert!$A$1:$B$4,2,0),"@@@",L990))</f>
        <v>'g8'</v>
      </c>
      <c r="AB990" s="4" t="str">
        <f>IF(M990="",IF(ISNUMBER(SEARCH("NOT NULL",UPPER(M$3))),"''","null"),SUBSTITUTE(VLOOKUP(M$2,convert!$A$1:$B$4,2,0),"@@@",M990))</f>
        <v>null</v>
      </c>
      <c r="AC990" s="4" t="str">
        <f>IF(N990="",IF(ISNUMBER(SEARCH("NOT NULL",UPPER(N$3))),"''","null"),SUBSTITUTE(VLOOKUP(N$2,convert!$A$1:$B$4,2,0),"@@@",N990))</f>
        <v>null</v>
      </c>
      <c r="AD990" s="4" t="str">
        <f>IF(O990="",IF(ISNUMBER(SEARCH("NOT NULL",UPPER(O$3))),"''","null"),SUBSTITUTE(VLOOKUP(O$2,convert!$A$1:$B$4,2,0),"@@@",O990))</f>
        <v>FALSE</v>
      </c>
      <c r="AE990" s="4" t="str">
        <f t="shared" si="15"/>
        <v>    ('0813N01', 'ヒバニー', 50, 71, 40, 40, 40, 69, '', 'fire', null, 'g8', null, null, FALSE),</v>
      </c>
    </row>
    <row r="991" spans="1:31">
      <c r="A991" s="4" t="s">
        <v>1988</v>
      </c>
      <c r="B991" s="4" t="s">
        <v>1989</v>
      </c>
      <c r="C991" s="5">
        <v>65</v>
      </c>
      <c r="D991" s="5">
        <v>86</v>
      </c>
      <c r="E991" s="5">
        <v>60</v>
      </c>
      <c r="F991" s="5">
        <v>55</v>
      </c>
      <c r="G991" s="5">
        <v>60</v>
      </c>
      <c r="H991" s="5">
        <v>94</v>
      </c>
      <c r="I991" s="5"/>
      <c r="J991" s="4" t="s">
        <v>42</v>
      </c>
      <c r="K991" s="5"/>
      <c r="L991" s="4" t="s">
        <v>179</v>
      </c>
      <c r="M991" s="5"/>
      <c r="N991" s="5"/>
      <c r="O991" s="5" t="b">
        <v>0</v>
      </c>
      <c r="P991" s="4" t="str">
        <f>IF(A991="",IF(ISNUMBER(SEARCH("NOT NULL",UPPER(A$3))),"''","null"),SUBSTITUTE(VLOOKUP(A$2,convert!$A$1:$B$4,2,0),"@@@",A991))</f>
        <v>'0814N01'</v>
      </c>
      <c r="Q991" s="4" t="str">
        <f>IF(B991="",IF(ISNUMBER(SEARCH("NOT NULL",UPPER(B$3))),"''","null"),SUBSTITUTE(VLOOKUP(B$2,convert!$A$1:$B$4,2,0),"@@@",B991))</f>
        <v>'ラビフット'</v>
      </c>
      <c r="R991" s="4" t="str">
        <f>IF(C991="",IF(ISNUMBER(SEARCH("NOT NULL",UPPER(C$3))),"''","null"),SUBSTITUTE(VLOOKUP(C$2,convert!$A$1:$B$4,2,0),"@@@",C991))</f>
        <v>65</v>
      </c>
      <c r="S991" s="4" t="str">
        <f>IF(D991="",IF(ISNUMBER(SEARCH("NOT NULL",UPPER(D$3))),"''","null"),SUBSTITUTE(VLOOKUP(D$2,convert!$A$1:$B$4,2,0),"@@@",D991))</f>
        <v>86</v>
      </c>
      <c r="T991" s="4" t="str">
        <f>IF(E991="",IF(ISNUMBER(SEARCH("NOT NULL",UPPER(E$3))),"''","null"),SUBSTITUTE(VLOOKUP(E$2,convert!$A$1:$B$4,2,0),"@@@",E991))</f>
        <v>60</v>
      </c>
      <c r="U991" s="4" t="str">
        <f>IF(F991="",IF(ISNUMBER(SEARCH("NOT NULL",UPPER(F$3))),"''","null"),SUBSTITUTE(VLOOKUP(F$2,convert!$A$1:$B$4,2,0),"@@@",F991))</f>
        <v>55</v>
      </c>
      <c r="V991" s="4" t="str">
        <f>IF(G991="",IF(ISNUMBER(SEARCH("NOT NULL",UPPER(G$3))),"''","null"),SUBSTITUTE(VLOOKUP(G$2,convert!$A$1:$B$4,2,0),"@@@",G991))</f>
        <v>60</v>
      </c>
      <c r="W991" s="4" t="str">
        <f>IF(H991="",IF(ISNUMBER(SEARCH("NOT NULL",UPPER(H$3))),"''","null"),SUBSTITUTE(VLOOKUP(H$2,convert!$A$1:$B$4,2,0),"@@@",H991))</f>
        <v>94</v>
      </c>
      <c r="X991" s="4" t="str">
        <f>IF(I991="",IF(ISNUMBER(SEARCH("NOT NULL",UPPER(I$3))),"''","null"),SUBSTITUTE(VLOOKUP(I$2,convert!$A$1:$B$4,2,0),"@@@",I991))</f>
        <v>''</v>
      </c>
      <c r="Y991" s="4" t="str">
        <f>IF(J991="",IF(ISNUMBER(SEARCH("NOT NULL",UPPER(J$3))),"''","null"),SUBSTITUTE(VLOOKUP(J$2,convert!$A$1:$B$4,2,0),"@@@",J991))</f>
        <v>'fire'</v>
      </c>
      <c r="Z991" s="4" t="str">
        <f>IF(K991="",IF(ISNUMBER(SEARCH("NOT NULL",UPPER(K$3))),"''","null"),SUBSTITUTE(VLOOKUP(K$2,convert!$A$1:$B$4,2,0),"@@@",K991))</f>
        <v>null</v>
      </c>
      <c r="AA991" s="4" t="str">
        <f>IF(L991="",IF(ISNUMBER(SEARCH("NOT NULL",UPPER(L$3))),"''","null"),SUBSTITUTE(VLOOKUP(L$2,convert!$A$1:$B$4,2,0),"@@@",L991))</f>
        <v>'g8'</v>
      </c>
      <c r="AB991" s="4" t="str">
        <f>IF(M991="",IF(ISNUMBER(SEARCH("NOT NULL",UPPER(M$3))),"''","null"),SUBSTITUTE(VLOOKUP(M$2,convert!$A$1:$B$4,2,0),"@@@",M991))</f>
        <v>null</v>
      </c>
      <c r="AC991" s="4" t="str">
        <f>IF(N991="",IF(ISNUMBER(SEARCH("NOT NULL",UPPER(N$3))),"''","null"),SUBSTITUTE(VLOOKUP(N$2,convert!$A$1:$B$4,2,0),"@@@",N991))</f>
        <v>null</v>
      </c>
      <c r="AD991" s="4" t="str">
        <f>IF(O991="",IF(ISNUMBER(SEARCH("NOT NULL",UPPER(O$3))),"''","null"),SUBSTITUTE(VLOOKUP(O$2,convert!$A$1:$B$4,2,0),"@@@",O991))</f>
        <v>FALSE</v>
      </c>
      <c r="AE991" s="4" t="str">
        <f t="shared" si="15"/>
        <v>    ('0814N01', 'ラビフット', 65, 86, 60, 55, 60, 94, '', 'fire', null, 'g8', null, null, FALSE),</v>
      </c>
    </row>
    <row r="992" spans="1:31">
      <c r="A992" s="4" t="s">
        <v>1990</v>
      </c>
      <c r="B992" s="4" t="s">
        <v>1991</v>
      </c>
      <c r="C992" s="5">
        <v>80</v>
      </c>
      <c r="D992" s="5">
        <v>116</v>
      </c>
      <c r="E992" s="5">
        <v>75</v>
      </c>
      <c r="F992" s="5">
        <v>65</v>
      </c>
      <c r="G992" s="5">
        <v>75</v>
      </c>
      <c r="H992" s="5">
        <v>119</v>
      </c>
      <c r="I992" s="5"/>
      <c r="J992" s="4" t="s">
        <v>42</v>
      </c>
      <c r="K992" s="5"/>
      <c r="L992" s="4" t="s">
        <v>179</v>
      </c>
      <c r="M992" s="5"/>
      <c r="N992" s="5"/>
      <c r="O992" s="5" t="b">
        <v>0</v>
      </c>
      <c r="P992" s="4" t="str">
        <f>IF(A992="",IF(ISNUMBER(SEARCH("NOT NULL",UPPER(A$3))),"''","null"),SUBSTITUTE(VLOOKUP(A$2,convert!$A$1:$B$4,2,0),"@@@",A992))</f>
        <v>'0815N01'</v>
      </c>
      <c r="Q992" s="4" t="str">
        <f>IF(B992="",IF(ISNUMBER(SEARCH("NOT NULL",UPPER(B$3))),"''","null"),SUBSTITUTE(VLOOKUP(B$2,convert!$A$1:$B$4,2,0),"@@@",B992))</f>
        <v>'エースバーン'</v>
      </c>
      <c r="R992" s="4" t="str">
        <f>IF(C992="",IF(ISNUMBER(SEARCH("NOT NULL",UPPER(C$3))),"''","null"),SUBSTITUTE(VLOOKUP(C$2,convert!$A$1:$B$4,2,0),"@@@",C992))</f>
        <v>80</v>
      </c>
      <c r="S992" s="4" t="str">
        <f>IF(D992="",IF(ISNUMBER(SEARCH("NOT NULL",UPPER(D$3))),"''","null"),SUBSTITUTE(VLOOKUP(D$2,convert!$A$1:$B$4,2,0),"@@@",D992))</f>
        <v>116</v>
      </c>
      <c r="T992" s="4" t="str">
        <f>IF(E992="",IF(ISNUMBER(SEARCH("NOT NULL",UPPER(E$3))),"''","null"),SUBSTITUTE(VLOOKUP(E$2,convert!$A$1:$B$4,2,0),"@@@",E992))</f>
        <v>75</v>
      </c>
      <c r="U992" s="4" t="str">
        <f>IF(F992="",IF(ISNUMBER(SEARCH("NOT NULL",UPPER(F$3))),"''","null"),SUBSTITUTE(VLOOKUP(F$2,convert!$A$1:$B$4,2,0),"@@@",F992))</f>
        <v>65</v>
      </c>
      <c r="V992" s="4" t="str">
        <f>IF(G992="",IF(ISNUMBER(SEARCH("NOT NULL",UPPER(G$3))),"''","null"),SUBSTITUTE(VLOOKUP(G$2,convert!$A$1:$B$4,2,0),"@@@",G992))</f>
        <v>75</v>
      </c>
      <c r="W992" s="4" t="str">
        <f>IF(H992="",IF(ISNUMBER(SEARCH("NOT NULL",UPPER(H$3))),"''","null"),SUBSTITUTE(VLOOKUP(H$2,convert!$A$1:$B$4,2,0),"@@@",H992))</f>
        <v>119</v>
      </c>
      <c r="X992" s="4" t="str">
        <f>IF(I992="",IF(ISNUMBER(SEARCH("NOT NULL",UPPER(I$3))),"''","null"),SUBSTITUTE(VLOOKUP(I$2,convert!$A$1:$B$4,2,0),"@@@",I992))</f>
        <v>''</v>
      </c>
      <c r="Y992" s="4" t="str">
        <f>IF(J992="",IF(ISNUMBER(SEARCH("NOT NULL",UPPER(J$3))),"''","null"),SUBSTITUTE(VLOOKUP(J$2,convert!$A$1:$B$4,2,0),"@@@",J992))</f>
        <v>'fire'</v>
      </c>
      <c r="Z992" s="4" t="str">
        <f>IF(K992="",IF(ISNUMBER(SEARCH("NOT NULL",UPPER(K$3))),"''","null"),SUBSTITUTE(VLOOKUP(K$2,convert!$A$1:$B$4,2,0),"@@@",K992))</f>
        <v>null</v>
      </c>
      <c r="AA992" s="4" t="str">
        <f>IF(L992="",IF(ISNUMBER(SEARCH("NOT NULL",UPPER(L$3))),"''","null"),SUBSTITUTE(VLOOKUP(L$2,convert!$A$1:$B$4,2,0),"@@@",L992))</f>
        <v>'g8'</v>
      </c>
      <c r="AB992" s="4" t="str">
        <f>IF(M992="",IF(ISNUMBER(SEARCH("NOT NULL",UPPER(M$3))),"''","null"),SUBSTITUTE(VLOOKUP(M$2,convert!$A$1:$B$4,2,0),"@@@",M992))</f>
        <v>null</v>
      </c>
      <c r="AC992" s="4" t="str">
        <f>IF(N992="",IF(ISNUMBER(SEARCH("NOT NULL",UPPER(N$3))),"''","null"),SUBSTITUTE(VLOOKUP(N$2,convert!$A$1:$B$4,2,0),"@@@",N992))</f>
        <v>null</v>
      </c>
      <c r="AD992" s="4" t="str">
        <f>IF(O992="",IF(ISNUMBER(SEARCH("NOT NULL",UPPER(O$3))),"''","null"),SUBSTITUTE(VLOOKUP(O$2,convert!$A$1:$B$4,2,0),"@@@",O992))</f>
        <v>FALSE</v>
      </c>
      <c r="AE992" s="4" t="str">
        <f t="shared" si="15"/>
        <v>    ('0815N01', 'エースバーン', 80, 116, 75, 65, 75, 119, '', 'fire', null, 'g8', null, null, FALSE),</v>
      </c>
    </row>
    <row r="993" spans="1:31">
      <c r="A993" s="4" t="s">
        <v>1992</v>
      </c>
      <c r="B993" s="4" t="s">
        <v>1993</v>
      </c>
      <c r="C993" s="5">
        <v>50</v>
      </c>
      <c r="D993" s="5">
        <v>40</v>
      </c>
      <c r="E993" s="5">
        <v>40</v>
      </c>
      <c r="F993" s="5">
        <v>70</v>
      </c>
      <c r="G993" s="5">
        <v>40</v>
      </c>
      <c r="H993" s="5">
        <v>70</v>
      </c>
      <c r="I993" s="5"/>
      <c r="J993" s="4" t="s">
        <v>55</v>
      </c>
      <c r="K993" s="5"/>
      <c r="L993" s="4" t="s">
        <v>179</v>
      </c>
      <c r="M993" s="5"/>
      <c r="N993" s="5"/>
      <c r="O993" s="5" t="b">
        <v>0</v>
      </c>
      <c r="P993" s="4" t="str">
        <f>IF(A993="",IF(ISNUMBER(SEARCH("NOT NULL",UPPER(A$3))),"''","null"),SUBSTITUTE(VLOOKUP(A$2,convert!$A$1:$B$4,2,0),"@@@",A993))</f>
        <v>'0816N01'</v>
      </c>
      <c r="Q993" s="4" t="str">
        <f>IF(B993="",IF(ISNUMBER(SEARCH("NOT NULL",UPPER(B$3))),"''","null"),SUBSTITUTE(VLOOKUP(B$2,convert!$A$1:$B$4,2,0),"@@@",B993))</f>
        <v>'メッソン'</v>
      </c>
      <c r="R993" s="4" t="str">
        <f>IF(C993="",IF(ISNUMBER(SEARCH("NOT NULL",UPPER(C$3))),"''","null"),SUBSTITUTE(VLOOKUP(C$2,convert!$A$1:$B$4,2,0),"@@@",C993))</f>
        <v>50</v>
      </c>
      <c r="S993" s="4" t="str">
        <f>IF(D993="",IF(ISNUMBER(SEARCH("NOT NULL",UPPER(D$3))),"''","null"),SUBSTITUTE(VLOOKUP(D$2,convert!$A$1:$B$4,2,0),"@@@",D993))</f>
        <v>40</v>
      </c>
      <c r="T993" s="4" t="str">
        <f>IF(E993="",IF(ISNUMBER(SEARCH("NOT NULL",UPPER(E$3))),"''","null"),SUBSTITUTE(VLOOKUP(E$2,convert!$A$1:$B$4,2,0),"@@@",E993))</f>
        <v>40</v>
      </c>
      <c r="U993" s="4" t="str">
        <f>IF(F993="",IF(ISNUMBER(SEARCH("NOT NULL",UPPER(F$3))),"''","null"),SUBSTITUTE(VLOOKUP(F$2,convert!$A$1:$B$4,2,0),"@@@",F993))</f>
        <v>70</v>
      </c>
      <c r="V993" s="4" t="str">
        <f>IF(G993="",IF(ISNUMBER(SEARCH("NOT NULL",UPPER(G$3))),"''","null"),SUBSTITUTE(VLOOKUP(G$2,convert!$A$1:$B$4,2,0),"@@@",G993))</f>
        <v>40</v>
      </c>
      <c r="W993" s="4" t="str">
        <f>IF(H993="",IF(ISNUMBER(SEARCH("NOT NULL",UPPER(H$3))),"''","null"),SUBSTITUTE(VLOOKUP(H$2,convert!$A$1:$B$4,2,0),"@@@",H993))</f>
        <v>70</v>
      </c>
      <c r="X993" s="4" t="str">
        <f>IF(I993="",IF(ISNUMBER(SEARCH("NOT NULL",UPPER(I$3))),"''","null"),SUBSTITUTE(VLOOKUP(I$2,convert!$A$1:$B$4,2,0),"@@@",I993))</f>
        <v>''</v>
      </c>
      <c r="Y993" s="4" t="str">
        <f>IF(J993="",IF(ISNUMBER(SEARCH("NOT NULL",UPPER(J$3))),"''","null"),SUBSTITUTE(VLOOKUP(J$2,convert!$A$1:$B$4,2,0),"@@@",J993))</f>
        <v>'water'</v>
      </c>
      <c r="Z993" s="4" t="str">
        <f>IF(K993="",IF(ISNUMBER(SEARCH("NOT NULL",UPPER(K$3))),"''","null"),SUBSTITUTE(VLOOKUP(K$2,convert!$A$1:$B$4,2,0),"@@@",K993))</f>
        <v>null</v>
      </c>
      <c r="AA993" s="4" t="str">
        <f>IF(L993="",IF(ISNUMBER(SEARCH("NOT NULL",UPPER(L$3))),"''","null"),SUBSTITUTE(VLOOKUP(L$2,convert!$A$1:$B$4,2,0),"@@@",L993))</f>
        <v>'g8'</v>
      </c>
      <c r="AB993" s="4" t="str">
        <f>IF(M993="",IF(ISNUMBER(SEARCH("NOT NULL",UPPER(M$3))),"''","null"),SUBSTITUTE(VLOOKUP(M$2,convert!$A$1:$B$4,2,0),"@@@",M993))</f>
        <v>null</v>
      </c>
      <c r="AC993" s="4" t="str">
        <f>IF(N993="",IF(ISNUMBER(SEARCH("NOT NULL",UPPER(N$3))),"''","null"),SUBSTITUTE(VLOOKUP(N$2,convert!$A$1:$B$4,2,0),"@@@",N993))</f>
        <v>null</v>
      </c>
      <c r="AD993" s="4" t="str">
        <f>IF(O993="",IF(ISNUMBER(SEARCH("NOT NULL",UPPER(O$3))),"''","null"),SUBSTITUTE(VLOOKUP(O$2,convert!$A$1:$B$4,2,0),"@@@",O993))</f>
        <v>FALSE</v>
      </c>
      <c r="AE993" s="4" t="str">
        <f t="shared" si="15"/>
        <v>    ('0816N01', 'メッソン', 50, 40, 40, 70, 40, 70, '', 'water', null, 'g8', null, null, FALSE),</v>
      </c>
    </row>
    <row r="994" spans="1:31">
      <c r="A994" s="4" t="s">
        <v>1994</v>
      </c>
      <c r="B994" s="4" t="s">
        <v>1995</v>
      </c>
      <c r="C994" s="5">
        <v>65</v>
      </c>
      <c r="D994" s="5">
        <v>60</v>
      </c>
      <c r="E994" s="5">
        <v>55</v>
      </c>
      <c r="F994" s="5">
        <v>95</v>
      </c>
      <c r="G994" s="5">
        <v>55</v>
      </c>
      <c r="H994" s="5">
        <v>90</v>
      </c>
      <c r="I994" s="5"/>
      <c r="J994" s="4" t="s">
        <v>55</v>
      </c>
      <c r="K994" s="5"/>
      <c r="L994" s="4" t="s">
        <v>179</v>
      </c>
      <c r="M994" s="5"/>
      <c r="N994" s="5"/>
      <c r="O994" s="5" t="b">
        <v>0</v>
      </c>
      <c r="P994" s="4" t="str">
        <f>IF(A994="",IF(ISNUMBER(SEARCH("NOT NULL",UPPER(A$3))),"''","null"),SUBSTITUTE(VLOOKUP(A$2,convert!$A$1:$B$4,2,0),"@@@",A994))</f>
        <v>'0817N01'</v>
      </c>
      <c r="Q994" s="4" t="str">
        <f>IF(B994="",IF(ISNUMBER(SEARCH("NOT NULL",UPPER(B$3))),"''","null"),SUBSTITUTE(VLOOKUP(B$2,convert!$A$1:$B$4,2,0),"@@@",B994))</f>
        <v>'ジメレオン'</v>
      </c>
      <c r="R994" s="4" t="str">
        <f>IF(C994="",IF(ISNUMBER(SEARCH("NOT NULL",UPPER(C$3))),"''","null"),SUBSTITUTE(VLOOKUP(C$2,convert!$A$1:$B$4,2,0),"@@@",C994))</f>
        <v>65</v>
      </c>
      <c r="S994" s="4" t="str">
        <f>IF(D994="",IF(ISNUMBER(SEARCH("NOT NULL",UPPER(D$3))),"''","null"),SUBSTITUTE(VLOOKUP(D$2,convert!$A$1:$B$4,2,0),"@@@",D994))</f>
        <v>60</v>
      </c>
      <c r="T994" s="4" t="str">
        <f>IF(E994="",IF(ISNUMBER(SEARCH("NOT NULL",UPPER(E$3))),"''","null"),SUBSTITUTE(VLOOKUP(E$2,convert!$A$1:$B$4,2,0),"@@@",E994))</f>
        <v>55</v>
      </c>
      <c r="U994" s="4" t="str">
        <f>IF(F994="",IF(ISNUMBER(SEARCH("NOT NULL",UPPER(F$3))),"''","null"),SUBSTITUTE(VLOOKUP(F$2,convert!$A$1:$B$4,2,0),"@@@",F994))</f>
        <v>95</v>
      </c>
      <c r="V994" s="4" t="str">
        <f>IF(G994="",IF(ISNUMBER(SEARCH("NOT NULL",UPPER(G$3))),"''","null"),SUBSTITUTE(VLOOKUP(G$2,convert!$A$1:$B$4,2,0),"@@@",G994))</f>
        <v>55</v>
      </c>
      <c r="W994" s="4" t="str">
        <f>IF(H994="",IF(ISNUMBER(SEARCH("NOT NULL",UPPER(H$3))),"''","null"),SUBSTITUTE(VLOOKUP(H$2,convert!$A$1:$B$4,2,0),"@@@",H994))</f>
        <v>90</v>
      </c>
      <c r="X994" s="4" t="str">
        <f>IF(I994="",IF(ISNUMBER(SEARCH("NOT NULL",UPPER(I$3))),"''","null"),SUBSTITUTE(VLOOKUP(I$2,convert!$A$1:$B$4,2,0),"@@@",I994))</f>
        <v>''</v>
      </c>
      <c r="Y994" s="4" t="str">
        <f>IF(J994="",IF(ISNUMBER(SEARCH("NOT NULL",UPPER(J$3))),"''","null"),SUBSTITUTE(VLOOKUP(J$2,convert!$A$1:$B$4,2,0),"@@@",J994))</f>
        <v>'water'</v>
      </c>
      <c r="Z994" s="4" t="str">
        <f>IF(K994="",IF(ISNUMBER(SEARCH("NOT NULL",UPPER(K$3))),"''","null"),SUBSTITUTE(VLOOKUP(K$2,convert!$A$1:$B$4,2,0),"@@@",K994))</f>
        <v>null</v>
      </c>
      <c r="AA994" s="4" t="str">
        <f>IF(L994="",IF(ISNUMBER(SEARCH("NOT NULL",UPPER(L$3))),"''","null"),SUBSTITUTE(VLOOKUP(L$2,convert!$A$1:$B$4,2,0),"@@@",L994))</f>
        <v>'g8'</v>
      </c>
      <c r="AB994" s="4" t="str">
        <f>IF(M994="",IF(ISNUMBER(SEARCH("NOT NULL",UPPER(M$3))),"''","null"),SUBSTITUTE(VLOOKUP(M$2,convert!$A$1:$B$4,2,0),"@@@",M994))</f>
        <v>null</v>
      </c>
      <c r="AC994" s="4" t="str">
        <f>IF(N994="",IF(ISNUMBER(SEARCH("NOT NULL",UPPER(N$3))),"''","null"),SUBSTITUTE(VLOOKUP(N$2,convert!$A$1:$B$4,2,0),"@@@",N994))</f>
        <v>null</v>
      </c>
      <c r="AD994" s="4" t="str">
        <f>IF(O994="",IF(ISNUMBER(SEARCH("NOT NULL",UPPER(O$3))),"''","null"),SUBSTITUTE(VLOOKUP(O$2,convert!$A$1:$B$4,2,0),"@@@",O994))</f>
        <v>FALSE</v>
      </c>
      <c r="AE994" s="4" t="str">
        <f t="shared" si="15"/>
        <v>    ('0817N01', 'ジメレオン', 65, 60, 55, 95, 55, 90, '', 'water', null, 'g8', null, null, FALSE),</v>
      </c>
    </row>
    <row r="995" spans="1:31">
      <c r="A995" s="4" t="s">
        <v>1996</v>
      </c>
      <c r="B995" s="4" t="s">
        <v>1997</v>
      </c>
      <c r="C995" s="5">
        <v>70</v>
      </c>
      <c r="D995" s="5">
        <v>85</v>
      </c>
      <c r="E995" s="5">
        <v>65</v>
      </c>
      <c r="F995" s="5">
        <v>125</v>
      </c>
      <c r="G995" s="5">
        <v>65</v>
      </c>
      <c r="H995" s="5">
        <v>120</v>
      </c>
      <c r="I995" s="5"/>
      <c r="J995" s="4" t="s">
        <v>55</v>
      </c>
      <c r="K995" s="5"/>
      <c r="L995" s="4" t="s">
        <v>179</v>
      </c>
      <c r="M995" s="5"/>
      <c r="N995" s="5"/>
      <c r="O995" s="5" t="b">
        <v>0</v>
      </c>
      <c r="P995" s="4" t="str">
        <f>IF(A995="",IF(ISNUMBER(SEARCH("NOT NULL",UPPER(A$3))),"''","null"),SUBSTITUTE(VLOOKUP(A$2,convert!$A$1:$B$4,2,0),"@@@",A995))</f>
        <v>'0818N01'</v>
      </c>
      <c r="Q995" s="4" t="str">
        <f>IF(B995="",IF(ISNUMBER(SEARCH("NOT NULL",UPPER(B$3))),"''","null"),SUBSTITUTE(VLOOKUP(B$2,convert!$A$1:$B$4,2,0),"@@@",B995))</f>
        <v>'インテレオン'</v>
      </c>
      <c r="R995" s="4" t="str">
        <f>IF(C995="",IF(ISNUMBER(SEARCH("NOT NULL",UPPER(C$3))),"''","null"),SUBSTITUTE(VLOOKUP(C$2,convert!$A$1:$B$4,2,0),"@@@",C995))</f>
        <v>70</v>
      </c>
      <c r="S995" s="4" t="str">
        <f>IF(D995="",IF(ISNUMBER(SEARCH("NOT NULL",UPPER(D$3))),"''","null"),SUBSTITUTE(VLOOKUP(D$2,convert!$A$1:$B$4,2,0),"@@@",D995))</f>
        <v>85</v>
      </c>
      <c r="T995" s="4" t="str">
        <f>IF(E995="",IF(ISNUMBER(SEARCH("NOT NULL",UPPER(E$3))),"''","null"),SUBSTITUTE(VLOOKUP(E$2,convert!$A$1:$B$4,2,0),"@@@",E995))</f>
        <v>65</v>
      </c>
      <c r="U995" s="4" t="str">
        <f>IF(F995="",IF(ISNUMBER(SEARCH("NOT NULL",UPPER(F$3))),"''","null"),SUBSTITUTE(VLOOKUP(F$2,convert!$A$1:$B$4,2,0),"@@@",F995))</f>
        <v>125</v>
      </c>
      <c r="V995" s="4" t="str">
        <f>IF(G995="",IF(ISNUMBER(SEARCH("NOT NULL",UPPER(G$3))),"''","null"),SUBSTITUTE(VLOOKUP(G$2,convert!$A$1:$B$4,2,0),"@@@",G995))</f>
        <v>65</v>
      </c>
      <c r="W995" s="4" t="str">
        <f>IF(H995="",IF(ISNUMBER(SEARCH("NOT NULL",UPPER(H$3))),"''","null"),SUBSTITUTE(VLOOKUP(H$2,convert!$A$1:$B$4,2,0),"@@@",H995))</f>
        <v>120</v>
      </c>
      <c r="X995" s="4" t="str">
        <f>IF(I995="",IF(ISNUMBER(SEARCH("NOT NULL",UPPER(I$3))),"''","null"),SUBSTITUTE(VLOOKUP(I$2,convert!$A$1:$B$4,2,0),"@@@",I995))</f>
        <v>''</v>
      </c>
      <c r="Y995" s="4" t="str">
        <f>IF(J995="",IF(ISNUMBER(SEARCH("NOT NULL",UPPER(J$3))),"''","null"),SUBSTITUTE(VLOOKUP(J$2,convert!$A$1:$B$4,2,0),"@@@",J995))</f>
        <v>'water'</v>
      </c>
      <c r="Z995" s="4" t="str">
        <f>IF(K995="",IF(ISNUMBER(SEARCH("NOT NULL",UPPER(K$3))),"''","null"),SUBSTITUTE(VLOOKUP(K$2,convert!$A$1:$B$4,2,0),"@@@",K995))</f>
        <v>null</v>
      </c>
      <c r="AA995" s="4" t="str">
        <f>IF(L995="",IF(ISNUMBER(SEARCH("NOT NULL",UPPER(L$3))),"''","null"),SUBSTITUTE(VLOOKUP(L$2,convert!$A$1:$B$4,2,0),"@@@",L995))</f>
        <v>'g8'</v>
      </c>
      <c r="AB995" s="4" t="str">
        <f>IF(M995="",IF(ISNUMBER(SEARCH("NOT NULL",UPPER(M$3))),"''","null"),SUBSTITUTE(VLOOKUP(M$2,convert!$A$1:$B$4,2,0),"@@@",M995))</f>
        <v>null</v>
      </c>
      <c r="AC995" s="4" t="str">
        <f>IF(N995="",IF(ISNUMBER(SEARCH("NOT NULL",UPPER(N$3))),"''","null"),SUBSTITUTE(VLOOKUP(N$2,convert!$A$1:$B$4,2,0),"@@@",N995))</f>
        <v>null</v>
      </c>
      <c r="AD995" s="4" t="str">
        <f>IF(O995="",IF(ISNUMBER(SEARCH("NOT NULL",UPPER(O$3))),"''","null"),SUBSTITUTE(VLOOKUP(O$2,convert!$A$1:$B$4,2,0),"@@@",O995))</f>
        <v>FALSE</v>
      </c>
      <c r="AE995" s="4" t="str">
        <f t="shared" si="15"/>
        <v>    ('0818N01', 'インテレオン', 70, 85, 65, 125, 65, 120, '', 'water', null, 'g8', null, null, FALSE),</v>
      </c>
    </row>
    <row r="996" spans="1:31">
      <c r="A996" s="4" t="s">
        <v>1998</v>
      </c>
      <c r="B996" s="4" t="s">
        <v>1999</v>
      </c>
      <c r="C996" s="5">
        <v>70</v>
      </c>
      <c r="D996" s="5">
        <v>55</v>
      </c>
      <c r="E996" s="5">
        <v>55</v>
      </c>
      <c r="F996" s="5">
        <v>35</v>
      </c>
      <c r="G996" s="5">
        <v>35</v>
      </c>
      <c r="H996" s="5">
        <v>25</v>
      </c>
      <c r="I996" s="5"/>
      <c r="J996" s="4" t="s">
        <v>80</v>
      </c>
      <c r="K996" s="5"/>
      <c r="L996" s="4" t="s">
        <v>179</v>
      </c>
      <c r="M996" s="5"/>
      <c r="N996" s="5"/>
      <c r="O996" s="5" t="b">
        <v>1</v>
      </c>
      <c r="P996" s="4" t="str">
        <f>IF(A996="",IF(ISNUMBER(SEARCH("NOT NULL",UPPER(A$3))),"''","null"),SUBSTITUTE(VLOOKUP(A$2,convert!$A$1:$B$4,2,0),"@@@",A996))</f>
        <v>'0819N01'</v>
      </c>
      <c r="Q996" s="4" t="str">
        <f>IF(B996="",IF(ISNUMBER(SEARCH("NOT NULL",UPPER(B$3))),"''","null"),SUBSTITUTE(VLOOKUP(B$2,convert!$A$1:$B$4,2,0),"@@@",B996))</f>
        <v>'ホシガリス'</v>
      </c>
      <c r="R996" s="4" t="str">
        <f>IF(C996="",IF(ISNUMBER(SEARCH("NOT NULL",UPPER(C$3))),"''","null"),SUBSTITUTE(VLOOKUP(C$2,convert!$A$1:$B$4,2,0),"@@@",C996))</f>
        <v>70</v>
      </c>
      <c r="S996" s="4" t="str">
        <f>IF(D996="",IF(ISNUMBER(SEARCH("NOT NULL",UPPER(D$3))),"''","null"),SUBSTITUTE(VLOOKUP(D$2,convert!$A$1:$B$4,2,0),"@@@",D996))</f>
        <v>55</v>
      </c>
      <c r="T996" s="4" t="str">
        <f>IF(E996="",IF(ISNUMBER(SEARCH("NOT NULL",UPPER(E$3))),"''","null"),SUBSTITUTE(VLOOKUP(E$2,convert!$A$1:$B$4,2,0),"@@@",E996))</f>
        <v>55</v>
      </c>
      <c r="U996" s="4" t="str">
        <f>IF(F996="",IF(ISNUMBER(SEARCH("NOT NULL",UPPER(F$3))),"''","null"),SUBSTITUTE(VLOOKUP(F$2,convert!$A$1:$B$4,2,0),"@@@",F996))</f>
        <v>35</v>
      </c>
      <c r="V996" s="4" t="str">
        <f>IF(G996="",IF(ISNUMBER(SEARCH("NOT NULL",UPPER(G$3))),"''","null"),SUBSTITUTE(VLOOKUP(G$2,convert!$A$1:$B$4,2,0),"@@@",G996))</f>
        <v>35</v>
      </c>
      <c r="W996" s="4" t="str">
        <f>IF(H996="",IF(ISNUMBER(SEARCH("NOT NULL",UPPER(H$3))),"''","null"),SUBSTITUTE(VLOOKUP(H$2,convert!$A$1:$B$4,2,0),"@@@",H996))</f>
        <v>25</v>
      </c>
      <c r="X996" s="4" t="str">
        <f>IF(I996="",IF(ISNUMBER(SEARCH("NOT NULL",UPPER(I$3))),"''","null"),SUBSTITUTE(VLOOKUP(I$2,convert!$A$1:$B$4,2,0),"@@@",I996))</f>
        <v>''</v>
      </c>
      <c r="Y996" s="4" t="str">
        <f>IF(J996="",IF(ISNUMBER(SEARCH("NOT NULL",UPPER(J$3))),"''","null"),SUBSTITUTE(VLOOKUP(J$2,convert!$A$1:$B$4,2,0),"@@@",J996))</f>
        <v>'normal'</v>
      </c>
      <c r="Z996" s="4" t="str">
        <f>IF(K996="",IF(ISNUMBER(SEARCH("NOT NULL",UPPER(K$3))),"''","null"),SUBSTITUTE(VLOOKUP(K$2,convert!$A$1:$B$4,2,0),"@@@",K996))</f>
        <v>null</v>
      </c>
      <c r="AA996" s="4" t="str">
        <f>IF(L996="",IF(ISNUMBER(SEARCH("NOT NULL",UPPER(L$3))),"''","null"),SUBSTITUTE(VLOOKUP(L$2,convert!$A$1:$B$4,2,0),"@@@",L996))</f>
        <v>'g8'</v>
      </c>
      <c r="AB996" s="4" t="str">
        <f>IF(M996="",IF(ISNUMBER(SEARCH("NOT NULL",UPPER(M$3))),"''","null"),SUBSTITUTE(VLOOKUP(M$2,convert!$A$1:$B$4,2,0),"@@@",M996))</f>
        <v>null</v>
      </c>
      <c r="AC996" s="4" t="str">
        <f>IF(N996="",IF(ISNUMBER(SEARCH("NOT NULL",UPPER(N$3))),"''","null"),SUBSTITUTE(VLOOKUP(N$2,convert!$A$1:$B$4,2,0),"@@@",N996))</f>
        <v>null</v>
      </c>
      <c r="AD996" s="4" t="str">
        <f>IF(O996="",IF(ISNUMBER(SEARCH("NOT NULL",UPPER(O$3))),"''","null"),SUBSTITUTE(VLOOKUP(O$2,convert!$A$1:$B$4,2,0),"@@@",O996))</f>
        <v>TRUE</v>
      </c>
      <c r="AE996" s="4" t="str">
        <f t="shared" si="15"/>
        <v>    ('0819N01', 'ホシガリス', 70, 55, 55, 35, 35, 25, '', 'normal', null, 'g8', null, null, TRUE),</v>
      </c>
    </row>
    <row r="997" spans="1:31">
      <c r="A997" s="4" t="s">
        <v>2000</v>
      </c>
      <c r="B997" s="4" t="s">
        <v>2001</v>
      </c>
      <c r="C997" s="5">
        <v>120</v>
      </c>
      <c r="D997" s="5">
        <v>95</v>
      </c>
      <c r="E997" s="5">
        <v>95</v>
      </c>
      <c r="F997" s="5">
        <v>55</v>
      </c>
      <c r="G997" s="5">
        <v>75</v>
      </c>
      <c r="H997" s="5">
        <v>20</v>
      </c>
      <c r="I997" s="5"/>
      <c r="J997" s="4" t="s">
        <v>80</v>
      </c>
      <c r="K997" s="5"/>
      <c r="L997" s="4" t="s">
        <v>179</v>
      </c>
      <c r="M997" s="5"/>
      <c r="N997" s="5"/>
      <c r="O997" s="5" t="b">
        <v>1</v>
      </c>
      <c r="P997" s="4" t="str">
        <f>IF(A997="",IF(ISNUMBER(SEARCH("NOT NULL",UPPER(A$3))),"''","null"),SUBSTITUTE(VLOOKUP(A$2,convert!$A$1:$B$4,2,0),"@@@",A997))</f>
        <v>'0820N01'</v>
      </c>
      <c r="Q997" s="4" t="str">
        <f>IF(B997="",IF(ISNUMBER(SEARCH("NOT NULL",UPPER(B$3))),"''","null"),SUBSTITUTE(VLOOKUP(B$2,convert!$A$1:$B$4,2,0),"@@@",B997))</f>
        <v>'ヨクバリス'</v>
      </c>
      <c r="R997" s="4" t="str">
        <f>IF(C997="",IF(ISNUMBER(SEARCH("NOT NULL",UPPER(C$3))),"''","null"),SUBSTITUTE(VLOOKUP(C$2,convert!$A$1:$B$4,2,0),"@@@",C997))</f>
        <v>120</v>
      </c>
      <c r="S997" s="4" t="str">
        <f>IF(D997="",IF(ISNUMBER(SEARCH("NOT NULL",UPPER(D$3))),"''","null"),SUBSTITUTE(VLOOKUP(D$2,convert!$A$1:$B$4,2,0),"@@@",D997))</f>
        <v>95</v>
      </c>
      <c r="T997" s="4" t="str">
        <f>IF(E997="",IF(ISNUMBER(SEARCH("NOT NULL",UPPER(E$3))),"''","null"),SUBSTITUTE(VLOOKUP(E$2,convert!$A$1:$B$4,2,0),"@@@",E997))</f>
        <v>95</v>
      </c>
      <c r="U997" s="4" t="str">
        <f>IF(F997="",IF(ISNUMBER(SEARCH("NOT NULL",UPPER(F$3))),"''","null"),SUBSTITUTE(VLOOKUP(F$2,convert!$A$1:$B$4,2,0),"@@@",F997))</f>
        <v>55</v>
      </c>
      <c r="V997" s="4" t="str">
        <f>IF(G997="",IF(ISNUMBER(SEARCH("NOT NULL",UPPER(G$3))),"''","null"),SUBSTITUTE(VLOOKUP(G$2,convert!$A$1:$B$4,2,0),"@@@",G997))</f>
        <v>75</v>
      </c>
      <c r="W997" s="4" t="str">
        <f>IF(H997="",IF(ISNUMBER(SEARCH("NOT NULL",UPPER(H$3))),"''","null"),SUBSTITUTE(VLOOKUP(H$2,convert!$A$1:$B$4,2,0),"@@@",H997))</f>
        <v>20</v>
      </c>
      <c r="X997" s="4" t="str">
        <f>IF(I997="",IF(ISNUMBER(SEARCH("NOT NULL",UPPER(I$3))),"''","null"),SUBSTITUTE(VLOOKUP(I$2,convert!$A$1:$B$4,2,0),"@@@",I997))</f>
        <v>''</v>
      </c>
      <c r="Y997" s="4" t="str">
        <f>IF(J997="",IF(ISNUMBER(SEARCH("NOT NULL",UPPER(J$3))),"''","null"),SUBSTITUTE(VLOOKUP(J$2,convert!$A$1:$B$4,2,0),"@@@",J997))</f>
        <v>'normal'</v>
      </c>
      <c r="Z997" s="4" t="str">
        <f>IF(K997="",IF(ISNUMBER(SEARCH("NOT NULL",UPPER(K$3))),"''","null"),SUBSTITUTE(VLOOKUP(K$2,convert!$A$1:$B$4,2,0),"@@@",K997))</f>
        <v>null</v>
      </c>
      <c r="AA997" s="4" t="str">
        <f>IF(L997="",IF(ISNUMBER(SEARCH("NOT NULL",UPPER(L$3))),"''","null"),SUBSTITUTE(VLOOKUP(L$2,convert!$A$1:$B$4,2,0),"@@@",L997))</f>
        <v>'g8'</v>
      </c>
      <c r="AB997" s="4" t="str">
        <f>IF(M997="",IF(ISNUMBER(SEARCH("NOT NULL",UPPER(M$3))),"''","null"),SUBSTITUTE(VLOOKUP(M$2,convert!$A$1:$B$4,2,0),"@@@",M997))</f>
        <v>null</v>
      </c>
      <c r="AC997" s="4" t="str">
        <f>IF(N997="",IF(ISNUMBER(SEARCH("NOT NULL",UPPER(N$3))),"''","null"),SUBSTITUTE(VLOOKUP(N$2,convert!$A$1:$B$4,2,0),"@@@",N997))</f>
        <v>null</v>
      </c>
      <c r="AD997" s="4" t="str">
        <f>IF(O997="",IF(ISNUMBER(SEARCH("NOT NULL",UPPER(O$3))),"''","null"),SUBSTITUTE(VLOOKUP(O$2,convert!$A$1:$B$4,2,0),"@@@",O997))</f>
        <v>TRUE</v>
      </c>
      <c r="AE997" s="4" t="str">
        <f t="shared" si="15"/>
        <v>    ('0820N01', 'ヨクバリス', 120, 95, 95, 55, 75, 20, '', 'normal', null, 'g8', null, null, TRUE),</v>
      </c>
    </row>
    <row r="998" spans="1:31">
      <c r="A998" s="4" t="s">
        <v>2002</v>
      </c>
      <c r="B998" s="4" t="s">
        <v>2003</v>
      </c>
      <c r="C998" s="5">
        <v>38</v>
      </c>
      <c r="D998" s="5">
        <v>47</v>
      </c>
      <c r="E998" s="5">
        <v>35</v>
      </c>
      <c r="F998" s="5">
        <v>33</v>
      </c>
      <c r="G998" s="5">
        <v>35</v>
      </c>
      <c r="H998" s="5">
        <v>57</v>
      </c>
      <c r="I998" s="5"/>
      <c r="J998" s="4" t="s">
        <v>47</v>
      </c>
      <c r="K998" s="5"/>
      <c r="L998" s="4" t="s">
        <v>179</v>
      </c>
      <c r="M998" s="5"/>
      <c r="N998" s="5"/>
      <c r="O998" s="5" t="b">
        <v>0</v>
      </c>
      <c r="P998" s="4" t="str">
        <f>IF(A998="",IF(ISNUMBER(SEARCH("NOT NULL",UPPER(A$3))),"''","null"),SUBSTITUTE(VLOOKUP(A$2,convert!$A$1:$B$4,2,0),"@@@",A998))</f>
        <v>'0821N01'</v>
      </c>
      <c r="Q998" s="4" t="str">
        <f>IF(B998="",IF(ISNUMBER(SEARCH("NOT NULL",UPPER(B$3))),"''","null"),SUBSTITUTE(VLOOKUP(B$2,convert!$A$1:$B$4,2,0),"@@@",B998))</f>
        <v>'ココガラ'</v>
      </c>
      <c r="R998" s="4" t="str">
        <f>IF(C998="",IF(ISNUMBER(SEARCH("NOT NULL",UPPER(C$3))),"''","null"),SUBSTITUTE(VLOOKUP(C$2,convert!$A$1:$B$4,2,0),"@@@",C998))</f>
        <v>38</v>
      </c>
      <c r="S998" s="4" t="str">
        <f>IF(D998="",IF(ISNUMBER(SEARCH("NOT NULL",UPPER(D$3))),"''","null"),SUBSTITUTE(VLOOKUP(D$2,convert!$A$1:$B$4,2,0),"@@@",D998))</f>
        <v>47</v>
      </c>
      <c r="T998" s="4" t="str">
        <f>IF(E998="",IF(ISNUMBER(SEARCH("NOT NULL",UPPER(E$3))),"''","null"),SUBSTITUTE(VLOOKUP(E$2,convert!$A$1:$B$4,2,0),"@@@",E998))</f>
        <v>35</v>
      </c>
      <c r="U998" s="4" t="str">
        <f>IF(F998="",IF(ISNUMBER(SEARCH("NOT NULL",UPPER(F$3))),"''","null"),SUBSTITUTE(VLOOKUP(F$2,convert!$A$1:$B$4,2,0),"@@@",F998))</f>
        <v>33</v>
      </c>
      <c r="V998" s="4" t="str">
        <f>IF(G998="",IF(ISNUMBER(SEARCH("NOT NULL",UPPER(G$3))),"''","null"),SUBSTITUTE(VLOOKUP(G$2,convert!$A$1:$B$4,2,0),"@@@",G998))</f>
        <v>35</v>
      </c>
      <c r="W998" s="4" t="str">
        <f>IF(H998="",IF(ISNUMBER(SEARCH("NOT NULL",UPPER(H$3))),"''","null"),SUBSTITUTE(VLOOKUP(H$2,convert!$A$1:$B$4,2,0),"@@@",H998))</f>
        <v>57</v>
      </c>
      <c r="X998" s="4" t="str">
        <f>IF(I998="",IF(ISNUMBER(SEARCH("NOT NULL",UPPER(I$3))),"''","null"),SUBSTITUTE(VLOOKUP(I$2,convert!$A$1:$B$4,2,0),"@@@",I998))</f>
        <v>''</v>
      </c>
      <c r="Y998" s="4" t="str">
        <f>IF(J998="",IF(ISNUMBER(SEARCH("NOT NULL",UPPER(J$3))),"''","null"),SUBSTITUTE(VLOOKUP(J$2,convert!$A$1:$B$4,2,0),"@@@",J998))</f>
        <v>'flying'</v>
      </c>
      <c r="Z998" s="4" t="str">
        <f>IF(K998="",IF(ISNUMBER(SEARCH("NOT NULL",UPPER(K$3))),"''","null"),SUBSTITUTE(VLOOKUP(K$2,convert!$A$1:$B$4,2,0),"@@@",K998))</f>
        <v>null</v>
      </c>
      <c r="AA998" s="4" t="str">
        <f>IF(L998="",IF(ISNUMBER(SEARCH("NOT NULL",UPPER(L$3))),"''","null"),SUBSTITUTE(VLOOKUP(L$2,convert!$A$1:$B$4,2,0),"@@@",L998))</f>
        <v>'g8'</v>
      </c>
      <c r="AB998" s="4" t="str">
        <f>IF(M998="",IF(ISNUMBER(SEARCH("NOT NULL",UPPER(M$3))),"''","null"),SUBSTITUTE(VLOOKUP(M$2,convert!$A$1:$B$4,2,0),"@@@",M998))</f>
        <v>null</v>
      </c>
      <c r="AC998" s="4" t="str">
        <f>IF(N998="",IF(ISNUMBER(SEARCH("NOT NULL",UPPER(N$3))),"''","null"),SUBSTITUTE(VLOOKUP(N$2,convert!$A$1:$B$4,2,0),"@@@",N998))</f>
        <v>null</v>
      </c>
      <c r="AD998" s="4" t="str">
        <f>IF(O998="",IF(ISNUMBER(SEARCH("NOT NULL",UPPER(O$3))),"''","null"),SUBSTITUTE(VLOOKUP(O$2,convert!$A$1:$B$4,2,0),"@@@",O998))</f>
        <v>FALSE</v>
      </c>
      <c r="AE998" s="4" t="str">
        <f t="shared" si="15"/>
        <v>    ('0821N01', 'ココガラ', 38, 47, 35, 33, 35, 57, '', 'flying', null, 'g8', null, null, FALSE),</v>
      </c>
    </row>
    <row r="999" spans="1:31">
      <c r="A999" s="4" t="s">
        <v>2004</v>
      </c>
      <c r="B999" s="4" t="s">
        <v>2005</v>
      </c>
      <c r="C999" s="5">
        <v>68</v>
      </c>
      <c r="D999" s="5">
        <v>67</v>
      </c>
      <c r="E999" s="5">
        <v>55</v>
      </c>
      <c r="F999" s="5">
        <v>43</v>
      </c>
      <c r="G999" s="5">
        <v>55</v>
      </c>
      <c r="H999" s="5">
        <v>77</v>
      </c>
      <c r="I999" s="5"/>
      <c r="J999" s="4" t="s">
        <v>47</v>
      </c>
      <c r="K999" s="5"/>
      <c r="L999" s="4" t="s">
        <v>179</v>
      </c>
      <c r="M999" s="5"/>
      <c r="N999" s="5"/>
      <c r="O999" s="5" t="b">
        <v>0</v>
      </c>
      <c r="P999" s="4" t="str">
        <f>IF(A999="",IF(ISNUMBER(SEARCH("NOT NULL",UPPER(A$3))),"''","null"),SUBSTITUTE(VLOOKUP(A$2,convert!$A$1:$B$4,2,0),"@@@",A999))</f>
        <v>'0822N01'</v>
      </c>
      <c r="Q999" s="4" t="str">
        <f>IF(B999="",IF(ISNUMBER(SEARCH("NOT NULL",UPPER(B$3))),"''","null"),SUBSTITUTE(VLOOKUP(B$2,convert!$A$1:$B$4,2,0),"@@@",B999))</f>
        <v>'アオガラス'</v>
      </c>
      <c r="R999" s="4" t="str">
        <f>IF(C999="",IF(ISNUMBER(SEARCH("NOT NULL",UPPER(C$3))),"''","null"),SUBSTITUTE(VLOOKUP(C$2,convert!$A$1:$B$4,2,0),"@@@",C999))</f>
        <v>68</v>
      </c>
      <c r="S999" s="4" t="str">
        <f>IF(D999="",IF(ISNUMBER(SEARCH("NOT NULL",UPPER(D$3))),"''","null"),SUBSTITUTE(VLOOKUP(D$2,convert!$A$1:$B$4,2,0),"@@@",D999))</f>
        <v>67</v>
      </c>
      <c r="T999" s="4" t="str">
        <f>IF(E999="",IF(ISNUMBER(SEARCH("NOT NULL",UPPER(E$3))),"''","null"),SUBSTITUTE(VLOOKUP(E$2,convert!$A$1:$B$4,2,0),"@@@",E999))</f>
        <v>55</v>
      </c>
      <c r="U999" s="4" t="str">
        <f>IF(F999="",IF(ISNUMBER(SEARCH("NOT NULL",UPPER(F$3))),"''","null"),SUBSTITUTE(VLOOKUP(F$2,convert!$A$1:$B$4,2,0),"@@@",F999))</f>
        <v>43</v>
      </c>
      <c r="V999" s="4" t="str">
        <f>IF(G999="",IF(ISNUMBER(SEARCH("NOT NULL",UPPER(G$3))),"''","null"),SUBSTITUTE(VLOOKUP(G$2,convert!$A$1:$B$4,2,0),"@@@",G999))</f>
        <v>55</v>
      </c>
      <c r="W999" s="4" t="str">
        <f>IF(H999="",IF(ISNUMBER(SEARCH("NOT NULL",UPPER(H$3))),"''","null"),SUBSTITUTE(VLOOKUP(H$2,convert!$A$1:$B$4,2,0),"@@@",H999))</f>
        <v>77</v>
      </c>
      <c r="X999" s="4" t="str">
        <f>IF(I999="",IF(ISNUMBER(SEARCH("NOT NULL",UPPER(I$3))),"''","null"),SUBSTITUTE(VLOOKUP(I$2,convert!$A$1:$B$4,2,0),"@@@",I999))</f>
        <v>''</v>
      </c>
      <c r="Y999" s="4" t="str">
        <f>IF(J999="",IF(ISNUMBER(SEARCH("NOT NULL",UPPER(J$3))),"''","null"),SUBSTITUTE(VLOOKUP(J$2,convert!$A$1:$B$4,2,0),"@@@",J999))</f>
        <v>'flying'</v>
      </c>
      <c r="Z999" s="4" t="str">
        <f>IF(K999="",IF(ISNUMBER(SEARCH("NOT NULL",UPPER(K$3))),"''","null"),SUBSTITUTE(VLOOKUP(K$2,convert!$A$1:$B$4,2,0),"@@@",K999))</f>
        <v>null</v>
      </c>
      <c r="AA999" s="4" t="str">
        <f>IF(L999="",IF(ISNUMBER(SEARCH("NOT NULL",UPPER(L$3))),"''","null"),SUBSTITUTE(VLOOKUP(L$2,convert!$A$1:$B$4,2,0),"@@@",L999))</f>
        <v>'g8'</v>
      </c>
      <c r="AB999" s="4" t="str">
        <f>IF(M999="",IF(ISNUMBER(SEARCH("NOT NULL",UPPER(M$3))),"''","null"),SUBSTITUTE(VLOOKUP(M$2,convert!$A$1:$B$4,2,0),"@@@",M999))</f>
        <v>null</v>
      </c>
      <c r="AC999" s="4" t="str">
        <f>IF(N999="",IF(ISNUMBER(SEARCH("NOT NULL",UPPER(N$3))),"''","null"),SUBSTITUTE(VLOOKUP(N$2,convert!$A$1:$B$4,2,0),"@@@",N999))</f>
        <v>null</v>
      </c>
      <c r="AD999" s="4" t="str">
        <f>IF(O999="",IF(ISNUMBER(SEARCH("NOT NULL",UPPER(O$3))),"''","null"),SUBSTITUTE(VLOOKUP(O$2,convert!$A$1:$B$4,2,0),"@@@",O999))</f>
        <v>FALSE</v>
      </c>
      <c r="AE999" s="4" t="str">
        <f t="shared" si="15"/>
        <v>    ('0822N01', 'アオガラス', 68, 67, 55, 43, 55, 77, '', 'flying', null, 'g8', null, null, FALSE),</v>
      </c>
    </row>
    <row r="1000" spans="1:31">
      <c r="A1000" s="4" t="s">
        <v>2006</v>
      </c>
      <c r="B1000" s="4" t="s">
        <v>2007</v>
      </c>
      <c r="C1000" s="5">
        <v>98</v>
      </c>
      <c r="D1000" s="5">
        <v>87</v>
      </c>
      <c r="E1000" s="5">
        <v>105</v>
      </c>
      <c r="F1000" s="5">
        <v>53</v>
      </c>
      <c r="G1000" s="5">
        <v>85</v>
      </c>
      <c r="H1000" s="5">
        <v>67</v>
      </c>
      <c r="I1000" s="5"/>
      <c r="J1000" s="4" t="s">
        <v>47</v>
      </c>
      <c r="K1000" s="4" t="s">
        <v>119</v>
      </c>
      <c r="L1000" s="4" t="s">
        <v>179</v>
      </c>
      <c r="M1000" s="5"/>
      <c r="N1000" s="5"/>
      <c r="O1000" s="5" t="b">
        <v>0</v>
      </c>
      <c r="P1000" s="4" t="str">
        <f>IF(A1000="",IF(ISNUMBER(SEARCH("NOT NULL",UPPER(A$3))),"''","null"),SUBSTITUTE(VLOOKUP(A$2,convert!$A$1:$B$4,2,0),"@@@",A1000))</f>
        <v>'0823N01'</v>
      </c>
      <c r="Q1000" s="4" t="str">
        <f>IF(B1000="",IF(ISNUMBER(SEARCH("NOT NULL",UPPER(B$3))),"''","null"),SUBSTITUTE(VLOOKUP(B$2,convert!$A$1:$B$4,2,0),"@@@",B1000))</f>
        <v>'アーマーガア'</v>
      </c>
      <c r="R1000" s="4" t="str">
        <f>IF(C1000="",IF(ISNUMBER(SEARCH("NOT NULL",UPPER(C$3))),"''","null"),SUBSTITUTE(VLOOKUP(C$2,convert!$A$1:$B$4,2,0),"@@@",C1000))</f>
        <v>98</v>
      </c>
      <c r="S1000" s="4" t="str">
        <f>IF(D1000="",IF(ISNUMBER(SEARCH("NOT NULL",UPPER(D$3))),"''","null"),SUBSTITUTE(VLOOKUP(D$2,convert!$A$1:$B$4,2,0),"@@@",D1000))</f>
        <v>87</v>
      </c>
      <c r="T1000" s="4" t="str">
        <f>IF(E1000="",IF(ISNUMBER(SEARCH("NOT NULL",UPPER(E$3))),"''","null"),SUBSTITUTE(VLOOKUP(E$2,convert!$A$1:$B$4,2,0),"@@@",E1000))</f>
        <v>105</v>
      </c>
      <c r="U1000" s="4" t="str">
        <f>IF(F1000="",IF(ISNUMBER(SEARCH("NOT NULL",UPPER(F$3))),"''","null"),SUBSTITUTE(VLOOKUP(F$2,convert!$A$1:$B$4,2,0),"@@@",F1000))</f>
        <v>53</v>
      </c>
      <c r="V1000" s="4" t="str">
        <f>IF(G1000="",IF(ISNUMBER(SEARCH("NOT NULL",UPPER(G$3))),"''","null"),SUBSTITUTE(VLOOKUP(G$2,convert!$A$1:$B$4,2,0),"@@@",G1000))</f>
        <v>85</v>
      </c>
      <c r="W1000" s="4" t="str">
        <f>IF(H1000="",IF(ISNUMBER(SEARCH("NOT NULL",UPPER(H$3))),"''","null"),SUBSTITUTE(VLOOKUP(H$2,convert!$A$1:$B$4,2,0),"@@@",H1000))</f>
        <v>67</v>
      </c>
      <c r="X1000" s="4" t="str">
        <f>IF(I1000="",IF(ISNUMBER(SEARCH("NOT NULL",UPPER(I$3))),"''","null"),SUBSTITUTE(VLOOKUP(I$2,convert!$A$1:$B$4,2,0),"@@@",I1000))</f>
        <v>''</v>
      </c>
      <c r="Y1000" s="4" t="str">
        <f>IF(J1000="",IF(ISNUMBER(SEARCH("NOT NULL",UPPER(J$3))),"''","null"),SUBSTITUTE(VLOOKUP(J$2,convert!$A$1:$B$4,2,0),"@@@",J1000))</f>
        <v>'flying'</v>
      </c>
      <c r="Z1000" s="4" t="str">
        <f>IF(K1000="",IF(ISNUMBER(SEARCH("NOT NULL",UPPER(K$3))),"''","null"),SUBSTITUTE(VLOOKUP(K$2,convert!$A$1:$B$4,2,0),"@@@",K1000))</f>
        <v>'steel'</v>
      </c>
      <c r="AA1000" s="4" t="str">
        <f>IF(L1000="",IF(ISNUMBER(SEARCH("NOT NULL",UPPER(L$3))),"''","null"),SUBSTITUTE(VLOOKUP(L$2,convert!$A$1:$B$4,2,0),"@@@",L1000))</f>
        <v>'g8'</v>
      </c>
      <c r="AB1000" s="4" t="str">
        <f>IF(M1000="",IF(ISNUMBER(SEARCH("NOT NULL",UPPER(M$3))),"''","null"),SUBSTITUTE(VLOOKUP(M$2,convert!$A$1:$B$4,2,0),"@@@",M1000))</f>
        <v>null</v>
      </c>
      <c r="AC1000" s="4" t="str">
        <f>IF(N1000="",IF(ISNUMBER(SEARCH("NOT NULL",UPPER(N$3))),"''","null"),SUBSTITUTE(VLOOKUP(N$2,convert!$A$1:$B$4,2,0),"@@@",N1000))</f>
        <v>null</v>
      </c>
      <c r="AD1000" s="4" t="str">
        <f>IF(O1000="",IF(ISNUMBER(SEARCH("NOT NULL",UPPER(O$3))),"''","null"),SUBSTITUTE(VLOOKUP(O$2,convert!$A$1:$B$4,2,0),"@@@",O1000))</f>
        <v>FALSE</v>
      </c>
      <c r="AE1000" s="4" t="str">
        <f t="shared" si="15"/>
        <v>    ('0823N01', 'アーマーガア', 98, 87, 105, 53, 85, 67, '', 'flying', 'steel', 'g8', null, null, FALSE),</v>
      </c>
    </row>
    <row r="1001" spans="1:31">
      <c r="A1001" s="4" t="s">
        <v>2008</v>
      </c>
      <c r="B1001" s="4" t="s">
        <v>2009</v>
      </c>
      <c r="C1001" s="5">
        <v>25</v>
      </c>
      <c r="D1001" s="5">
        <v>20</v>
      </c>
      <c r="E1001" s="5">
        <v>20</v>
      </c>
      <c r="F1001" s="5">
        <v>25</v>
      </c>
      <c r="G1001" s="5">
        <v>45</v>
      </c>
      <c r="H1001" s="5">
        <v>45</v>
      </c>
      <c r="I1001" s="5"/>
      <c r="J1001" s="4" t="s">
        <v>64</v>
      </c>
      <c r="K1001" s="5"/>
      <c r="L1001" s="4" t="s">
        <v>179</v>
      </c>
      <c r="M1001" s="5"/>
      <c r="N1001" s="5"/>
      <c r="O1001" s="5" t="b">
        <v>0</v>
      </c>
      <c r="P1001" s="4" t="str">
        <f>IF(A1001="",IF(ISNUMBER(SEARCH("NOT NULL",UPPER(A$3))),"''","null"),SUBSTITUTE(VLOOKUP(A$2,convert!$A$1:$B$4,2,0),"@@@",A1001))</f>
        <v>'0824N01'</v>
      </c>
      <c r="Q1001" s="4" t="str">
        <f>IF(B1001="",IF(ISNUMBER(SEARCH("NOT NULL",UPPER(B$3))),"''","null"),SUBSTITUTE(VLOOKUP(B$2,convert!$A$1:$B$4,2,0),"@@@",B1001))</f>
        <v>'サッチムシ'</v>
      </c>
      <c r="R1001" s="4" t="str">
        <f>IF(C1001="",IF(ISNUMBER(SEARCH("NOT NULL",UPPER(C$3))),"''","null"),SUBSTITUTE(VLOOKUP(C$2,convert!$A$1:$B$4,2,0),"@@@",C1001))</f>
        <v>25</v>
      </c>
      <c r="S1001" s="4" t="str">
        <f>IF(D1001="",IF(ISNUMBER(SEARCH("NOT NULL",UPPER(D$3))),"''","null"),SUBSTITUTE(VLOOKUP(D$2,convert!$A$1:$B$4,2,0),"@@@",D1001))</f>
        <v>20</v>
      </c>
      <c r="T1001" s="4" t="str">
        <f>IF(E1001="",IF(ISNUMBER(SEARCH("NOT NULL",UPPER(E$3))),"''","null"),SUBSTITUTE(VLOOKUP(E$2,convert!$A$1:$B$4,2,0),"@@@",E1001))</f>
        <v>20</v>
      </c>
      <c r="U1001" s="4" t="str">
        <f>IF(F1001="",IF(ISNUMBER(SEARCH("NOT NULL",UPPER(F$3))),"''","null"),SUBSTITUTE(VLOOKUP(F$2,convert!$A$1:$B$4,2,0),"@@@",F1001))</f>
        <v>25</v>
      </c>
      <c r="V1001" s="4" t="str">
        <f>IF(G1001="",IF(ISNUMBER(SEARCH("NOT NULL",UPPER(G$3))),"''","null"),SUBSTITUTE(VLOOKUP(G$2,convert!$A$1:$B$4,2,0),"@@@",G1001))</f>
        <v>45</v>
      </c>
      <c r="W1001" s="4" t="str">
        <f>IF(H1001="",IF(ISNUMBER(SEARCH("NOT NULL",UPPER(H$3))),"''","null"),SUBSTITUTE(VLOOKUP(H$2,convert!$A$1:$B$4,2,0),"@@@",H1001))</f>
        <v>45</v>
      </c>
      <c r="X1001" s="4" t="str">
        <f>IF(I1001="",IF(ISNUMBER(SEARCH("NOT NULL",UPPER(I$3))),"''","null"),SUBSTITUTE(VLOOKUP(I$2,convert!$A$1:$B$4,2,0),"@@@",I1001))</f>
        <v>''</v>
      </c>
      <c r="Y1001" s="4" t="str">
        <f>IF(J1001="",IF(ISNUMBER(SEARCH("NOT NULL",UPPER(J$3))),"''","null"),SUBSTITUTE(VLOOKUP(J$2,convert!$A$1:$B$4,2,0),"@@@",J1001))</f>
        <v>'bug'</v>
      </c>
      <c r="Z1001" s="4" t="str">
        <f>IF(K1001="",IF(ISNUMBER(SEARCH("NOT NULL",UPPER(K$3))),"''","null"),SUBSTITUTE(VLOOKUP(K$2,convert!$A$1:$B$4,2,0),"@@@",K1001))</f>
        <v>null</v>
      </c>
      <c r="AA1001" s="4" t="str">
        <f>IF(L1001="",IF(ISNUMBER(SEARCH("NOT NULL",UPPER(L$3))),"''","null"),SUBSTITUTE(VLOOKUP(L$2,convert!$A$1:$B$4,2,0),"@@@",L1001))</f>
        <v>'g8'</v>
      </c>
      <c r="AB1001" s="4" t="str">
        <f>IF(M1001="",IF(ISNUMBER(SEARCH("NOT NULL",UPPER(M$3))),"''","null"),SUBSTITUTE(VLOOKUP(M$2,convert!$A$1:$B$4,2,0),"@@@",M1001))</f>
        <v>null</v>
      </c>
      <c r="AC1001" s="4" t="str">
        <f>IF(N1001="",IF(ISNUMBER(SEARCH("NOT NULL",UPPER(N$3))),"''","null"),SUBSTITUTE(VLOOKUP(N$2,convert!$A$1:$B$4,2,0),"@@@",N1001))</f>
        <v>null</v>
      </c>
      <c r="AD1001" s="4" t="str">
        <f>IF(O1001="",IF(ISNUMBER(SEARCH("NOT NULL",UPPER(O$3))),"''","null"),SUBSTITUTE(VLOOKUP(O$2,convert!$A$1:$B$4,2,0),"@@@",O1001))</f>
        <v>FALSE</v>
      </c>
      <c r="AE1001" s="4" t="str">
        <f t="shared" si="15"/>
        <v>    ('0824N01', 'サッチムシ', 25, 20, 20, 25, 45, 45, '', 'bug', null, 'g8', null, null, FALSE),</v>
      </c>
    </row>
    <row r="1002" spans="1:31">
      <c r="A1002" s="4" t="s">
        <v>2010</v>
      </c>
      <c r="B1002" s="4" t="s">
        <v>2011</v>
      </c>
      <c r="C1002" s="5">
        <v>50</v>
      </c>
      <c r="D1002" s="5">
        <v>35</v>
      </c>
      <c r="E1002" s="5">
        <v>80</v>
      </c>
      <c r="F1002" s="5">
        <v>50</v>
      </c>
      <c r="G1002" s="5">
        <v>90</v>
      </c>
      <c r="H1002" s="5">
        <v>30</v>
      </c>
      <c r="I1002" s="5"/>
      <c r="J1002" s="4" t="s">
        <v>64</v>
      </c>
      <c r="K1002" s="4" t="s">
        <v>113</v>
      </c>
      <c r="L1002" s="4" t="s">
        <v>179</v>
      </c>
      <c r="M1002" s="5"/>
      <c r="N1002" s="5"/>
      <c r="O1002" s="5" t="b">
        <v>0</v>
      </c>
      <c r="P1002" s="4" t="str">
        <f>IF(A1002="",IF(ISNUMBER(SEARCH("NOT NULL",UPPER(A$3))),"''","null"),SUBSTITUTE(VLOOKUP(A$2,convert!$A$1:$B$4,2,0),"@@@",A1002))</f>
        <v>'0825N01'</v>
      </c>
      <c r="Q1002" s="4" t="str">
        <f>IF(B1002="",IF(ISNUMBER(SEARCH("NOT NULL",UPPER(B$3))),"''","null"),SUBSTITUTE(VLOOKUP(B$2,convert!$A$1:$B$4,2,0),"@@@",B1002))</f>
        <v>'レドームシ'</v>
      </c>
      <c r="R1002" s="4" t="str">
        <f>IF(C1002="",IF(ISNUMBER(SEARCH("NOT NULL",UPPER(C$3))),"''","null"),SUBSTITUTE(VLOOKUP(C$2,convert!$A$1:$B$4,2,0),"@@@",C1002))</f>
        <v>50</v>
      </c>
      <c r="S1002" s="4" t="str">
        <f>IF(D1002="",IF(ISNUMBER(SEARCH("NOT NULL",UPPER(D$3))),"''","null"),SUBSTITUTE(VLOOKUP(D$2,convert!$A$1:$B$4,2,0),"@@@",D1002))</f>
        <v>35</v>
      </c>
      <c r="T1002" s="4" t="str">
        <f>IF(E1002="",IF(ISNUMBER(SEARCH("NOT NULL",UPPER(E$3))),"''","null"),SUBSTITUTE(VLOOKUP(E$2,convert!$A$1:$B$4,2,0),"@@@",E1002))</f>
        <v>80</v>
      </c>
      <c r="U1002" s="4" t="str">
        <f>IF(F1002="",IF(ISNUMBER(SEARCH("NOT NULL",UPPER(F$3))),"''","null"),SUBSTITUTE(VLOOKUP(F$2,convert!$A$1:$B$4,2,0),"@@@",F1002))</f>
        <v>50</v>
      </c>
      <c r="V1002" s="4" t="str">
        <f>IF(G1002="",IF(ISNUMBER(SEARCH("NOT NULL",UPPER(G$3))),"''","null"),SUBSTITUTE(VLOOKUP(G$2,convert!$A$1:$B$4,2,0),"@@@",G1002))</f>
        <v>90</v>
      </c>
      <c r="W1002" s="4" t="str">
        <f>IF(H1002="",IF(ISNUMBER(SEARCH("NOT NULL",UPPER(H$3))),"''","null"),SUBSTITUTE(VLOOKUP(H$2,convert!$A$1:$B$4,2,0),"@@@",H1002))</f>
        <v>30</v>
      </c>
      <c r="X1002" s="4" t="str">
        <f>IF(I1002="",IF(ISNUMBER(SEARCH("NOT NULL",UPPER(I$3))),"''","null"),SUBSTITUTE(VLOOKUP(I$2,convert!$A$1:$B$4,2,0),"@@@",I1002))</f>
        <v>''</v>
      </c>
      <c r="Y1002" s="4" t="str">
        <f>IF(J1002="",IF(ISNUMBER(SEARCH("NOT NULL",UPPER(J$3))),"''","null"),SUBSTITUTE(VLOOKUP(J$2,convert!$A$1:$B$4,2,0),"@@@",J1002))</f>
        <v>'bug'</v>
      </c>
      <c r="Z1002" s="4" t="str">
        <f>IF(K1002="",IF(ISNUMBER(SEARCH("NOT NULL",UPPER(K$3))),"''","null"),SUBSTITUTE(VLOOKUP(K$2,convert!$A$1:$B$4,2,0),"@@@",K1002))</f>
        <v>'psychic'</v>
      </c>
      <c r="AA1002" s="4" t="str">
        <f>IF(L1002="",IF(ISNUMBER(SEARCH("NOT NULL",UPPER(L$3))),"''","null"),SUBSTITUTE(VLOOKUP(L$2,convert!$A$1:$B$4,2,0),"@@@",L1002))</f>
        <v>'g8'</v>
      </c>
      <c r="AB1002" s="4" t="str">
        <f>IF(M1002="",IF(ISNUMBER(SEARCH("NOT NULL",UPPER(M$3))),"''","null"),SUBSTITUTE(VLOOKUP(M$2,convert!$A$1:$B$4,2,0),"@@@",M1002))</f>
        <v>null</v>
      </c>
      <c r="AC1002" s="4" t="str">
        <f>IF(N1002="",IF(ISNUMBER(SEARCH("NOT NULL",UPPER(N$3))),"''","null"),SUBSTITUTE(VLOOKUP(N$2,convert!$A$1:$B$4,2,0),"@@@",N1002))</f>
        <v>null</v>
      </c>
      <c r="AD1002" s="4" t="str">
        <f>IF(O1002="",IF(ISNUMBER(SEARCH("NOT NULL",UPPER(O$3))),"''","null"),SUBSTITUTE(VLOOKUP(O$2,convert!$A$1:$B$4,2,0),"@@@",O1002))</f>
        <v>FALSE</v>
      </c>
      <c r="AE1002" s="4" t="str">
        <f t="shared" si="15"/>
        <v>    ('0825N01', 'レドームシ', 50, 35, 80, 50, 90, 30, '', 'bug', 'psychic', 'g8', null, null, FALSE),</v>
      </c>
    </row>
    <row r="1003" spans="1:31">
      <c r="A1003" s="4" t="s">
        <v>2012</v>
      </c>
      <c r="B1003" s="4" t="s">
        <v>2013</v>
      </c>
      <c r="C1003" s="5">
        <v>60</v>
      </c>
      <c r="D1003" s="5">
        <v>45</v>
      </c>
      <c r="E1003" s="5">
        <v>110</v>
      </c>
      <c r="F1003" s="5">
        <v>80</v>
      </c>
      <c r="G1003" s="5">
        <v>120</v>
      </c>
      <c r="H1003" s="5">
        <v>90</v>
      </c>
      <c r="I1003" s="5"/>
      <c r="J1003" s="4" t="s">
        <v>64</v>
      </c>
      <c r="K1003" s="4" t="s">
        <v>113</v>
      </c>
      <c r="L1003" s="4" t="s">
        <v>179</v>
      </c>
      <c r="M1003" s="5"/>
      <c r="N1003" s="5"/>
      <c r="O1003" s="5" t="b">
        <v>0</v>
      </c>
      <c r="P1003" s="4" t="str">
        <f>IF(A1003="",IF(ISNUMBER(SEARCH("NOT NULL",UPPER(A$3))),"''","null"),SUBSTITUTE(VLOOKUP(A$2,convert!$A$1:$B$4,2,0),"@@@",A1003))</f>
        <v>'0826N01'</v>
      </c>
      <c r="Q1003" s="4" t="str">
        <f>IF(B1003="",IF(ISNUMBER(SEARCH("NOT NULL",UPPER(B$3))),"''","null"),SUBSTITUTE(VLOOKUP(B$2,convert!$A$1:$B$4,2,0),"@@@",B1003))</f>
        <v>'イオルブ'</v>
      </c>
      <c r="R1003" s="4" t="str">
        <f>IF(C1003="",IF(ISNUMBER(SEARCH("NOT NULL",UPPER(C$3))),"''","null"),SUBSTITUTE(VLOOKUP(C$2,convert!$A$1:$B$4,2,0),"@@@",C1003))</f>
        <v>60</v>
      </c>
      <c r="S1003" s="4" t="str">
        <f>IF(D1003="",IF(ISNUMBER(SEARCH("NOT NULL",UPPER(D$3))),"''","null"),SUBSTITUTE(VLOOKUP(D$2,convert!$A$1:$B$4,2,0),"@@@",D1003))</f>
        <v>45</v>
      </c>
      <c r="T1003" s="4" t="str">
        <f>IF(E1003="",IF(ISNUMBER(SEARCH("NOT NULL",UPPER(E$3))),"''","null"),SUBSTITUTE(VLOOKUP(E$2,convert!$A$1:$B$4,2,0),"@@@",E1003))</f>
        <v>110</v>
      </c>
      <c r="U1003" s="4" t="str">
        <f>IF(F1003="",IF(ISNUMBER(SEARCH("NOT NULL",UPPER(F$3))),"''","null"),SUBSTITUTE(VLOOKUP(F$2,convert!$A$1:$B$4,2,0),"@@@",F1003))</f>
        <v>80</v>
      </c>
      <c r="V1003" s="4" t="str">
        <f>IF(G1003="",IF(ISNUMBER(SEARCH("NOT NULL",UPPER(G$3))),"''","null"),SUBSTITUTE(VLOOKUP(G$2,convert!$A$1:$B$4,2,0),"@@@",G1003))</f>
        <v>120</v>
      </c>
      <c r="W1003" s="4" t="str">
        <f>IF(H1003="",IF(ISNUMBER(SEARCH("NOT NULL",UPPER(H$3))),"''","null"),SUBSTITUTE(VLOOKUP(H$2,convert!$A$1:$B$4,2,0),"@@@",H1003))</f>
        <v>90</v>
      </c>
      <c r="X1003" s="4" t="str">
        <f>IF(I1003="",IF(ISNUMBER(SEARCH("NOT NULL",UPPER(I$3))),"''","null"),SUBSTITUTE(VLOOKUP(I$2,convert!$A$1:$B$4,2,0),"@@@",I1003))</f>
        <v>''</v>
      </c>
      <c r="Y1003" s="4" t="str">
        <f>IF(J1003="",IF(ISNUMBER(SEARCH("NOT NULL",UPPER(J$3))),"''","null"),SUBSTITUTE(VLOOKUP(J$2,convert!$A$1:$B$4,2,0),"@@@",J1003))</f>
        <v>'bug'</v>
      </c>
      <c r="Z1003" s="4" t="str">
        <f>IF(K1003="",IF(ISNUMBER(SEARCH("NOT NULL",UPPER(K$3))),"''","null"),SUBSTITUTE(VLOOKUP(K$2,convert!$A$1:$B$4,2,0),"@@@",K1003))</f>
        <v>'psychic'</v>
      </c>
      <c r="AA1003" s="4" t="str">
        <f>IF(L1003="",IF(ISNUMBER(SEARCH("NOT NULL",UPPER(L$3))),"''","null"),SUBSTITUTE(VLOOKUP(L$2,convert!$A$1:$B$4,2,0),"@@@",L1003))</f>
        <v>'g8'</v>
      </c>
      <c r="AB1003" s="4" t="str">
        <f>IF(M1003="",IF(ISNUMBER(SEARCH("NOT NULL",UPPER(M$3))),"''","null"),SUBSTITUTE(VLOOKUP(M$2,convert!$A$1:$B$4,2,0),"@@@",M1003))</f>
        <v>null</v>
      </c>
      <c r="AC1003" s="4" t="str">
        <f>IF(N1003="",IF(ISNUMBER(SEARCH("NOT NULL",UPPER(N$3))),"''","null"),SUBSTITUTE(VLOOKUP(N$2,convert!$A$1:$B$4,2,0),"@@@",N1003))</f>
        <v>null</v>
      </c>
      <c r="AD1003" s="4" t="str">
        <f>IF(O1003="",IF(ISNUMBER(SEARCH("NOT NULL",UPPER(O$3))),"''","null"),SUBSTITUTE(VLOOKUP(O$2,convert!$A$1:$B$4,2,0),"@@@",O1003))</f>
        <v>FALSE</v>
      </c>
      <c r="AE1003" s="4" t="str">
        <f t="shared" si="15"/>
        <v>    ('0826N01', 'イオルブ', 60, 45, 110, 80, 120, 90, '', 'bug', 'psychic', 'g8', null, null, FALSE),</v>
      </c>
    </row>
    <row r="1004" spans="1:31">
      <c r="A1004" s="4" t="s">
        <v>2014</v>
      </c>
      <c r="B1004" s="4" t="s">
        <v>2015</v>
      </c>
      <c r="C1004" s="5">
        <v>40</v>
      </c>
      <c r="D1004" s="5">
        <v>28</v>
      </c>
      <c r="E1004" s="5">
        <v>28</v>
      </c>
      <c r="F1004" s="5">
        <v>47</v>
      </c>
      <c r="G1004" s="5">
        <v>52</v>
      </c>
      <c r="H1004" s="5">
        <v>50</v>
      </c>
      <c r="I1004" s="5"/>
      <c r="J1004" s="4" t="s">
        <v>91</v>
      </c>
      <c r="K1004" s="5"/>
      <c r="L1004" s="4" t="s">
        <v>179</v>
      </c>
      <c r="M1004" s="5"/>
      <c r="N1004" s="5"/>
      <c r="O1004" s="5" t="b">
        <v>0</v>
      </c>
      <c r="P1004" s="4" t="str">
        <f>IF(A1004="",IF(ISNUMBER(SEARCH("NOT NULL",UPPER(A$3))),"''","null"),SUBSTITUTE(VLOOKUP(A$2,convert!$A$1:$B$4,2,0),"@@@",A1004))</f>
        <v>'0827N01'</v>
      </c>
      <c r="Q1004" s="4" t="str">
        <f>IF(B1004="",IF(ISNUMBER(SEARCH("NOT NULL",UPPER(B$3))),"''","null"),SUBSTITUTE(VLOOKUP(B$2,convert!$A$1:$B$4,2,0),"@@@",B1004))</f>
        <v>'クスネ'</v>
      </c>
      <c r="R1004" s="4" t="str">
        <f>IF(C1004="",IF(ISNUMBER(SEARCH("NOT NULL",UPPER(C$3))),"''","null"),SUBSTITUTE(VLOOKUP(C$2,convert!$A$1:$B$4,2,0),"@@@",C1004))</f>
        <v>40</v>
      </c>
      <c r="S1004" s="4" t="str">
        <f>IF(D1004="",IF(ISNUMBER(SEARCH("NOT NULL",UPPER(D$3))),"''","null"),SUBSTITUTE(VLOOKUP(D$2,convert!$A$1:$B$4,2,0),"@@@",D1004))</f>
        <v>28</v>
      </c>
      <c r="T1004" s="4" t="str">
        <f>IF(E1004="",IF(ISNUMBER(SEARCH("NOT NULL",UPPER(E$3))),"''","null"),SUBSTITUTE(VLOOKUP(E$2,convert!$A$1:$B$4,2,0),"@@@",E1004))</f>
        <v>28</v>
      </c>
      <c r="U1004" s="4" t="str">
        <f>IF(F1004="",IF(ISNUMBER(SEARCH("NOT NULL",UPPER(F$3))),"''","null"),SUBSTITUTE(VLOOKUP(F$2,convert!$A$1:$B$4,2,0),"@@@",F1004))</f>
        <v>47</v>
      </c>
      <c r="V1004" s="4" t="str">
        <f>IF(G1004="",IF(ISNUMBER(SEARCH("NOT NULL",UPPER(G$3))),"''","null"),SUBSTITUTE(VLOOKUP(G$2,convert!$A$1:$B$4,2,0),"@@@",G1004))</f>
        <v>52</v>
      </c>
      <c r="W1004" s="4" t="str">
        <f>IF(H1004="",IF(ISNUMBER(SEARCH("NOT NULL",UPPER(H$3))),"''","null"),SUBSTITUTE(VLOOKUP(H$2,convert!$A$1:$B$4,2,0),"@@@",H1004))</f>
        <v>50</v>
      </c>
      <c r="X1004" s="4" t="str">
        <f>IF(I1004="",IF(ISNUMBER(SEARCH("NOT NULL",UPPER(I$3))),"''","null"),SUBSTITUTE(VLOOKUP(I$2,convert!$A$1:$B$4,2,0),"@@@",I1004))</f>
        <v>''</v>
      </c>
      <c r="Y1004" s="4" t="str">
        <f>IF(J1004="",IF(ISNUMBER(SEARCH("NOT NULL",UPPER(J$3))),"''","null"),SUBSTITUTE(VLOOKUP(J$2,convert!$A$1:$B$4,2,0),"@@@",J1004))</f>
        <v>'dark'</v>
      </c>
      <c r="Z1004" s="4" t="str">
        <f>IF(K1004="",IF(ISNUMBER(SEARCH("NOT NULL",UPPER(K$3))),"''","null"),SUBSTITUTE(VLOOKUP(K$2,convert!$A$1:$B$4,2,0),"@@@",K1004))</f>
        <v>null</v>
      </c>
      <c r="AA1004" s="4" t="str">
        <f>IF(L1004="",IF(ISNUMBER(SEARCH("NOT NULL",UPPER(L$3))),"''","null"),SUBSTITUTE(VLOOKUP(L$2,convert!$A$1:$B$4,2,0),"@@@",L1004))</f>
        <v>'g8'</v>
      </c>
      <c r="AB1004" s="4" t="str">
        <f>IF(M1004="",IF(ISNUMBER(SEARCH("NOT NULL",UPPER(M$3))),"''","null"),SUBSTITUTE(VLOOKUP(M$2,convert!$A$1:$B$4,2,0),"@@@",M1004))</f>
        <v>null</v>
      </c>
      <c r="AC1004" s="4" t="str">
        <f>IF(N1004="",IF(ISNUMBER(SEARCH("NOT NULL",UPPER(N$3))),"''","null"),SUBSTITUTE(VLOOKUP(N$2,convert!$A$1:$B$4,2,0),"@@@",N1004))</f>
        <v>null</v>
      </c>
      <c r="AD1004" s="4" t="str">
        <f>IF(O1004="",IF(ISNUMBER(SEARCH("NOT NULL",UPPER(O$3))),"''","null"),SUBSTITUTE(VLOOKUP(O$2,convert!$A$1:$B$4,2,0),"@@@",O1004))</f>
        <v>FALSE</v>
      </c>
      <c r="AE1004" s="4" t="str">
        <f t="shared" si="15"/>
        <v>    ('0827N01', 'クスネ', 40, 28, 28, 47, 52, 50, '', 'dark', null, 'g8', null, null, FALSE),</v>
      </c>
    </row>
    <row r="1005" spans="1:31">
      <c r="A1005" s="4" t="s">
        <v>2016</v>
      </c>
      <c r="B1005" s="4" t="s">
        <v>2017</v>
      </c>
      <c r="C1005" s="5">
        <v>70</v>
      </c>
      <c r="D1005" s="5">
        <v>58</v>
      </c>
      <c r="E1005" s="5">
        <v>58</v>
      </c>
      <c r="F1005" s="5">
        <v>87</v>
      </c>
      <c r="G1005" s="5">
        <v>92</v>
      </c>
      <c r="H1005" s="5">
        <v>90</v>
      </c>
      <c r="I1005" s="5"/>
      <c r="J1005" s="4" t="s">
        <v>91</v>
      </c>
      <c r="K1005" s="5"/>
      <c r="L1005" s="4" t="s">
        <v>179</v>
      </c>
      <c r="M1005" s="5"/>
      <c r="N1005" s="5"/>
      <c r="O1005" s="5" t="b">
        <v>0</v>
      </c>
      <c r="P1005" s="4" t="str">
        <f>IF(A1005="",IF(ISNUMBER(SEARCH("NOT NULL",UPPER(A$3))),"''","null"),SUBSTITUTE(VLOOKUP(A$2,convert!$A$1:$B$4,2,0),"@@@",A1005))</f>
        <v>'0828N01'</v>
      </c>
      <c r="Q1005" s="4" t="str">
        <f>IF(B1005="",IF(ISNUMBER(SEARCH("NOT NULL",UPPER(B$3))),"''","null"),SUBSTITUTE(VLOOKUP(B$2,convert!$A$1:$B$4,2,0),"@@@",B1005))</f>
        <v>'フォクスライ'</v>
      </c>
      <c r="R1005" s="4" t="str">
        <f>IF(C1005="",IF(ISNUMBER(SEARCH("NOT NULL",UPPER(C$3))),"''","null"),SUBSTITUTE(VLOOKUP(C$2,convert!$A$1:$B$4,2,0),"@@@",C1005))</f>
        <v>70</v>
      </c>
      <c r="S1005" s="4" t="str">
        <f>IF(D1005="",IF(ISNUMBER(SEARCH("NOT NULL",UPPER(D$3))),"''","null"),SUBSTITUTE(VLOOKUP(D$2,convert!$A$1:$B$4,2,0),"@@@",D1005))</f>
        <v>58</v>
      </c>
      <c r="T1005" s="4" t="str">
        <f>IF(E1005="",IF(ISNUMBER(SEARCH("NOT NULL",UPPER(E$3))),"''","null"),SUBSTITUTE(VLOOKUP(E$2,convert!$A$1:$B$4,2,0),"@@@",E1005))</f>
        <v>58</v>
      </c>
      <c r="U1005" s="4" t="str">
        <f>IF(F1005="",IF(ISNUMBER(SEARCH("NOT NULL",UPPER(F$3))),"''","null"),SUBSTITUTE(VLOOKUP(F$2,convert!$A$1:$B$4,2,0),"@@@",F1005))</f>
        <v>87</v>
      </c>
      <c r="V1005" s="4" t="str">
        <f>IF(G1005="",IF(ISNUMBER(SEARCH("NOT NULL",UPPER(G$3))),"''","null"),SUBSTITUTE(VLOOKUP(G$2,convert!$A$1:$B$4,2,0),"@@@",G1005))</f>
        <v>92</v>
      </c>
      <c r="W1005" s="4" t="str">
        <f>IF(H1005="",IF(ISNUMBER(SEARCH("NOT NULL",UPPER(H$3))),"''","null"),SUBSTITUTE(VLOOKUP(H$2,convert!$A$1:$B$4,2,0),"@@@",H1005))</f>
        <v>90</v>
      </c>
      <c r="X1005" s="4" t="str">
        <f>IF(I1005="",IF(ISNUMBER(SEARCH("NOT NULL",UPPER(I$3))),"''","null"),SUBSTITUTE(VLOOKUP(I$2,convert!$A$1:$B$4,2,0),"@@@",I1005))</f>
        <v>''</v>
      </c>
      <c r="Y1005" s="4" t="str">
        <f>IF(J1005="",IF(ISNUMBER(SEARCH("NOT NULL",UPPER(J$3))),"''","null"),SUBSTITUTE(VLOOKUP(J$2,convert!$A$1:$B$4,2,0),"@@@",J1005))</f>
        <v>'dark'</v>
      </c>
      <c r="Z1005" s="4" t="str">
        <f>IF(K1005="",IF(ISNUMBER(SEARCH("NOT NULL",UPPER(K$3))),"''","null"),SUBSTITUTE(VLOOKUP(K$2,convert!$A$1:$B$4,2,0),"@@@",K1005))</f>
        <v>null</v>
      </c>
      <c r="AA1005" s="4" t="str">
        <f>IF(L1005="",IF(ISNUMBER(SEARCH("NOT NULL",UPPER(L$3))),"''","null"),SUBSTITUTE(VLOOKUP(L$2,convert!$A$1:$B$4,2,0),"@@@",L1005))</f>
        <v>'g8'</v>
      </c>
      <c r="AB1005" s="4" t="str">
        <f>IF(M1005="",IF(ISNUMBER(SEARCH("NOT NULL",UPPER(M$3))),"''","null"),SUBSTITUTE(VLOOKUP(M$2,convert!$A$1:$B$4,2,0),"@@@",M1005))</f>
        <v>null</v>
      </c>
      <c r="AC1005" s="4" t="str">
        <f>IF(N1005="",IF(ISNUMBER(SEARCH("NOT NULL",UPPER(N$3))),"''","null"),SUBSTITUTE(VLOOKUP(N$2,convert!$A$1:$B$4,2,0),"@@@",N1005))</f>
        <v>null</v>
      </c>
      <c r="AD1005" s="4" t="str">
        <f>IF(O1005="",IF(ISNUMBER(SEARCH("NOT NULL",UPPER(O$3))),"''","null"),SUBSTITUTE(VLOOKUP(O$2,convert!$A$1:$B$4,2,0),"@@@",O1005))</f>
        <v>FALSE</v>
      </c>
      <c r="AE1005" s="4" t="str">
        <f t="shared" si="15"/>
        <v>    ('0828N01', 'フォクスライ', 70, 58, 58, 87, 92, 90, '', 'dark', null, 'g8', null, null, FALSE),</v>
      </c>
    </row>
    <row r="1006" spans="1:31">
      <c r="A1006" s="4" t="s">
        <v>2018</v>
      </c>
      <c r="B1006" s="4" t="s">
        <v>2019</v>
      </c>
      <c r="C1006" s="5">
        <v>40</v>
      </c>
      <c r="D1006" s="5">
        <v>40</v>
      </c>
      <c r="E1006" s="5">
        <v>60</v>
      </c>
      <c r="F1006" s="5">
        <v>40</v>
      </c>
      <c r="G1006" s="5">
        <v>60</v>
      </c>
      <c r="H1006" s="5">
        <v>10</v>
      </c>
      <c r="I1006" s="5"/>
      <c r="J1006" s="4" t="s">
        <v>30</v>
      </c>
      <c r="K1006" s="5"/>
      <c r="L1006" s="4" t="s">
        <v>179</v>
      </c>
      <c r="M1006" s="5"/>
      <c r="N1006" s="5"/>
      <c r="O1006" s="5" t="b">
        <v>0</v>
      </c>
      <c r="P1006" s="4" t="str">
        <f>IF(A1006="",IF(ISNUMBER(SEARCH("NOT NULL",UPPER(A$3))),"''","null"),SUBSTITUTE(VLOOKUP(A$2,convert!$A$1:$B$4,2,0),"@@@",A1006))</f>
        <v>'0829N01'</v>
      </c>
      <c r="Q1006" s="4" t="str">
        <f>IF(B1006="",IF(ISNUMBER(SEARCH("NOT NULL",UPPER(B$3))),"''","null"),SUBSTITUTE(VLOOKUP(B$2,convert!$A$1:$B$4,2,0),"@@@",B1006))</f>
        <v>'ヒメンカ'</v>
      </c>
      <c r="R1006" s="4" t="str">
        <f>IF(C1006="",IF(ISNUMBER(SEARCH("NOT NULL",UPPER(C$3))),"''","null"),SUBSTITUTE(VLOOKUP(C$2,convert!$A$1:$B$4,2,0),"@@@",C1006))</f>
        <v>40</v>
      </c>
      <c r="S1006" s="4" t="str">
        <f>IF(D1006="",IF(ISNUMBER(SEARCH("NOT NULL",UPPER(D$3))),"''","null"),SUBSTITUTE(VLOOKUP(D$2,convert!$A$1:$B$4,2,0),"@@@",D1006))</f>
        <v>40</v>
      </c>
      <c r="T1006" s="4" t="str">
        <f>IF(E1006="",IF(ISNUMBER(SEARCH("NOT NULL",UPPER(E$3))),"''","null"),SUBSTITUTE(VLOOKUP(E$2,convert!$A$1:$B$4,2,0),"@@@",E1006))</f>
        <v>60</v>
      </c>
      <c r="U1006" s="4" t="str">
        <f>IF(F1006="",IF(ISNUMBER(SEARCH("NOT NULL",UPPER(F$3))),"''","null"),SUBSTITUTE(VLOOKUP(F$2,convert!$A$1:$B$4,2,0),"@@@",F1006))</f>
        <v>40</v>
      </c>
      <c r="V1006" s="4" t="str">
        <f>IF(G1006="",IF(ISNUMBER(SEARCH("NOT NULL",UPPER(G$3))),"''","null"),SUBSTITUTE(VLOOKUP(G$2,convert!$A$1:$B$4,2,0),"@@@",G1006))</f>
        <v>60</v>
      </c>
      <c r="W1006" s="4" t="str">
        <f>IF(H1006="",IF(ISNUMBER(SEARCH("NOT NULL",UPPER(H$3))),"''","null"),SUBSTITUTE(VLOOKUP(H$2,convert!$A$1:$B$4,2,0),"@@@",H1006))</f>
        <v>10</v>
      </c>
      <c r="X1006" s="4" t="str">
        <f>IF(I1006="",IF(ISNUMBER(SEARCH("NOT NULL",UPPER(I$3))),"''","null"),SUBSTITUTE(VLOOKUP(I$2,convert!$A$1:$B$4,2,0),"@@@",I1006))</f>
        <v>''</v>
      </c>
      <c r="Y1006" s="4" t="str">
        <f>IF(J1006="",IF(ISNUMBER(SEARCH("NOT NULL",UPPER(J$3))),"''","null"),SUBSTITUTE(VLOOKUP(J$2,convert!$A$1:$B$4,2,0),"@@@",J1006))</f>
        <v>'grass'</v>
      </c>
      <c r="Z1006" s="4" t="str">
        <f>IF(K1006="",IF(ISNUMBER(SEARCH("NOT NULL",UPPER(K$3))),"''","null"),SUBSTITUTE(VLOOKUP(K$2,convert!$A$1:$B$4,2,0),"@@@",K1006))</f>
        <v>null</v>
      </c>
      <c r="AA1006" s="4" t="str">
        <f>IF(L1006="",IF(ISNUMBER(SEARCH("NOT NULL",UPPER(L$3))),"''","null"),SUBSTITUTE(VLOOKUP(L$2,convert!$A$1:$B$4,2,0),"@@@",L1006))</f>
        <v>'g8'</v>
      </c>
      <c r="AB1006" s="4" t="str">
        <f>IF(M1006="",IF(ISNUMBER(SEARCH("NOT NULL",UPPER(M$3))),"''","null"),SUBSTITUTE(VLOOKUP(M$2,convert!$A$1:$B$4,2,0),"@@@",M1006))</f>
        <v>null</v>
      </c>
      <c r="AC1006" s="4" t="str">
        <f>IF(N1006="",IF(ISNUMBER(SEARCH("NOT NULL",UPPER(N$3))),"''","null"),SUBSTITUTE(VLOOKUP(N$2,convert!$A$1:$B$4,2,0),"@@@",N1006))</f>
        <v>null</v>
      </c>
      <c r="AD1006" s="4" t="str">
        <f>IF(O1006="",IF(ISNUMBER(SEARCH("NOT NULL",UPPER(O$3))),"''","null"),SUBSTITUTE(VLOOKUP(O$2,convert!$A$1:$B$4,2,0),"@@@",O1006))</f>
        <v>FALSE</v>
      </c>
      <c r="AE1006" s="4" t="str">
        <f t="shared" si="15"/>
        <v>    ('0829N01', 'ヒメンカ', 40, 40, 60, 40, 60, 10, '', 'grass', null, 'g8', null, null, FALSE),</v>
      </c>
    </row>
    <row r="1007" spans="1:31">
      <c r="A1007" s="4" t="s">
        <v>2020</v>
      </c>
      <c r="B1007" s="4" t="s">
        <v>2021</v>
      </c>
      <c r="C1007" s="5">
        <v>60</v>
      </c>
      <c r="D1007" s="5">
        <v>50</v>
      </c>
      <c r="E1007" s="5">
        <v>90</v>
      </c>
      <c r="F1007" s="5">
        <v>80</v>
      </c>
      <c r="G1007" s="5">
        <v>120</v>
      </c>
      <c r="H1007" s="5">
        <v>60</v>
      </c>
      <c r="I1007" s="5"/>
      <c r="J1007" s="4" t="s">
        <v>30</v>
      </c>
      <c r="K1007" s="5"/>
      <c r="L1007" s="4" t="s">
        <v>179</v>
      </c>
      <c r="M1007" s="5"/>
      <c r="N1007" s="5"/>
      <c r="O1007" s="5" t="b">
        <v>0</v>
      </c>
      <c r="P1007" s="4" t="str">
        <f>IF(A1007="",IF(ISNUMBER(SEARCH("NOT NULL",UPPER(A$3))),"''","null"),SUBSTITUTE(VLOOKUP(A$2,convert!$A$1:$B$4,2,0),"@@@",A1007))</f>
        <v>'0830N01'</v>
      </c>
      <c r="Q1007" s="4" t="str">
        <f>IF(B1007="",IF(ISNUMBER(SEARCH("NOT NULL",UPPER(B$3))),"''","null"),SUBSTITUTE(VLOOKUP(B$2,convert!$A$1:$B$4,2,0),"@@@",B1007))</f>
        <v>'ワタシラガ'</v>
      </c>
      <c r="R1007" s="4" t="str">
        <f>IF(C1007="",IF(ISNUMBER(SEARCH("NOT NULL",UPPER(C$3))),"''","null"),SUBSTITUTE(VLOOKUP(C$2,convert!$A$1:$B$4,2,0),"@@@",C1007))</f>
        <v>60</v>
      </c>
      <c r="S1007" s="4" t="str">
        <f>IF(D1007="",IF(ISNUMBER(SEARCH("NOT NULL",UPPER(D$3))),"''","null"),SUBSTITUTE(VLOOKUP(D$2,convert!$A$1:$B$4,2,0),"@@@",D1007))</f>
        <v>50</v>
      </c>
      <c r="T1007" s="4" t="str">
        <f>IF(E1007="",IF(ISNUMBER(SEARCH("NOT NULL",UPPER(E$3))),"''","null"),SUBSTITUTE(VLOOKUP(E$2,convert!$A$1:$B$4,2,0),"@@@",E1007))</f>
        <v>90</v>
      </c>
      <c r="U1007" s="4" t="str">
        <f>IF(F1007="",IF(ISNUMBER(SEARCH("NOT NULL",UPPER(F$3))),"''","null"),SUBSTITUTE(VLOOKUP(F$2,convert!$A$1:$B$4,2,0),"@@@",F1007))</f>
        <v>80</v>
      </c>
      <c r="V1007" s="4" t="str">
        <f>IF(G1007="",IF(ISNUMBER(SEARCH("NOT NULL",UPPER(G$3))),"''","null"),SUBSTITUTE(VLOOKUP(G$2,convert!$A$1:$B$4,2,0),"@@@",G1007))</f>
        <v>120</v>
      </c>
      <c r="W1007" s="4" t="str">
        <f>IF(H1007="",IF(ISNUMBER(SEARCH("NOT NULL",UPPER(H$3))),"''","null"),SUBSTITUTE(VLOOKUP(H$2,convert!$A$1:$B$4,2,0),"@@@",H1007))</f>
        <v>60</v>
      </c>
      <c r="X1007" s="4" t="str">
        <f>IF(I1007="",IF(ISNUMBER(SEARCH("NOT NULL",UPPER(I$3))),"''","null"),SUBSTITUTE(VLOOKUP(I$2,convert!$A$1:$B$4,2,0),"@@@",I1007))</f>
        <v>''</v>
      </c>
      <c r="Y1007" s="4" t="str">
        <f>IF(J1007="",IF(ISNUMBER(SEARCH("NOT NULL",UPPER(J$3))),"''","null"),SUBSTITUTE(VLOOKUP(J$2,convert!$A$1:$B$4,2,0),"@@@",J1007))</f>
        <v>'grass'</v>
      </c>
      <c r="Z1007" s="4" t="str">
        <f>IF(K1007="",IF(ISNUMBER(SEARCH("NOT NULL",UPPER(K$3))),"''","null"),SUBSTITUTE(VLOOKUP(K$2,convert!$A$1:$B$4,2,0),"@@@",K1007))</f>
        <v>null</v>
      </c>
      <c r="AA1007" s="4" t="str">
        <f>IF(L1007="",IF(ISNUMBER(SEARCH("NOT NULL",UPPER(L$3))),"''","null"),SUBSTITUTE(VLOOKUP(L$2,convert!$A$1:$B$4,2,0),"@@@",L1007))</f>
        <v>'g8'</v>
      </c>
      <c r="AB1007" s="4" t="str">
        <f>IF(M1007="",IF(ISNUMBER(SEARCH("NOT NULL",UPPER(M$3))),"''","null"),SUBSTITUTE(VLOOKUP(M$2,convert!$A$1:$B$4,2,0),"@@@",M1007))</f>
        <v>null</v>
      </c>
      <c r="AC1007" s="4" t="str">
        <f>IF(N1007="",IF(ISNUMBER(SEARCH("NOT NULL",UPPER(N$3))),"''","null"),SUBSTITUTE(VLOOKUP(N$2,convert!$A$1:$B$4,2,0),"@@@",N1007))</f>
        <v>null</v>
      </c>
      <c r="AD1007" s="4" t="str">
        <f>IF(O1007="",IF(ISNUMBER(SEARCH("NOT NULL",UPPER(O$3))),"''","null"),SUBSTITUTE(VLOOKUP(O$2,convert!$A$1:$B$4,2,0),"@@@",O1007))</f>
        <v>FALSE</v>
      </c>
      <c r="AE1007" s="4" t="str">
        <f t="shared" si="15"/>
        <v>    ('0830N01', 'ワタシラガ', 60, 50, 90, 80, 120, 60, '', 'grass', null, 'g8', null, null, FALSE),</v>
      </c>
    </row>
    <row r="1008" spans="1:31">
      <c r="A1008" s="4" t="s">
        <v>2022</v>
      </c>
      <c r="B1008" s="4" t="s">
        <v>2023</v>
      </c>
      <c r="C1008" s="5">
        <v>42</v>
      </c>
      <c r="D1008" s="5">
        <v>40</v>
      </c>
      <c r="E1008" s="5">
        <v>55</v>
      </c>
      <c r="F1008" s="5">
        <v>40</v>
      </c>
      <c r="G1008" s="5">
        <v>45</v>
      </c>
      <c r="H1008" s="5">
        <v>48</v>
      </c>
      <c r="I1008" s="5"/>
      <c r="J1008" s="4" t="s">
        <v>80</v>
      </c>
      <c r="K1008" s="5"/>
      <c r="L1008" s="4" t="s">
        <v>179</v>
      </c>
      <c r="M1008" s="5"/>
      <c r="N1008" s="5"/>
      <c r="O1008" s="5" t="b">
        <v>1</v>
      </c>
      <c r="P1008" s="4" t="str">
        <f>IF(A1008="",IF(ISNUMBER(SEARCH("NOT NULL",UPPER(A$3))),"''","null"),SUBSTITUTE(VLOOKUP(A$2,convert!$A$1:$B$4,2,0),"@@@",A1008))</f>
        <v>'0831N01'</v>
      </c>
      <c r="Q1008" s="4" t="str">
        <f>IF(B1008="",IF(ISNUMBER(SEARCH("NOT NULL",UPPER(B$3))),"''","null"),SUBSTITUTE(VLOOKUP(B$2,convert!$A$1:$B$4,2,0),"@@@",B1008))</f>
        <v>'ウールー'</v>
      </c>
      <c r="R1008" s="4" t="str">
        <f>IF(C1008="",IF(ISNUMBER(SEARCH("NOT NULL",UPPER(C$3))),"''","null"),SUBSTITUTE(VLOOKUP(C$2,convert!$A$1:$B$4,2,0),"@@@",C1008))</f>
        <v>42</v>
      </c>
      <c r="S1008" s="4" t="str">
        <f>IF(D1008="",IF(ISNUMBER(SEARCH("NOT NULL",UPPER(D$3))),"''","null"),SUBSTITUTE(VLOOKUP(D$2,convert!$A$1:$B$4,2,0),"@@@",D1008))</f>
        <v>40</v>
      </c>
      <c r="T1008" s="4" t="str">
        <f>IF(E1008="",IF(ISNUMBER(SEARCH("NOT NULL",UPPER(E$3))),"''","null"),SUBSTITUTE(VLOOKUP(E$2,convert!$A$1:$B$4,2,0),"@@@",E1008))</f>
        <v>55</v>
      </c>
      <c r="U1008" s="4" t="str">
        <f>IF(F1008="",IF(ISNUMBER(SEARCH("NOT NULL",UPPER(F$3))),"''","null"),SUBSTITUTE(VLOOKUP(F$2,convert!$A$1:$B$4,2,0),"@@@",F1008))</f>
        <v>40</v>
      </c>
      <c r="V1008" s="4" t="str">
        <f>IF(G1008="",IF(ISNUMBER(SEARCH("NOT NULL",UPPER(G$3))),"''","null"),SUBSTITUTE(VLOOKUP(G$2,convert!$A$1:$B$4,2,0),"@@@",G1008))</f>
        <v>45</v>
      </c>
      <c r="W1008" s="4" t="str">
        <f>IF(H1008="",IF(ISNUMBER(SEARCH("NOT NULL",UPPER(H$3))),"''","null"),SUBSTITUTE(VLOOKUP(H$2,convert!$A$1:$B$4,2,0),"@@@",H1008))</f>
        <v>48</v>
      </c>
      <c r="X1008" s="4" t="str">
        <f>IF(I1008="",IF(ISNUMBER(SEARCH("NOT NULL",UPPER(I$3))),"''","null"),SUBSTITUTE(VLOOKUP(I$2,convert!$A$1:$B$4,2,0),"@@@",I1008))</f>
        <v>''</v>
      </c>
      <c r="Y1008" s="4" t="str">
        <f>IF(J1008="",IF(ISNUMBER(SEARCH("NOT NULL",UPPER(J$3))),"''","null"),SUBSTITUTE(VLOOKUP(J$2,convert!$A$1:$B$4,2,0),"@@@",J1008))</f>
        <v>'normal'</v>
      </c>
      <c r="Z1008" s="4" t="str">
        <f>IF(K1008="",IF(ISNUMBER(SEARCH("NOT NULL",UPPER(K$3))),"''","null"),SUBSTITUTE(VLOOKUP(K$2,convert!$A$1:$B$4,2,0),"@@@",K1008))</f>
        <v>null</v>
      </c>
      <c r="AA1008" s="4" t="str">
        <f>IF(L1008="",IF(ISNUMBER(SEARCH("NOT NULL",UPPER(L$3))),"''","null"),SUBSTITUTE(VLOOKUP(L$2,convert!$A$1:$B$4,2,0),"@@@",L1008))</f>
        <v>'g8'</v>
      </c>
      <c r="AB1008" s="4" t="str">
        <f>IF(M1008="",IF(ISNUMBER(SEARCH("NOT NULL",UPPER(M$3))),"''","null"),SUBSTITUTE(VLOOKUP(M$2,convert!$A$1:$B$4,2,0),"@@@",M1008))</f>
        <v>null</v>
      </c>
      <c r="AC1008" s="4" t="str">
        <f>IF(N1008="",IF(ISNUMBER(SEARCH("NOT NULL",UPPER(N$3))),"''","null"),SUBSTITUTE(VLOOKUP(N$2,convert!$A$1:$B$4,2,0),"@@@",N1008))</f>
        <v>null</v>
      </c>
      <c r="AD1008" s="4" t="str">
        <f>IF(O1008="",IF(ISNUMBER(SEARCH("NOT NULL",UPPER(O$3))),"''","null"),SUBSTITUTE(VLOOKUP(O$2,convert!$A$1:$B$4,2,0),"@@@",O1008))</f>
        <v>TRUE</v>
      </c>
      <c r="AE1008" s="4" t="str">
        <f t="shared" si="15"/>
        <v>    ('0831N01', 'ウールー', 42, 40, 55, 40, 45, 48, '', 'normal', null, 'g8', null, null, TRUE),</v>
      </c>
    </row>
    <row r="1009" spans="1:31">
      <c r="A1009" s="4" t="s">
        <v>2024</v>
      </c>
      <c r="B1009" s="4" t="s">
        <v>2025</v>
      </c>
      <c r="C1009" s="5">
        <v>72</v>
      </c>
      <c r="D1009" s="5">
        <v>80</v>
      </c>
      <c r="E1009" s="5">
        <v>100</v>
      </c>
      <c r="F1009" s="5">
        <v>60</v>
      </c>
      <c r="G1009" s="5">
        <v>90</v>
      </c>
      <c r="H1009" s="5">
        <v>88</v>
      </c>
      <c r="I1009" s="5"/>
      <c r="J1009" s="4" t="s">
        <v>80</v>
      </c>
      <c r="K1009" s="5"/>
      <c r="L1009" s="4" t="s">
        <v>179</v>
      </c>
      <c r="M1009" s="5"/>
      <c r="N1009" s="5"/>
      <c r="O1009" s="5" t="b">
        <v>1</v>
      </c>
      <c r="P1009" s="4" t="str">
        <f>IF(A1009="",IF(ISNUMBER(SEARCH("NOT NULL",UPPER(A$3))),"''","null"),SUBSTITUTE(VLOOKUP(A$2,convert!$A$1:$B$4,2,0),"@@@",A1009))</f>
        <v>'0832N01'</v>
      </c>
      <c r="Q1009" s="4" t="str">
        <f>IF(B1009="",IF(ISNUMBER(SEARCH("NOT NULL",UPPER(B$3))),"''","null"),SUBSTITUTE(VLOOKUP(B$2,convert!$A$1:$B$4,2,0),"@@@",B1009))</f>
        <v>'バイウールー'</v>
      </c>
      <c r="R1009" s="4" t="str">
        <f>IF(C1009="",IF(ISNUMBER(SEARCH("NOT NULL",UPPER(C$3))),"''","null"),SUBSTITUTE(VLOOKUP(C$2,convert!$A$1:$B$4,2,0),"@@@",C1009))</f>
        <v>72</v>
      </c>
      <c r="S1009" s="4" t="str">
        <f>IF(D1009="",IF(ISNUMBER(SEARCH("NOT NULL",UPPER(D$3))),"''","null"),SUBSTITUTE(VLOOKUP(D$2,convert!$A$1:$B$4,2,0),"@@@",D1009))</f>
        <v>80</v>
      </c>
      <c r="T1009" s="4" t="str">
        <f>IF(E1009="",IF(ISNUMBER(SEARCH("NOT NULL",UPPER(E$3))),"''","null"),SUBSTITUTE(VLOOKUP(E$2,convert!$A$1:$B$4,2,0),"@@@",E1009))</f>
        <v>100</v>
      </c>
      <c r="U1009" s="4" t="str">
        <f>IF(F1009="",IF(ISNUMBER(SEARCH("NOT NULL",UPPER(F$3))),"''","null"),SUBSTITUTE(VLOOKUP(F$2,convert!$A$1:$B$4,2,0),"@@@",F1009))</f>
        <v>60</v>
      </c>
      <c r="V1009" s="4" t="str">
        <f>IF(G1009="",IF(ISNUMBER(SEARCH("NOT NULL",UPPER(G$3))),"''","null"),SUBSTITUTE(VLOOKUP(G$2,convert!$A$1:$B$4,2,0),"@@@",G1009))</f>
        <v>90</v>
      </c>
      <c r="W1009" s="4" t="str">
        <f>IF(H1009="",IF(ISNUMBER(SEARCH("NOT NULL",UPPER(H$3))),"''","null"),SUBSTITUTE(VLOOKUP(H$2,convert!$A$1:$B$4,2,0),"@@@",H1009))</f>
        <v>88</v>
      </c>
      <c r="X1009" s="4" t="str">
        <f>IF(I1009="",IF(ISNUMBER(SEARCH("NOT NULL",UPPER(I$3))),"''","null"),SUBSTITUTE(VLOOKUP(I$2,convert!$A$1:$B$4,2,0),"@@@",I1009))</f>
        <v>''</v>
      </c>
      <c r="Y1009" s="4" t="str">
        <f>IF(J1009="",IF(ISNUMBER(SEARCH("NOT NULL",UPPER(J$3))),"''","null"),SUBSTITUTE(VLOOKUP(J$2,convert!$A$1:$B$4,2,0),"@@@",J1009))</f>
        <v>'normal'</v>
      </c>
      <c r="Z1009" s="4" t="str">
        <f>IF(K1009="",IF(ISNUMBER(SEARCH("NOT NULL",UPPER(K$3))),"''","null"),SUBSTITUTE(VLOOKUP(K$2,convert!$A$1:$B$4,2,0),"@@@",K1009))</f>
        <v>null</v>
      </c>
      <c r="AA1009" s="4" t="str">
        <f>IF(L1009="",IF(ISNUMBER(SEARCH("NOT NULL",UPPER(L$3))),"''","null"),SUBSTITUTE(VLOOKUP(L$2,convert!$A$1:$B$4,2,0),"@@@",L1009))</f>
        <v>'g8'</v>
      </c>
      <c r="AB1009" s="4" t="str">
        <f>IF(M1009="",IF(ISNUMBER(SEARCH("NOT NULL",UPPER(M$3))),"''","null"),SUBSTITUTE(VLOOKUP(M$2,convert!$A$1:$B$4,2,0),"@@@",M1009))</f>
        <v>null</v>
      </c>
      <c r="AC1009" s="4" t="str">
        <f>IF(N1009="",IF(ISNUMBER(SEARCH("NOT NULL",UPPER(N$3))),"''","null"),SUBSTITUTE(VLOOKUP(N$2,convert!$A$1:$B$4,2,0),"@@@",N1009))</f>
        <v>null</v>
      </c>
      <c r="AD1009" s="4" t="str">
        <f>IF(O1009="",IF(ISNUMBER(SEARCH("NOT NULL",UPPER(O$3))),"''","null"),SUBSTITUTE(VLOOKUP(O$2,convert!$A$1:$B$4,2,0),"@@@",O1009))</f>
        <v>TRUE</v>
      </c>
      <c r="AE1009" s="4" t="str">
        <f t="shared" si="15"/>
        <v>    ('0832N01', 'バイウールー', 72, 80, 100, 60, 90, 88, '', 'normal', null, 'g8', null, null, TRUE),</v>
      </c>
    </row>
    <row r="1010" spans="1:31">
      <c r="A1010" s="4" t="s">
        <v>2026</v>
      </c>
      <c r="B1010" s="4" t="s">
        <v>2027</v>
      </c>
      <c r="C1010" s="5">
        <v>50</v>
      </c>
      <c r="D1010" s="5">
        <v>64</v>
      </c>
      <c r="E1010" s="5">
        <v>50</v>
      </c>
      <c r="F1010" s="5">
        <v>38</v>
      </c>
      <c r="G1010" s="5">
        <v>38</v>
      </c>
      <c r="H1010" s="5">
        <v>44</v>
      </c>
      <c r="I1010" s="5"/>
      <c r="J1010" s="4" t="s">
        <v>55</v>
      </c>
      <c r="K1010" s="5"/>
      <c r="L1010" s="4" t="s">
        <v>179</v>
      </c>
      <c r="M1010" s="5"/>
      <c r="N1010" s="5"/>
      <c r="O1010" s="5" t="b">
        <v>0</v>
      </c>
      <c r="P1010" s="4" t="str">
        <f>IF(A1010="",IF(ISNUMBER(SEARCH("NOT NULL",UPPER(A$3))),"''","null"),SUBSTITUTE(VLOOKUP(A$2,convert!$A$1:$B$4,2,0),"@@@",A1010))</f>
        <v>'0833N01'</v>
      </c>
      <c r="Q1010" s="4" t="str">
        <f>IF(B1010="",IF(ISNUMBER(SEARCH("NOT NULL",UPPER(B$3))),"''","null"),SUBSTITUTE(VLOOKUP(B$2,convert!$A$1:$B$4,2,0),"@@@",B1010))</f>
        <v>'カムカメ'</v>
      </c>
      <c r="R1010" s="4" t="str">
        <f>IF(C1010="",IF(ISNUMBER(SEARCH("NOT NULL",UPPER(C$3))),"''","null"),SUBSTITUTE(VLOOKUP(C$2,convert!$A$1:$B$4,2,0),"@@@",C1010))</f>
        <v>50</v>
      </c>
      <c r="S1010" s="4" t="str">
        <f>IF(D1010="",IF(ISNUMBER(SEARCH("NOT NULL",UPPER(D$3))),"''","null"),SUBSTITUTE(VLOOKUP(D$2,convert!$A$1:$B$4,2,0),"@@@",D1010))</f>
        <v>64</v>
      </c>
      <c r="T1010" s="4" t="str">
        <f>IF(E1010="",IF(ISNUMBER(SEARCH("NOT NULL",UPPER(E$3))),"''","null"),SUBSTITUTE(VLOOKUP(E$2,convert!$A$1:$B$4,2,0),"@@@",E1010))</f>
        <v>50</v>
      </c>
      <c r="U1010" s="4" t="str">
        <f>IF(F1010="",IF(ISNUMBER(SEARCH("NOT NULL",UPPER(F$3))),"''","null"),SUBSTITUTE(VLOOKUP(F$2,convert!$A$1:$B$4,2,0),"@@@",F1010))</f>
        <v>38</v>
      </c>
      <c r="V1010" s="4" t="str">
        <f>IF(G1010="",IF(ISNUMBER(SEARCH("NOT NULL",UPPER(G$3))),"''","null"),SUBSTITUTE(VLOOKUP(G$2,convert!$A$1:$B$4,2,0),"@@@",G1010))</f>
        <v>38</v>
      </c>
      <c r="W1010" s="4" t="str">
        <f>IF(H1010="",IF(ISNUMBER(SEARCH("NOT NULL",UPPER(H$3))),"''","null"),SUBSTITUTE(VLOOKUP(H$2,convert!$A$1:$B$4,2,0),"@@@",H1010))</f>
        <v>44</v>
      </c>
      <c r="X1010" s="4" t="str">
        <f>IF(I1010="",IF(ISNUMBER(SEARCH("NOT NULL",UPPER(I$3))),"''","null"),SUBSTITUTE(VLOOKUP(I$2,convert!$A$1:$B$4,2,0),"@@@",I1010))</f>
        <v>''</v>
      </c>
      <c r="Y1010" s="4" t="str">
        <f>IF(J1010="",IF(ISNUMBER(SEARCH("NOT NULL",UPPER(J$3))),"''","null"),SUBSTITUTE(VLOOKUP(J$2,convert!$A$1:$B$4,2,0),"@@@",J1010))</f>
        <v>'water'</v>
      </c>
      <c r="Z1010" s="4" t="str">
        <f>IF(K1010="",IF(ISNUMBER(SEARCH("NOT NULL",UPPER(K$3))),"''","null"),SUBSTITUTE(VLOOKUP(K$2,convert!$A$1:$B$4,2,0),"@@@",K1010))</f>
        <v>null</v>
      </c>
      <c r="AA1010" s="4" t="str">
        <f>IF(L1010="",IF(ISNUMBER(SEARCH("NOT NULL",UPPER(L$3))),"''","null"),SUBSTITUTE(VLOOKUP(L$2,convert!$A$1:$B$4,2,0),"@@@",L1010))</f>
        <v>'g8'</v>
      </c>
      <c r="AB1010" s="4" t="str">
        <f>IF(M1010="",IF(ISNUMBER(SEARCH("NOT NULL",UPPER(M$3))),"''","null"),SUBSTITUTE(VLOOKUP(M$2,convert!$A$1:$B$4,2,0),"@@@",M1010))</f>
        <v>null</v>
      </c>
      <c r="AC1010" s="4" t="str">
        <f>IF(N1010="",IF(ISNUMBER(SEARCH("NOT NULL",UPPER(N$3))),"''","null"),SUBSTITUTE(VLOOKUP(N$2,convert!$A$1:$B$4,2,0),"@@@",N1010))</f>
        <v>null</v>
      </c>
      <c r="AD1010" s="4" t="str">
        <f>IF(O1010="",IF(ISNUMBER(SEARCH("NOT NULL",UPPER(O$3))),"''","null"),SUBSTITUTE(VLOOKUP(O$2,convert!$A$1:$B$4,2,0),"@@@",O1010))</f>
        <v>FALSE</v>
      </c>
      <c r="AE1010" s="4" t="str">
        <f t="shared" si="15"/>
        <v>    ('0833N01', 'カムカメ', 50, 64, 50, 38, 38, 44, '', 'water', null, 'g8', null, null, FALSE),</v>
      </c>
    </row>
    <row r="1011" spans="1:31">
      <c r="A1011" s="4" t="s">
        <v>2028</v>
      </c>
      <c r="B1011" s="4" t="s">
        <v>2029</v>
      </c>
      <c r="C1011" s="5">
        <v>90</v>
      </c>
      <c r="D1011" s="5">
        <v>115</v>
      </c>
      <c r="E1011" s="5">
        <v>90</v>
      </c>
      <c r="F1011" s="5">
        <v>48</v>
      </c>
      <c r="G1011" s="5">
        <v>68</v>
      </c>
      <c r="H1011" s="5">
        <v>74</v>
      </c>
      <c r="I1011" s="5"/>
      <c r="J1011" s="4" t="s">
        <v>55</v>
      </c>
      <c r="K1011" s="4" t="s">
        <v>196</v>
      </c>
      <c r="L1011" s="4" t="s">
        <v>179</v>
      </c>
      <c r="M1011" s="5"/>
      <c r="N1011" s="5"/>
      <c r="O1011" s="5" t="b">
        <v>0</v>
      </c>
      <c r="P1011" s="4" t="str">
        <f>IF(A1011="",IF(ISNUMBER(SEARCH("NOT NULL",UPPER(A$3))),"''","null"),SUBSTITUTE(VLOOKUP(A$2,convert!$A$1:$B$4,2,0),"@@@",A1011))</f>
        <v>'0834N01'</v>
      </c>
      <c r="Q1011" s="4" t="str">
        <f>IF(B1011="",IF(ISNUMBER(SEARCH("NOT NULL",UPPER(B$3))),"''","null"),SUBSTITUTE(VLOOKUP(B$2,convert!$A$1:$B$4,2,0),"@@@",B1011))</f>
        <v>'カジリガメ'</v>
      </c>
      <c r="R1011" s="4" t="str">
        <f>IF(C1011="",IF(ISNUMBER(SEARCH("NOT NULL",UPPER(C$3))),"''","null"),SUBSTITUTE(VLOOKUP(C$2,convert!$A$1:$B$4,2,0),"@@@",C1011))</f>
        <v>90</v>
      </c>
      <c r="S1011" s="4" t="str">
        <f>IF(D1011="",IF(ISNUMBER(SEARCH("NOT NULL",UPPER(D$3))),"''","null"),SUBSTITUTE(VLOOKUP(D$2,convert!$A$1:$B$4,2,0),"@@@",D1011))</f>
        <v>115</v>
      </c>
      <c r="T1011" s="4" t="str">
        <f>IF(E1011="",IF(ISNUMBER(SEARCH("NOT NULL",UPPER(E$3))),"''","null"),SUBSTITUTE(VLOOKUP(E$2,convert!$A$1:$B$4,2,0),"@@@",E1011))</f>
        <v>90</v>
      </c>
      <c r="U1011" s="4" t="str">
        <f>IF(F1011="",IF(ISNUMBER(SEARCH("NOT NULL",UPPER(F$3))),"''","null"),SUBSTITUTE(VLOOKUP(F$2,convert!$A$1:$B$4,2,0),"@@@",F1011))</f>
        <v>48</v>
      </c>
      <c r="V1011" s="4" t="str">
        <f>IF(G1011="",IF(ISNUMBER(SEARCH("NOT NULL",UPPER(G$3))),"''","null"),SUBSTITUTE(VLOOKUP(G$2,convert!$A$1:$B$4,2,0),"@@@",G1011))</f>
        <v>68</v>
      </c>
      <c r="W1011" s="4" t="str">
        <f>IF(H1011="",IF(ISNUMBER(SEARCH("NOT NULL",UPPER(H$3))),"''","null"),SUBSTITUTE(VLOOKUP(H$2,convert!$A$1:$B$4,2,0),"@@@",H1011))</f>
        <v>74</v>
      </c>
      <c r="X1011" s="4" t="str">
        <f>IF(I1011="",IF(ISNUMBER(SEARCH("NOT NULL",UPPER(I$3))),"''","null"),SUBSTITUTE(VLOOKUP(I$2,convert!$A$1:$B$4,2,0),"@@@",I1011))</f>
        <v>''</v>
      </c>
      <c r="Y1011" s="4" t="str">
        <f>IF(J1011="",IF(ISNUMBER(SEARCH("NOT NULL",UPPER(J$3))),"''","null"),SUBSTITUTE(VLOOKUP(J$2,convert!$A$1:$B$4,2,0),"@@@",J1011))</f>
        <v>'water'</v>
      </c>
      <c r="Z1011" s="4" t="str">
        <f>IF(K1011="",IF(ISNUMBER(SEARCH("NOT NULL",UPPER(K$3))),"''","null"),SUBSTITUTE(VLOOKUP(K$2,convert!$A$1:$B$4,2,0),"@@@",K1011))</f>
        <v>'rock'</v>
      </c>
      <c r="AA1011" s="4" t="str">
        <f>IF(L1011="",IF(ISNUMBER(SEARCH("NOT NULL",UPPER(L$3))),"''","null"),SUBSTITUTE(VLOOKUP(L$2,convert!$A$1:$B$4,2,0),"@@@",L1011))</f>
        <v>'g8'</v>
      </c>
      <c r="AB1011" s="4" t="str">
        <f>IF(M1011="",IF(ISNUMBER(SEARCH("NOT NULL",UPPER(M$3))),"''","null"),SUBSTITUTE(VLOOKUP(M$2,convert!$A$1:$B$4,2,0),"@@@",M1011))</f>
        <v>null</v>
      </c>
      <c r="AC1011" s="4" t="str">
        <f>IF(N1011="",IF(ISNUMBER(SEARCH("NOT NULL",UPPER(N$3))),"''","null"),SUBSTITUTE(VLOOKUP(N$2,convert!$A$1:$B$4,2,0),"@@@",N1011))</f>
        <v>null</v>
      </c>
      <c r="AD1011" s="4" t="str">
        <f>IF(O1011="",IF(ISNUMBER(SEARCH("NOT NULL",UPPER(O$3))),"''","null"),SUBSTITUTE(VLOOKUP(O$2,convert!$A$1:$B$4,2,0),"@@@",O1011))</f>
        <v>FALSE</v>
      </c>
      <c r="AE1011" s="4" t="str">
        <f t="shared" si="15"/>
        <v>    ('0834N01', 'カジリガメ', 90, 115, 90, 48, 68, 74, '', 'water', 'rock', 'g8', null, null, FALSE),</v>
      </c>
    </row>
    <row r="1012" spans="1:31">
      <c r="A1012" s="4" t="s">
        <v>2030</v>
      </c>
      <c r="B1012" s="4" t="s">
        <v>2031</v>
      </c>
      <c r="C1012" s="5">
        <v>59</v>
      </c>
      <c r="D1012" s="5">
        <v>45</v>
      </c>
      <c r="E1012" s="5">
        <v>50</v>
      </c>
      <c r="F1012" s="5">
        <v>40</v>
      </c>
      <c r="G1012" s="5">
        <v>50</v>
      </c>
      <c r="H1012" s="5">
        <v>26</v>
      </c>
      <c r="I1012" s="5"/>
      <c r="J1012" s="4" t="s">
        <v>106</v>
      </c>
      <c r="K1012" s="5"/>
      <c r="L1012" s="4" t="s">
        <v>179</v>
      </c>
      <c r="M1012" s="5"/>
      <c r="N1012" s="5"/>
      <c r="O1012" s="5" t="b">
        <v>0</v>
      </c>
      <c r="P1012" s="4" t="str">
        <f>IF(A1012="",IF(ISNUMBER(SEARCH("NOT NULL",UPPER(A$3))),"''","null"),SUBSTITUTE(VLOOKUP(A$2,convert!$A$1:$B$4,2,0),"@@@",A1012))</f>
        <v>'0835N01'</v>
      </c>
      <c r="Q1012" s="4" t="str">
        <f>IF(B1012="",IF(ISNUMBER(SEARCH("NOT NULL",UPPER(B$3))),"''","null"),SUBSTITUTE(VLOOKUP(B$2,convert!$A$1:$B$4,2,0),"@@@",B1012))</f>
        <v>'ワンパチ'</v>
      </c>
      <c r="R1012" s="4" t="str">
        <f>IF(C1012="",IF(ISNUMBER(SEARCH("NOT NULL",UPPER(C$3))),"''","null"),SUBSTITUTE(VLOOKUP(C$2,convert!$A$1:$B$4,2,0),"@@@",C1012))</f>
        <v>59</v>
      </c>
      <c r="S1012" s="4" t="str">
        <f>IF(D1012="",IF(ISNUMBER(SEARCH("NOT NULL",UPPER(D$3))),"''","null"),SUBSTITUTE(VLOOKUP(D$2,convert!$A$1:$B$4,2,0),"@@@",D1012))</f>
        <v>45</v>
      </c>
      <c r="T1012" s="4" t="str">
        <f>IF(E1012="",IF(ISNUMBER(SEARCH("NOT NULL",UPPER(E$3))),"''","null"),SUBSTITUTE(VLOOKUP(E$2,convert!$A$1:$B$4,2,0),"@@@",E1012))</f>
        <v>50</v>
      </c>
      <c r="U1012" s="4" t="str">
        <f>IF(F1012="",IF(ISNUMBER(SEARCH("NOT NULL",UPPER(F$3))),"''","null"),SUBSTITUTE(VLOOKUP(F$2,convert!$A$1:$B$4,2,0),"@@@",F1012))</f>
        <v>40</v>
      </c>
      <c r="V1012" s="4" t="str">
        <f>IF(G1012="",IF(ISNUMBER(SEARCH("NOT NULL",UPPER(G$3))),"''","null"),SUBSTITUTE(VLOOKUP(G$2,convert!$A$1:$B$4,2,0),"@@@",G1012))</f>
        <v>50</v>
      </c>
      <c r="W1012" s="4" t="str">
        <f>IF(H1012="",IF(ISNUMBER(SEARCH("NOT NULL",UPPER(H$3))),"''","null"),SUBSTITUTE(VLOOKUP(H$2,convert!$A$1:$B$4,2,0),"@@@",H1012))</f>
        <v>26</v>
      </c>
      <c r="X1012" s="4" t="str">
        <f>IF(I1012="",IF(ISNUMBER(SEARCH("NOT NULL",UPPER(I$3))),"''","null"),SUBSTITUTE(VLOOKUP(I$2,convert!$A$1:$B$4,2,0),"@@@",I1012))</f>
        <v>''</v>
      </c>
      <c r="Y1012" s="4" t="str">
        <f>IF(J1012="",IF(ISNUMBER(SEARCH("NOT NULL",UPPER(J$3))),"''","null"),SUBSTITUTE(VLOOKUP(J$2,convert!$A$1:$B$4,2,0),"@@@",J1012))</f>
        <v>'electric'</v>
      </c>
      <c r="Z1012" s="4" t="str">
        <f>IF(K1012="",IF(ISNUMBER(SEARCH("NOT NULL",UPPER(K$3))),"''","null"),SUBSTITUTE(VLOOKUP(K$2,convert!$A$1:$B$4,2,0),"@@@",K1012))</f>
        <v>null</v>
      </c>
      <c r="AA1012" s="4" t="str">
        <f>IF(L1012="",IF(ISNUMBER(SEARCH("NOT NULL",UPPER(L$3))),"''","null"),SUBSTITUTE(VLOOKUP(L$2,convert!$A$1:$B$4,2,0),"@@@",L1012))</f>
        <v>'g8'</v>
      </c>
      <c r="AB1012" s="4" t="str">
        <f>IF(M1012="",IF(ISNUMBER(SEARCH("NOT NULL",UPPER(M$3))),"''","null"),SUBSTITUTE(VLOOKUP(M$2,convert!$A$1:$B$4,2,0),"@@@",M1012))</f>
        <v>null</v>
      </c>
      <c r="AC1012" s="4" t="str">
        <f>IF(N1012="",IF(ISNUMBER(SEARCH("NOT NULL",UPPER(N$3))),"''","null"),SUBSTITUTE(VLOOKUP(N$2,convert!$A$1:$B$4,2,0),"@@@",N1012))</f>
        <v>null</v>
      </c>
      <c r="AD1012" s="4" t="str">
        <f>IF(O1012="",IF(ISNUMBER(SEARCH("NOT NULL",UPPER(O$3))),"''","null"),SUBSTITUTE(VLOOKUP(O$2,convert!$A$1:$B$4,2,0),"@@@",O1012))</f>
        <v>FALSE</v>
      </c>
      <c r="AE1012" s="4" t="str">
        <f t="shared" si="15"/>
        <v>    ('0835N01', 'ワンパチ', 59, 45, 50, 40, 50, 26, '', 'electric', null, 'g8', null, null, FALSE),</v>
      </c>
    </row>
    <row r="1013" spans="1:31">
      <c r="A1013" s="4" t="s">
        <v>2032</v>
      </c>
      <c r="B1013" s="4" t="s">
        <v>2033</v>
      </c>
      <c r="C1013" s="5">
        <v>69</v>
      </c>
      <c r="D1013" s="5">
        <v>90</v>
      </c>
      <c r="E1013" s="5">
        <v>60</v>
      </c>
      <c r="F1013" s="5">
        <v>90</v>
      </c>
      <c r="G1013" s="5">
        <v>60</v>
      </c>
      <c r="H1013" s="5">
        <v>121</v>
      </c>
      <c r="I1013" s="5"/>
      <c r="J1013" s="4" t="s">
        <v>106</v>
      </c>
      <c r="K1013" s="5"/>
      <c r="L1013" s="4" t="s">
        <v>179</v>
      </c>
      <c r="M1013" s="5"/>
      <c r="N1013" s="5"/>
      <c r="O1013" s="5" t="b">
        <v>0</v>
      </c>
      <c r="P1013" s="4" t="str">
        <f>IF(A1013="",IF(ISNUMBER(SEARCH("NOT NULL",UPPER(A$3))),"''","null"),SUBSTITUTE(VLOOKUP(A$2,convert!$A$1:$B$4,2,0),"@@@",A1013))</f>
        <v>'0836N01'</v>
      </c>
      <c r="Q1013" s="4" t="str">
        <f>IF(B1013="",IF(ISNUMBER(SEARCH("NOT NULL",UPPER(B$3))),"''","null"),SUBSTITUTE(VLOOKUP(B$2,convert!$A$1:$B$4,2,0),"@@@",B1013))</f>
        <v>'パルスワン'</v>
      </c>
      <c r="R1013" s="4" t="str">
        <f>IF(C1013="",IF(ISNUMBER(SEARCH("NOT NULL",UPPER(C$3))),"''","null"),SUBSTITUTE(VLOOKUP(C$2,convert!$A$1:$B$4,2,0),"@@@",C1013))</f>
        <v>69</v>
      </c>
      <c r="S1013" s="4" t="str">
        <f>IF(D1013="",IF(ISNUMBER(SEARCH("NOT NULL",UPPER(D$3))),"''","null"),SUBSTITUTE(VLOOKUP(D$2,convert!$A$1:$B$4,2,0),"@@@",D1013))</f>
        <v>90</v>
      </c>
      <c r="T1013" s="4" t="str">
        <f>IF(E1013="",IF(ISNUMBER(SEARCH("NOT NULL",UPPER(E$3))),"''","null"),SUBSTITUTE(VLOOKUP(E$2,convert!$A$1:$B$4,2,0),"@@@",E1013))</f>
        <v>60</v>
      </c>
      <c r="U1013" s="4" t="str">
        <f>IF(F1013="",IF(ISNUMBER(SEARCH("NOT NULL",UPPER(F$3))),"''","null"),SUBSTITUTE(VLOOKUP(F$2,convert!$A$1:$B$4,2,0),"@@@",F1013))</f>
        <v>90</v>
      </c>
      <c r="V1013" s="4" t="str">
        <f>IF(G1013="",IF(ISNUMBER(SEARCH("NOT NULL",UPPER(G$3))),"''","null"),SUBSTITUTE(VLOOKUP(G$2,convert!$A$1:$B$4,2,0),"@@@",G1013))</f>
        <v>60</v>
      </c>
      <c r="W1013" s="4" t="str">
        <f>IF(H1013="",IF(ISNUMBER(SEARCH("NOT NULL",UPPER(H$3))),"''","null"),SUBSTITUTE(VLOOKUP(H$2,convert!$A$1:$B$4,2,0),"@@@",H1013))</f>
        <v>121</v>
      </c>
      <c r="X1013" s="4" t="str">
        <f>IF(I1013="",IF(ISNUMBER(SEARCH("NOT NULL",UPPER(I$3))),"''","null"),SUBSTITUTE(VLOOKUP(I$2,convert!$A$1:$B$4,2,0),"@@@",I1013))</f>
        <v>''</v>
      </c>
      <c r="Y1013" s="4" t="str">
        <f>IF(J1013="",IF(ISNUMBER(SEARCH("NOT NULL",UPPER(J$3))),"''","null"),SUBSTITUTE(VLOOKUP(J$2,convert!$A$1:$B$4,2,0),"@@@",J1013))</f>
        <v>'electric'</v>
      </c>
      <c r="Z1013" s="4" t="str">
        <f>IF(K1013="",IF(ISNUMBER(SEARCH("NOT NULL",UPPER(K$3))),"''","null"),SUBSTITUTE(VLOOKUP(K$2,convert!$A$1:$B$4,2,0),"@@@",K1013))</f>
        <v>null</v>
      </c>
      <c r="AA1013" s="4" t="str">
        <f>IF(L1013="",IF(ISNUMBER(SEARCH("NOT NULL",UPPER(L$3))),"''","null"),SUBSTITUTE(VLOOKUP(L$2,convert!$A$1:$B$4,2,0),"@@@",L1013))</f>
        <v>'g8'</v>
      </c>
      <c r="AB1013" s="4" t="str">
        <f>IF(M1013="",IF(ISNUMBER(SEARCH("NOT NULL",UPPER(M$3))),"''","null"),SUBSTITUTE(VLOOKUP(M$2,convert!$A$1:$B$4,2,0),"@@@",M1013))</f>
        <v>null</v>
      </c>
      <c r="AC1013" s="4" t="str">
        <f>IF(N1013="",IF(ISNUMBER(SEARCH("NOT NULL",UPPER(N$3))),"''","null"),SUBSTITUTE(VLOOKUP(N$2,convert!$A$1:$B$4,2,0),"@@@",N1013))</f>
        <v>null</v>
      </c>
      <c r="AD1013" s="4" t="str">
        <f>IF(O1013="",IF(ISNUMBER(SEARCH("NOT NULL",UPPER(O$3))),"''","null"),SUBSTITUTE(VLOOKUP(O$2,convert!$A$1:$B$4,2,0),"@@@",O1013))</f>
        <v>FALSE</v>
      </c>
      <c r="AE1013" s="4" t="str">
        <f t="shared" si="15"/>
        <v>    ('0836N01', 'パルスワン', 69, 90, 60, 90, 60, 121, '', 'electric', null, 'g8', null, null, FALSE),</v>
      </c>
    </row>
    <row r="1014" spans="1:31">
      <c r="A1014" s="4" t="s">
        <v>2034</v>
      </c>
      <c r="B1014" s="4" t="s">
        <v>2035</v>
      </c>
      <c r="C1014" s="5">
        <v>30</v>
      </c>
      <c r="D1014" s="5">
        <v>40</v>
      </c>
      <c r="E1014" s="5">
        <v>50</v>
      </c>
      <c r="F1014" s="5">
        <v>40</v>
      </c>
      <c r="G1014" s="5">
        <v>50</v>
      </c>
      <c r="H1014" s="5">
        <v>30</v>
      </c>
      <c r="I1014" s="5"/>
      <c r="J1014" s="4" t="s">
        <v>196</v>
      </c>
      <c r="K1014" s="5"/>
      <c r="L1014" s="4" t="s">
        <v>179</v>
      </c>
      <c r="M1014" s="5"/>
      <c r="N1014" s="5"/>
      <c r="O1014" s="5" t="b">
        <v>0</v>
      </c>
      <c r="P1014" s="4" t="str">
        <f>IF(A1014="",IF(ISNUMBER(SEARCH("NOT NULL",UPPER(A$3))),"''","null"),SUBSTITUTE(VLOOKUP(A$2,convert!$A$1:$B$4,2,0),"@@@",A1014))</f>
        <v>'0837N01'</v>
      </c>
      <c r="Q1014" s="4" t="str">
        <f>IF(B1014="",IF(ISNUMBER(SEARCH("NOT NULL",UPPER(B$3))),"''","null"),SUBSTITUTE(VLOOKUP(B$2,convert!$A$1:$B$4,2,0),"@@@",B1014))</f>
        <v>'タンドン'</v>
      </c>
      <c r="R1014" s="4" t="str">
        <f>IF(C1014="",IF(ISNUMBER(SEARCH("NOT NULL",UPPER(C$3))),"''","null"),SUBSTITUTE(VLOOKUP(C$2,convert!$A$1:$B$4,2,0),"@@@",C1014))</f>
        <v>30</v>
      </c>
      <c r="S1014" s="4" t="str">
        <f>IF(D1014="",IF(ISNUMBER(SEARCH("NOT NULL",UPPER(D$3))),"''","null"),SUBSTITUTE(VLOOKUP(D$2,convert!$A$1:$B$4,2,0),"@@@",D1014))</f>
        <v>40</v>
      </c>
      <c r="T1014" s="4" t="str">
        <f>IF(E1014="",IF(ISNUMBER(SEARCH("NOT NULL",UPPER(E$3))),"''","null"),SUBSTITUTE(VLOOKUP(E$2,convert!$A$1:$B$4,2,0),"@@@",E1014))</f>
        <v>50</v>
      </c>
      <c r="U1014" s="4" t="str">
        <f>IF(F1014="",IF(ISNUMBER(SEARCH("NOT NULL",UPPER(F$3))),"''","null"),SUBSTITUTE(VLOOKUP(F$2,convert!$A$1:$B$4,2,0),"@@@",F1014))</f>
        <v>40</v>
      </c>
      <c r="V1014" s="4" t="str">
        <f>IF(G1014="",IF(ISNUMBER(SEARCH("NOT NULL",UPPER(G$3))),"''","null"),SUBSTITUTE(VLOOKUP(G$2,convert!$A$1:$B$4,2,0),"@@@",G1014))</f>
        <v>50</v>
      </c>
      <c r="W1014" s="4" t="str">
        <f>IF(H1014="",IF(ISNUMBER(SEARCH("NOT NULL",UPPER(H$3))),"''","null"),SUBSTITUTE(VLOOKUP(H$2,convert!$A$1:$B$4,2,0),"@@@",H1014))</f>
        <v>30</v>
      </c>
      <c r="X1014" s="4" t="str">
        <f>IF(I1014="",IF(ISNUMBER(SEARCH("NOT NULL",UPPER(I$3))),"''","null"),SUBSTITUTE(VLOOKUP(I$2,convert!$A$1:$B$4,2,0),"@@@",I1014))</f>
        <v>''</v>
      </c>
      <c r="Y1014" s="4" t="str">
        <f>IF(J1014="",IF(ISNUMBER(SEARCH("NOT NULL",UPPER(J$3))),"''","null"),SUBSTITUTE(VLOOKUP(J$2,convert!$A$1:$B$4,2,0),"@@@",J1014))</f>
        <v>'rock'</v>
      </c>
      <c r="Z1014" s="4" t="str">
        <f>IF(K1014="",IF(ISNUMBER(SEARCH("NOT NULL",UPPER(K$3))),"''","null"),SUBSTITUTE(VLOOKUP(K$2,convert!$A$1:$B$4,2,0),"@@@",K1014))</f>
        <v>null</v>
      </c>
      <c r="AA1014" s="4" t="str">
        <f>IF(L1014="",IF(ISNUMBER(SEARCH("NOT NULL",UPPER(L$3))),"''","null"),SUBSTITUTE(VLOOKUP(L$2,convert!$A$1:$B$4,2,0),"@@@",L1014))</f>
        <v>'g8'</v>
      </c>
      <c r="AB1014" s="4" t="str">
        <f>IF(M1014="",IF(ISNUMBER(SEARCH("NOT NULL",UPPER(M$3))),"''","null"),SUBSTITUTE(VLOOKUP(M$2,convert!$A$1:$B$4,2,0),"@@@",M1014))</f>
        <v>null</v>
      </c>
      <c r="AC1014" s="4" t="str">
        <f>IF(N1014="",IF(ISNUMBER(SEARCH("NOT NULL",UPPER(N$3))),"''","null"),SUBSTITUTE(VLOOKUP(N$2,convert!$A$1:$B$4,2,0),"@@@",N1014))</f>
        <v>null</v>
      </c>
      <c r="AD1014" s="4" t="str">
        <f>IF(O1014="",IF(ISNUMBER(SEARCH("NOT NULL",UPPER(O$3))),"''","null"),SUBSTITUTE(VLOOKUP(O$2,convert!$A$1:$B$4,2,0),"@@@",O1014))</f>
        <v>FALSE</v>
      </c>
      <c r="AE1014" s="4" t="str">
        <f t="shared" si="15"/>
        <v>    ('0837N01', 'タンドン', 30, 40, 50, 40, 50, 30, '', 'rock', null, 'g8', null, null, FALSE),</v>
      </c>
    </row>
    <row r="1015" spans="1:31">
      <c r="A1015" s="4" t="s">
        <v>2036</v>
      </c>
      <c r="B1015" s="4" t="s">
        <v>2037</v>
      </c>
      <c r="C1015" s="5">
        <v>80</v>
      </c>
      <c r="D1015" s="5">
        <v>60</v>
      </c>
      <c r="E1015" s="5">
        <v>90</v>
      </c>
      <c r="F1015" s="5">
        <v>60</v>
      </c>
      <c r="G1015" s="5">
        <v>70</v>
      </c>
      <c r="H1015" s="5">
        <v>50</v>
      </c>
      <c r="I1015" s="5"/>
      <c r="J1015" s="4" t="s">
        <v>196</v>
      </c>
      <c r="K1015" s="4" t="s">
        <v>42</v>
      </c>
      <c r="L1015" s="4" t="s">
        <v>179</v>
      </c>
      <c r="M1015" s="5"/>
      <c r="N1015" s="5"/>
      <c r="O1015" s="5" t="b">
        <v>0</v>
      </c>
      <c r="P1015" s="4" t="str">
        <f>IF(A1015="",IF(ISNUMBER(SEARCH("NOT NULL",UPPER(A$3))),"''","null"),SUBSTITUTE(VLOOKUP(A$2,convert!$A$1:$B$4,2,0),"@@@",A1015))</f>
        <v>'0838N01'</v>
      </c>
      <c r="Q1015" s="4" t="str">
        <f>IF(B1015="",IF(ISNUMBER(SEARCH("NOT NULL",UPPER(B$3))),"''","null"),SUBSTITUTE(VLOOKUP(B$2,convert!$A$1:$B$4,2,0),"@@@",B1015))</f>
        <v>'トロッゴン'</v>
      </c>
      <c r="R1015" s="4" t="str">
        <f>IF(C1015="",IF(ISNUMBER(SEARCH("NOT NULL",UPPER(C$3))),"''","null"),SUBSTITUTE(VLOOKUP(C$2,convert!$A$1:$B$4,2,0),"@@@",C1015))</f>
        <v>80</v>
      </c>
      <c r="S1015" s="4" t="str">
        <f>IF(D1015="",IF(ISNUMBER(SEARCH("NOT NULL",UPPER(D$3))),"''","null"),SUBSTITUTE(VLOOKUP(D$2,convert!$A$1:$B$4,2,0),"@@@",D1015))</f>
        <v>60</v>
      </c>
      <c r="T1015" s="4" t="str">
        <f>IF(E1015="",IF(ISNUMBER(SEARCH("NOT NULL",UPPER(E$3))),"''","null"),SUBSTITUTE(VLOOKUP(E$2,convert!$A$1:$B$4,2,0),"@@@",E1015))</f>
        <v>90</v>
      </c>
      <c r="U1015" s="4" t="str">
        <f>IF(F1015="",IF(ISNUMBER(SEARCH("NOT NULL",UPPER(F$3))),"''","null"),SUBSTITUTE(VLOOKUP(F$2,convert!$A$1:$B$4,2,0),"@@@",F1015))</f>
        <v>60</v>
      </c>
      <c r="V1015" s="4" t="str">
        <f>IF(G1015="",IF(ISNUMBER(SEARCH("NOT NULL",UPPER(G$3))),"''","null"),SUBSTITUTE(VLOOKUP(G$2,convert!$A$1:$B$4,2,0),"@@@",G1015))</f>
        <v>70</v>
      </c>
      <c r="W1015" s="4" t="str">
        <f>IF(H1015="",IF(ISNUMBER(SEARCH("NOT NULL",UPPER(H$3))),"''","null"),SUBSTITUTE(VLOOKUP(H$2,convert!$A$1:$B$4,2,0),"@@@",H1015))</f>
        <v>50</v>
      </c>
      <c r="X1015" s="4" t="str">
        <f>IF(I1015="",IF(ISNUMBER(SEARCH("NOT NULL",UPPER(I$3))),"''","null"),SUBSTITUTE(VLOOKUP(I$2,convert!$A$1:$B$4,2,0),"@@@",I1015))</f>
        <v>''</v>
      </c>
      <c r="Y1015" s="4" t="str">
        <f>IF(J1015="",IF(ISNUMBER(SEARCH("NOT NULL",UPPER(J$3))),"''","null"),SUBSTITUTE(VLOOKUP(J$2,convert!$A$1:$B$4,2,0),"@@@",J1015))</f>
        <v>'rock'</v>
      </c>
      <c r="Z1015" s="4" t="str">
        <f>IF(K1015="",IF(ISNUMBER(SEARCH("NOT NULL",UPPER(K$3))),"''","null"),SUBSTITUTE(VLOOKUP(K$2,convert!$A$1:$B$4,2,0),"@@@",K1015))</f>
        <v>'fire'</v>
      </c>
      <c r="AA1015" s="4" t="str">
        <f>IF(L1015="",IF(ISNUMBER(SEARCH("NOT NULL",UPPER(L$3))),"''","null"),SUBSTITUTE(VLOOKUP(L$2,convert!$A$1:$B$4,2,0),"@@@",L1015))</f>
        <v>'g8'</v>
      </c>
      <c r="AB1015" s="4" t="str">
        <f>IF(M1015="",IF(ISNUMBER(SEARCH("NOT NULL",UPPER(M$3))),"''","null"),SUBSTITUTE(VLOOKUP(M$2,convert!$A$1:$B$4,2,0),"@@@",M1015))</f>
        <v>null</v>
      </c>
      <c r="AC1015" s="4" t="str">
        <f>IF(N1015="",IF(ISNUMBER(SEARCH("NOT NULL",UPPER(N$3))),"''","null"),SUBSTITUTE(VLOOKUP(N$2,convert!$A$1:$B$4,2,0),"@@@",N1015))</f>
        <v>null</v>
      </c>
      <c r="AD1015" s="4" t="str">
        <f>IF(O1015="",IF(ISNUMBER(SEARCH("NOT NULL",UPPER(O$3))),"''","null"),SUBSTITUTE(VLOOKUP(O$2,convert!$A$1:$B$4,2,0),"@@@",O1015))</f>
        <v>FALSE</v>
      </c>
      <c r="AE1015" s="4" t="str">
        <f t="shared" si="15"/>
        <v>    ('0838N01', 'トロッゴン', 80, 60, 90, 60, 70, 50, '', 'rock', 'fire', 'g8', null, null, FALSE),</v>
      </c>
    </row>
    <row r="1016" spans="1:31">
      <c r="A1016" s="4" t="s">
        <v>2038</v>
      </c>
      <c r="B1016" s="4" t="s">
        <v>2039</v>
      </c>
      <c r="C1016" s="5">
        <v>110</v>
      </c>
      <c r="D1016" s="5">
        <v>80</v>
      </c>
      <c r="E1016" s="5">
        <v>120</v>
      </c>
      <c r="F1016" s="5">
        <v>80</v>
      </c>
      <c r="G1016" s="5">
        <v>90</v>
      </c>
      <c r="H1016" s="5">
        <v>30</v>
      </c>
      <c r="I1016" s="5"/>
      <c r="J1016" s="4" t="s">
        <v>196</v>
      </c>
      <c r="K1016" s="4" t="s">
        <v>42</v>
      </c>
      <c r="L1016" s="4" t="s">
        <v>179</v>
      </c>
      <c r="M1016" s="5"/>
      <c r="N1016" s="5"/>
      <c r="O1016" s="5" t="b">
        <v>0</v>
      </c>
      <c r="P1016" s="4" t="str">
        <f>IF(A1016="",IF(ISNUMBER(SEARCH("NOT NULL",UPPER(A$3))),"''","null"),SUBSTITUTE(VLOOKUP(A$2,convert!$A$1:$B$4,2,0),"@@@",A1016))</f>
        <v>'0839N01'</v>
      </c>
      <c r="Q1016" s="4" t="str">
        <f>IF(B1016="",IF(ISNUMBER(SEARCH("NOT NULL",UPPER(B$3))),"''","null"),SUBSTITUTE(VLOOKUP(B$2,convert!$A$1:$B$4,2,0),"@@@",B1016))</f>
        <v>'セキタンザン'</v>
      </c>
      <c r="R1016" s="4" t="str">
        <f>IF(C1016="",IF(ISNUMBER(SEARCH("NOT NULL",UPPER(C$3))),"''","null"),SUBSTITUTE(VLOOKUP(C$2,convert!$A$1:$B$4,2,0),"@@@",C1016))</f>
        <v>110</v>
      </c>
      <c r="S1016" s="4" t="str">
        <f>IF(D1016="",IF(ISNUMBER(SEARCH("NOT NULL",UPPER(D$3))),"''","null"),SUBSTITUTE(VLOOKUP(D$2,convert!$A$1:$B$4,2,0),"@@@",D1016))</f>
        <v>80</v>
      </c>
      <c r="T1016" s="4" t="str">
        <f>IF(E1016="",IF(ISNUMBER(SEARCH("NOT NULL",UPPER(E$3))),"''","null"),SUBSTITUTE(VLOOKUP(E$2,convert!$A$1:$B$4,2,0),"@@@",E1016))</f>
        <v>120</v>
      </c>
      <c r="U1016" s="4" t="str">
        <f>IF(F1016="",IF(ISNUMBER(SEARCH("NOT NULL",UPPER(F$3))),"''","null"),SUBSTITUTE(VLOOKUP(F$2,convert!$A$1:$B$4,2,0),"@@@",F1016))</f>
        <v>80</v>
      </c>
      <c r="V1016" s="4" t="str">
        <f>IF(G1016="",IF(ISNUMBER(SEARCH("NOT NULL",UPPER(G$3))),"''","null"),SUBSTITUTE(VLOOKUP(G$2,convert!$A$1:$B$4,2,0),"@@@",G1016))</f>
        <v>90</v>
      </c>
      <c r="W1016" s="4" t="str">
        <f>IF(H1016="",IF(ISNUMBER(SEARCH("NOT NULL",UPPER(H$3))),"''","null"),SUBSTITUTE(VLOOKUP(H$2,convert!$A$1:$B$4,2,0),"@@@",H1016))</f>
        <v>30</v>
      </c>
      <c r="X1016" s="4" t="str">
        <f>IF(I1016="",IF(ISNUMBER(SEARCH("NOT NULL",UPPER(I$3))),"''","null"),SUBSTITUTE(VLOOKUP(I$2,convert!$A$1:$B$4,2,0),"@@@",I1016))</f>
        <v>''</v>
      </c>
      <c r="Y1016" s="4" t="str">
        <f>IF(J1016="",IF(ISNUMBER(SEARCH("NOT NULL",UPPER(J$3))),"''","null"),SUBSTITUTE(VLOOKUP(J$2,convert!$A$1:$B$4,2,0),"@@@",J1016))</f>
        <v>'rock'</v>
      </c>
      <c r="Z1016" s="4" t="str">
        <f>IF(K1016="",IF(ISNUMBER(SEARCH("NOT NULL",UPPER(K$3))),"''","null"),SUBSTITUTE(VLOOKUP(K$2,convert!$A$1:$B$4,2,0),"@@@",K1016))</f>
        <v>'fire'</v>
      </c>
      <c r="AA1016" s="4" t="str">
        <f>IF(L1016="",IF(ISNUMBER(SEARCH("NOT NULL",UPPER(L$3))),"''","null"),SUBSTITUTE(VLOOKUP(L$2,convert!$A$1:$B$4,2,0),"@@@",L1016))</f>
        <v>'g8'</v>
      </c>
      <c r="AB1016" s="4" t="str">
        <f>IF(M1016="",IF(ISNUMBER(SEARCH("NOT NULL",UPPER(M$3))),"''","null"),SUBSTITUTE(VLOOKUP(M$2,convert!$A$1:$B$4,2,0),"@@@",M1016))</f>
        <v>null</v>
      </c>
      <c r="AC1016" s="4" t="str">
        <f>IF(N1016="",IF(ISNUMBER(SEARCH("NOT NULL",UPPER(N$3))),"''","null"),SUBSTITUTE(VLOOKUP(N$2,convert!$A$1:$B$4,2,0),"@@@",N1016))</f>
        <v>null</v>
      </c>
      <c r="AD1016" s="4" t="str">
        <f>IF(O1016="",IF(ISNUMBER(SEARCH("NOT NULL",UPPER(O$3))),"''","null"),SUBSTITUTE(VLOOKUP(O$2,convert!$A$1:$B$4,2,0),"@@@",O1016))</f>
        <v>FALSE</v>
      </c>
      <c r="AE1016" s="4" t="str">
        <f t="shared" si="15"/>
        <v>    ('0839N01', 'セキタンザン', 110, 80, 120, 80, 90, 30, '', 'rock', 'fire', 'g8', null, null, FALSE),</v>
      </c>
    </row>
    <row r="1017" spans="1:31">
      <c r="A1017" s="4" t="s">
        <v>2040</v>
      </c>
      <c r="B1017" s="4" t="s">
        <v>2041</v>
      </c>
      <c r="C1017" s="5">
        <v>40</v>
      </c>
      <c r="D1017" s="5">
        <v>40</v>
      </c>
      <c r="E1017" s="5">
        <v>80</v>
      </c>
      <c r="F1017" s="5">
        <v>40</v>
      </c>
      <c r="G1017" s="5">
        <v>40</v>
      </c>
      <c r="H1017" s="5">
        <v>20</v>
      </c>
      <c r="I1017" s="5"/>
      <c r="J1017" s="4" t="s">
        <v>30</v>
      </c>
      <c r="K1017" s="4" t="s">
        <v>50</v>
      </c>
      <c r="L1017" s="4" t="s">
        <v>179</v>
      </c>
      <c r="M1017" s="5"/>
      <c r="N1017" s="5"/>
      <c r="O1017" s="5" t="b">
        <v>0</v>
      </c>
      <c r="P1017" s="4" t="str">
        <f>IF(A1017="",IF(ISNUMBER(SEARCH("NOT NULL",UPPER(A$3))),"''","null"),SUBSTITUTE(VLOOKUP(A$2,convert!$A$1:$B$4,2,0),"@@@",A1017))</f>
        <v>'0840N01'</v>
      </c>
      <c r="Q1017" s="4" t="str">
        <f>IF(B1017="",IF(ISNUMBER(SEARCH("NOT NULL",UPPER(B$3))),"''","null"),SUBSTITUTE(VLOOKUP(B$2,convert!$A$1:$B$4,2,0),"@@@",B1017))</f>
        <v>'カジッチュ'</v>
      </c>
      <c r="R1017" s="4" t="str">
        <f>IF(C1017="",IF(ISNUMBER(SEARCH("NOT NULL",UPPER(C$3))),"''","null"),SUBSTITUTE(VLOOKUP(C$2,convert!$A$1:$B$4,2,0),"@@@",C1017))</f>
        <v>40</v>
      </c>
      <c r="S1017" s="4" t="str">
        <f>IF(D1017="",IF(ISNUMBER(SEARCH("NOT NULL",UPPER(D$3))),"''","null"),SUBSTITUTE(VLOOKUP(D$2,convert!$A$1:$B$4,2,0),"@@@",D1017))</f>
        <v>40</v>
      </c>
      <c r="T1017" s="4" t="str">
        <f>IF(E1017="",IF(ISNUMBER(SEARCH("NOT NULL",UPPER(E$3))),"''","null"),SUBSTITUTE(VLOOKUP(E$2,convert!$A$1:$B$4,2,0),"@@@",E1017))</f>
        <v>80</v>
      </c>
      <c r="U1017" s="4" t="str">
        <f>IF(F1017="",IF(ISNUMBER(SEARCH("NOT NULL",UPPER(F$3))),"''","null"),SUBSTITUTE(VLOOKUP(F$2,convert!$A$1:$B$4,2,0),"@@@",F1017))</f>
        <v>40</v>
      </c>
      <c r="V1017" s="4" t="str">
        <f>IF(G1017="",IF(ISNUMBER(SEARCH("NOT NULL",UPPER(G$3))),"''","null"),SUBSTITUTE(VLOOKUP(G$2,convert!$A$1:$B$4,2,0),"@@@",G1017))</f>
        <v>40</v>
      </c>
      <c r="W1017" s="4" t="str">
        <f>IF(H1017="",IF(ISNUMBER(SEARCH("NOT NULL",UPPER(H$3))),"''","null"),SUBSTITUTE(VLOOKUP(H$2,convert!$A$1:$B$4,2,0),"@@@",H1017))</f>
        <v>20</v>
      </c>
      <c r="X1017" s="4" t="str">
        <f>IF(I1017="",IF(ISNUMBER(SEARCH("NOT NULL",UPPER(I$3))),"''","null"),SUBSTITUTE(VLOOKUP(I$2,convert!$A$1:$B$4,2,0),"@@@",I1017))</f>
        <v>''</v>
      </c>
      <c r="Y1017" s="4" t="str">
        <f>IF(J1017="",IF(ISNUMBER(SEARCH("NOT NULL",UPPER(J$3))),"''","null"),SUBSTITUTE(VLOOKUP(J$2,convert!$A$1:$B$4,2,0),"@@@",J1017))</f>
        <v>'grass'</v>
      </c>
      <c r="Z1017" s="4" t="str">
        <f>IF(K1017="",IF(ISNUMBER(SEARCH("NOT NULL",UPPER(K$3))),"''","null"),SUBSTITUTE(VLOOKUP(K$2,convert!$A$1:$B$4,2,0),"@@@",K1017))</f>
        <v>'dragon'</v>
      </c>
      <c r="AA1017" s="4" t="str">
        <f>IF(L1017="",IF(ISNUMBER(SEARCH("NOT NULL",UPPER(L$3))),"''","null"),SUBSTITUTE(VLOOKUP(L$2,convert!$A$1:$B$4,2,0),"@@@",L1017))</f>
        <v>'g8'</v>
      </c>
      <c r="AB1017" s="4" t="str">
        <f>IF(M1017="",IF(ISNUMBER(SEARCH("NOT NULL",UPPER(M$3))),"''","null"),SUBSTITUTE(VLOOKUP(M$2,convert!$A$1:$B$4,2,0),"@@@",M1017))</f>
        <v>null</v>
      </c>
      <c r="AC1017" s="4" t="str">
        <f>IF(N1017="",IF(ISNUMBER(SEARCH("NOT NULL",UPPER(N$3))),"''","null"),SUBSTITUTE(VLOOKUP(N$2,convert!$A$1:$B$4,2,0),"@@@",N1017))</f>
        <v>null</v>
      </c>
      <c r="AD1017" s="4" t="str">
        <f>IF(O1017="",IF(ISNUMBER(SEARCH("NOT NULL",UPPER(O$3))),"''","null"),SUBSTITUTE(VLOOKUP(O$2,convert!$A$1:$B$4,2,0),"@@@",O1017))</f>
        <v>FALSE</v>
      </c>
      <c r="AE1017" s="4" t="str">
        <f t="shared" si="15"/>
        <v>    ('0840N01', 'カジッチュ', 40, 40, 80, 40, 40, 20, '', 'grass', 'dragon', 'g8', null, null, FALSE),</v>
      </c>
    </row>
    <row r="1018" spans="1:31">
      <c r="A1018" s="4" t="s">
        <v>2042</v>
      </c>
      <c r="B1018" s="4" t="s">
        <v>2043</v>
      </c>
      <c r="C1018" s="5">
        <v>70</v>
      </c>
      <c r="D1018" s="5">
        <v>110</v>
      </c>
      <c r="E1018" s="5">
        <v>80</v>
      </c>
      <c r="F1018" s="5">
        <v>95</v>
      </c>
      <c r="G1018" s="5">
        <v>60</v>
      </c>
      <c r="H1018" s="5">
        <v>70</v>
      </c>
      <c r="I1018" s="5"/>
      <c r="J1018" s="4" t="s">
        <v>30</v>
      </c>
      <c r="K1018" s="4" t="s">
        <v>50</v>
      </c>
      <c r="L1018" s="4" t="s">
        <v>179</v>
      </c>
      <c r="M1018" s="5"/>
      <c r="N1018" s="5"/>
      <c r="O1018" s="5" t="b">
        <v>0</v>
      </c>
      <c r="P1018" s="4" t="str">
        <f>IF(A1018="",IF(ISNUMBER(SEARCH("NOT NULL",UPPER(A$3))),"''","null"),SUBSTITUTE(VLOOKUP(A$2,convert!$A$1:$B$4,2,0),"@@@",A1018))</f>
        <v>'0841N01'</v>
      </c>
      <c r="Q1018" s="4" t="str">
        <f>IF(B1018="",IF(ISNUMBER(SEARCH("NOT NULL",UPPER(B$3))),"''","null"),SUBSTITUTE(VLOOKUP(B$2,convert!$A$1:$B$4,2,0),"@@@",B1018))</f>
        <v>'アップリュー'</v>
      </c>
      <c r="R1018" s="4" t="str">
        <f>IF(C1018="",IF(ISNUMBER(SEARCH("NOT NULL",UPPER(C$3))),"''","null"),SUBSTITUTE(VLOOKUP(C$2,convert!$A$1:$B$4,2,0),"@@@",C1018))</f>
        <v>70</v>
      </c>
      <c r="S1018" s="4" t="str">
        <f>IF(D1018="",IF(ISNUMBER(SEARCH("NOT NULL",UPPER(D$3))),"''","null"),SUBSTITUTE(VLOOKUP(D$2,convert!$A$1:$B$4,2,0),"@@@",D1018))</f>
        <v>110</v>
      </c>
      <c r="T1018" s="4" t="str">
        <f>IF(E1018="",IF(ISNUMBER(SEARCH("NOT NULL",UPPER(E$3))),"''","null"),SUBSTITUTE(VLOOKUP(E$2,convert!$A$1:$B$4,2,0),"@@@",E1018))</f>
        <v>80</v>
      </c>
      <c r="U1018" s="4" t="str">
        <f>IF(F1018="",IF(ISNUMBER(SEARCH("NOT NULL",UPPER(F$3))),"''","null"),SUBSTITUTE(VLOOKUP(F$2,convert!$A$1:$B$4,2,0),"@@@",F1018))</f>
        <v>95</v>
      </c>
      <c r="V1018" s="4" t="str">
        <f>IF(G1018="",IF(ISNUMBER(SEARCH("NOT NULL",UPPER(G$3))),"''","null"),SUBSTITUTE(VLOOKUP(G$2,convert!$A$1:$B$4,2,0),"@@@",G1018))</f>
        <v>60</v>
      </c>
      <c r="W1018" s="4" t="str">
        <f>IF(H1018="",IF(ISNUMBER(SEARCH("NOT NULL",UPPER(H$3))),"''","null"),SUBSTITUTE(VLOOKUP(H$2,convert!$A$1:$B$4,2,0),"@@@",H1018))</f>
        <v>70</v>
      </c>
      <c r="X1018" s="4" t="str">
        <f>IF(I1018="",IF(ISNUMBER(SEARCH("NOT NULL",UPPER(I$3))),"''","null"),SUBSTITUTE(VLOOKUP(I$2,convert!$A$1:$B$4,2,0),"@@@",I1018))</f>
        <v>''</v>
      </c>
      <c r="Y1018" s="4" t="str">
        <f>IF(J1018="",IF(ISNUMBER(SEARCH("NOT NULL",UPPER(J$3))),"''","null"),SUBSTITUTE(VLOOKUP(J$2,convert!$A$1:$B$4,2,0),"@@@",J1018))</f>
        <v>'grass'</v>
      </c>
      <c r="Z1018" s="4" t="str">
        <f>IF(K1018="",IF(ISNUMBER(SEARCH("NOT NULL",UPPER(K$3))),"''","null"),SUBSTITUTE(VLOOKUP(K$2,convert!$A$1:$B$4,2,0),"@@@",K1018))</f>
        <v>'dragon'</v>
      </c>
      <c r="AA1018" s="4" t="str">
        <f>IF(L1018="",IF(ISNUMBER(SEARCH("NOT NULL",UPPER(L$3))),"''","null"),SUBSTITUTE(VLOOKUP(L$2,convert!$A$1:$B$4,2,0),"@@@",L1018))</f>
        <v>'g8'</v>
      </c>
      <c r="AB1018" s="4" t="str">
        <f>IF(M1018="",IF(ISNUMBER(SEARCH("NOT NULL",UPPER(M$3))),"''","null"),SUBSTITUTE(VLOOKUP(M$2,convert!$A$1:$B$4,2,0),"@@@",M1018))</f>
        <v>null</v>
      </c>
      <c r="AC1018" s="4" t="str">
        <f>IF(N1018="",IF(ISNUMBER(SEARCH("NOT NULL",UPPER(N$3))),"''","null"),SUBSTITUTE(VLOOKUP(N$2,convert!$A$1:$B$4,2,0),"@@@",N1018))</f>
        <v>null</v>
      </c>
      <c r="AD1018" s="4" t="str">
        <f>IF(O1018="",IF(ISNUMBER(SEARCH("NOT NULL",UPPER(O$3))),"''","null"),SUBSTITUTE(VLOOKUP(O$2,convert!$A$1:$B$4,2,0),"@@@",O1018))</f>
        <v>FALSE</v>
      </c>
      <c r="AE1018" s="4" t="str">
        <f t="shared" si="15"/>
        <v>    ('0841N01', 'アップリュー', 70, 110, 80, 95, 60, 70, '', 'grass', 'dragon', 'g8', null, null, FALSE),</v>
      </c>
    </row>
    <row r="1019" spans="1:31">
      <c r="A1019" s="4" t="s">
        <v>2044</v>
      </c>
      <c r="B1019" s="4" t="s">
        <v>2045</v>
      </c>
      <c r="C1019" s="5">
        <v>110</v>
      </c>
      <c r="D1019" s="5">
        <v>85</v>
      </c>
      <c r="E1019" s="5">
        <v>80</v>
      </c>
      <c r="F1019" s="5">
        <v>100</v>
      </c>
      <c r="G1019" s="5">
        <v>80</v>
      </c>
      <c r="H1019" s="5">
        <v>30</v>
      </c>
      <c r="I1019" s="5"/>
      <c r="J1019" s="4" t="s">
        <v>30</v>
      </c>
      <c r="K1019" s="4" t="s">
        <v>50</v>
      </c>
      <c r="L1019" s="4" t="s">
        <v>179</v>
      </c>
      <c r="M1019" s="5"/>
      <c r="N1019" s="5"/>
      <c r="O1019" s="5" t="b">
        <v>0</v>
      </c>
      <c r="P1019" s="4" t="str">
        <f>IF(A1019="",IF(ISNUMBER(SEARCH("NOT NULL",UPPER(A$3))),"''","null"),SUBSTITUTE(VLOOKUP(A$2,convert!$A$1:$B$4,2,0),"@@@",A1019))</f>
        <v>'0842N01'</v>
      </c>
      <c r="Q1019" s="4" t="str">
        <f>IF(B1019="",IF(ISNUMBER(SEARCH("NOT NULL",UPPER(B$3))),"''","null"),SUBSTITUTE(VLOOKUP(B$2,convert!$A$1:$B$4,2,0),"@@@",B1019))</f>
        <v>'タルップル'</v>
      </c>
      <c r="R1019" s="4" t="str">
        <f>IF(C1019="",IF(ISNUMBER(SEARCH("NOT NULL",UPPER(C$3))),"''","null"),SUBSTITUTE(VLOOKUP(C$2,convert!$A$1:$B$4,2,0),"@@@",C1019))</f>
        <v>110</v>
      </c>
      <c r="S1019" s="4" t="str">
        <f>IF(D1019="",IF(ISNUMBER(SEARCH("NOT NULL",UPPER(D$3))),"''","null"),SUBSTITUTE(VLOOKUP(D$2,convert!$A$1:$B$4,2,0),"@@@",D1019))</f>
        <v>85</v>
      </c>
      <c r="T1019" s="4" t="str">
        <f>IF(E1019="",IF(ISNUMBER(SEARCH("NOT NULL",UPPER(E$3))),"''","null"),SUBSTITUTE(VLOOKUP(E$2,convert!$A$1:$B$4,2,0),"@@@",E1019))</f>
        <v>80</v>
      </c>
      <c r="U1019" s="4" t="str">
        <f>IF(F1019="",IF(ISNUMBER(SEARCH("NOT NULL",UPPER(F$3))),"''","null"),SUBSTITUTE(VLOOKUP(F$2,convert!$A$1:$B$4,2,0),"@@@",F1019))</f>
        <v>100</v>
      </c>
      <c r="V1019" s="4" t="str">
        <f>IF(G1019="",IF(ISNUMBER(SEARCH("NOT NULL",UPPER(G$3))),"''","null"),SUBSTITUTE(VLOOKUP(G$2,convert!$A$1:$B$4,2,0),"@@@",G1019))</f>
        <v>80</v>
      </c>
      <c r="W1019" s="4" t="str">
        <f>IF(H1019="",IF(ISNUMBER(SEARCH("NOT NULL",UPPER(H$3))),"''","null"),SUBSTITUTE(VLOOKUP(H$2,convert!$A$1:$B$4,2,0),"@@@",H1019))</f>
        <v>30</v>
      </c>
      <c r="X1019" s="4" t="str">
        <f>IF(I1019="",IF(ISNUMBER(SEARCH("NOT NULL",UPPER(I$3))),"''","null"),SUBSTITUTE(VLOOKUP(I$2,convert!$A$1:$B$4,2,0),"@@@",I1019))</f>
        <v>''</v>
      </c>
      <c r="Y1019" s="4" t="str">
        <f>IF(J1019="",IF(ISNUMBER(SEARCH("NOT NULL",UPPER(J$3))),"''","null"),SUBSTITUTE(VLOOKUP(J$2,convert!$A$1:$B$4,2,0),"@@@",J1019))</f>
        <v>'grass'</v>
      </c>
      <c r="Z1019" s="4" t="str">
        <f>IF(K1019="",IF(ISNUMBER(SEARCH("NOT NULL",UPPER(K$3))),"''","null"),SUBSTITUTE(VLOOKUP(K$2,convert!$A$1:$B$4,2,0),"@@@",K1019))</f>
        <v>'dragon'</v>
      </c>
      <c r="AA1019" s="4" t="str">
        <f>IF(L1019="",IF(ISNUMBER(SEARCH("NOT NULL",UPPER(L$3))),"''","null"),SUBSTITUTE(VLOOKUP(L$2,convert!$A$1:$B$4,2,0),"@@@",L1019))</f>
        <v>'g8'</v>
      </c>
      <c r="AB1019" s="4" t="str">
        <f>IF(M1019="",IF(ISNUMBER(SEARCH("NOT NULL",UPPER(M$3))),"''","null"),SUBSTITUTE(VLOOKUP(M$2,convert!$A$1:$B$4,2,0),"@@@",M1019))</f>
        <v>null</v>
      </c>
      <c r="AC1019" s="4" t="str">
        <f>IF(N1019="",IF(ISNUMBER(SEARCH("NOT NULL",UPPER(N$3))),"''","null"),SUBSTITUTE(VLOOKUP(N$2,convert!$A$1:$B$4,2,0),"@@@",N1019))</f>
        <v>null</v>
      </c>
      <c r="AD1019" s="4" t="str">
        <f>IF(O1019="",IF(ISNUMBER(SEARCH("NOT NULL",UPPER(O$3))),"''","null"),SUBSTITUTE(VLOOKUP(O$2,convert!$A$1:$B$4,2,0),"@@@",O1019))</f>
        <v>FALSE</v>
      </c>
      <c r="AE1019" s="4" t="str">
        <f t="shared" si="15"/>
        <v>    ('0842N01', 'タルップル', 110, 85, 80, 100, 80, 30, '', 'grass', 'dragon', 'g8', null, null, FALSE),</v>
      </c>
    </row>
    <row r="1020" spans="1:31">
      <c r="A1020" s="4" t="s">
        <v>2046</v>
      </c>
      <c r="B1020" s="4" t="s">
        <v>2047</v>
      </c>
      <c r="C1020" s="5">
        <v>52</v>
      </c>
      <c r="D1020" s="5">
        <v>57</v>
      </c>
      <c r="E1020" s="5">
        <v>75</v>
      </c>
      <c r="F1020" s="5">
        <v>35</v>
      </c>
      <c r="G1020" s="5">
        <v>50</v>
      </c>
      <c r="H1020" s="5">
        <v>46</v>
      </c>
      <c r="I1020" s="5"/>
      <c r="J1020" s="4" t="s">
        <v>116</v>
      </c>
      <c r="K1020" s="5"/>
      <c r="L1020" s="4" t="s">
        <v>179</v>
      </c>
      <c r="M1020" s="5"/>
      <c r="N1020" s="5"/>
      <c r="O1020" s="5" t="b">
        <v>0</v>
      </c>
      <c r="P1020" s="4" t="str">
        <f>IF(A1020="",IF(ISNUMBER(SEARCH("NOT NULL",UPPER(A$3))),"''","null"),SUBSTITUTE(VLOOKUP(A$2,convert!$A$1:$B$4,2,0),"@@@",A1020))</f>
        <v>'0843N01'</v>
      </c>
      <c r="Q1020" s="4" t="str">
        <f>IF(B1020="",IF(ISNUMBER(SEARCH("NOT NULL",UPPER(B$3))),"''","null"),SUBSTITUTE(VLOOKUP(B$2,convert!$A$1:$B$4,2,0),"@@@",B1020))</f>
        <v>'スナヘビ'</v>
      </c>
      <c r="R1020" s="4" t="str">
        <f>IF(C1020="",IF(ISNUMBER(SEARCH("NOT NULL",UPPER(C$3))),"''","null"),SUBSTITUTE(VLOOKUP(C$2,convert!$A$1:$B$4,2,0),"@@@",C1020))</f>
        <v>52</v>
      </c>
      <c r="S1020" s="4" t="str">
        <f>IF(D1020="",IF(ISNUMBER(SEARCH("NOT NULL",UPPER(D$3))),"''","null"),SUBSTITUTE(VLOOKUP(D$2,convert!$A$1:$B$4,2,0),"@@@",D1020))</f>
        <v>57</v>
      </c>
      <c r="T1020" s="4" t="str">
        <f>IF(E1020="",IF(ISNUMBER(SEARCH("NOT NULL",UPPER(E$3))),"''","null"),SUBSTITUTE(VLOOKUP(E$2,convert!$A$1:$B$4,2,0),"@@@",E1020))</f>
        <v>75</v>
      </c>
      <c r="U1020" s="4" t="str">
        <f>IF(F1020="",IF(ISNUMBER(SEARCH("NOT NULL",UPPER(F$3))),"''","null"),SUBSTITUTE(VLOOKUP(F$2,convert!$A$1:$B$4,2,0),"@@@",F1020))</f>
        <v>35</v>
      </c>
      <c r="V1020" s="4" t="str">
        <f>IF(G1020="",IF(ISNUMBER(SEARCH("NOT NULL",UPPER(G$3))),"''","null"),SUBSTITUTE(VLOOKUP(G$2,convert!$A$1:$B$4,2,0),"@@@",G1020))</f>
        <v>50</v>
      </c>
      <c r="W1020" s="4" t="str">
        <f>IF(H1020="",IF(ISNUMBER(SEARCH("NOT NULL",UPPER(H$3))),"''","null"),SUBSTITUTE(VLOOKUP(H$2,convert!$A$1:$B$4,2,0),"@@@",H1020))</f>
        <v>46</v>
      </c>
      <c r="X1020" s="4" t="str">
        <f>IF(I1020="",IF(ISNUMBER(SEARCH("NOT NULL",UPPER(I$3))),"''","null"),SUBSTITUTE(VLOOKUP(I$2,convert!$A$1:$B$4,2,0),"@@@",I1020))</f>
        <v>''</v>
      </c>
      <c r="Y1020" s="4" t="str">
        <f>IF(J1020="",IF(ISNUMBER(SEARCH("NOT NULL",UPPER(J$3))),"''","null"),SUBSTITUTE(VLOOKUP(J$2,convert!$A$1:$B$4,2,0),"@@@",J1020))</f>
        <v>'ground'</v>
      </c>
      <c r="Z1020" s="4" t="str">
        <f>IF(K1020="",IF(ISNUMBER(SEARCH("NOT NULL",UPPER(K$3))),"''","null"),SUBSTITUTE(VLOOKUP(K$2,convert!$A$1:$B$4,2,0),"@@@",K1020))</f>
        <v>null</v>
      </c>
      <c r="AA1020" s="4" t="str">
        <f>IF(L1020="",IF(ISNUMBER(SEARCH("NOT NULL",UPPER(L$3))),"''","null"),SUBSTITUTE(VLOOKUP(L$2,convert!$A$1:$B$4,2,0),"@@@",L1020))</f>
        <v>'g8'</v>
      </c>
      <c r="AB1020" s="4" t="str">
        <f>IF(M1020="",IF(ISNUMBER(SEARCH("NOT NULL",UPPER(M$3))),"''","null"),SUBSTITUTE(VLOOKUP(M$2,convert!$A$1:$B$4,2,0),"@@@",M1020))</f>
        <v>null</v>
      </c>
      <c r="AC1020" s="4" t="str">
        <f>IF(N1020="",IF(ISNUMBER(SEARCH("NOT NULL",UPPER(N$3))),"''","null"),SUBSTITUTE(VLOOKUP(N$2,convert!$A$1:$B$4,2,0),"@@@",N1020))</f>
        <v>null</v>
      </c>
      <c r="AD1020" s="4" t="str">
        <f>IF(O1020="",IF(ISNUMBER(SEARCH("NOT NULL",UPPER(O$3))),"''","null"),SUBSTITUTE(VLOOKUP(O$2,convert!$A$1:$B$4,2,0),"@@@",O1020))</f>
        <v>FALSE</v>
      </c>
      <c r="AE1020" s="4" t="str">
        <f t="shared" si="15"/>
        <v>    ('0843N01', 'スナヘビ', 52, 57, 75, 35, 50, 46, '', 'ground', null, 'g8', null, null, FALSE),</v>
      </c>
    </row>
    <row r="1021" spans="1:31">
      <c r="A1021" s="4" t="s">
        <v>2048</v>
      </c>
      <c r="B1021" s="4" t="s">
        <v>2049</v>
      </c>
      <c r="C1021" s="5">
        <v>72</v>
      </c>
      <c r="D1021" s="5">
        <v>107</v>
      </c>
      <c r="E1021" s="5">
        <v>125</v>
      </c>
      <c r="F1021" s="5">
        <v>65</v>
      </c>
      <c r="G1021" s="5">
        <v>70</v>
      </c>
      <c r="H1021" s="5">
        <v>71</v>
      </c>
      <c r="I1021" s="5"/>
      <c r="J1021" s="4" t="s">
        <v>116</v>
      </c>
      <c r="K1021" s="5"/>
      <c r="L1021" s="4" t="s">
        <v>179</v>
      </c>
      <c r="M1021" s="5"/>
      <c r="N1021" s="5"/>
      <c r="O1021" s="5" t="b">
        <v>0</v>
      </c>
      <c r="P1021" s="4" t="str">
        <f>IF(A1021="",IF(ISNUMBER(SEARCH("NOT NULL",UPPER(A$3))),"''","null"),SUBSTITUTE(VLOOKUP(A$2,convert!$A$1:$B$4,2,0),"@@@",A1021))</f>
        <v>'0844N01'</v>
      </c>
      <c r="Q1021" s="4" t="str">
        <f>IF(B1021="",IF(ISNUMBER(SEARCH("NOT NULL",UPPER(B$3))),"''","null"),SUBSTITUTE(VLOOKUP(B$2,convert!$A$1:$B$4,2,0),"@@@",B1021))</f>
        <v>'サダイジャ'</v>
      </c>
      <c r="R1021" s="4" t="str">
        <f>IF(C1021="",IF(ISNUMBER(SEARCH("NOT NULL",UPPER(C$3))),"''","null"),SUBSTITUTE(VLOOKUP(C$2,convert!$A$1:$B$4,2,0),"@@@",C1021))</f>
        <v>72</v>
      </c>
      <c r="S1021" s="4" t="str">
        <f>IF(D1021="",IF(ISNUMBER(SEARCH("NOT NULL",UPPER(D$3))),"''","null"),SUBSTITUTE(VLOOKUP(D$2,convert!$A$1:$B$4,2,0),"@@@",D1021))</f>
        <v>107</v>
      </c>
      <c r="T1021" s="4" t="str">
        <f>IF(E1021="",IF(ISNUMBER(SEARCH("NOT NULL",UPPER(E$3))),"''","null"),SUBSTITUTE(VLOOKUP(E$2,convert!$A$1:$B$4,2,0),"@@@",E1021))</f>
        <v>125</v>
      </c>
      <c r="U1021" s="4" t="str">
        <f>IF(F1021="",IF(ISNUMBER(SEARCH("NOT NULL",UPPER(F$3))),"''","null"),SUBSTITUTE(VLOOKUP(F$2,convert!$A$1:$B$4,2,0),"@@@",F1021))</f>
        <v>65</v>
      </c>
      <c r="V1021" s="4" t="str">
        <f>IF(G1021="",IF(ISNUMBER(SEARCH("NOT NULL",UPPER(G$3))),"''","null"),SUBSTITUTE(VLOOKUP(G$2,convert!$A$1:$B$4,2,0),"@@@",G1021))</f>
        <v>70</v>
      </c>
      <c r="W1021" s="4" t="str">
        <f>IF(H1021="",IF(ISNUMBER(SEARCH("NOT NULL",UPPER(H$3))),"''","null"),SUBSTITUTE(VLOOKUP(H$2,convert!$A$1:$B$4,2,0),"@@@",H1021))</f>
        <v>71</v>
      </c>
      <c r="X1021" s="4" t="str">
        <f>IF(I1021="",IF(ISNUMBER(SEARCH("NOT NULL",UPPER(I$3))),"''","null"),SUBSTITUTE(VLOOKUP(I$2,convert!$A$1:$B$4,2,0),"@@@",I1021))</f>
        <v>''</v>
      </c>
      <c r="Y1021" s="4" t="str">
        <f>IF(J1021="",IF(ISNUMBER(SEARCH("NOT NULL",UPPER(J$3))),"''","null"),SUBSTITUTE(VLOOKUP(J$2,convert!$A$1:$B$4,2,0),"@@@",J1021))</f>
        <v>'ground'</v>
      </c>
      <c r="Z1021" s="4" t="str">
        <f>IF(K1021="",IF(ISNUMBER(SEARCH("NOT NULL",UPPER(K$3))),"''","null"),SUBSTITUTE(VLOOKUP(K$2,convert!$A$1:$B$4,2,0),"@@@",K1021))</f>
        <v>null</v>
      </c>
      <c r="AA1021" s="4" t="str">
        <f>IF(L1021="",IF(ISNUMBER(SEARCH("NOT NULL",UPPER(L$3))),"''","null"),SUBSTITUTE(VLOOKUP(L$2,convert!$A$1:$B$4,2,0),"@@@",L1021))</f>
        <v>'g8'</v>
      </c>
      <c r="AB1021" s="4" t="str">
        <f>IF(M1021="",IF(ISNUMBER(SEARCH("NOT NULL",UPPER(M$3))),"''","null"),SUBSTITUTE(VLOOKUP(M$2,convert!$A$1:$B$4,2,0),"@@@",M1021))</f>
        <v>null</v>
      </c>
      <c r="AC1021" s="4" t="str">
        <f>IF(N1021="",IF(ISNUMBER(SEARCH("NOT NULL",UPPER(N$3))),"''","null"),SUBSTITUTE(VLOOKUP(N$2,convert!$A$1:$B$4,2,0),"@@@",N1021))</f>
        <v>null</v>
      </c>
      <c r="AD1021" s="4" t="str">
        <f>IF(O1021="",IF(ISNUMBER(SEARCH("NOT NULL",UPPER(O$3))),"''","null"),SUBSTITUTE(VLOOKUP(O$2,convert!$A$1:$B$4,2,0),"@@@",O1021))</f>
        <v>FALSE</v>
      </c>
      <c r="AE1021" s="4" t="str">
        <f t="shared" si="15"/>
        <v>    ('0844N01', 'サダイジャ', 72, 107, 125, 65, 70, 71, '', 'ground', null, 'g8', null, null, FALSE),</v>
      </c>
    </row>
    <row r="1022" spans="1:31">
      <c r="A1022" s="4" t="s">
        <v>2050</v>
      </c>
      <c r="B1022" s="4" t="s">
        <v>2051</v>
      </c>
      <c r="C1022" s="5">
        <v>70</v>
      </c>
      <c r="D1022" s="5">
        <v>85</v>
      </c>
      <c r="E1022" s="5">
        <v>55</v>
      </c>
      <c r="F1022" s="5">
        <v>85</v>
      </c>
      <c r="G1022" s="5">
        <v>95</v>
      </c>
      <c r="H1022" s="5">
        <v>85</v>
      </c>
      <c r="I1022" s="5"/>
      <c r="J1022" s="4" t="s">
        <v>47</v>
      </c>
      <c r="K1022" s="4" t="s">
        <v>55</v>
      </c>
      <c r="L1022" s="4" t="s">
        <v>179</v>
      </c>
      <c r="M1022" s="5"/>
      <c r="N1022" s="5"/>
      <c r="O1022" s="5" t="b">
        <v>0</v>
      </c>
      <c r="P1022" s="4" t="str">
        <f>IF(A1022="",IF(ISNUMBER(SEARCH("NOT NULL",UPPER(A$3))),"''","null"),SUBSTITUTE(VLOOKUP(A$2,convert!$A$1:$B$4,2,0),"@@@",A1022))</f>
        <v>'0845N01'</v>
      </c>
      <c r="Q1022" s="4" t="str">
        <f>IF(B1022="",IF(ISNUMBER(SEARCH("NOT NULL",UPPER(B$3))),"''","null"),SUBSTITUTE(VLOOKUP(B$2,convert!$A$1:$B$4,2,0),"@@@",B1022))</f>
        <v>'ウッウ'</v>
      </c>
      <c r="R1022" s="4" t="str">
        <f>IF(C1022="",IF(ISNUMBER(SEARCH("NOT NULL",UPPER(C$3))),"''","null"),SUBSTITUTE(VLOOKUP(C$2,convert!$A$1:$B$4,2,0),"@@@",C1022))</f>
        <v>70</v>
      </c>
      <c r="S1022" s="4" t="str">
        <f>IF(D1022="",IF(ISNUMBER(SEARCH("NOT NULL",UPPER(D$3))),"''","null"),SUBSTITUTE(VLOOKUP(D$2,convert!$A$1:$B$4,2,0),"@@@",D1022))</f>
        <v>85</v>
      </c>
      <c r="T1022" s="4" t="str">
        <f>IF(E1022="",IF(ISNUMBER(SEARCH("NOT NULL",UPPER(E$3))),"''","null"),SUBSTITUTE(VLOOKUP(E$2,convert!$A$1:$B$4,2,0),"@@@",E1022))</f>
        <v>55</v>
      </c>
      <c r="U1022" s="4" t="str">
        <f>IF(F1022="",IF(ISNUMBER(SEARCH("NOT NULL",UPPER(F$3))),"''","null"),SUBSTITUTE(VLOOKUP(F$2,convert!$A$1:$B$4,2,0),"@@@",F1022))</f>
        <v>85</v>
      </c>
      <c r="V1022" s="4" t="str">
        <f>IF(G1022="",IF(ISNUMBER(SEARCH("NOT NULL",UPPER(G$3))),"''","null"),SUBSTITUTE(VLOOKUP(G$2,convert!$A$1:$B$4,2,0),"@@@",G1022))</f>
        <v>95</v>
      </c>
      <c r="W1022" s="4" t="str">
        <f>IF(H1022="",IF(ISNUMBER(SEARCH("NOT NULL",UPPER(H$3))),"''","null"),SUBSTITUTE(VLOOKUP(H$2,convert!$A$1:$B$4,2,0),"@@@",H1022))</f>
        <v>85</v>
      </c>
      <c r="X1022" s="4" t="str">
        <f>IF(I1022="",IF(ISNUMBER(SEARCH("NOT NULL",UPPER(I$3))),"''","null"),SUBSTITUTE(VLOOKUP(I$2,convert!$A$1:$B$4,2,0),"@@@",I1022))</f>
        <v>''</v>
      </c>
      <c r="Y1022" s="4" t="str">
        <f>IF(J1022="",IF(ISNUMBER(SEARCH("NOT NULL",UPPER(J$3))),"''","null"),SUBSTITUTE(VLOOKUP(J$2,convert!$A$1:$B$4,2,0),"@@@",J1022))</f>
        <v>'flying'</v>
      </c>
      <c r="Z1022" s="4" t="str">
        <f>IF(K1022="",IF(ISNUMBER(SEARCH("NOT NULL",UPPER(K$3))),"''","null"),SUBSTITUTE(VLOOKUP(K$2,convert!$A$1:$B$4,2,0),"@@@",K1022))</f>
        <v>'water'</v>
      </c>
      <c r="AA1022" s="4" t="str">
        <f>IF(L1022="",IF(ISNUMBER(SEARCH("NOT NULL",UPPER(L$3))),"''","null"),SUBSTITUTE(VLOOKUP(L$2,convert!$A$1:$B$4,2,0),"@@@",L1022))</f>
        <v>'g8'</v>
      </c>
      <c r="AB1022" s="4" t="str">
        <f>IF(M1022="",IF(ISNUMBER(SEARCH("NOT NULL",UPPER(M$3))),"''","null"),SUBSTITUTE(VLOOKUP(M$2,convert!$A$1:$B$4,2,0),"@@@",M1022))</f>
        <v>null</v>
      </c>
      <c r="AC1022" s="4" t="str">
        <f>IF(N1022="",IF(ISNUMBER(SEARCH("NOT NULL",UPPER(N$3))),"''","null"),SUBSTITUTE(VLOOKUP(N$2,convert!$A$1:$B$4,2,0),"@@@",N1022))</f>
        <v>null</v>
      </c>
      <c r="AD1022" s="4" t="str">
        <f>IF(O1022="",IF(ISNUMBER(SEARCH("NOT NULL",UPPER(O$3))),"''","null"),SUBSTITUTE(VLOOKUP(O$2,convert!$A$1:$B$4,2,0),"@@@",O1022))</f>
        <v>FALSE</v>
      </c>
      <c r="AE1022" s="4" t="str">
        <f t="shared" si="15"/>
        <v>    ('0845N01', 'ウッウ', 70, 85, 55, 85, 95, 85, '', 'flying', 'water', 'g8', null, null, FALSE),</v>
      </c>
    </row>
    <row r="1023" spans="1:31">
      <c r="A1023" s="4" t="s">
        <v>2052</v>
      </c>
      <c r="B1023" s="4" t="s">
        <v>2053</v>
      </c>
      <c r="C1023" s="5">
        <v>41</v>
      </c>
      <c r="D1023" s="5">
        <v>63</v>
      </c>
      <c r="E1023" s="5">
        <v>40</v>
      </c>
      <c r="F1023" s="5">
        <v>40</v>
      </c>
      <c r="G1023" s="5">
        <v>30</v>
      </c>
      <c r="H1023" s="5">
        <v>66</v>
      </c>
      <c r="I1023" s="5"/>
      <c r="J1023" s="4" t="s">
        <v>55</v>
      </c>
      <c r="K1023" s="5"/>
      <c r="L1023" s="4" t="s">
        <v>179</v>
      </c>
      <c r="M1023" s="5"/>
      <c r="N1023" s="5"/>
      <c r="O1023" s="5" t="b">
        <v>0</v>
      </c>
      <c r="P1023" s="4" t="str">
        <f>IF(A1023="",IF(ISNUMBER(SEARCH("NOT NULL",UPPER(A$3))),"''","null"),SUBSTITUTE(VLOOKUP(A$2,convert!$A$1:$B$4,2,0),"@@@",A1023))</f>
        <v>'0846N01'</v>
      </c>
      <c r="Q1023" s="4" t="str">
        <f>IF(B1023="",IF(ISNUMBER(SEARCH("NOT NULL",UPPER(B$3))),"''","null"),SUBSTITUTE(VLOOKUP(B$2,convert!$A$1:$B$4,2,0),"@@@",B1023))</f>
        <v>'サシカマス'</v>
      </c>
      <c r="R1023" s="4" t="str">
        <f>IF(C1023="",IF(ISNUMBER(SEARCH("NOT NULL",UPPER(C$3))),"''","null"),SUBSTITUTE(VLOOKUP(C$2,convert!$A$1:$B$4,2,0),"@@@",C1023))</f>
        <v>41</v>
      </c>
      <c r="S1023" s="4" t="str">
        <f>IF(D1023="",IF(ISNUMBER(SEARCH("NOT NULL",UPPER(D$3))),"''","null"),SUBSTITUTE(VLOOKUP(D$2,convert!$A$1:$B$4,2,0),"@@@",D1023))</f>
        <v>63</v>
      </c>
      <c r="T1023" s="4" t="str">
        <f>IF(E1023="",IF(ISNUMBER(SEARCH("NOT NULL",UPPER(E$3))),"''","null"),SUBSTITUTE(VLOOKUP(E$2,convert!$A$1:$B$4,2,0),"@@@",E1023))</f>
        <v>40</v>
      </c>
      <c r="U1023" s="4" t="str">
        <f>IF(F1023="",IF(ISNUMBER(SEARCH("NOT NULL",UPPER(F$3))),"''","null"),SUBSTITUTE(VLOOKUP(F$2,convert!$A$1:$B$4,2,0),"@@@",F1023))</f>
        <v>40</v>
      </c>
      <c r="V1023" s="4" t="str">
        <f>IF(G1023="",IF(ISNUMBER(SEARCH("NOT NULL",UPPER(G$3))),"''","null"),SUBSTITUTE(VLOOKUP(G$2,convert!$A$1:$B$4,2,0),"@@@",G1023))</f>
        <v>30</v>
      </c>
      <c r="W1023" s="4" t="str">
        <f>IF(H1023="",IF(ISNUMBER(SEARCH("NOT NULL",UPPER(H$3))),"''","null"),SUBSTITUTE(VLOOKUP(H$2,convert!$A$1:$B$4,2,0),"@@@",H1023))</f>
        <v>66</v>
      </c>
      <c r="X1023" s="4" t="str">
        <f>IF(I1023="",IF(ISNUMBER(SEARCH("NOT NULL",UPPER(I$3))),"''","null"),SUBSTITUTE(VLOOKUP(I$2,convert!$A$1:$B$4,2,0),"@@@",I1023))</f>
        <v>''</v>
      </c>
      <c r="Y1023" s="4" t="str">
        <f>IF(J1023="",IF(ISNUMBER(SEARCH("NOT NULL",UPPER(J$3))),"''","null"),SUBSTITUTE(VLOOKUP(J$2,convert!$A$1:$B$4,2,0),"@@@",J1023))</f>
        <v>'water'</v>
      </c>
      <c r="Z1023" s="4" t="str">
        <f>IF(K1023="",IF(ISNUMBER(SEARCH("NOT NULL",UPPER(K$3))),"''","null"),SUBSTITUTE(VLOOKUP(K$2,convert!$A$1:$B$4,2,0),"@@@",K1023))</f>
        <v>null</v>
      </c>
      <c r="AA1023" s="4" t="str">
        <f>IF(L1023="",IF(ISNUMBER(SEARCH("NOT NULL",UPPER(L$3))),"''","null"),SUBSTITUTE(VLOOKUP(L$2,convert!$A$1:$B$4,2,0),"@@@",L1023))</f>
        <v>'g8'</v>
      </c>
      <c r="AB1023" s="4" t="str">
        <f>IF(M1023="",IF(ISNUMBER(SEARCH("NOT NULL",UPPER(M$3))),"''","null"),SUBSTITUTE(VLOOKUP(M$2,convert!$A$1:$B$4,2,0),"@@@",M1023))</f>
        <v>null</v>
      </c>
      <c r="AC1023" s="4" t="str">
        <f>IF(N1023="",IF(ISNUMBER(SEARCH("NOT NULL",UPPER(N$3))),"''","null"),SUBSTITUTE(VLOOKUP(N$2,convert!$A$1:$B$4,2,0),"@@@",N1023))</f>
        <v>null</v>
      </c>
      <c r="AD1023" s="4" t="str">
        <f>IF(O1023="",IF(ISNUMBER(SEARCH("NOT NULL",UPPER(O$3))),"''","null"),SUBSTITUTE(VLOOKUP(O$2,convert!$A$1:$B$4,2,0),"@@@",O1023))</f>
        <v>FALSE</v>
      </c>
      <c r="AE1023" s="4" t="str">
        <f t="shared" si="15"/>
        <v>    ('0846N01', 'サシカマス', 41, 63, 40, 40, 30, 66, '', 'water', null, 'g8', null, null, FALSE),</v>
      </c>
    </row>
    <row r="1024" spans="1:31">
      <c r="A1024" s="4" t="s">
        <v>2054</v>
      </c>
      <c r="B1024" s="4" t="s">
        <v>2055</v>
      </c>
      <c r="C1024" s="5">
        <v>61</v>
      </c>
      <c r="D1024" s="5">
        <v>123</v>
      </c>
      <c r="E1024" s="5">
        <v>60</v>
      </c>
      <c r="F1024" s="5">
        <v>60</v>
      </c>
      <c r="G1024" s="5">
        <v>50</v>
      </c>
      <c r="H1024" s="5">
        <v>136</v>
      </c>
      <c r="I1024" s="5"/>
      <c r="J1024" s="4" t="s">
        <v>55</v>
      </c>
      <c r="K1024" s="5"/>
      <c r="L1024" s="4" t="s">
        <v>179</v>
      </c>
      <c r="M1024" s="5"/>
      <c r="N1024" s="5"/>
      <c r="O1024" s="5" t="b">
        <v>0</v>
      </c>
      <c r="P1024" s="4" t="str">
        <f>IF(A1024="",IF(ISNUMBER(SEARCH("NOT NULL",UPPER(A$3))),"''","null"),SUBSTITUTE(VLOOKUP(A$2,convert!$A$1:$B$4,2,0),"@@@",A1024))</f>
        <v>'0847N01'</v>
      </c>
      <c r="Q1024" s="4" t="str">
        <f>IF(B1024="",IF(ISNUMBER(SEARCH("NOT NULL",UPPER(B$3))),"''","null"),SUBSTITUTE(VLOOKUP(B$2,convert!$A$1:$B$4,2,0),"@@@",B1024))</f>
        <v>'カマスジョー'</v>
      </c>
      <c r="R1024" s="4" t="str">
        <f>IF(C1024="",IF(ISNUMBER(SEARCH("NOT NULL",UPPER(C$3))),"''","null"),SUBSTITUTE(VLOOKUP(C$2,convert!$A$1:$B$4,2,0),"@@@",C1024))</f>
        <v>61</v>
      </c>
      <c r="S1024" s="4" t="str">
        <f>IF(D1024="",IF(ISNUMBER(SEARCH("NOT NULL",UPPER(D$3))),"''","null"),SUBSTITUTE(VLOOKUP(D$2,convert!$A$1:$B$4,2,0),"@@@",D1024))</f>
        <v>123</v>
      </c>
      <c r="T1024" s="4" t="str">
        <f>IF(E1024="",IF(ISNUMBER(SEARCH("NOT NULL",UPPER(E$3))),"''","null"),SUBSTITUTE(VLOOKUP(E$2,convert!$A$1:$B$4,2,0),"@@@",E1024))</f>
        <v>60</v>
      </c>
      <c r="U1024" s="4" t="str">
        <f>IF(F1024="",IF(ISNUMBER(SEARCH("NOT NULL",UPPER(F$3))),"''","null"),SUBSTITUTE(VLOOKUP(F$2,convert!$A$1:$B$4,2,0),"@@@",F1024))</f>
        <v>60</v>
      </c>
      <c r="V1024" s="4" t="str">
        <f>IF(G1024="",IF(ISNUMBER(SEARCH("NOT NULL",UPPER(G$3))),"''","null"),SUBSTITUTE(VLOOKUP(G$2,convert!$A$1:$B$4,2,0),"@@@",G1024))</f>
        <v>50</v>
      </c>
      <c r="W1024" s="4" t="str">
        <f>IF(H1024="",IF(ISNUMBER(SEARCH("NOT NULL",UPPER(H$3))),"''","null"),SUBSTITUTE(VLOOKUP(H$2,convert!$A$1:$B$4,2,0),"@@@",H1024))</f>
        <v>136</v>
      </c>
      <c r="X1024" s="4" t="str">
        <f>IF(I1024="",IF(ISNUMBER(SEARCH("NOT NULL",UPPER(I$3))),"''","null"),SUBSTITUTE(VLOOKUP(I$2,convert!$A$1:$B$4,2,0),"@@@",I1024))</f>
        <v>''</v>
      </c>
      <c r="Y1024" s="4" t="str">
        <f>IF(J1024="",IF(ISNUMBER(SEARCH("NOT NULL",UPPER(J$3))),"''","null"),SUBSTITUTE(VLOOKUP(J$2,convert!$A$1:$B$4,2,0),"@@@",J1024))</f>
        <v>'water'</v>
      </c>
      <c r="Z1024" s="4" t="str">
        <f>IF(K1024="",IF(ISNUMBER(SEARCH("NOT NULL",UPPER(K$3))),"''","null"),SUBSTITUTE(VLOOKUP(K$2,convert!$A$1:$B$4,2,0),"@@@",K1024))</f>
        <v>null</v>
      </c>
      <c r="AA1024" s="4" t="str">
        <f>IF(L1024="",IF(ISNUMBER(SEARCH("NOT NULL",UPPER(L$3))),"''","null"),SUBSTITUTE(VLOOKUP(L$2,convert!$A$1:$B$4,2,0),"@@@",L1024))</f>
        <v>'g8'</v>
      </c>
      <c r="AB1024" s="4" t="str">
        <f>IF(M1024="",IF(ISNUMBER(SEARCH("NOT NULL",UPPER(M$3))),"''","null"),SUBSTITUTE(VLOOKUP(M$2,convert!$A$1:$B$4,2,0),"@@@",M1024))</f>
        <v>null</v>
      </c>
      <c r="AC1024" s="4" t="str">
        <f>IF(N1024="",IF(ISNUMBER(SEARCH("NOT NULL",UPPER(N$3))),"''","null"),SUBSTITUTE(VLOOKUP(N$2,convert!$A$1:$B$4,2,0),"@@@",N1024))</f>
        <v>null</v>
      </c>
      <c r="AD1024" s="4" t="str">
        <f>IF(O1024="",IF(ISNUMBER(SEARCH("NOT NULL",UPPER(O$3))),"''","null"),SUBSTITUTE(VLOOKUP(O$2,convert!$A$1:$B$4,2,0),"@@@",O1024))</f>
        <v>FALSE</v>
      </c>
      <c r="AE1024" s="4" t="str">
        <f t="shared" si="15"/>
        <v>    ('0847N01', 'カマスジョー', 61, 123, 60, 60, 50, 136, '', 'water', null, 'g8', null, null, FALSE),</v>
      </c>
    </row>
    <row r="1025" spans="1:31">
      <c r="A1025" s="4" t="s">
        <v>2056</v>
      </c>
      <c r="B1025" s="4" t="s">
        <v>2057</v>
      </c>
      <c r="C1025" s="5">
        <v>40</v>
      </c>
      <c r="D1025" s="5">
        <v>38</v>
      </c>
      <c r="E1025" s="5">
        <v>35</v>
      </c>
      <c r="F1025" s="5">
        <v>54</v>
      </c>
      <c r="G1025" s="5">
        <v>35</v>
      </c>
      <c r="H1025" s="5">
        <v>40</v>
      </c>
      <c r="I1025" s="5"/>
      <c r="J1025" s="4" t="s">
        <v>106</v>
      </c>
      <c r="K1025" s="4" t="s">
        <v>31</v>
      </c>
      <c r="L1025" s="4" t="s">
        <v>179</v>
      </c>
      <c r="M1025" s="5"/>
      <c r="N1025" s="5"/>
      <c r="O1025" s="5" t="b">
        <v>0</v>
      </c>
      <c r="P1025" s="4" t="str">
        <f>IF(A1025="",IF(ISNUMBER(SEARCH("NOT NULL",UPPER(A$3))),"''","null"),SUBSTITUTE(VLOOKUP(A$2,convert!$A$1:$B$4,2,0),"@@@",A1025))</f>
        <v>'0848N01'</v>
      </c>
      <c r="Q1025" s="4" t="str">
        <f>IF(B1025="",IF(ISNUMBER(SEARCH("NOT NULL",UPPER(B$3))),"''","null"),SUBSTITUTE(VLOOKUP(B$2,convert!$A$1:$B$4,2,0),"@@@",B1025))</f>
        <v>'エレズン'</v>
      </c>
      <c r="R1025" s="4" t="str">
        <f>IF(C1025="",IF(ISNUMBER(SEARCH("NOT NULL",UPPER(C$3))),"''","null"),SUBSTITUTE(VLOOKUP(C$2,convert!$A$1:$B$4,2,0),"@@@",C1025))</f>
        <v>40</v>
      </c>
      <c r="S1025" s="4" t="str">
        <f>IF(D1025="",IF(ISNUMBER(SEARCH("NOT NULL",UPPER(D$3))),"''","null"),SUBSTITUTE(VLOOKUP(D$2,convert!$A$1:$B$4,2,0),"@@@",D1025))</f>
        <v>38</v>
      </c>
      <c r="T1025" s="4" t="str">
        <f>IF(E1025="",IF(ISNUMBER(SEARCH("NOT NULL",UPPER(E$3))),"''","null"),SUBSTITUTE(VLOOKUP(E$2,convert!$A$1:$B$4,2,0),"@@@",E1025))</f>
        <v>35</v>
      </c>
      <c r="U1025" s="4" t="str">
        <f>IF(F1025="",IF(ISNUMBER(SEARCH("NOT NULL",UPPER(F$3))),"''","null"),SUBSTITUTE(VLOOKUP(F$2,convert!$A$1:$B$4,2,0),"@@@",F1025))</f>
        <v>54</v>
      </c>
      <c r="V1025" s="4" t="str">
        <f>IF(G1025="",IF(ISNUMBER(SEARCH("NOT NULL",UPPER(G$3))),"''","null"),SUBSTITUTE(VLOOKUP(G$2,convert!$A$1:$B$4,2,0),"@@@",G1025))</f>
        <v>35</v>
      </c>
      <c r="W1025" s="4" t="str">
        <f>IF(H1025="",IF(ISNUMBER(SEARCH("NOT NULL",UPPER(H$3))),"''","null"),SUBSTITUTE(VLOOKUP(H$2,convert!$A$1:$B$4,2,0),"@@@",H1025))</f>
        <v>40</v>
      </c>
      <c r="X1025" s="4" t="str">
        <f>IF(I1025="",IF(ISNUMBER(SEARCH("NOT NULL",UPPER(I$3))),"''","null"),SUBSTITUTE(VLOOKUP(I$2,convert!$A$1:$B$4,2,0),"@@@",I1025))</f>
        <v>''</v>
      </c>
      <c r="Y1025" s="4" t="str">
        <f>IF(J1025="",IF(ISNUMBER(SEARCH("NOT NULL",UPPER(J$3))),"''","null"),SUBSTITUTE(VLOOKUP(J$2,convert!$A$1:$B$4,2,0),"@@@",J1025))</f>
        <v>'electric'</v>
      </c>
      <c r="Z1025" s="4" t="str">
        <f>IF(K1025="",IF(ISNUMBER(SEARCH("NOT NULL",UPPER(K$3))),"''","null"),SUBSTITUTE(VLOOKUP(K$2,convert!$A$1:$B$4,2,0),"@@@",K1025))</f>
        <v>'poison'</v>
      </c>
      <c r="AA1025" s="4" t="str">
        <f>IF(L1025="",IF(ISNUMBER(SEARCH("NOT NULL",UPPER(L$3))),"''","null"),SUBSTITUTE(VLOOKUP(L$2,convert!$A$1:$B$4,2,0),"@@@",L1025))</f>
        <v>'g8'</v>
      </c>
      <c r="AB1025" s="4" t="str">
        <f>IF(M1025="",IF(ISNUMBER(SEARCH("NOT NULL",UPPER(M$3))),"''","null"),SUBSTITUTE(VLOOKUP(M$2,convert!$A$1:$B$4,2,0),"@@@",M1025))</f>
        <v>null</v>
      </c>
      <c r="AC1025" s="4" t="str">
        <f>IF(N1025="",IF(ISNUMBER(SEARCH("NOT NULL",UPPER(N$3))),"''","null"),SUBSTITUTE(VLOOKUP(N$2,convert!$A$1:$B$4,2,0),"@@@",N1025))</f>
        <v>null</v>
      </c>
      <c r="AD1025" s="4" t="str">
        <f>IF(O1025="",IF(ISNUMBER(SEARCH("NOT NULL",UPPER(O$3))),"''","null"),SUBSTITUTE(VLOOKUP(O$2,convert!$A$1:$B$4,2,0),"@@@",O1025))</f>
        <v>FALSE</v>
      </c>
      <c r="AE1025" s="4" t="str">
        <f t="shared" si="15"/>
        <v>    ('0848N01', 'エレズン', 40, 38, 35, 54, 35, 40, '', 'electric', 'poison', 'g8', null, null, FALSE),</v>
      </c>
    </row>
    <row r="1026" spans="1:31">
      <c r="A1026" s="4" t="s">
        <v>2058</v>
      </c>
      <c r="B1026" s="4" t="s">
        <v>2059</v>
      </c>
      <c r="C1026" s="5">
        <v>75</v>
      </c>
      <c r="D1026" s="5">
        <v>98</v>
      </c>
      <c r="E1026" s="5">
        <v>70</v>
      </c>
      <c r="F1026" s="5">
        <v>114</v>
      </c>
      <c r="G1026" s="5">
        <v>70</v>
      </c>
      <c r="H1026" s="5">
        <v>75</v>
      </c>
      <c r="I1026" s="4" t="s">
        <v>2060</v>
      </c>
      <c r="J1026" s="4" t="s">
        <v>106</v>
      </c>
      <c r="K1026" s="4" t="s">
        <v>31</v>
      </c>
      <c r="L1026" s="4" t="s">
        <v>179</v>
      </c>
      <c r="M1026" s="5"/>
      <c r="N1026" s="5"/>
      <c r="O1026" s="5" t="b">
        <v>0</v>
      </c>
      <c r="P1026" s="4" t="str">
        <f>IF(A1026="",IF(ISNUMBER(SEARCH("NOT NULL",UPPER(A$3))),"''","null"),SUBSTITUTE(VLOOKUP(A$2,convert!$A$1:$B$4,2,0),"@@@",A1026))</f>
        <v>'0849N01'</v>
      </c>
      <c r="Q1026" s="4" t="str">
        <f>IF(B1026="",IF(ISNUMBER(SEARCH("NOT NULL",UPPER(B$3))),"''","null"),SUBSTITUTE(VLOOKUP(B$2,convert!$A$1:$B$4,2,0),"@@@",B1026))</f>
        <v>'ストリンダー'</v>
      </c>
      <c r="R1026" s="4" t="str">
        <f>IF(C1026="",IF(ISNUMBER(SEARCH("NOT NULL",UPPER(C$3))),"''","null"),SUBSTITUTE(VLOOKUP(C$2,convert!$A$1:$B$4,2,0),"@@@",C1026))</f>
        <v>75</v>
      </c>
      <c r="S1026" s="4" t="str">
        <f>IF(D1026="",IF(ISNUMBER(SEARCH("NOT NULL",UPPER(D$3))),"''","null"),SUBSTITUTE(VLOOKUP(D$2,convert!$A$1:$B$4,2,0),"@@@",D1026))</f>
        <v>98</v>
      </c>
      <c r="T1026" s="4" t="str">
        <f>IF(E1026="",IF(ISNUMBER(SEARCH("NOT NULL",UPPER(E$3))),"''","null"),SUBSTITUTE(VLOOKUP(E$2,convert!$A$1:$B$4,2,0),"@@@",E1026))</f>
        <v>70</v>
      </c>
      <c r="U1026" s="4" t="str">
        <f>IF(F1026="",IF(ISNUMBER(SEARCH("NOT NULL",UPPER(F$3))),"''","null"),SUBSTITUTE(VLOOKUP(F$2,convert!$A$1:$B$4,2,0),"@@@",F1026))</f>
        <v>114</v>
      </c>
      <c r="V1026" s="4" t="str">
        <f>IF(G1026="",IF(ISNUMBER(SEARCH("NOT NULL",UPPER(G$3))),"''","null"),SUBSTITUTE(VLOOKUP(G$2,convert!$A$1:$B$4,2,0),"@@@",G1026))</f>
        <v>70</v>
      </c>
      <c r="W1026" s="4" t="str">
        <f>IF(H1026="",IF(ISNUMBER(SEARCH("NOT NULL",UPPER(H$3))),"''","null"),SUBSTITUTE(VLOOKUP(H$2,convert!$A$1:$B$4,2,0),"@@@",H1026))</f>
        <v>75</v>
      </c>
      <c r="X1026" s="4" t="str">
        <f>IF(I1026="",IF(ISNUMBER(SEARCH("NOT NULL",UPPER(I$3))),"''","null"),SUBSTITUTE(VLOOKUP(I$2,convert!$A$1:$B$4,2,0),"@@@",I1026))</f>
        <v>'ハイなすがた'</v>
      </c>
      <c r="Y1026" s="4" t="str">
        <f>IF(J1026="",IF(ISNUMBER(SEARCH("NOT NULL",UPPER(J$3))),"''","null"),SUBSTITUTE(VLOOKUP(J$2,convert!$A$1:$B$4,2,0),"@@@",J1026))</f>
        <v>'electric'</v>
      </c>
      <c r="Z1026" s="4" t="str">
        <f>IF(K1026="",IF(ISNUMBER(SEARCH("NOT NULL",UPPER(K$3))),"''","null"),SUBSTITUTE(VLOOKUP(K$2,convert!$A$1:$B$4,2,0),"@@@",K1026))</f>
        <v>'poison'</v>
      </c>
      <c r="AA1026" s="4" t="str">
        <f>IF(L1026="",IF(ISNUMBER(SEARCH("NOT NULL",UPPER(L$3))),"''","null"),SUBSTITUTE(VLOOKUP(L$2,convert!$A$1:$B$4,2,0),"@@@",L1026))</f>
        <v>'g8'</v>
      </c>
      <c r="AB1026" s="4" t="str">
        <f>IF(M1026="",IF(ISNUMBER(SEARCH("NOT NULL",UPPER(M$3))),"''","null"),SUBSTITUTE(VLOOKUP(M$2,convert!$A$1:$B$4,2,0),"@@@",M1026))</f>
        <v>null</v>
      </c>
      <c r="AC1026" s="4" t="str">
        <f>IF(N1026="",IF(ISNUMBER(SEARCH("NOT NULL",UPPER(N$3))),"''","null"),SUBSTITUTE(VLOOKUP(N$2,convert!$A$1:$B$4,2,0),"@@@",N1026))</f>
        <v>null</v>
      </c>
      <c r="AD1026" s="4" t="str">
        <f>IF(O1026="",IF(ISNUMBER(SEARCH("NOT NULL",UPPER(O$3))),"''","null"),SUBSTITUTE(VLOOKUP(O$2,convert!$A$1:$B$4,2,0),"@@@",O1026))</f>
        <v>FALSE</v>
      </c>
      <c r="AE1026" s="4" t="str">
        <f t="shared" si="15"/>
        <v>    ('0849N01', 'ストリンダー', 75, 98, 70, 114, 70, 75, 'ハイなすがた', 'electric', 'poison', 'g8', null, null, FALSE),</v>
      </c>
    </row>
    <row r="1027" spans="1:31">
      <c r="A1027" s="4" t="s">
        <v>2061</v>
      </c>
      <c r="B1027" s="4" t="s">
        <v>2059</v>
      </c>
      <c r="C1027" s="5">
        <v>75</v>
      </c>
      <c r="D1027" s="5">
        <v>98</v>
      </c>
      <c r="E1027" s="5">
        <v>70</v>
      </c>
      <c r="F1027" s="5">
        <v>114</v>
      </c>
      <c r="G1027" s="5">
        <v>70</v>
      </c>
      <c r="H1027" s="5">
        <v>75</v>
      </c>
      <c r="I1027" s="4" t="s">
        <v>2062</v>
      </c>
      <c r="J1027" s="4" t="s">
        <v>106</v>
      </c>
      <c r="K1027" s="4" t="s">
        <v>31</v>
      </c>
      <c r="L1027" s="4" t="s">
        <v>179</v>
      </c>
      <c r="M1027" s="5"/>
      <c r="N1027" s="5"/>
      <c r="O1027" s="5" t="b">
        <v>0</v>
      </c>
      <c r="P1027" s="4" t="str">
        <f>IF(A1027="",IF(ISNUMBER(SEARCH("NOT NULL",UPPER(A$3))),"''","null"),SUBSTITUTE(VLOOKUP(A$2,convert!$A$1:$B$4,2,0),"@@@",A1027))</f>
        <v>'0849N02'</v>
      </c>
      <c r="Q1027" s="4" t="str">
        <f>IF(B1027="",IF(ISNUMBER(SEARCH("NOT NULL",UPPER(B$3))),"''","null"),SUBSTITUTE(VLOOKUP(B$2,convert!$A$1:$B$4,2,0),"@@@",B1027))</f>
        <v>'ストリンダー'</v>
      </c>
      <c r="R1027" s="4" t="str">
        <f>IF(C1027="",IF(ISNUMBER(SEARCH("NOT NULL",UPPER(C$3))),"''","null"),SUBSTITUTE(VLOOKUP(C$2,convert!$A$1:$B$4,2,0),"@@@",C1027))</f>
        <v>75</v>
      </c>
      <c r="S1027" s="4" t="str">
        <f>IF(D1027="",IF(ISNUMBER(SEARCH("NOT NULL",UPPER(D$3))),"''","null"),SUBSTITUTE(VLOOKUP(D$2,convert!$A$1:$B$4,2,0),"@@@",D1027))</f>
        <v>98</v>
      </c>
      <c r="T1027" s="4" t="str">
        <f>IF(E1027="",IF(ISNUMBER(SEARCH("NOT NULL",UPPER(E$3))),"''","null"),SUBSTITUTE(VLOOKUP(E$2,convert!$A$1:$B$4,2,0),"@@@",E1027))</f>
        <v>70</v>
      </c>
      <c r="U1027" s="4" t="str">
        <f>IF(F1027="",IF(ISNUMBER(SEARCH("NOT NULL",UPPER(F$3))),"''","null"),SUBSTITUTE(VLOOKUP(F$2,convert!$A$1:$B$4,2,0),"@@@",F1027))</f>
        <v>114</v>
      </c>
      <c r="V1027" s="4" t="str">
        <f>IF(G1027="",IF(ISNUMBER(SEARCH("NOT NULL",UPPER(G$3))),"''","null"),SUBSTITUTE(VLOOKUP(G$2,convert!$A$1:$B$4,2,0),"@@@",G1027))</f>
        <v>70</v>
      </c>
      <c r="W1027" s="4" t="str">
        <f>IF(H1027="",IF(ISNUMBER(SEARCH("NOT NULL",UPPER(H$3))),"''","null"),SUBSTITUTE(VLOOKUP(H$2,convert!$A$1:$B$4,2,0),"@@@",H1027))</f>
        <v>75</v>
      </c>
      <c r="X1027" s="4" t="str">
        <f>IF(I1027="",IF(ISNUMBER(SEARCH("NOT NULL",UPPER(I$3))),"''","null"),SUBSTITUTE(VLOOKUP(I$2,convert!$A$1:$B$4,2,0),"@@@",I1027))</f>
        <v>'ローなすがた'</v>
      </c>
      <c r="Y1027" s="4" t="str">
        <f>IF(J1027="",IF(ISNUMBER(SEARCH("NOT NULL",UPPER(J$3))),"''","null"),SUBSTITUTE(VLOOKUP(J$2,convert!$A$1:$B$4,2,0),"@@@",J1027))</f>
        <v>'electric'</v>
      </c>
      <c r="Z1027" s="4" t="str">
        <f>IF(K1027="",IF(ISNUMBER(SEARCH("NOT NULL",UPPER(K$3))),"''","null"),SUBSTITUTE(VLOOKUP(K$2,convert!$A$1:$B$4,2,0),"@@@",K1027))</f>
        <v>'poison'</v>
      </c>
      <c r="AA1027" s="4" t="str">
        <f>IF(L1027="",IF(ISNUMBER(SEARCH("NOT NULL",UPPER(L$3))),"''","null"),SUBSTITUTE(VLOOKUP(L$2,convert!$A$1:$B$4,2,0),"@@@",L1027))</f>
        <v>'g8'</v>
      </c>
      <c r="AB1027" s="4" t="str">
        <f>IF(M1027="",IF(ISNUMBER(SEARCH("NOT NULL",UPPER(M$3))),"''","null"),SUBSTITUTE(VLOOKUP(M$2,convert!$A$1:$B$4,2,0),"@@@",M1027))</f>
        <v>null</v>
      </c>
      <c r="AC1027" s="4" t="str">
        <f>IF(N1027="",IF(ISNUMBER(SEARCH("NOT NULL",UPPER(N$3))),"''","null"),SUBSTITUTE(VLOOKUP(N$2,convert!$A$1:$B$4,2,0),"@@@",N1027))</f>
        <v>null</v>
      </c>
      <c r="AD1027" s="4" t="str">
        <f>IF(O1027="",IF(ISNUMBER(SEARCH("NOT NULL",UPPER(O$3))),"''","null"),SUBSTITUTE(VLOOKUP(O$2,convert!$A$1:$B$4,2,0),"@@@",O1027))</f>
        <v>FALSE</v>
      </c>
      <c r="AE1027" s="4" t="str">
        <f t="shared" si="15"/>
        <v>    ('0849N02', 'ストリンダー', 75, 98, 70, 114, 70, 75, 'ローなすがた', 'electric', 'poison', 'g8', null, null, FALSE),</v>
      </c>
    </row>
    <row r="1028" spans="1:31">
      <c r="A1028" s="4" t="s">
        <v>2063</v>
      </c>
      <c r="B1028" s="4" t="s">
        <v>2064</v>
      </c>
      <c r="C1028" s="5">
        <v>50</v>
      </c>
      <c r="D1028" s="5">
        <v>65</v>
      </c>
      <c r="E1028" s="5">
        <v>45</v>
      </c>
      <c r="F1028" s="5">
        <v>50</v>
      </c>
      <c r="G1028" s="5">
        <v>50</v>
      </c>
      <c r="H1028" s="5">
        <v>45</v>
      </c>
      <c r="I1028" s="5"/>
      <c r="J1028" s="4" t="s">
        <v>42</v>
      </c>
      <c r="K1028" s="4" t="s">
        <v>64</v>
      </c>
      <c r="L1028" s="4" t="s">
        <v>179</v>
      </c>
      <c r="M1028" s="5"/>
      <c r="N1028" s="5"/>
      <c r="O1028" s="5" t="b">
        <v>0</v>
      </c>
      <c r="P1028" s="4" t="str">
        <f>IF(A1028="",IF(ISNUMBER(SEARCH("NOT NULL",UPPER(A$3))),"''","null"),SUBSTITUTE(VLOOKUP(A$2,convert!$A$1:$B$4,2,0),"@@@",A1028))</f>
        <v>'0850N01'</v>
      </c>
      <c r="Q1028" s="4" t="str">
        <f>IF(B1028="",IF(ISNUMBER(SEARCH("NOT NULL",UPPER(B$3))),"''","null"),SUBSTITUTE(VLOOKUP(B$2,convert!$A$1:$B$4,2,0),"@@@",B1028))</f>
        <v>'ヤクデ'</v>
      </c>
      <c r="R1028" s="4" t="str">
        <f>IF(C1028="",IF(ISNUMBER(SEARCH("NOT NULL",UPPER(C$3))),"''","null"),SUBSTITUTE(VLOOKUP(C$2,convert!$A$1:$B$4,2,0),"@@@",C1028))</f>
        <v>50</v>
      </c>
      <c r="S1028" s="4" t="str">
        <f>IF(D1028="",IF(ISNUMBER(SEARCH("NOT NULL",UPPER(D$3))),"''","null"),SUBSTITUTE(VLOOKUP(D$2,convert!$A$1:$B$4,2,0),"@@@",D1028))</f>
        <v>65</v>
      </c>
      <c r="T1028" s="4" t="str">
        <f>IF(E1028="",IF(ISNUMBER(SEARCH("NOT NULL",UPPER(E$3))),"''","null"),SUBSTITUTE(VLOOKUP(E$2,convert!$A$1:$B$4,2,0),"@@@",E1028))</f>
        <v>45</v>
      </c>
      <c r="U1028" s="4" t="str">
        <f>IF(F1028="",IF(ISNUMBER(SEARCH("NOT NULL",UPPER(F$3))),"''","null"),SUBSTITUTE(VLOOKUP(F$2,convert!$A$1:$B$4,2,0),"@@@",F1028))</f>
        <v>50</v>
      </c>
      <c r="V1028" s="4" t="str">
        <f>IF(G1028="",IF(ISNUMBER(SEARCH("NOT NULL",UPPER(G$3))),"''","null"),SUBSTITUTE(VLOOKUP(G$2,convert!$A$1:$B$4,2,0),"@@@",G1028))</f>
        <v>50</v>
      </c>
      <c r="W1028" s="4" t="str">
        <f>IF(H1028="",IF(ISNUMBER(SEARCH("NOT NULL",UPPER(H$3))),"''","null"),SUBSTITUTE(VLOOKUP(H$2,convert!$A$1:$B$4,2,0),"@@@",H1028))</f>
        <v>45</v>
      </c>
      <c r="X1028" s="4" t="str">
        <f>IF(I1028="",IF(ISNUMBER(SEARCH("NOT NULL",UPPER(I$3))),"''","null"),SUBSTITUTE(VLOOKUP(I$2,convert!$A$1:$B$4,2,0),"@@@",I1028))</f>
        <v>''</v>
      </c>
      <c r="Y1028" s="4" t="str">
        <f>IF(J1028="",IF(ISNUMBER(SEARCH("NOT NULL",UPPER(J$3))),"''","null"),SUBSTITUTE(VLOOKUP(J$2,convert!$A$1:$B$4,2,0),"@@@",J1028))</f>
        <v>'fire'</v>
      </c>
      <c r="Z1028" s="4" t="str">
        <f>IF(K1028="",IF(ISNUMBER(SEARCH("NOT NULL",UPPER(K$3))),"''","null"),SUBSTITUTE(VLOOKUP(K$2,convert!$A$1:$B$4,2,0),"@@@",K1028))</f>
        <v>'bug'</v>
      </c>
      <c r="AA1028" s="4" t="str">
        <f>IF(L1028="",IF(ISNUMBER(SEARCH("NOT NULL",UPPER(L$3))),"''","null"),SUBSTITUTE(VLOOKUP(L$2,convert!$A$1:$B$4,2,0),"@@@",L1028))</f>
        <v>'g8'</v>
      </c>
      <c r="AB1028" s="4" t="str">
        <f>IF(M1028="",IF(ISNUMBER(SEARCH("NOT NULL",UPPER(M$3))),"''","null"),SUBSTITUTE(VLOOKUP(M$2,convert!$A$1:$B$4,2,0),"@@@",M1028))</f>
        <v>null</v>
      </c>
      <c r="AC1028" s="4" t="str">
        <f>IF(N1028="",IF(ISNUMBER(SEARCH("NOT NULL",UPPER(N$3))),"''","null"),SUBSTITUTE(VLOOKUP(N$2,convert!$A$1:$B$4,2,0),"@@@",N1028))</f>
        <v>null</v>
      </c>
      <c r="AD1028" s="4" t="str">
        <f>IF(O1028="",IF(ISNUMBER(SEARCH("NOT NULL",UPPER(O$3))),"''","null"),SUBSTITUTE(VLOOKUP(O$2,convert!$A$1:$B$4,2,0),"@@@",O1028))</f>
        <v>FALSE</v>
      </c>
      <c r="AE1028" s="4" t="str">
        <f t="shared" si="15"/>
        <v>    ('0850N01', 'ヤクデ', 50, 65, 45, 50, 50, 45, '', 'fire', 'bug', 'g8', null, null, FALSE),</v>
      </c>
    </row>
    <row r="1029" spans="1:31">
      <c r="A1029" s="4" t="s">
        <v>2065</v>
      </c>
      <c r="B1029" s="4" t="s">
        <v>2066</v>
      </c>
      <c r="C1029" s="5">
        <v>100</v>
      </c>
      <c r="D1029" s="5">
        <v>115</v>
      </c>
      <c r="E1029" s="5">
        <v>65</v>
      </c>
      <c r="F1029" s="5">
        <v>90</v>
      </c>
      <c r="G1029" s="5">
        <v>90</v>
      </c>
      <c r="H1029" s="5">
        <v>65</v>
      </c>
      <c r="I1029" s="5"/>
      <c r="J1029" s="4" t="s">
        <v>42</v>
      </c>
      <c r="K1029" s="4" t="s">
        <v>64</v>
      </c>
      <c r="L1029" s="4" t="s">
        <v>179</v>
      </c>
      <c r="M1029" s="5"/>
      <c r="N1029" s="5"/>
      <c r="O1029" s="5" t="b">
        <v>0</v>
      </c>
      <c r="P1029" s="4" t="str">
        <f>IF(A1029="",IF(ISNUMBER(SEARCH("NOT NULL",UPPER(A$3))),"''","null"),SUBSTITUTE(VLOOKUP(A$2,convert!$A$1:$B$4,2,0),"@@@",A1029))</f>
        <v>'0851N01'</v>
      </c>
      <c r="Q1029" s="4" t="str">
        <f>IF(B1029="",IF(ISNUMBER(SEARCH("NOT NULL",UPPER(B$3))),"''","null"),SUBSTITUTE(VLOOKUP(B$2,convert!$A$1:$B$4,2,0),"@@@",B1029))</f>
        <v>'マルヤクデ'</v>
      </c>
      <c r="R1029" s="4" t="str">
        <f>IF(C1029="",IF(ISNUMBER(SEARCH("NOT NULL",UPPER(C$3))),"''","null"),SUBSTITUTE(VLOOKUP(C$2,convert!$A$1:$B$4,2,0),"@@@",C1029))</f>
        <v>100</v>
      </c>
      <c r="S1029" s="4" t="str">
        <f>IF(D1029="",IF(ISNUMBER(SEARCH("NOT NULL",UPPER(D$3))),"''","null"),SUBSTITUTE(VLOOKUP(D$2,convert!$A$1:$B$4,2,0),"@@@",D1029))</f>
        <v>115</v>
      </c>
      <c r="T1029" s="4" t="str">
        <f>IF(E1029="",IF(ISNUMBER(SEARCH("NOT NULL",UPPER(E$3))),"''","null"),SUBSTITUTE(VLOOKUP(E$2,convert!$A$1:$B$4,2,0),"@@@",E1029))</f>
        <v>65</v>
      </c>
      <c r="U1029" s="4" t="str">
        <f>IF(F1029="",IF(ISNUMBER(SEARCH("NOT NULL",UPPER(F$3))),"''","null"),SUBSTITUTE(VLOOKUP(F$2,convert!$A$1:$B$4,2,0),"@@@",F1029))</f>
        <v>90</v>
      </c>
      <c r="V1029" s="4" t="str">
        <f>IF(G1029="",IF(ISNUMBER(SEARCH("NOT NULL",UPPER(G$3))),"''","null"),SUBSTITUTE(VLOOKUP(G$2,convert!$A$1:$B$4,2,0),"@@@",G1029))</f>
        <v>90</v>
      </c>
      <c r="W1029" s="4" t="str">
        <f>IF(H1029="",IF(ISNUMBER(SEARCH("NOT NULL",UPPER(H$3))),"''","null"),SUBSTITUTE(VLOOKUP(H$2,convert!$A$1:$B$4,2,0),"@@@",H1029))</f>
        <v>65</v>
      </c>
      <c r="X1029" s="4" t="str">
        <f>IF(I1029="",IF(ISNUMBER(SEARCH("NOT NULL",UPPER(I$3))),"''","null"),SUBSTITUTE(VLOOKUP(I$2,convert!$A$1:$B$4,2,0),"@@@",I1029))</f>
        <v>''</v>
      </c>
      <c r="Y1029" s="4" t="str">
        <f>IF(J1029="",IF(ISNUMBER(SEARCH("NOT NULL",UPPER(J$3))),"''","null"),SUBSTITUTE(VLOOKUP(J$2,convert!$A$1:$B$4,2,0),"@@@",J1029))</f>
        <v>'fire'</v>
      </c>
      <c r="Z1029" s="4" t="str">
        <f>IF(K1029="",IF(ISNUMBER(SEARCH("NOT NULL",UPPER(K$3))),"''","null"),SUBSTITUTE(VLOOKUP(K$2,convert!$A$1:$B$4,2,0),"@@@",K1029))</f>
        <v>'bug'</v>
      </c>
      <c r="AA1029" s="4" t="str">
        <f>IF(L1029="",IF(ISNUMBER(SEARCH("NOT NULL",UPPER(L$3))),"''","null"),SUBSTITUTE(VLOOKUP(L$2,convert!$A$1:$B$4,2,0),"@@@",L1029))</f>
        <v>'g8'</v>
      </c>
      <c r="AB1029" s="4" t="str">
        <f>IF(M1029="",IF(ISNUMBER(SEARCH("NOT NULL",UPPER(M$3))),"''","null"),SUBSTITUTE(VLOOKUP(M$2,convert!$A$1:$B$4,2,0),"@@@",M1029))</f>
        <v>null</v>
      </c>
      <c r="AC1029" s="4" t="str">
        <f>IF(N1029="",IF(ISNUMBER(SEARCH("NOT NULL",UPPER(N$3))),"''","null"),SUBSTITUTE(VLOOKUP(N$2,convert!$A$1:$B$4,2,0),"@@@",N1029))</f>
        <v>null</v>
      </c>
      <c r="AD1029" s="4" t="str">
        <f>IF(O1029="",IF(ISNUMBER(SEARCH("NOT NULL",UPPER(O$3))),"''","null"),SUBSTITUTE(VLOOKUP(O$2,convert!$A$1:$B$4,2,0),"@@@",O1029))</f>
        <v>FALSE</v>
      </c>
      <c r="AE1029" s="4" t="str">
        <f t="shared" ref="AE1029:AE1092" si="16">"    ("&amp;_xlfn.TEXTJOIN(", ",FALSE,P1029:AD1029)&amp;"),"</f>
        <v>    ('0851N01', 'マルヤクデ', 100, 115, 65, 90, 90, 65, '', 'fire', 'bug', 'g8', null, null, FALSE),</v>
      </c>
    </row>
    <row r="1030" spans="1:31">
      <c r="A1030" s="4" t="s">
        <v>2067</v>
      </c>
      <c r="B1030" s="4" t="s">
        <v>2068</v>
      </c>
      <c r="C1030" s="5">
        <v>50</v>
      </c>
      <c r="D1030" s="5">
        <v>68</v>
      </c>
      <c r="E1030" s="5">
        <v>60</v>
      </c>
      <c r="F1030" s="5">
        <v>50</v>
      </c>
      <c r="G1030" s="5">
        <v>50</v>
      </c>
      <c r="H1030" s="5">
        <v>32</v>
      </c>
      <c r="I1030" s="5"/>
      <c r="J1030" s="4" t="s">
        <v>189</v>
      </c>
      <c r="K1030" s="5"/>
      <c r="L1030" s="4" t="s">
        <v>179</v>
      </c>
      <c r="M1030" s="5"/>
      <c r="N1030" s="5"/>
      <c r="O1030" s="5" t="b">
        <v>0</v>
      </c>
      <c r="P1030" s="4" t="str">
        <f>IF(A1030="",IF(ISNUMBER(SEARCH("NOT NULL",UPPER(A$3))),"''","null"),SUBSTITUTE(VLOOKUP(A$2,convert!$A$1:$B$4,2,0),"@@@",A1030))</f>
        <v>'0852N01'</v>
      </c>
      <c r="Q1030" s="4" t="str">
        <f>IF(B1030="",IF(ISNUMBER(SEARCH("NOT NULL",UPPER(B$3))),"''","null"),SUBSTITUTE(VLOOKUP(B$2,convert!$A$1:$B$4,2,0),"@@@",B1030))</f>
        <v>'タタッコ'</v>
      </c>
      <c r="R1030" s="4" t="str">
        <f>IF(C1030="",IF(ISNUMBER(SEARCH("NOT NULL",UPPER(C$3))),"''","null"),SUBSTITUTE(VLOOKUP(C$2,convert!$A$1:$B$4,2,0),"@@@",C1030))</f>
        <v>50</v>
      </c>
      <c r="S1030" s="4" t="str">
        <f>IF(D1030="",IF(ISNUMBER(SEARCH("NOT NULL",UPPER(D$3))),"''","null"),SUBSTITUTE(VLOOKUP(D$2,convert!$A$1:$B$4,2,0),"@@@",D1030))</f>
        <v>68</v>
      </c>
      <c r="T1030" s="4" t="str">
        <f>IF(E1030="",IF(ISNUMBER(SEARCH("NOT NULL",UPPER(E$3))),"''","null"),SUBSTITUTE(VLOOKUP(E$2,convert!$A$1:$B$4,2,0),"@@@",E1030))</f>
        <v>60</v>
      </c>
      <c r="U1030" s="4" t="str">
        <f>IF(F1030="",IF(ISNUMBER(SEARCH("NOT NULL",UPPER(F$3))),"''","null"),SUBSTITUTE(VLOOKUP(F$2,convert!$A$1:$B$4,2,0),"@@@",F1030))</f>
        <v>50</v>
      </c>
      <c r="V1030" s="4" t="str">
        <f>IF(G1030="",IF(ISNUMBER(SEARCH("NOT NULL",UPPER(G$3))),"''","null"),SUBSTITUTE(VLOOKUP(G$2,convert!$A$1:$B$4,2,0),"@@@",G1030))</f>
        <v>50</v>
      </c>
      <c r="W1030" s="4" t="str">
        <f>IF(H1030="",IF(ISNUMBER(SEARCH("NOT NULL",UPPER(H$3))),"''","null"),SUBSTITUTE(VLOOKUP(H$2,convert!$A$1:$B$4,2,0),"@@@",H1030))</f>
        <v>32</v>
      </c>
      <c r="X1030" s="4" t="str">
        <f>IF(I1030="",IF(ISNUMBER(SEARCH("NOT NULL",UPPER(I$3))),"''","null"),SUBSTITUTE(VLOOKUP(I$2,convert!$A$1:$B$4,2,0),"@@@",I1030))</f>
        <v>''</v>
      </c>
      <c r="Y1030" s="4" t="str">
        <f>IF(J1030="",IF(ISNUMBER(SEARCH("NOT NULL",UPPER(J$3))),"''","null"),SUBSTITUTE(VLOOKUP(J$2,convert!$A$1:$B$4,2,0),"@@@",J1030))</f>
        <v>'fighting'</v>
      </c>
      <c r="Z1030" s="4" t="str">
        <f>IF(K1030="",IF(ISNUMBER(SEARCH("NOT NULL",UPPER(K$3))),"''","null"),SUBSTITUTE(VLOOKUP(K$2,convert!$A$1:$B$4,2,0),"@@@",K1030))</f>
        <v>null</v>
      </c>
      <c r="AA1030" s="4" t="str">
        <f>IF(L1030="",IF(ISNUMBER(SEARCH("NOT NULL",UPPER(L$3))),"''","null"),SUBSTITUTE(VLOOKUP(L$2,convert!$A$1:$B$4,2,0),"@@@",L1030))</f>
        <v>'g8'</v>
      </c>
      <c r="AB1030" s="4" t="str">
        <f>IF(M1030="",IF(ISNUMBER(SEARCH("NOT NULL",UPPER(M$3))),"''","null"),SUBSTITUTE(VLOOKUP(M$2,convert!$A$1:$B$4,2,0),"@@@",M1030))</f>
        <v>null</v>
      </c>
      <c r="AC1030" s="4" t="str">
        <f>IF(N1030="",IF(ISNUMBER(SEARCH("NOT NULL",UPPER(N$3))),"''","null"),SUBSTITUTE(VLOOKUP(N$2,convert!$A$1:$B$4,2,0),"@@@",N1030))</f>
        <v>null</v>
      </c>
      <c r="AD1030" s="4" t="str">
        <f>IF(O1030="",IF(ISNUMBER(SEARCH("NOT NULL",UPPER(O$3))),"''","null"),SUBSTITUTE(VLOOKUP(O$2,convert!$A$1:$B$4,2,0),"@@@",O1030))</f>
        <v>FALSE</v>
      </c>
      <c r="AE1030" s="4" t="str">
        <f t="shared" si="16"/>
        <v>    ('0852N01', 'タタッコ', 50, 68, 60, 50, 50, 32, '', 'fighting', null, 'g8', null, null, FALSE),</v>
      </c>
    </row>
    <row r="1031" spans="1:31">
      <c r="A1031" s="4" t="s">
        <v>2069</v>
      </c>
      <c r="B1031" s="4" t="s">
        <v>2070</v>
      </c>
      <c r="C1031" s="5">
        <v>80</v>
      </c>
      <c r="D1031" s="5">
        <v>118</v>
      </c>
      <c r="E1031" s="5">
        <v>90</v>
      </c>
      <c r="F1031" s="5">
        <v>70</v>
      </c>
      <c r="G1031" s="5">
        <v>80</v>
      </c>
      <c r="H1031" s="5">
        <v>42</v>
      </c>
      <c r="I1031" s="5"/>
      <c r="J1031" s="4" t="s">
        <v>189</v>
      </c>
      <c r="K1031" s="5"/>
      <c r="L1031" s="4" t="s">
        <v>179</v>
      </c>
      <c r="M1031" s="5"/>
      <c r="N1031" s="5"/>
      <c r="O1031" s="5" t="b">
        <v>0</v>
      </c>
      <c r="P1031" s="4" t="str">
        <f>IF(A1031="",IF(ISNUMBER(SEARCH("NOT NULL",UPPER(A$3))),"''","null"),SUBSTITUTE(VLOOKUP(A$2,convert!$A$1:$B$4,2,0),"@@@",A1031))</f>
        <v>'0853N01'</v>
      </c>
      <c r="Q1031" s="4" t="str">
        <f>IF(B1031="",IF(ISNUMBER(SEARCH("NOT NULL",UPPER(B$3))),"''","null"),SUBSTITUTE(VLOOKUP(B$2,convert!$A$1:$B$4,2,0),"@@@",B1031))</f>
        <v>'オトスパス'</v>
      </c>
      <c r="R1031" s="4" t="str">
        <f>IF(C1031="",IF(ISNUMBER(SEARCH("NOT NULL",UPPER(C$3))),"''","null"),SUBSTITUTE(VLOOKUP(C$2,convert!$A$1:$B$4,2,0),"@@@",C1031))</f>
        <v>80</v>
      </c>
      <c r="S1031" s="4" t="str">
        <f>IF(D1031="",IF(ISNUMBER(SEARCH("NOT NULL",UPPER(D$3))),"''","null"),SUBSTITUTE(VLOOKUP(D$2,convert!$A$1:$B$4,2,0),"@@@",D1031))</f>
        <v>118</v>
      </c>
      <c r="T1031" s="4" t="str">
        <f>IF(E1031="",IF(ISNUMBER(SEARCH("NOT NULL",UPPER(E$3))),"''","null"),SUBSTITUTE(VLOOKUP(E$2,convert!$A$1:$B$4,2,0),"@@@",E1031))</f>
        <v>90</v>
      </c>
      <c r="U1031" s="4" t="str">
        <f>IF(F1031="",IF(ISNUMBER(SEARCH("NOT NULL",UPPER(F$3))),"''","null"),SUBSTITUTE(VLOOKUP(F$2,convert!$A$1:$B$4,2,0),"@@@",F1031))</f>
        <v>70</v>
      </c>
      <c r="V1031" s="4" t="str">
        <f>IF(G1031="",IF(ISNUMBER(SEARCH("NOT NULL",UPPER(G$3))),"''","null"),SUBSTITUTE(VLOOKUP(G$2,convert!$A$1:$B$4,2,0),"@@@",G1031))</f>
        <v>80</v>
      </c>
      <c r="W1031" s="4" t="str">
        <f>IF(H1031="",IF(ISNUMBER(SEARCH("NOT NULL",UPPER(H$3))),"''","null"),SUBSTITUTE(VLOOKUP(H$2,convert!$A$1:$B$4,2,0),"@@@",H1031))</f>
        <v>42</v>
      </c>
      <c r="X1031" s="4" t="str">
        <f>IF(I1031="",IF(ISNUMBER(SEARCH("NOT NULL",UPPER(I$3))),"''","null"),SUBSTITUTE(VLOOKUP(I$2,convert!$A$1:$B$4,2,0),"@@@",I1031))</f>
        <v>''</v>
      </c>
      <c r="Y1031" s="4" t="str">
        <f>IF(J1031="",IF(ISNUMBER(SEARCH("NOT NULL",UPPER(J$3))),"''","null"),SUBSTITUTE(VLOOKUP(J$2,convert!$A$1:$B$4,2,0),"@@@",J1031))</f>
        <v>'fighting'</v>
      </c>
      <c r="Z1031" s="4" t="str">
        <f>IF(K1031="",IF(ISNUMBER(SEARCH("NOT NULL",UPPER(K$3))),"''","null"),SUBSTITUTE(VLOOKUP(K$2,convert!$A$1:$B$4,2,0),"@@@",K1031))</f>
        <v>null</v>
      </c>
      <c r="AA1031" s="4" t="str">
        <f>IF(L1031="",IF(ISNUMBER(SEARCH("NOT NULL",UPPER(L$3))),"''","null"),SUBSTITUTE(VLOOKUP(L$2,convert!$A$1:$B$4,2,0),"@@@",L1031))</f>
        <v>'g8'</v>
      </c>
      <c r="AB1031" s="4" t="str">
        <f>IF(M1031="",IF(ISNUMBER(SEARCH("NOT NULL",UPPER(M$3))),"''","null"),SUBSTITUTE(VLOOKUP(M$2,convert!$A$1:$B$4,2,0),"@@@",M1031))</f>
        <v>null</v>
      </c>
      <c r="AC1031" s="4" t="str">
        <f>IF(N1031="",IF(ISNUMBER(SEARCH("NOT NULL",UPPER(N$3))),"''","null"),SUBSTITUTE(VLOOKUP(N$2,convert!$A$1:$B$4,2,0),"@@@",N1031))</f>
        <v>null</v>
      </c>
      <c r="AD1031" s="4" t="str">
        <f>IF(O1031="",IF(ISNUMBER(SEARCH("NOT NULL",UPPER(O$3))),"''","null"),SUBSTITUTE(VLOOKUP(O$2,convert!$A$1:$B$4,2,0),"@@@",O1031))</f>
        <v>FALSE</v>
      </c>
      <c r="AE1031" s="4" t="str">
        <f t="shared" si="16"/>
        <v>    ('0853N01', 'オトスパス', 80, 118, 90, 70, 80, 42, '', 'fighting', null, 'g8', null, null, FALSE),</v>
      </c>
    </row>
    <row r="1032" spans="1:31">
      <c r="A1032" s="4" t="s">
        <v>2071</v>
      </c>
      <c r="B1032" s="4" t="s">
        <v>2072</v>
      </c>
      <c r="C1032" s="5">
        <v>40</v>
      </c>
      <c r="D1032" s="5">
        <v>45</v>
      </c>
      <c r="E1032" s="5">
        <v>45</v>
      </c>
      <c r="F1032" s="5">
        <v>74</v>
      </c>
      <c r="G1032" s="5">
        <v>54</v>
      </c>
      <c r="H1032" s="5">
        <v>50</v>
      </c>
      <c r="I1032" s="4" t="s">
        <v>2073</v>
      </c>
      <c r="J1032" s="4" t="s">
        <v>281</v>
      </c>
      <c r="K1032" s="5"/>
      <c r="L1032" s="4" t="s">
        <v>179</v>
      </c>
      <c r="M1032" s="5"/>
      <c r="N1032" s="5"/>
      <c r="O1032" s="5" t="b">
        <v>0</v>
      </c>
      <c r="P1032" s="4" t="str">
        <f>IF(A1032="",IF(ISNUMBER(SEARCH("NOT NULL",UPPER(A$3))),"''","null"),SUBSTITUTE(VLOOKUP(A$2,convert!$A$1:$B$4,2,0),"@@@",A1032))</f>
        <v>'0854N01'</v>
      </c>
      <c r="Q1032" s="4" t="str">
        <f>IF(B1032="",IF(ISNUMBER(SEARCH("NOT NULL",UPPER(B$3))),"''","null"),SUBSTITUTE(VLOOKUP(B$2,convert!$A$1:$B$4,2,0),"@@@",B1032))</f>
        <v>'ヤバチャ'</v>
      </c>
      <c r="R1032" s="4" t="str">
        <f>IF(C1032="",IF(ISNUMBER(SEARCH("NOT NULL",UPPER(C$3))),"''","null"),SUBSTITUTE(VLOOKUP(C$2,convert!$A$1:$B$4,2,0),"@@@",C1032))</f>
        <v>40</v>
      </c>
      <c r="S1032" s="4" t="str">
        <f>IF(D1032="",IF(ISNUMBER(SEARCH("NOT NULL",UPPER(D$3))),"''","null"),SUBSTITUTE(VLOOKUP(D$2,convert!$A$1:$B$4,2,0),"@@@",D1032))</f>
        <v>45</v>
      </c>
      <c r="T1032" s="4" t="str">
        <f>IF(E1032="",IF(ISNUMBER(SEARCH("NOT NULL",UPPER(E$3))),"''","null"),SUBSTITUTE(VLOOKUP(E$2,convert!$A$1:$B$4,2,0),"@@@",E1032))</f>
        <v>45</v>
      </c>
      <c r="U1032" s="4" t="str">
        <f>IF(F1032="",IF(ISNUMBER(SEARCH("NOT NULL",UPPER(F$3))),"''","null"),SUBSTITUTE(VLOOKUP(F$2,convert!$A$1:$B$4,2,0),"@@@",F1032))</f>
        <v>74</v>
      </c>
      <c r="V1032" s="4" t="str">
        <f>IF(G1032="",IF(ISNUMBER(SEARCH("NOT NULL",UPPER(G$3))),"''","null"),SUBSTITUTE(VLOOKUP(G$2,convert!$A$1:$B$4,2,0),"@@@",G1032))</f>
        <v>54</v>
      </c>
      <c r="W1032" s="4" t="str">
        <f>IF(H1032="",IF(ISNUMBER(SEARCH("NOT NULL",UPPER(H$3))),"''","null"),SUBSTITUTE(VLOOKUP(H$2,convert!$A$1:$B$4,2,0),"@@@",H1032))</f>
        <v>50</v>
      </c>
      <c r="X1032" s="4" t="str">
        <f>IF(I1032="",IF(ISNUMBER(SEARCH("NOT NULL",UPPER(I$3))),"''","null"),SUBSTITUTE(VLOOKUP(I$2,convert!$A$1:$B$4,2,0),"@@@",I1032))</f>
        <v>'がんさくフォルム'</v>
      </c>
      <c r="Y1032" s="4" t="str">
        <f>IF(J1032="",IF(ISNUMBER(SEARCH("NOT NULL",UPPER(J$3))),"''","null"),SUBSTITUTE(VLOOKUP(J$2,convert!$A$1:$B$4,2,0),"@@@",J1032))</f>
        <v>'ghost'</v>
      </c>
      <c r="Z1032" s="4" t="str">
        <f>IF(K1032="",IF(ISNUMBER(SEARCH("NOT NULL",UPPER(K$3))),"''","null"),SUBSTITUTE(VLOOKUP(K$2,convert!$A$1:$B$4,2,0),"@@@",K1032))</f>
        <v>null</v>
      </c>
      <c r="AA1032" s="4" t="str">
        <f>IF(L1032="",IF(ISNUMBER(SEARCH("NOT NULL",UPPER(L$3))),"''","null"),SUBSTITUTE(VLOOKUP(L$2,convert!$A$1:$B$4,2,0),"@@@",L1032))</f>
        <v>'g8'</v>
      </c>
      <c r="AB1032" s="4" t="str">
        <f>IF(M1032="",IF(ISNUMBER(SEARCH("NOT NULL",UPPER(M$3))),"''","null"),SUBSTITUTE(VLOOKUP(M$2,convert!$A$1:$B$4,2,0),"@@@",M1032))</f>
        <v>null</v>
      </c>
      <c r="AC1032" s="4" t="str">
        <f>IF(N1032="",IF(ISNUMBER(SEARCH("NOT NULL",UPPER(N$3))),"''","null"),SUBSTITUTE(VLOOKUP(N$2,convert!$A$1:$B$4,2,0),"@@@",N1032))</f>
        <v>null</v>
      </c>
      <c r="AD1032" s="4" t="str">
        <f>IF(O1032="",IF(ISNUMBER(SEARCH("NOT NULL",UPPER(O$3))),"''","null"),SUBSTITUTE(VLOOKUP(O$2,convert!$A$1:$B$4,2,0),"@@@",O1032))</f>
        <v>FALSE</v>
      </c>
      <c r="AE1032" s="4" t="str">
        <f t="shared" si="16"/>
        <v>    ('0854N01', 'ヤバチャ', 40, 45, 45, 74, 54, 50, 'がんさくフォルム', 'ghost', null, 'g8', null, null, FALSE),</v>
      </c>
    </row>
    <row r="1033" spans="1:31">
      <c r="A1033" s="4" t="s">
        <v>2074</v>
      </c>
      <c r="B1033" s="4" t="s">
        <v>2072</v>
      </c>
      <c r="C1033" s="5">
        <v>40</v>
      </c>
      <c r="D1033" s="5">
        <v>45</v>
      </c>
      <c r="E1033" s="5">
        <v>45</v>
      </c>
      <c r="F1033" s="5">
        <v>74</v>
      </c>
      <c r="G1033" s="5">
        <v>54</v>
      </c>
      <c r="H1033" s="5">
        <v>50</v>
      </c>
      <c r="I1033" s="4" t="s">
        <v>2075</v>
      </c>
      <c r="J1033" s="4" t="s">
        <v>281</v>
      </c>
      <c r="K1033" s="5"/>
      <c r="L1033" s="4" t="s">
        <v>179</v>
      </c>
      <c r="M1033" s="5"/>
      <c r="N1033" s="5"/>
      <c r="O1033" s="5" t="b">
        <v>0</v>
      </c>
      <c r="P1033" s="4" t="str">
        <f>IF(A1033="",IF(ISNUMBER(SEARCH("NOT NULL",UPPER(A$3))),"''","null"),SUBSTITUTE(VLOOKUP(A$2,convert!$A$1:$B$4,2,0),"@@@",A1033))</f>
        <v>'0854N02'</v>
      </c>
      <c r="Q1033" s="4" t="str">
        <f>IF(B1033="",IF(ISNUMBER(SEARCH("NOT NULL",UPPER(B$3))),"''","null"),SUBSTITUTE(VLOOKUP(B$2,convert!$A$1:$B$4,2,0),"@@@",B1033))</f>
        <v>'ヤバチャ'</v>
      </c>
      <c r="R1033" s="4" t="str">
        <f>IF(C1033="",IF(ISNUMBER(SEARCH("NOT NULL",UPPER(C$3))),"''","null"),SUBSTITUTE(VLOOKUP(C$2,convert!$A$1:$B$4,2,0),"@@@",C1033))</f>
        <v>40</v>
      </c>
      <c r="S1033" s="4" t="str">
        <f>IF(D1033="",IF(ISNUMBER(SEARCH("NOT NULL",UPPER(D$3))),"''","null"),SUBSTITUTE(VLOOKUP(D$2,convert!$A$1:$B$4,2,0),"@@@",D1033))</f>
        <v>45</v>
      </c>
      <c r="T1033" s="4" t="str">
        <f>IF(E1033="",IF(ISNUMBER(SEARCH("NOT NULL",UPPER(E$3))),"''","null"),SUBSTITUTE(VLOOKUP(E$2,convert!$A$1:$B$4,2,0),"@@@",E1033))</f>
        <v>45</v>
      </c>
      <c r="U1033" s="4" t="str">
        <f>IF(F1033="",IF(ISNUMBER(SEARCH("NOT NULL",UPPER(F$3))),"''","null"),SUBSTITUTE(VLOOKUP(F$2,convert!$A$1:$B$4,2,0),"@@@",F1033))</f>
        <v>74</v>
      </c>
      <c r="V1033" s="4" t="str">
        <f>IF(G1033="",IF(ISNUMBER(SEARCH("NOT NULL",UPPER(G$3))),"''","null"),SUBSTITUTE(VLOOKUP(G$2,convert!$A$1:$B$4,2,0),"@@@",G1033))</f>
        <v>54</v>
      </c>
      <c r="W1033" s="4" t="str">
        <f>IF(H1033="",IF(ISNUMBER(SEARCH("NOT NULL",UPPER(H$3))),"''","null"),SUBSTITUTE(VLOOKUP(H$2,convert!$A$1:$B$4,2,0),"@@@",H1033))</f>
        <v>50</v>
      </c>
      <c r="X1033" s="4" t="str">
        <f>IF(I1033="",IF(ISNUMBER(SEARCH("NOT NULL",UPPER(I$3))),"''","null"),SUBSTITUTE(VLOOKUP(I$2,convert!$A$1:$B$4,2,0),"@@@",I1033))</f>
        <v>'しんさくフォルム'</v>
      </c>
      <c r="Y1033" s="4" t="str">
        <f>IF(J1033="",IF(ISNUMBER(SEARCH("NOT NULL",UPPER(J$3))),"''","null"),SUBSTITUTE(VLOOKUP(J$2,convert!$A$1:$B$4,2,0),"@@@",J1033))</f>
        <v>'ghost'</v>
      </c>
      <c r="Z1033" s="4" t="str">
        <f>IF(K1033="",IF(ISNUMBER(SEARCH("NOT NULL",UPPER(K$3))),"''","null"),SUBSTITUTE(VLOOKUP(K$2,convert!$A$1:$B$4,2,0),"@@@",K1033))</f>
        <v>null</v>
      </c>
      <c r="AA1033" s="4" t="str">
        <f>IF(L1033="",IF(ISNUMBER(SEARCH("NOT NULL",UPPER(L$3))),"''","null"),SUBSTITUTE(VLOOKUP(L$2,convert!$A$1:$B$4,2,0),"@@@",L1033))</f>
        <v>'g8'</v>
      </c>
      <c r="AB1033" s="4" t="str">
        <f>IF(M1033="",IF(ISNUMBER(SEARCH("NOT NULL",UPPER(M$3))),"''","null"),SUBSTITUTE(VLOOKUP(M$2,convert!$A$1:$B$4,2,0),"@@@",M1033))</f>
        <v>null</v>
      </c>
      <c r="AC1033" s="4" t="str">
        <f>IF(N1033="",IF(ISNUMBER(SEARCH("NOT NULL",UPPER(N$3))),"''","null"),SUBSTITUTE(VLOOKUP(N$2,convert!$A$1:$B$4,2,0),"@@@",N1033))</f>
        <v>null</v>
      </c>
      <c r="AD1033" s="4" t="str">
        <f>IF(O1033="",IF(ISNUMBER(SEARCH("NOT NULL",UPPER(O$3))),"''","null"),SUBSTITUTE(VLOOKUP(O$2,convert!$A$1:$B$4,2,0),"@@@",O1033))</f>
        <v>FALSE</v>
      </c>
      <c r="AE1033" s="4" t="str">
        <f t="shared" si="16"/>
        <v>    ('0854N02', 'ヤバチャ', 40, 45, 45, 74, 54, 50, 'しんさくフォルム', 'ghost', null, 'g8', null, null, FALSE),</v>
      </c>
    </row>
    <row r="1034" spans="1:31">
      <c r="A1034" s="4" t="s">
        <v>2076</v>
      </c>
      <c r="B1034" s="4" t="s">
        <v>2077</v>
      </c>
      <c r="C1034" s="5">
        <v>60</v>
      </c>
      <c r="D1034" s="5">
        <v>65</v>
      </c>
      <c r="E1034" s="5">
        <v>65</v>
      </c>
      <c r="F1034" s="5">
        <v>134</v>
      </c>
      <c r="G1034" s="5">
        <v>114</v>
      </c>
      <c r="H1034" s="5">
        <v>70</v>
      </c>
      <c r="I1034" s="4" t="s">
        <v>2073</v>
      </c>
      <c r="J1034" s="4" t="s">
        <v>281</v>
      </c>
      <c r="K1034" s="5"/>
      <c r="L1034" s="4" t="s">
        <v>179</v>
      </c>
      <c r="M1034" s="5"/>
      <c r="N1034" s="5"/>
      <c r="O1034" s="5" t="b">
        <v>0</v>
      </c>
      <c r="P1034" s="4" t="str">
        <f>IF(A1034="",IF(ISNUMBER(SEARCH("NOT NULL",UPPER(A$3))),"''","null"),SUBSTITUTE(VLOOKUP(A$2,convert!$A$1:$B$4,2,0),"@@@",A1034))</f>
        <v>'0855N01'</v>
      </c>
      <c r="Q1034" s="4" t="str">
        <f>IF(B1034="",IF(ISNUMBER(SEARCH("NOT NULL",UPPER(B$3))),"''","null"),SUBSTITUTE(VLOOKUP(B$2,convert!$A$1:$B$4,2,0),"@@@",B1034))</f>
        <v>'ポットデス'</v>
      </c>
      <c r="R1034" s="4" t="str">
        <f>IF(C1034="",IF(ISNUMBER(SEARCH("NOT NULL",UPPER(C$3))),"''","null"),SUBSTITUTE(VLOOKUP(C$2,convert!$A$1:$B$4,2,0),"@@@",C1034))</f>
        <v>60</v>
      </c>
      <c r="S1034" s="4" t="str">
        <f>IF(D1034="",IF(ISNUMBER(SEARCH("NOT NULL",UPPER(D$3))),"''","null"),SUBSTITUTE(VLOOKUP(D$2,convert!$A$1:$B$4,2,0),"@@@",D1034))</f>
        <v>65</v>
      </c>
      <c r="T1034" s="4" t="str">
        <f>IF(E1034="",IF(ISNUMBER(SEARCH("NOT NULL",UPPER(E$3))),"''","null"),SUBSTITUTE(VLOOKUP(E$2,convert!$A$1:$B$4,2,0),"@@@",E1034))</f>
        <v>65</v>
      </c>
      <c r="U1034" s="4" t="str">
        <f>IF(F1034="",IF(ISNUMBER(SEARCH("NOT NULL",UPPER(F$3))),"''","null"),SUBSTITUTE(VLOOKUP(F$2,convert!$A$1:$B$4,2,0),"@@@",F1034))</f>
        <v>134</v>
      </c>
      <c r="V1034" s="4" t="str">
        <f>IF(G1034="",IF(ISNUMBER(SEARCH("NOT NULL",UPPER(G$3))),"''","null"),SUBSTITUTE(VLOOKUP(G$2,convert!$A$1:$B$4,2,0),"@@@",G1034))</f>
        <v>114</v>
      </c>
      <c r="W1034" s="4" t="str">
        <f>IF(H1034="",IF(ISNUMBER(SEARCH("NOT NULL",UPPER(H$3))),"''","null"),SUBSTITUTE(VLOOKUP(H$2,convert!$A$1:$B$4,2,0),"@@@",H1034))</f>
        <v>70</v>
      </c>
      <c r="X1034" s="4" t="str">
        <f>IF(I1034="",IF(ISNUMBER(SEARCH("NOT NULL",UPPER(I$3))),"''","null"),SUBSTITUTE(VLOOKUP(I$2,convert!$A$1:$B$4,2,0),"@@@",I1034))</f>
        <v>'がんさくフォルム'</v>
      </c>
      <c r="Y1034" s="4" t="str">
        <f>IF(J1034="",IF(ISNUMBER(SEARCH("NOT NULL",UPPER(J$3))),"''","null"),SUBSTITUTE(VLOOKUP(J$2,convert!$A$1:$B$4,2,0),"@@@",J1034))</f>
        <v>'ghost'</v>
      </c>
      <c r="Z1034" s="4" t="str">
        <f>IF(K1034="",IF(ISNUMBER(SEARCH("NOT NULL",UPPER(K$3))),"''","null"),SUBSTITUTE(VLOOKUP(K$2,convert!$A$1:$B$4,2,0),"@@@",K1034))</f>
        <v>null</v>
      </c>
      <c r="AA1034" s="4" t="str">
        <f>IF(L1034="",IF(ISNUMBER(SEARCH("NOT NULL",UPPER(L$3))),"''","null"),SUBSTITUTE(VLOOKUP(L$2,convert!$A$1:$B$4,2,0),"@@@",L1034))</f>
        <v>'g8'</v>
      </c>
      <c r="AB1034" s="4" t="str">
        <f>IF(M1034="",IF(ISNUMBER(SEARCH("NOT NULL",UPPER(M$3))),"''","null"),SUBSTITUTE(VLOOKUP(M$2,convert!$A$1:$B$4,2,0),"@@@",M1034))</f>
        <v>null</v>
      </c>
      <c r="AC1034" s="4" t="str">
        <f>IF(N1034="",IF(ISNUMBER(SEARCH("NOT NULL",UPPER(N$3))),"''","null"),SUBSTITUTE(VLOOKUP(N$2,convert!$A$1:$B$4,2,0),"@@@",N1034))</f>
        <v>null</v>
      </c>
      <c r="AD1034" s="4" t="str">
        <f>IF(O1034="",IF(ISNUMBER(SEARCH("NOT NULL",UPPER(O$3))),"''","null"),SUBSTITUTE(VLOOKUP(O$2,convert!$A$1:$B$4,2,0),"@@@",O1034))</f>
        <v>FALSE</v>
      </c>
      <c r="AE1034" s="4" t="str">
        <f t="shared" si="16"/>
        <v>    ('0855N01', 'ポットデス', 60, 65, 65, 134, 114, 70, 'がんさくフォルム', 'ghost', null, 'g8', null, null, FALSE),</v>
      </c>
    </row>
    <row r="1035" spans="1:31">
      <c r="A1035" s="4" t="s">
        <v>2078</v>
      </c>
      <c r="B1035" s="4" t="s">
        <v>2077</v>
      </c>
      <c r="C1035" s="5">
        <v>60</v>
      </c>
      <c r="D1035" s="5">
        <v>65</v>
      </c>
      <c r="E1035" s="5">
        <v>65</v>
      </c>
      <c r="F1035" s="5">
        <v>134</v>
      </c>
      <c r="G1035" s="5">
        <v>114</v>
      </c>
      <c r="H1035" s="5">
        <v>70</v>
      </c>
      <c r="I1035" s="4" t="s">
        <v>2075</v>
      </c>
      <c r="J1035" s="4" t="s">
        <v>281</v>
      </c>
      <c r="K1035" s="5"/>
      <c r="L1035" s="4" t="s">
        <v>179</v>
      </c>
      <c r="M1035" s="5"/>
      <c r="N1035" s="5"/>
      <c r="O1035" s="5" t="b">
        <v>0</v>
      </c>
      <c r="P1035" s="4" t="str">
        <f>IF(A1035="",IF(ISNUMBER(SEARCH("NOT NULL",UPPER(A$3))),"''","null"),SUBSTITUTE(VLOOKUP(A$2,convert!$A$1:$B$4,2,0),"@@@",A1035))</f>
        <v>'0855N02'</v>
      </c>
      <c r="Q1035" s="4" t="str">
        <f>IF(B1035="",IF(ISNUMBER(SEARCH("NOT NULL",UPPER(B$3))),"''","null"),SUBSTITUTE(VLOOKUP(B$2,convert!$A$1:$B$4,2,0),"@@@",B1035))</f>
        <v>'ポットデス'</v>
      </c>
      <c r="R1035" s="4" t="str">
        <f>IF(C1035="",IF(ISNUMBER(SEARCH("NOT NULL",UPPER(C$3))),"''","null"),SUBSTITUTE(VLOOKUP(C$2,convert!$A$1:$B$4,2,0),"@@@",C1035))</f>
        <v>60</v>
      </c>
      <c r="S1035" s="4" t="str">
        <f>IF(D1035="",IF(ISNUMBER(SEARCH("NOT NULL",UPPER(D$3))),"''","null"),SUBSTITUTE(VLOOKUP(D$2,convert!$A$1:$B$4,2,0),"@@@",D1035))</f>
        <v>65</v>
      </c>
      <c r="T1035" s="4" t="str">
        <f>IF(E1035="",IF(ISNUMBER(SEARCH("NOT NULL",UPPER(E$3))),"''","null"),SUBSTITUTE(VLOOKUP(E$2,convert!$A$1:$B$4,2,0),"@@@",E1035))</f>
        <v>65</v>
      </c>
      <c r="U1035" s="4" t="str">
        <f>IF(F1035="",IF(ISNUMBER(SEARCH("NOT NULL",UPPER(F$3))),"''","null"),SUBSTITUTE(VLOOKUP(F$2,convert!$A$1:$B$4,2,0),"@@@",F1035))</f>
        <v>134</v>
      </c>
      <c r="V1035" s="4" t="str">
        <f>IF(G1035="",IF(ISNUMBER(SEARCH("NOT NULL",UPPER(G$3))),"''","null"),SUBSTITUTE(VLOOKUP(G$2,convert!$A$1:$B$4,2,0),"@@@",G1035))</f>
        <v>114</v>
      </c>
      <c r="W1035" s="4" t="str">
        <f>IF(H1035="",IF(ISNUMBER(SEARCH("NOT NULL",UPPER(H$3))),"''","null"),SUBSTITUTE(VLOOKUP(H$2,convert!$A$1:$B$4,2,0),"@@@",H1035))</f>
        <v>70</v>
      </c>
      <c r="X1035" s="4" t="str">
        <f>IF(I1035="",IF(ISNUMBER(SEARCH("NOT NULL",UPPER(I$3))),"''","null"),SUBSTITUTE(VLOOKUP(I$2,convert!$A$1:$B$4,2,0),"@@@",I1035))</f>
        <v>'しんさくフォルム'</v>
      </c>
      <c r="Y1035" s="4" t="str">
        <f>IF(J1035="",IF(ISNUMBER(SEARCH("NOT NULL",UPPER(J$3))),"''","null"),SUBSTITUTE(VLOOKUP(J$2,convert!$A$1:$B$4,2,0),"@@@",J1035))</f>
        <v>'ghost'</v>
      </c>
      <c r="Z1035" s="4" t="str">
        <f>IF(K1035="",IF(ISNUMBER(SEARCH("NOT NULL",UPPER(K$3))),"''","null"),SUBSTITUTE(VLOOKUP(K$2,convert!$A$1:$B$4,2,0),"@@@",K1035))</f>
        <v>null</v>
      </c>
      <c r="AA1035" s="4" t="str">
        <f>IF(L1035="",IF(ISNUMBER(SEARCH("NOT NULL",UPPER(L$3))),"''","null"),SUBSTITUTE(VLOOKUP(L$2,convert!$A$1:$B$4,2,0),"@@@",L1035))</f>
        <v>'g8'</v>
      </c>
      <c r="AB1035" s="4" t="str">
        <f>IF(M1035="",IF(ISNUMBER(SEARCH("NOT NULL",UPPER(M$3))),"''","null"),SUBSTITUTE(VLOOKUP(M$2,convert!$A$1:$B$4,2,0),"@@@",M1035))</f>
        <v>null</v>
      </c>
      <c r="AC1035" s="4" t="str">
        <f>IF(N1035="",IF(ISNUMBER(SEARCH("NOT NULL",UPPER(N$3))),"''","null"),SUBSTITUTE(VLOOKUP(N$2,convert!$A$1:$B$4,2,0),"@@@",N1035))</f>
        <v>null</v>
      </c>
      <c r="AD1035" s="4" t="str">
        <f>IF(O1035="",IF(ISNUMBER(SEARCH("NOT NULL",UPPER(O$3))),"''","null"),SUBSTITUTE(VLOOKUP(O$2,convert!$A$1:$B$4,2,0),"@@@",O1035))</f>
        <v>FALSE</v>
      </c>
      <c r="AE1035" s="4" t="str">
        <f t="shared" si="16"/>
        <v>    ('0855N02', 'ポットデス', 60, 65, 65, 134, 114, 70, 'しんさくフォルム', 'ghost', null, 'g8', null, null, FALSE),</v>
      </c>
    </row>
    <row r="1036" spans="1:31">
      <c r="A1036" s="4" t="s">
        <v>2079</v>
      </c>
      <c r="B1036" s="4" t="s">
        <v>2080</v>
      </c>
      <c r="C1036" s="5">
        <v>42</v>
      </c>
      <c r="D1036" s="5">
        <v>30</v>
      </c>
      <c r="E1036" s="5">
        <v>45</v>
      </c>
      <c r="F1036" s="5">
        <v>56</v>
      </c>
      <c r="G1036" s="5">
        <v>53</v>
      </c>
      <c r="H1036" s="5">
        <v>39</v>
      </c>
      <c r="I1036" s="5"/>
      <c r="J1036" s="4" t="s">
        <v>113</v>
      </c>
      <c r="K1036" s="5"/>
      <c r="L1036" s="4" t="s">
        <v>179</v>
      </c>
      <c r="M1036" s="5"/>
      <c r="N1036" s="5"/>
      <c r="O1036" s="5" t="b">
        <v>0</v>
      </c>
      <c r="P1036" s="4" t="str">
        <f>IF(A1036="",IF(ISNUMBER(SEARCH("NOT NULL",UPPER(A$3))),"''","null"),SUBSTITUTE(VLOOKUP(A$2,convert!$A$1:$B$4,2,0),"@@@",A1036))</f>
        <v>'0856N01'</v>
      </c>
      <c r="Q1036" s="4" t="str">
        <f>IF(B1036="",IF(ISNUMBER(SEARCH("NOT NULL",UPPER(B$3))),"''","null"),SUBSTITUTE(VLOOKUP(B$2,convert!$A$1:$B$4,2,0),"@@@",B1036))</f>
        <v>'ミブリム'</v>
      </c>
      <c r="R1036" s="4" t="str">
        <f>IF(C1036="",IF(ISNUMBER(SEARCH("NOT NULL",UPPER(C$3))),"''","null"),SUBSTITUTE(VLOOKUP(C$2,convert!$A$1:$B$4,2,0),"@@@",C1036))</f>
        <v>42</v>
      </c>
      <c r="S1036" s="4" t="str">
        <f>IF(D1036="",IF(ISNUMBER(SEARCH("NOT NULL",UPPER(D$3))),"''","null"),SUBSTITUTE(VLOOKUP(D$2,convert!$A$1:$B$4,2,0),"@@@",D1036))</f>
        <v>30</v>
      </c>
      <c r="T1036" s="4" t="str">
        <f>IF(E1036="",IF(ISNUMBER(SEARCH("NOT NULL",UPPER(E$3))),"''","null"),SUBSTITUTE(VLOOKUP(E$2,convert!$A$1:$B$4,2,0),"@@@",E1036))</f>
        <v>45</v>
      </c>
      <c r="U1036" s="4" t="str">
        <f>IF(F1036="",IF(ISNUMBER(SEARCH("NOT NULL",UPPER(F$3))),"''","null"),SUBSTITUTE(VLOOKUP(F$2,convert!$A$1:$B$4,2,0),"@@@",F1036))</f>
        <v>56</v>
      </c>
      <c r="V1036" s="4" t="str">
        <f>IF(G1036="",IF(ISNUMBER(SEARCH("NOT NULL",UPPER(G$3))),"''","null"),SUBSTITUTE(VLOOKUP(G$2,convert!$A$1:$B$4,2,0),"@@@",G1036))</f>
        <v>53</v>
      </c>
      <c r="W1036" s="4" t="str">
        <f>IF(H1036="",IF(ISNUMBER(SEARCH("NOT NULL",UPPER(H$3))),"''","null"),SUBSTITUTE(VLOOKUP(H$2,convert!$A$1:$B$4,2,0),"@@@",H1036))</f>
        <v>39</v>
      </c>
      <c r="X1036" s="4" t="str">
        <f>IF(I1036="",IF(ISNUMBER(SEARCH("NOT NULL",UPPER(I$3))),"''","null"),SUBSTITUTE(VLOOKUP(I$2,convert!$A$1:$B$4,2,0),"@@@",I1036))</f>
        <v>''</v>
      </c>
      <c r="Y1036" s="4" t="str">
        <f>IF(J1036="",IF(ISNUMBER(SEARCH("NOT NULL",UPPER(J$3))),"''","null"),SUBSTITUTE(VLOOKUP(J$2,convert!$A$1:$B$4,2,0),"@@@",J1036))</f>
        <v>'psychic'</v>
      </c>
      <c r="Z1036" s="4" t="str">
        <f>IF(K1036="",IF(ISNUMBER(SEARCH("NOT NULL",UPPER(K$3))),"''","null"),SUBSTITUTE(VLOOKUP(K$2,convert!$A$1:$B$4,2,0),"@@@",K1036))</f>
        <v>null</v>
      </c>
      <c r="AA1036" s="4" t="str">
        <f>IF(L1036="",IF(ISNUMBER(SEARCH("NOT NULL",UPPER(L$3))),"''","null"),SUBSTITUTE(VLOOKUP(L$2,convert!$A$1:$B$4,2,0),"@@@",L1036))</f>
        <v>'g8'</v>
      </c>
      <c r="AB1036" s="4" t="str">
        <f>IF(M1036="",IF(ISNUMBER(SEARCH("NOT NULL",UPPER(M$3))),"''","null"),SUBSTITUTE(VLOOKUP(M$2,convert!$A$1:$B$4,2,0),"@@@",M1036))</f>
        <v>null</v>
      </c>
      <c r="AC1036" s="4" t="str">
        <f>IF(N1036="",IF(ISNUMBER(SEARCH("NOT NULL",UPPER(N$3))),"''","null"),SUBSTITUTE(VLOOKUP(N$2,convert!$A$1:$B$4,2,0),"@@@",N1036))</f>
        <v>null</v>
      </c>
      <c r="AD1036" s="4" t="str">
        <f>IF(O1036="",IF(ISNUMBER(SEARCH("NOT NULL",UPPER(O$3))),"''","null"),SUBSTITUTE(VLOOKUP(O$2,convert!$A$1:$B$4,2,0),"@@@",O1036))</f>
        <v>FALSE</v>
      </c>
      <c r="AE1036" s="4" t="str">
        <f t="shared" si="16"/>
        <v>    ('0856N01', 'ミブリム', 42, 30, 45, 56, 53, 39, '', 'psychic', null, 'g8', null, null, FALSE),</v>
      </c>
    </row>
    <row r="1037" spans="1:31">
      <c r="A1037" s="4" t="s">
        <v>2081</v>
      </c>
      <c r="B1037" s="4" t="s">
        <v>2082</v>
      </c>
      <c r="C1037" s="5">
        <v>57</v>
      </c>
      <c r="D1037" s="5">
        <v>40</v>
      </c>
      <c r="E1037" s="5">
        <v>65</v>
      </c>
      <c r="F1037" s="5">
        <v>86</v>
      </c>
      <c r="G1037" s="5">
        <v>73</v>
      </c>
      <c r="H1037" s="5">
        <v>49</v>
      </c>
      <c r="I1037" s="5"/>
      <c r="J1037" s="4" t="s">
        <v>113</v>
      </c>
      <c r="K1037" s="5"/>
      <c r="L1037" s="4" t="s">
        <v>179</v>
      </c>
      <c r="M1037" s="5"/>
      <c r="N1037" s="5"/>
      <c r="O1037" s="5" t="b">
        <v>0</v>
      </c>
      <c r="P1037" s="4" t="str">
        <f>IF(A1037="",IF(ISNUMBER(SEARCH("NOT NULL",UPPER(A$3))),"''","null"),SUBSTITUTE(VLOOKUP(A$2,convert!$A$1:$B$4,2,0),"@@@",A1037))</f>
        <v>'0857N01'</v>
      </c>
      <c r="Q1037" s="4" t="str">
        <f>IF(B1037="",IF(ISNUMBER(SEARCH("NOT NULL",UPPER(B$3))),"''","null"),SUBSTITUTE(VLOOKUP(B$2,convert!$A$1:$B$4,2,0),"@@@",B1037))</f>
        <v>'テブリム'</v>
      </c>
      <c r="R1037" s="4" t="str">
        <f>IF(C1037="",IF(ISNUMBER(SEARCH("NOT NULL",UPPER(C$3))),"''","null"),SUBSTITUTE(VLOOKUP(C$2,convert!$A$1:$B$4,2,0),"@@@",C1037))</f>
        <v>57</v>
      </c>
      <c r="S1037" s="4" t="str">
        <f>IF(D1037="",IF(ISNUMBER(SEARCH("NOT NULL",UPPER(D$3))),"''","null"),SUBSTITUTE(VLOOKUP(D$2,convert!$A$1:$B$4,2,0),"@@@",D1037))</f>
        <v>40</v>
      </c>
      <c r="T1037" s="4" t="str">
        <f>IF(E1037="",IF(ISNUMBER(SEARCH("NOT NULL",UPPER(E$3))),"''","null"),SUBSTITUTE(VLOOKUP(E$2,convert!$A$1:$B$4,2,0),"@@@",E1037))</f>
        <v>65</v>
      </c>
      <c r="U1037" s="4" t="str">
        <f>IF(F1037="",IF(ISNUMBER(SEARCH("NOT NULL",UPPER(F$3))),"''","null"),SUBSTITUTE(VLOOKUP(F$2,convert!$A$1:$B$4,2,0),"@@@",F1037))</f>
        <v>86</v>
      </c>
      <c r="V1037" s="4" t="str">
        <f>IF(G1037="",IF(ISNUMBER(SEARCH("NOT NULL",UPPER(G$3))),"''","null"),SUBSTITUTE(VLOOKUP(G$2,convert!$A$1:$B$4,2,0),"@@@",G1037))</f>
        <v>73</v>
      </c>
      <c r="W1037" s="4" t="str">
        <f>IF(H1037="",IF(ISNUMBER(SEARCH("NOT NULL",UPPER(H$3))),"''","null"),SUBSTITUTE(VLOOKUP(H$2,convert!$A$1:$B$4,2,0),"@@@",H1037))</f>
        <v>49</v>
      </c>
      <c r="X1037" s="4" t="str">
        <f>IF(I1037="",IF(ISNUMBER(SEARCH("NOT NULL",UPPER(I$3))),"''","null"),SUBSTITUTE(VLOOKUP(I$2,convert!$A$1:$B$4,2,0),"@@@",I1037))</f>
        <v>''</v>
      </c>
      <c r="Y1037" s="4" t="str">
        <f>IF(J1037="",IF(ISNUMBER(SEARCH("NOT NULL",UPPER(J$3))),"''","null"),SUBSTITUTE(VLOOKUP(J$2,convert!$A$1:$B$4,2,0),"@@@",J1037))</f>
        <v>'psychic'</v>
      </c>
      <c r="Z1037" s="4" t="str">
        <f>IF(K1037="",IF(ISNUMBER(SEARCH("NOT NULL",UPPER(K$3))),"''","null"),SUBSTITUTE(VLOOKUP(K$2,convert!$A$1:$B$4,2,0),"@@@",K1037))</f>
        <v>null</v>
      </c>
      <c r="AA1037" s="4" t="str">
        <f>IF(L1037="",IF(ISNUMBER(SEARCH("NOT NULL",UPPER(L$3))),"''","null"),SUBSTITUTE(VLOOKUP(L$2,convert!$A$1:$B$4,2,0),"@@@",L1037))</f>
        <v>'g8'</v>
      </c>
      <c r="AB1037" s="4" t="str">
        <f>IF(M1037="",IF(ISNUMBER(SEARCH("NOT NULL",UPPER(M$3))),"''","null"),SUBSTITUTE(VLOOKUP(M$2,convert!$A$1:$B$4,2,0),"@@@",M1037))</f>
        <v>null</v>
      </c>
      <c r="AC1037" s="4" t="str">
        <f>IF(N1037="",IF(ISNUMBER(SEARCH("NOT NULL",UPPER(N$3))),"''","null"),SUBSTITUTE(VLOOKUP(N$2,convert!$A$1:$B$4,2,0),"@@@",N1037))</f>
        <v>null</v>
      </c>
      <c r="AD1037" s="4" t="str">
        <f>IF(O1037="",IF(ISNUMBER(SEARCH("NOT NULL",UPPER(O$3))),"''","null"),SUBSTITUTE(VLOOKUP(O$2,convert!$A$1:$B$4,2,0),"@@@",O1037))</f>
        <v>FALSE</v>
      </c>
      <c r="AE1037" s="4" t="str">
        <f t="shared" si="16"/>
        <v>    ('0857N01', 'テブリム', 57, 40, 65, 86, 73, 49, '', 'psychic', null, 'g8', null, null, FALSE),</v>
      </c>
    </row>
    <row r="1038" spans="1:31">
      <c r="A1038" s="4" t="s">
        <v>2083</v>
      </c>
      <c r="B1038" s="4" t="s">
        <v>2084</v>
      </c>
      <c r="C1038" s="5">
        <v>57</v>
      </c>
      <c r="D1038" s="5">
        <v>90</v>
      </c>
      <c r="E1038" s="5">
        <v>95</v>
      </c>
      <c r="F1038" s="5">
        <v>136</v>
      </c>
      <c r="G1038" s="5">
        <v>103</v>
      </c>
      <c r="H1038" s="5">
        <v>29</v>
      </c>
      <c r="I1038" s="5"/>
      <c r="J1038" s="4" t="s">
        <v>113</v>
      </c>
      <c r="K1038" s="4" t="s">
        <v>137</v>
      </c>
      <c r="L1038" s="4" t="s">
        <v>179</v>
      </c>
      <c r="M1038" s="5"/>
      <c r="N1038" s="5"/>
      <c r="O1038" s="5" t="b">
        <v>0</v>
      </c>
      <c r="P1038" s="4" t="str">
        <f>IF(A1038="",IF(ISNUMBER(SEARCH("NOT NULL",UPPER(A$3))),"''","null"),SUBSTITUTE(VLOOKUP(A$2,convert!$A$1:$B$4,2,0),"@@@",A1038))</f>
        <v>'0858N01'</v>
      </c>
      <c r="Q1038" s="4" t="str">
        <f>IF(B1038="",IF(ISNUMBER(SEARCH("NOT NULL",UPPER(B$3))),"''","null"),SUBSTITUTE(VLOOKUP(B$2,convert!$A$1:$B$4,2,0),"@@@",B1038))</f>
        <v>'ブリムオン'</v>
      </c>
      <c r="R1038" s="4" t="str">
        <f>IF(C1038="",IF(ISNUMBER(SEARCH("NOT NULL",UPPER(C$3))),"''","null"),SUBSTITUTE(VLOOKUP(C$2,convert!$A$1:$B$4,2,0),"@@@",C1038))</f>
        <v>57</v>
      </c>
      <c r="S1038" s="4" t="str">
        <f>IF(D1038="",IF(ISNUMBER(SEARCH("NOT NULL",UPPER(D$3))),"''","null"),SUBSTITUTE(VLOOKUP(D$2,convert!$A$1:$B$4,2,0),"@@@",D1038))</f>
        <v>90</v>
      </c>
      <c r="T1038" s="4" t="str">
        <f>IF(E1038="",IF(ISNUMBER(SEARCH("NOT NULL",UPPER(E$3))),"''","null"),SUBSTITUTE(VLOOKUP(E$2,convert!$A$1:$B$4,2,0),"@@@",E1038))</f>
        <v>95</v>
      </c>
      <c r="U1038" s="4" t="str">
        <f>IF(F1038="",IF(ISNUMBER(SEARCH("NOT NULL",UPPER(F$3))),"''","null"),SUBSTITUTE(VLOOKUP(F$2,convert!$A$1:$B$4,2,0),"@@@",F1038))</f>
        <v>136</v>
      </c>
      <c r="V1038" s="4" t="str">
        <f>IF(G1038="",IF(ISNUMBER(SEARCH("NOT NULL",UPPER(G$3))),"''","null"),SUBSTITUTE(VLOOKUP(G$2,convert!$A$1:$B$4,2,0),"@@@",G1038))</f>
        <v>103</v>
      </c>
      <c r="W1038" s="4" t="str">
        <f>IF(H1038="",IF(ISNUMBER(SEARCH("NOT NULL",UPPER(H$3))),"''","null"),SUBSTITUTE(VLOOKUP(H$2,convert!$A$1:$B$4,2,0),"@@@",H1038))</f>
        <v>29</v>
      </c>
      <c r="X1038" s="4" t="str">
        <f>IF(I1038="",IF(ISNUMBER(SEARCH("NOT NULL",UPPER(I$3))),"''","null"),SUBSTITUTE(VLOOKUP(I$2,convert!$A$1:$B$4,2,0),"@@@",I1038))</f>
        <v>''</v>
      </c>
      <c r="Y1038" s="4" t="str">
        <f>IF(J1038="",IF(ISNUMBER(SEARCH("NOT NULL",UPPER(J$3))),"''","null"),SUBSTITUTE(VLOOKUP(J$2,convert!$A$1:$B$4,2,0),"@@@",J1038))</f>
        <v>'psychic'</v>
      </c>
      <c r="Z1038" s="4" t="str">
        <f>IF(K1038="",IF(ISNUMBER(SEARCH("NOT NULL",UPPER(K$3))),"''","null"),SUBSTITUTE(VLOOKUP(K$2,convert!$A$1:$B$4,2,0),"@@@",K1038))</f>
        <v>'fairy'</v>
      </c>
      <c r="AA1038" s="4" t="str">
        <f>IF(L1038="",IF(ISNUMBER(SEARCH("NOT NULL",UPPER(L$3))),"''","null"),SUBSTITUTE(VLOOKUP(L$2,convert!$A$1:$B$4,2,0),"@@@",L1038))</f>
        <v>'g8'</v>
      </c>
      <c r="AB1038" s="4" t="str">
        <f>IF(M1038="",IF(ISNUMBER(SEARCH("NOT NULL",UPPER(M$3))),"''","null"),SUBSTITUTE(VLOOKUP(M$2,convert!$A$1:$B$4,2,0),"@@@",M1038))</f>
        <v>null</v>
      </c>
      <c r="AC1038" s="4" t="str">
        <f>IF(N1038="",IF(ISNUMBER(SEARCH("NOT NULL",UPPER(N$3))),"''","null"),SUBSTITUTE(VLOOKUP(N$2,convert!$A$1:$B$4,2,0),"@@@",N1038))</f>
        <v>null</v>
      </c>
      <c r="AD1038" s="4" t="str">
        <f>IF(O1038="",IF(ISNUMBER(SEARCH("NOT NULL",UPPER(O$3))),"''","null"),SUBSTITUTE(VLOOKUP(O$2,convert!$A$1:$B$4,2,0),"@@@",O1038))</f>
        <v>FALSE</v>
      </c>
      <c r="AE1038" s="4" t="str">
        <f t="shared" si="16"/>
        <v>    ('0858N01', 'ブリムオン', 57, 90, 95, 136, 103, 29, '', 'psychic', 'fairy', 'g8', null, null, FALSE),</v>
      </c>
    </row>
    <row r="1039" spans="1:31">
      <c r="A1039" s="4" t="s">
        <v>2085</v>
      </c>
      <c r="B1039" s="4" t="s">
        <v>2086</v>
      </c>
      <c r="C1039" s="5">
        <v>45</v>
      </c>
      <c r="D1039" s="5">
        <v>45</v>
      </c>
      <c r="E1039" s="5">
        <v>30</v>
      </c>
      <c r="F1039" s="5">
        <v>55</v>
      </c>
      <c r="G1039" s="5">
        <v>40</v>
      </c>
      <c r="H1039" s="5">
        <v>50</v>
      </c>
      <c r="I1039" s="5"/>
      <c r="J1039" s="4" t="s">
        <v>91</v>
      </c>
      <c r="K1039" s="4" t="s">
        <v>137</v>
      </c>
      <c r="L1039" s="4" t="s">
        <v>179</v>
      </c>
      <c r="M1039" s="5"/>
      <c r="N1039" s="5"/>
      <c r="O1039" s="5" t="b">
        <v>0</v>
      </c>
      <c r="P1039" s="4" t="str">
        <f>IF(A1039="",IF(ISNUMBER(SEARCH("NOT NULL",UPPER(A$3))),"''","null"),SUBSTITUTE(VLOOKUP(A$2,convert!$A$1:$B$4,2,0),"@@@",A1039))</f>
        <v>'0859N01'</v>
      </c>
      <c r="Q1039" s="4" t="str">
        <f>IF(B1039="",IF(ISNUMBER(SEARCH("NOT NULL",UPPER(B$3))),"''","null"),SUBSTITUTE(VLOOKUP(B$2,convert!$A$1:$B$4,2,0),"@@@",B1039))</f>
        <v>'ベロバー'</v>
      </c>
      <c r="R1039" s="4" t="str">
        <f>IF(C1039="",IF(ISNUMBER(SEARCH("NOT NULL",UPPER(C$3))),"''","null"),SUBSTITUTE(VLOOKUP(C$2,convert!$A$1:$B$4,2,0),"@@@",C1039))</f>
        <v>45</v>
      </c>
      <c r="S1039" s="4" t="str">
        <f>IF(D1039="",IF(ISNUMBER(SEARCH("NOT NULL",UPPER(D$3))),"''","null"),SUBSTITUTE(VLOOKUP(D$2,convert!$A$1:$B$4,2,0),"@@@",D1039))</f>
        <v>45</v>
      </c>
      <c r="T1039" s="4" t="str">
        <f>IF(E1039="",IF(ISNUMBER(SEARCH("NOT NULL",UPPER(E$3))),"''","null"),SUBSTITUTE(VLOOKUP(E$2,convert!$A$1:$B$4,2,0),"@@@",E1039))</f>
        <v>30</v>
      </c>
      <c r="U1039" s="4" t="str">
        <f>IF(F1039="",IF(ISNUMBER(SEARCH("NOT NULL",UPPER(F$3))),"''","null"),SUBSTITUTE(VLOOKUP(F$2,convert!$A$1:$B$4,2,0),"@@@",F1039))</f>
        <v>55</v>
      </c>
      <c r="V1039" s="4" t="str">
        <f>IF(G1039="",IF(ISNUMBER(SEARCH("NOT NULL",UPPER(G$3))),"''","null"),SUBSTITUTE(VLOOKUP(G$2,convert!$A$1:$B$4,2,0),"@@@",G1039))</f>
        <v>40</v>
      </c>
      <c r="W1039" s="4" t="str">
        <f>IF(H1039="",IF(ISNUMBER(SEARCH("NOT NULL",UPPER(H$3))),"''","null"),SUBSTITUTE(VLOOKUP(H$2,convert!$A$1:$B$4,2,0),"@@@",H1039))</f>
        <v>50</v>
      </c>
      <c r="X1039" s="4" t="str">
        <f>IF(I1039="",IF(ISNUMBER(SEARCH("NOT NULL",UPPER(I$3))),"''","null"),SUBSTITUTE(VLOOKUP(I$2,convert!$A$1:$B$4,2,0),"@@@",I1039))</f>
        <v>''</v>
      </c>
      <c r="Y1039" s="4" t="str">
        <f>IF(J1039="",IF(ISNUMBER(SEARCH("NOT NULL",UPPER(J$3))),"''","null"),SUBSTITUTE(VLOOKUP(J$2,convert!$A$1:$B$4,2,0),"@@@",J1039))</f>
        <v>'dark'</v>
      </c>
      <c r="Z1039" s="4" t="str">
        <f>IF(K1039="",IF(ISNUMBER(SEARCH("NOT NULL",UPPER(K$3))),"''","null"),SUBSTITUTE(VLOOKUP(K$2,convert!$A$1:$B$4,2,0),"@@@",K1039))</f>
        <v>'fairy'</v>
      </c>
      <c r="AA1039" s="4" t="str">
        <f>IF(L1039="",IF(ISNUMBER(SEARCH("NOT NULL",UPPER(L$3))),"''","null"),SUBSTITUTE(VLOOKUP(L$2,convert!$A$1:$B$4,2,0),"@@@",L1039))</f>
        <v>'g8'</v>
      </c>
      <c r="AB1039" s="4" t="str">
        <f>IF(M1039="",IF(ISNUMBER(SEARCH("NOT NULL",UPPER(M$3))),"''","null"),SUBSTITUTE(VLOOKUP(M$2,convert!$A$1:$B$4,2,0),"@@@",M1039))</f>
        <v>null</v>
      </c>
      <c r="AC1039" s="4" t="str">
        <f>IF(N1039="",IF(ISNUMBER(SEARCH("NOT NULL",UPPER(N$3))),"''","null"),SUBSTITUTE(VLOOKUP(N$2,convert!$A$1:$B$4,2,0),"@@@",N1039))</f>
        <v>null</v>
      </c>
      <c r="AD1039" s="4" t="str">
        <f>IF(O1039="",IF(ISNUMBER(SEARCH("NOT NULL",UPPER(O$3))),"''","null"),SUBSTITUTE(VLOOKUP(O$2,convert!$A$1:$B$4,2,0),"@@@",O1039))</f>
        <v>FALSE</v>
      </c>
      <c r="AE1039" s="4" t="str">
        <f t="shared" si="16"/>
        <v>    ('0859N01', 'ベロバー', 45, 45, 30, 55, 40, 50, '', 'dark', 'fairy', 'g8', null, null, FALSE),</v>
      </c>
    </row>
    <row r="1040" spans="1:31">
      <c r="A1040" s="4" t="s">
        <v>2087</v>
      </c>
      <c r="B1040" s="4" t="s">
        <v>2088</v>
      </c>
      <c r="C1040" s="5">
        <v>65</v>
      </c>
      <c r="D1040" s="5">
        <v>60</v>
      </c>
      <c r="E1040" s="5">
        <v>45</v>
      </c>
      <c r="F1040" s="5">
        <v>75</v>
      </c>
      <c r="G1040" s="5">
        <v>55</v>
      </c>
      <c r="H1040" s="5">
        <v>70</v>
      </c>
      <c r="I1040" s="5"/>
      <c r="J1040" s="4" t="s">
        <v>91</v>
      </c>
      <c r="K1040" s="4" t="s">
        <v>137</v>
      </c>
      <c r="L1040" s="4" t="s">
        <v>179</v>
      </c>
      <c r="M1040" s="5"/>
      <c r="N1040" s="5"/>
      <c r="O1040" s="5" t="b">
        <v>0</v>
      </c>
      <c r="P1040" s="4" t="str">
        <f>IF(A1040="",IF(ISNUMBER(SEARCH("NOT NULL",UPPER(A$3))),"''","null"),SUBSTITUTE(VLOOKUP(A$2,convert!$A$1:$B$4,2,0),"@@@",A1040))</f>
        <v>'0860N01'</v>
      </c>
      <c r="Q1040" s="4" t="str">
        <f>IF(B1040="",IF(ISNUMBER(SEARCH("NOT NULL",UPPER(B$3))),"''","null"),SUBSTITUTE(VLOOKUP(B$2,convert!$A$1:$B$4,2,0),"@@@",B1040))</f>
        <v>'ギモー'</v>
      </c>
      <c r="R1040" s="4" t="str">
        <f>IF(C1040="",IF(ISNUMBER(SEARCH("NOT NULL",UPPER(C$3))),"''","null"),SUBSTITUTE(VLOOKUP(C$2,convert!$A$1:$B$4,2,0),"@@@",C1040))</f>
        <v>65</v>
      </c>
      <c r="S1040" s="4" t="str">
        <f>IF(D1040="",IF(ISNUMBER(SEARCH("NOT NULL",UPPER(D$3))),"''","null"),SUBSTITUTE(VLOOKUP(D$2,convert!$A$1:$B$4,2,0),"@@@",D1040))</f>
        <v>60</v>
      </c>
      <c r="T1040" s="4" t="str">
        <f>IF(E1040="",IF(ISNUMBER(SEARCH("NOT NULL",UPPER(E$3))),"''","null"),SUBSTITUTE(VLOOKUP(E$2,convert!$A$1:$B$4,2,0),"@@@",E1040))</f>
        <v>45</v>
      </c>
      <c r="U1040" s="4" t="str">
        <f>IF(F1040="",IF(ISNUMBER(SEARCH("NOT NULL",UPPER(F$3))),"''","null"),SUBSTITUTE(VLOOKUP(F$2,convert!$A$1:$B$4,2,0),"@@@",F1040))</f>
        <v>75</v>
      </c>
      <c r="V1040" s="4" t="str">
        <f>IF(G1040="",IF(ISNUMBER(SEARCH("NOT NULL",UPPER(G$3))),"''","null"),SUBSTITUTE(VLOOKUP(G$2,convert!$A$1:$B$4,2,0),"@@@",G1040))</f>
        <v>55</v>
      </c>
      <c r="W1040" s="4" t="str">
        <f>IF(H1040="",IF(ISNUMBER(SEARCH("NOT NULL",UPPER(H$3))),"''","null"),SUBSTITUTE(VLOOKUP(H$2,convert!$A$1:$B$4,2,0),"@@@",H1040))</f>
        <v>70</v>
      </c>
      <c r="X1040" s="4" t="str">
        <f>IF(I1040="",IF(ISNUMBER(SEARCH("NOT NULL",UPPER(I$3))),"''","null"),SUBSTITUTE(VLOOKUP(I$2,convert!$A$1:$B$4,2,0),"@@@",I1040))</f>
        <v>''</v>
      </c>
      <c r="Y1040" s="4" t="str">
        <f>IF(J1040="",IF(ISNUMBER(SEARCH("NOT NULL",UPPER(J$3))),"''","null"),SUBSTITUTE(VLOOKUP(J$2,convert!$A$1:$B$4,2,0),"@@@",J1040))</f>
        <v>'dark'</v>
      </c>
      <c r="Z1040" s="4" t="str">
        <f>IF(K1040="",IF(ISNUMBER(SEARCH("NOT NULL",UPPER(K$3))),"''","null"),SUBSTITUTE(VLOOKUP(K$2,convert!$A$1:$B$4,2,0),"@@@",K1040))</f>
        <v>'fairy'</v>
      </c>
      <c r="AA1040" s="4" t="str">
        <f>IF(L1040="",IF(ISNUMBER(SEARCH("NOT NULL",UPPER(L$3))),"''","null"),SUBSTITUTE(VLOOKUP(L$2,convert!$A$1:$B$4,2,0),"@@@",L1040))</f>
        <v>'g8'</v>
      </c>
      <c r="AB1040" s="4" t="str">
        <f>IF(M1040="",IF(ISNUMBER(SEARCH("NOT NULL",UPPER(M$3))),"''","null"),SUBSTITUTE(VLOOKUP(M$2,convert!$A$1:$B$4,2,0),"@@@",M1040))</f>
        <v>null</v>
      </c>
      <c r="AC1040" s="4" t="str">
        <f>IF(N1040="",IF(ISNUMBER(SEARCH("NOT NULL",UPPER(N$3))),"''","null"),SUBSTITUTE(VLOOKUP(N$2,convert!$A$1:$B$4,2,0),"@@@",N1040))</f>
        <v>null</v>
      </c>
      <c r="AD1040" s="4" t="str">
        <f>IF(O1040="",IF(ISNUMBER(SEARCH("NOT NULL",UPPER(O$3))),"''","null"),SUBSTITUTE(VLOOKUP(O$2,convert!$A$1:$B$4,2,0),"@@@",O1040))</f>
        <v>FALSE</v>
      </c>
      <c r="AE1040" s="4" t="str">
        <f t="shared" si="16"/>
        <v>    ('0860N01', 'ギモー', 65, 60, 45, 75, 55, 70, '', 'dark', 'fairy', 'g8', null, null, FALSE),</v>
      </c>
    </row>
    <row r="1041" spans="1:31">
      <c r="A1041" s="4" t="s">
        <v>2089</v>
      </c>
      <c r="B1041" s="4" t="s">
        <v>2090</v>
      </c>
      <c r="C1041" s="5">
        <v>95</v>
      </c>
      <c r="D1041" s="5">
        <v>120</v>
      </c>
      <c r="E1041" s="5">
        <v>65</v>
      </c>
      <c r="F1041" s="5">
        <v>95</v>
      </c>
      <c r="G1041" s="5">
        <v>75</v>
      </c>
      <c r="H1041" s="5">
        <v>60</v>
      </c>
      <c r="I1041" s="5"/>
      <c r="J1041" s="4" t="s">
        <v>91</v>
      </c>
      <c r="K1041" s="4" t="s">
        <v>137</v>
      </c>
      <c r="L1041" s="4" t="s">
        <v>179</v>
      </c>
      <c r="M1041" s="5"/>
      <c r="N1041" s="5"/>
      <c r="O1041" s="5" t="b">
        <v>0</v>
      </c>
      <c r="P1041" s="4" t="str">
        <f>IF(A1041="",IF(ISNUMBER(SEARCH("NOT NULL",UPPER(A$3))),"''","null"),SUBSTITUTE(VLOOKUP(A$2,convert!$A$1:$B$4,2,0),"@@@",A1041))</f>
        <v>'0861N01'</v>
      </c>
      <c r="Q1041" s="4" t="str">
        <f>IF(B1041="",IF(ISNUMBER(SEARCH("NOT NULL",UPPER(B$3))),"''","null"),SUBSTITUTE(VLOOKUP(B$2,convert!$A$1:$B$4,2,0),"@@@",B1041))</f>
        <v>'オーロンゲ'</v>
      </c>
      <c r="R1041" s="4" t="str">
        <f>IF(C1041="",IF(ISNUMBER(SEARCH("NOT NULL",UPPER(C$3))),"''","null"),SUBSTITUTE(VLOOKUP(C$2,convert!$A$1:$B$4,2,0),"@@@",C1041))</f>
        <v>95</v>
      </c>
      <c r="S1041" s="4" t="str">
        <f>IF(D1041="",IF(ISNUMBER(SEARCH("NOT NULL",UPPER(D$3))),"''","null"),SUBSTITUTE(VLOOKUP(D$2,convert!$A$1:$B$4,2,0),"@@@",D1041))</f>
        <v>120</v>
      </c>
      <c r="T1041" s="4" t="str">
        <f>IF(E1041="",IF(ISNUMBER(SEARCH("NOT NULL",UPPER(E$3))),"''","null"),SUBSTITUTE(VLOOKUP(E$2,convert!$A$1:$B$4,2,0),"@@@",E1041))</f>
        <v>65</v>
      </c>
      <c r="U1041" s="4" t="str">
        <f>IF(F1041="",IF(ISNUMBER(SEARCH("NOT NULL",UPPER(F$3))),"''","null"),SUBSTITUTE(VLOOKUP(F$2,convert!$A$1:$B$4,2,0),"@@@",F1041))</f>
        <v>95</v>
      </c>
      <c r="V1041" s="4" t="str">
        <f>IF(G1041="",IF(ISNUMBER(SEARCH("NOT NULL",UPPER(G$3))),"''","null"),SUBSTITUTE(VLOOKUP(G$2,convert!$A$1:$B$4,2,0),"@@@",G1041))</f>
        <v>75</v>
      </c>
      <c r="W1041" s="4" t="str">
        <f>IF(H1041="",IF(ISNUMBER(SEARCH("NOT NULL",UPPER(H$3))),"''","null"),SUBSTITUTE(VLOOKUP(H$2,convert!$A$1:$B$4,2,0),"@@@",H1041))</f>
        <v>60</v>
      </c>
      <c r="X1041" s="4" t="str">
        <f>IF(I1041="",IF(ISNUMBER(SEARCH("NOT NULL",UPPER(I$3))),"''","null"),SUBSTITUTE(VLOOKUP(I$2,convert!$A$1:$B$4,2,0),"@@@",I1041))</f>
        <v>''</v>
      </c>
      <c r="Y1041" s="4" t="str">
        <f>IF(J1041="",IF(ISNUMBER(SEARCH("NOT NULL",UPPER(J$3))),"''","null"),SUBSTITUTE(VLOOKUP(J$2,convert!$A$1:$B$4,2,0),"@@@",J1041))</f>
        <v>'dark'</v>
      </c>
      <c r="Z1041" s="4" t="str">
        <f>IF(K1041="",IF(ISNUMBER(SEARCH("NOT NULL",UPPER(K$3))),"''","null"),SUBSTITUTE(VLOOKUP(K$2,convert!$A$1:$B$4,2,0),"@@@",K1041))</f>
        <v>'fairy'</v>
      </c>
      <c r="AA1041" s="4" t="str">
        <f>IF(L1041="",IF(ISNUMBER(SEARCH("NOT NULL",UPPER(L$3))),"''","null"),SUBSTITUTE(VLOOKUP(L$2,convert!$A$1:$B$4,2,0),"@@@",L1041))</f>
        <v>'g8'</v>
      </c>
      <c r="AB1041" s="4" t="str">
        <f>IF(M1041="",IF(ISNUMBER(SEARCH("NOT NULL",UPPER(M$3))),"''","null"),SUBSTITUTE(VLOOKUP(M$2,convert!$A$1:$B$4,2,0),"@@@",M1041))</f>
        <v>null</v>
      </c>
      <c r="AC1041" s="4" t="str">
        <f>IF(N1041="",IF(ISNUMBER(SEARCH("NOT NULL",UPPER(N$3))),"''","null"),SUBSTITUTE(VLOOKUP(N$2,convert!$A$1:$B$4,2,0),"@@@",N1041))</f>
        <v>null</v>
      </c>
      <c r="AD1041" s="4" t="str">
        <f>IF(O1041="",IF(ISNUMBER(SEARCH("NOT NULL",UPPER(O$3))),"''","null"),SUBSTITUTE(VLOOKUP(O$2,convert!$A$1:$B$4,2,0),"@@@",O1041))</f>
        <v>FALSE</v>
      </c>
      <c r="AE1041" s="4" t="str">
        <f t="shared" si="16"/>
        <v>    ('0861N01', 'オーロンゲ', 95, 120, 65, 95, 75, 60, '', 'dark', 'fairy', 'g8', null, null, FALSE),</v>
      </c>
    </row>
    <row r="1042" spans="1:31">
      <c r="A1042" s="4" t="s">
        <v>2091</v>
      </c>
      <c r="B1042" s="4" t="s">
        <v>2092</v>
      </c>
      <c r="C1042" s="5">
        <v>93</v>
      </c>
      <c r="D1042" s="5">
        <v>90</v>
      </c>
      <c r="E1042" s="5">
        <v>101</v>
      </c>
      <c r="F1042" s="5">
        <v>60</v>
      </c>
      <c r="G1042" s="5">
        <v>81</v>
      </c>
      <c r="H1042" s="5">
        <v>95</v>
      </c>
      <c r="I1042" s="5"/>
      <c r="J1042" s="4" t="s">
        <v>91</v>
      </c>
      <c r="K1042" s="4" t="s">
        <v>80</v>
      </c>
      <c r="L1042" s="4" t="s">
        <v>179</v>
      </c>
      <c r="M1042" s="5"/>
      <c r="N1042" s="5"/>
      <c r="O1042" s="5" t="b">
        <v>1</v>
      </c>
      <c r="P1042" s="4" t="str">
        <f>IF(A1042="",IF(ISNUMBER(SEARCH("NOT NULL",UPPER(A$3))),"''","null"),SUBSTITUTE(VLOOKUP(A$2,convert!$A$1:$B$4,2,0),"@@@",A1042))</f>
        <v>'0862N01'</v>
      </c>
      <c r="Q1042" s="4" t="str">
        <f>IF(B1042="",IF(ISNUMBER(SEARCH("NOT NULL",UPPER(B$3))),"''","null"),SUBSTITUTE(VLOOKUP(B$2,convert!$A$1:$B$4,2,0),"@@@",B1042))</f>
        <v>'タチフサグマ'</v>
      </c>
      <c r="R1042" s="4" t="str">
        <f>IF(C1042="",IF(ISNUMBER(SEARCH("NOT NULL",UPPER(C$3))),"''","null"),SUBSTITUTE(VLOOKUP(C$2,convert!$A$1:$B$4,2,0),"@@@",C1042))</f>
        <v>93</v>
      </c>
      <c r="S1042" s="4" t="str">
        <f>IF(D1042="",IF(ISNUMBER(SEARCH("NOT NULL",UPPER(D$3))),"''","null"),SUBSTITUTE(VLOOKUP(D$2,convert!$A$1:$B$4,2,0),"@@@",D1042))</f>
        <v>90</v>
      </c>
      <c r="T1042" s="4" t="str">
        <f>IF(E1042="",IF(ISNUMBER(SEARCH("NOT NULL",UPPER(E$3))),"''","null"),SUBSTITUTE(VLOOKUP(E$2,convert!$A$1:$B$4,2,0),"@@@",E1042))</f>
        <v>101</v>
      </c>
      <c r="U1042" s="4" t="str">
        <f>IF(F1042="",IF(ISNUMBER(SEARCH("NOT NULL",UPPER(F$3))),"''","null"),SUBSTITUTE(VLOOKUP(F$2,convert!$A$1:$B$4,2,0),"@@@",F1042))</f>
        <v>60</v>
      </c>
      <c r="V1042" s="4" t="str">
        <f>IF(G1042="",IF(ISNUMBER(SEARCH("NOT NULL",UPPER(G$3))),"''","null"),SUBSTITUTE(VLOOKUP(G$2,convert!$A$1:$B$4,2,0),"@@@",G1042))</f>
        <v>81</v>
      </c>
      <c r="W1042" s="4" t="str">
        <f>IF(H1042="",IF(ISNUMBER(SEARCH("NOT NULL",UPPER(H$3))),"''","null"),SUBSTITUTE(VLOOKUP(H$2,convert!$A$1:$B$4,2,0),"@@@",H1042))</f>
        <v>95</v>
      </c>
      <c r="X1042" s="4" t="str">
        <f>IF(I1042="",IF(ISNUMBER(SEARCH("NOT NULL",UPPER(I$3))),"''","null"),SUBSTITUTE(VLOOKUP(I$2,convert!$A$1:$B$4,2,0),"@@@",I1042))</f>
        <v>''</v>
      </c>
      <c r="Y1042" s="4" t="str">
        <f>IF(J1042="",IF(ISNUMBER(SEARCH("NOT NULL",UPPER(J$3))),"''","null"),SUBSTITUTE(VLOOKUP(J$2,convert!$A$1:$B$4,2,0),"@@@",J1042))</f>
        <v>'dark'</v>
      </c>
      <c r="Z1042" s="4" t="str">
        <f>IF(K1042="",IF(ISNUMBER(SEARCH("NOT NULL",UPPER(K$3))),"''","null"),SUBSTITUTE(VLOOKUP(K$2,convert!$A$1:$B$4,2,0),"@@@",K1042))</f>
        <v>'normal'</v>
      </c>
      <c r="AA1042" s="4" t="str">
        <f>IF(L1042="",IF(ISNUMBER(SEARCH("NOT NULL",UPPER(L$3))),"''","null"),SUBSTITUTE(VLOOKUP(L$2,convert!$A$1:$B$4,2,0),"@@@",L1042))</f>
        <v>'g8'</v>
      </c>
      <c r="AB1042" s="4" t="str">
        <f>IF(M1042="",IF(ISNUMBER(SEARCH("NOT NULL",UPPER(M$3))),"''","null"),SUBSTITUTE(VLOOKUP(M$2,convert!$A$1:$B$4,2,0),"@@@",M1042))</f>
        <v>null</v>
      </c>
      <c r="AC1042" s="4" t="str">
        <f>IF(N1042="",IF(ISNUMBER(SEARCH("NOT NULL",UPPER(N$3))),"''","null"),SUBSTITUTE(VLOOKUP(N$2,convert!$A$1:$B$4,2,0),"@@@",N1042))</f>
        <v>null</v>
      </c>
      <c r="AD1042" s="4" t="str">
        <f>IF(O1042="",IF(ISNUMBER(SEARCH("NOT NULL",UPPER(O$3))),"''","null"),SUBSTITUTE(VLOOKUP(O$2,convert!$A$1:$B$4,2,0),"@@@",O1042))</f>
        <v>TRUE</v>
      </c>
      <c r="AE1042" s="4" t="str">
        <f t="shared" si="16"/>
        <v>    ('0862N01', 'タチフサグマ', 93, 90, 101, 60, 81, 95, '', 'dark', 'normal', 'g8', null, null, TRUE),</v>
      </c>
    </row>
    <row r="1043" spans="1:31">
      <c r="A1043" s="4" t="s">
        <v>2093</v>
      </c>
      <c r="B1043" s="4" t="s">
        <v>2094</v>
      </c>
      <c r="C1043" s="5">
        <v>70</v>
      </c>
      <c r="D1043" s="5">
        <v>110</v>
      </c>
      <c r="E1043" s="5">
        <v>100</v>
      </c>
      <c r="F1043" s="5">
        <v>50</v>
      </c>
      <c r="G1043" s="5">
        <v>60</v>
      </c>
      <c r="H1043" s="5">
        <v>50</v>
      </c>
      <c r="I1043" s="5"/>
      <c r="J1043" s="4" t="s">
        <v>119</v>
      </c>
      <c r="K1043" s="5"/>
      <c r="L1043" s="4" t="s">
        <v>179</v>
      </c>
      <c r="M1043" s="5"/>
      <c r="N1043" s="5"/>
      <c r="O1043" s="5" t="b">
        <v>1</v>
      </c>
      <c r="P1043" s="4" t="str">
        <f>IF(A1043="",IF(ISNUMBER(SEARCH("NOT NULL",UPPER(A$3))),"''","null"),SUBSTITUTE(VLOOKUP(A$2,convert!$A$1:$B$4,2,0),"@@@",A1043))</f>
        <v>'0863N01'</v>
      </c>
      <c r="Q1043" s="4" t="str">
        <f>IF(B1043="",IF(ISNUMBER(SEARCH("NOT NULL",UPPER(B$3))),"''","null"),SUBSTITUTE(VLOOKUP(B$2,convert!$A$1:$B$4,2,0),"@@@",B1043))</f>
        <v>'ニャイキング'</v>
      </c>
      <c r="R1043" s="4" t="str">
        <f>IF(C1043="",IF(ISNUMBER(SEARCH("NOT NULL",UPPER(C$3))),"''","null"),SUBSTITUTE(VLOOKUP(C$2,convert!$A$1:$B$4,2,0),"@@@",C1043))</f>
        <v>70</v>
      </c>
      <c r="S1043" s="4" t="str">
        <f>IF(D1043="",IF(ISNUMBER(SEARCH("NOT NULL",UPPER(D$3))),"''","null"),SUBSTITUTE(VLOOKUP(D$2,convert!$A$1:$B$4,2,0),"@@@",D1043))</f>
        <v>110</v>
      </c>
      <c r="T1043" s="4" t="str">
        <f>IF(E1043="",IF(ISNUMBER(SEARCH("NOT NULL",UPPER(E$3))),"''","null"),SUBSTITUTE(VLOOKUP(E$2,convert!$A$1:$B$4,2,0),"@@@",E1043))</f>
        <v>100</v>
      </c>
      <c r="U1043" s="4" t="str">
        <f>IF(F1043="",IF(ISNUMBER(SEARCH("NOT NULL",UPPER(F$3))),"''","null"),SUBSTITUTE(VLOOKUP(F$2,convert!$A$1:$B$4,2,0),"@@@",F1043))</f>
        <v>50</v>
      </c>
      <c r="V1043" s="4" t="str">
        <f>IF(G1043="",IF(ISNUMBER(SEARCH("NOT NULL",UPPER(G$3))),"''","null"),SUBSTITUTE(VLOOKUP(G$2,convert!$A$1:$B$4,2,0),"@@@",G1043))</f>
        <v>60</v>
      </c>
      <c r="W1043" s="4" t="str">
        <f>IF(H1043="",IF(ISNUMBER(SEARCH("NOT NULL",UPPER(H$3))),"''","null"),SUBSTITUTE(VLOOKUP(H$2,convert!$A$1:$B$4,2,0),"@@@",H1043))</f>
        <v>50</v>
      </c>
      <c r="X1043" s="4" t="str">
        <f>IF(I1043="",IF(ISNUMBER(SEARCH("NOT NULL",UPPER(I$3))),"''","null"),SUBSTITUTE(VLOOKUP(I$2,convert!$A$1:$B$4,2,0),"@@@",I1043))</f>
        <v>''</v>
      </c>
      <c r="Y1043" s="4" t="str">
        <f>IF(J1043="",IF(ISNUMBER(SEARCH("NOT NULL",UPPER(J$3))),"''","null"),SUBSTITUTE(VLOOKUP(J$2,convert!$A$1:$B$4,2,0),"@@@",J1043))</f>
        <v>'steel'</v>
      </c>
      <c r="Z1043" s="4" t="str">
        <f>IF(K1043="",IF(ISNUMBER(SEARCH("NOT NULL",UPPER(K$3))),"''","null"),SUBSTITUTE(VLOOKUP(K$2,convert!$A$1:$B$4,2,0),"@@@",K1043))</f>
        <v>null</v>
      </c>
      <c r="AA1043" s="4" t="str">
        <f>IF(L1043="",IF(ISNUMBER(SEARCH("NOT NULL",UPPER(L$3))),"''","null"),SUBSTITUTE(VLOOKUP(L$2,convert!$A$1:$B$4,2,0),"@@@",L1043))</f>
        <v>'g8'</v>
      </c>
      <c r="AB1043" s="4" t="str">
        <f>IF(M1043="",IF(ISNUMBER(SEARCH("NOT NULL",UPPER(M$3))),"''","null"),SUBSTITUTE(VLOOKUP(M$2,convert!$A$1:$B$4,2,0),"@@@",M1043))</f>
        <v>null</v>
      </c>
      <c r="AC1043" s="4" t="str">
        <f>IF(N1043="",IF(ISNUMBER(SEARCH("NOT NULL",UPPER(N$3))),"''","null"),SUBSTITUTE(VLOOKUP(N$2,convert!$A$1:$B$4,2,0),"@@@",N1043))</f>
        <v>null</v>
      </c>
      <c r="AD1043" s="4" t="str">
        <f>IF(O1043="",IF(ISNUMBER(SEARCH("NOT NULL",UPPER(O$3))),"''","null"),SUBSTITUTE(VLOOKUP(O$2,convert!$A$1:$B$4,2,0),"@@@",O1043))</f>
        <v>TRUE</v>
      </c>
      <c r="AE1043" s="4" t="str">
        <f t="shared" si="16"/>
        <v>    ('0863N01', 'ニャイキング', 70, 110, 100, 50, 60, 50, '', 'steel', null, 'g8', null, null, TRUE),</v>
      </c>
    </row>
    <row r="1044" spans="1:31">
      <c r="A1044" s="4" t="s">
        <v>2095</v>
      </c>
      <c r="B1044" s="4" t="s">
        <v>2096</v>
      </c>
      <c r="C1044" s="5">
        <v>60</v>
      </c>
      <c r="D1044" s="5">
        <v>95</v>
      </c>
      <c r="E1044" s="5">
        <v>50</v>
      </c>
      <c r="F1044" s="5">
        <v>145</v>
      </c>
      <c r="G1044" s="5">
        <v>130</v>
      </c>
      <c r="H1044" s="5">
        <v>30</v>
      </c>
      <c r="I1044" s="5"/>
      <c r="J1044" s="4" t="s">
        <v>281</v>
      </c>
      <c r="K1044" s="5"/>
      <c r="L1044" s="4" t="s">
        <v>179</v>
      </c>
      <c r="M1044" s="5"/>
      <c r="N1044" s="5"/>
      <c r="O1044" s="5" t="b">
        <v>0</v>
      </c>
      <c r="P1044" s="4" t="str">
        <f>IF(A1044="",IF(ISNUMBER(SEARCH("NOT NULL",UPPER(A$3))),"''","null"),SUBSTITUTE(VLOOKUP(A$2,convert!$A$1:$B$4,2,0),"@@@",A1044))</f>
        <v>'0864N01'</v>
      </c>
      <c r="Q1044" s="4" t="str">
        <f>IF(B1044="",IF(ISNUMBER(SEARCH("NOT NULL",UPPER(B$3))),"''","null"),SUBSTITUTE(VLOOKUP(B$2,convert!$A$1:$B$4,2,0),"@@@",B1044))</f>
        <v>'サニゴーン'</v>
      </c>
      <c r="R1044" s="4" t="str">
        <f>IF(C1044="",IF(ISNUMBER(SEARCH("NOT NULL",UPPER(C$3))),"''","null"),SUBSTITUTE(VLOOKUP(C$2,convert!$A$1:$B$4,2,0),"@@@",C1044))</f>
        <v>60</v>
      </c>
      <c r="S1044" s="4" t="str">
        <f>IF(D1044="",IF(ISNUMBER(SEARCH("NOT NULL",UPPER(D$3))),"''","null"),SUBSTITUTE(VLOOKUP(D$2,convert!$A$1:$B$4,2,0),"@@@",D1044))</f>
        <v>95</v>
      </c>
      <c r="T1044" s="4" t="str">
        <f>IF(E1044="",IF(ISNUMBER(SEARCH("NOT NULL",UPPER(E$3))),"''","null"),SUBSTITUTE(VLOOKUP(E$2,convert!$A$1:$B$4,2,0),"@@@",E1044))</f>
        <v>50</v>
      </c>
      <c r="U1044" s="4" t="str">
        <f>IF(F1044="",IF(ISNUMBER(SEARCH("NOT NULL",UPPER(F$3))),"''","null"),SUBSTITUTE(VLOOKUP(F$2,convert!$A$1:$B$4,2,0),"@@@",F1044))</f>
        <v>145</v>
      </c>
      <c r="V1044" s="4" t="str">
        <f>IF(G1044="",IF(ISNUMBER(SEARCH("NOT NULL",UPPER(G$3))),"''","null"),SUBSTITUTE(VLOOKUP(G$2,convert!$A$1:$B$4,2,0),"@@@",G1044))</f>
        <v>130</v>
      </c>
      <c r="W1044" s="4" t="str">
        <f>IF(H1044="",IF(ISNUMBER(SEARCH("NOT NULL",UPPER(H$3))),"''","null"),SUBSTITUTE(VLOOKUP(H$2,convert!$A$1:$B$4,2,0),"@@@",H1044))</f>
        <v>30</v>
      </c>
      <c r="X1044" s="4" t="str">
        <f>IF(I1044="",IF(ISNUMBER(SEARCH("NOT NULL",UPPER(I$3))),"''","null"),SUBSTITUTE(VLOOKUP(I$2,convert!$A$1:$B$4,2,0),"@@@",I1044))</f>
        <v>''</v>
      </c>
      <c r="Y1044" s="4" t="str">
        <f>IF(J1044="",IF(ISNUMBER(SEARCH("NOT NULL",UPPER(J$3))),"''","null"),SUBSTITUTE(VLOOKUP(J$2,convert!$A$1:$B$4,2,0),"@@@",J1044))</f>
        <v>'ghost'</v>
      </c>
      <c r="Z1044" s="4" t="str">
        <f>IF(K1044="",IF(ISNUMBER(SEARCH("NOT NULL",UPPER(K$3))),"''","null"),SUBSTITUTE(VLOOKUP(K$2,convert!$A$1:$B$4,2,0),"@@@",K1044))</f>
        <v>null</v>
      </c>
      <c r="AA1044" s="4" t="str">
        <f>IF(L1044="",IF(ISNUMBER(SEARCH("NOT NULL",UPPER(L$3))),"''","null"),SUBSTITUTE(VLOOKUP(L$2,convert!$A$1:$B$4,2,0),"@@@",L1044))</f>
        <v>'g8'</v>
      </c>
      <c r="AB1044" s="4" t="str">
        <f>IF(M1044="",IF(ISNUMBER(SEARCH("NOT NULL",UPPER(M$3))),"''","null"),SUBSTITUTE(VLOOKUP(M$2,convert!$A$1:$B$4,2,0),"@@@",M1044))</f>
        <v>null</v>
      </c>
      <c r="AC1044" s="4" t="str">
        <f>IF(N1044="",IF(ISNUMBER(SEARCH("NOT NULL",UPPER(N$3))),"''","null"),SUBSTITUTE(VLOOKUP(N$2,convert!$A$1:$B$4,2,0),"@@@",N1044))</f>
        <v>null</v>
      </c>
      <c r="AD1044" s="4" t="str">
        <f>IF(O1044="",IF(ISNUMBER(SEARCH("NOT NULL",UPPER(O$3))),"''","null"),SUBSTITUTE(VLOOKUP(O$2,convert!$A$1:$B$4,2,0),"@@@",O1044))</f>
        <v>FALSE</v>
      </c>
      <c r="AE1044" s="4" t="str">
        <f t="shared" si="16"/>
        <v>    ('0864N01', 'サニゴーン', 60, 95, 50, 145, 130, 30, '', 'ghost', null, 'g8', null, null, FALSE),</v>
      </c>
    </row>
    <row r="1045" spans="1:31">
      <c r="A1045" s="4" t="s">
        <v>2097</v>
      </c>
      <c r="B1045" s="4" t="s">
        <v>2098</v>
      </c>
      <c r="C1045" s="5">
        <v>62</v>
      </c>
      <c r="D1045" s="5">
        <v>135</v>
      </c>
      <c r="E1045" s="5">
        <v>95</v>
      </c>
      <c r="F1045" s="5">
        <v>68</v>
      </c>
      <c r="G1045" s="5">
        <v>82</v>
      </c>
      <c r="H1045" s="5">
        <v>65</v>
      </c>
      <c r="I1045" s="5"/>
      <c r="J1045" s="4" t="s">
        <v>189</v>
      </c>
      <c r="K1045" s="5"/>
      <c r="L1045" s="4" t="s">
        <v>179</v>
      </c>
      <c r="M1045" s="5"/>
      <c r="N1045" s="5"/>
      <c r="O1045" s="5" t="b">
        <v>1</v>
      </c>
      <c r="P1045" s="4" t="str">
        <f>IF(A1045="",IF(ISNUMBER(SEARCH("NOT NULL",UPPER(A$3))),"''","null"),SUBSTITUTE(VLOOKUP(A$2,convert!$A$1:$B$4,2,0),"@@@",A1045))</f>
        <v>'0865N01'</v>
      </c>
      <c r="Q1045" s="4" t="str">
        <f>IF(B1045="",IF(ISNUMBER(SEARCH("NOT NULL",UPPER(B$3))),"''","null"),SUBSTITUTE(VLOOKUP(B$2,convert!$A$1:$B$4,2,0),"@@@",B1045))</f>
        <v>'ネギガナイト'</v>
      </c>
      <c r="R1045" s="4" t="str">
        <f>IF(C1045="",IF(ISNUMBER(SEARCH("NOT NULL",UPPER(C$3))),"''","null"),SUBSTITUTE(VLOOKUP(C$2,convert!$A$1:$B$4,2,0),"@@@",C1045))</f>
        <v>62</v>
      </c>
      <c r="S1045" s="4" t="str">
        <f>IF(D1045="",IF(ISNUMBER(SEARCH("NOT NULL",UPPER(D$3))),"''","null"),SUBSTITUTE(VLOOKUP(D$2,convert!$A$1:$B$4,2,0),"@@@",D1045))</f>
        <v>135</v>
      </c>
      <c r="T1045" s="4" t="str">
        <f>IF(E1045="",IF(ISNUMBER(SEARCH("NOT NULL",UPPER(E$3))),"''","null"),SUBSTITUTE(VLOOKUP(E$2,convert!$A$1:$B$4,2,0),"@@@",E1045))</f>
        <v>95</v>
      </c>
      <c r="U1045" s="4" t="str">
        <f>IF(F1045="",IF(ISNUMBER(SEARCH("NOT NULL",UPPER(F$3))),"''","null"),SUBSTITUTE(VLOOKUP(F$2,convert!$A$1:$B$4,2,0),"@@@",F1045))</f>
        <v>68</v>
      </c>
      <c r="V1045" s="4" t="str">
        <f>IF(G1045="",IF(ISNUMBER(SEARCH("NOT NULL",UPPER(G$3))),"''","null"),SUBSTITUTE(VLOOKUP(G$2,convert!$A$1:$B$4,2,0),"@@@",G1045))</f>
        <v>82</v>
      </c>
      <c r="W1045" s="4" t="str">
        <f>IF(H1045="",IF(ISNUMBER(SEARCH("NOT NULL",UPPER(H$3))),"''","null"),SUBSTITUTE(VLOOKUP(H$2,convert!$A$1:$B$4,2,0),"@@@",H1045))</f>
        <v>65</v>
      </c>
      <c r="X1045" s="4" t="str">
        <f>IF(I1045="",IF(ISNUMBER(SEARCH("NOT NULL",UPPER(I$3))),"''","null"),SUBSTITUTE(VLOOKUP(I$2,convert!$A$1:$B$4,2,0),"@@@",I1045))</f>
        <v>''</v>
      </c>
      <c r="Y1045" s="4" t="str">
        <f>IF(J1045="",IF(ISNUMBER(SEARCH("NOT NULL",UPPER(J$3))),"''","null"),SUBSTITUTE(VLOOKUP(J$2,convert!$A$1:$B$4,2,0),"@@@",J1045))</f>
        <v>'fighting'</v>
      </c>
      <c r="Z1045" s="4" t="str">
        <f>IF(K1045="",IF(ISNUMBER(SEARCH("NOT NULL",UPPER(K$3))),"''","null"),SUBSTITUTE(VLOOKUP(K$2,convert!$A$1:$B$4,2,0),"@@@",K1045))</f>
        <v>null</v>
      </c>
      <c r="AA1045" s="4" t="str">
        <f>IF(L1045="",IF(ISNUMBER(SEARCH("NOT NULL",UPPER(L$3))),"''","null"),SUBSTITUTE(VLOOKUP(L$2,convert!$A$1:$B$4,2,0),"@@@",L1045))</f>
        <v>'g8'</v>
      </c>
      <c r="AB1045" s="4" t="str">
        <f>IF(M1045="",IF(ISNUMBER(SEARCH("NOT NULL",UPPER(M$3))),"''","null"),SUBSTITUTE(VLOOKUP(M$2,convert!$A$1:$B$4,2,0),"@@@",M1045))</f>
        <v>null</v>
      </c>
      <c r="AC1045" s="4" t="str">
        <f>IF(N1045="",IF(ISNUMBER(SEARCH("NOT NULL",UPPER(N$3))),"''","null"),SUBSTITUTE(VLOOKUP(N$2,convert!$A$1:$B$4,2,0),"@@@",N1045))</f>
        <v>null</v>
      </c>
      <c r="AD1045" s="4" t="str">
        <f>IF(O1045="",IF(ISNUMBER(SEARCH("NOT NULL",UPPER(O$3))),"''","null"),SUBSTITUTE(VLOOKUP(O$2,convert!$A$1:$B$4,2,0),"@@@",O1045))</f>
        <v>TRUE</v>
      </c>
      <c r="AE1045" s="4" t="str">
        <f t="shared" si="16"/>
        <v>    ('0865N01', 'ネギガナイト', 62, 135, 95, 68, 82, 65, '', 'fighting', null, 'g8', null, null, TRUE),</v>
      </c>
    </row>
    <row r="1046" spans="1:31">
      <c r="A1046" s="4" t="s">
        <v>2099</v>
      </c>
      <c r="B1046" s="4" t="s">
        <v>2100</v>
      </c>
      <c r="C1046" s="5">
        <v>80</v>
      </c>
      <c r="D1046" s="5">
        <v>85</v>
      </c>
      <c r="E1046" s="5">
        <v>75</v>
      </c>
      <c r="F1046" s="5">
        <v>110</v>
      </c>
      <c r="G1046" s="5">
        <v>100</v>
      </c>
      <c r="H1046" s="5">
        <v>70</v>
      </c>
      <c r="I1046" s="5"/>
      <c r="J1046" s="4" t="s">
        <v>118</v>
      </c>
      <c r="K1046" s="4" t="s">
        <v>113</v>
      </c>
      <c r="L1046" s="4" t="s">
        <v>179</v>
      </c>
      <c r="M1046" s="5"/>
      <c r="N1046" s="5"/>
      <c r="O1046" s="5" t="b">
        <v>1</v>
      </c>
      <c r="P1046" s="4" t="str">
        <f>IF(A1046="",IF(ISNUMBER(SEARCH("NOT NULL",UPPER(A$3))),"''","null"),SUBSTITUTE(VLOOKUP(A$2,convert!$A$1:$B$4,2,0),"@@@",A1046))</f>
        <v>'0866N01'</v>
      </c>
      <c r="Q1046" s="4" t="str">
        <f>IF(B1046="",IF(ISNUMBER(SEARCH("NOT NULL",UPPER(B$3))),"''","null"),SUBSTITUTE(VLOOKUP(B$2,convert!$A$1:$B$4,2,0),"@@@",B1046))</f>
        <v>'バリコオル'</v>
      </c>
      <c r="R1046" s="4" t="str">
        <f>IF(C1046="",IF(ISNUMBER(SEARCH("NOT NULL",UPPER(C$3))),"''","null"),SUBSTITUTE(VLOOKUP(C$2,convert!$A$1:$B$4,2,0),"@@@",C1046))</f>
        <v>80</v>
      </c>
      <c r="S1046" s="4" t="str">
        <f>IF(D1046="",IF(ISNUMBER(SEARCH("NOT NULL",UPPER(D$3))),"''","null"),SUBSTITUTE(VLOOKUP(D$2,convert!$A$1:$B$4,2,0),"@@@",D1046))</f>
        <v>85</v>
      </c>
      <c r="T1046" s="4" t="str">
        <f>IF(E1046="",IF(ISNUMBER(SEARCH("NOT NULL",UPPER(E$3))),"''","null"),SUBSTITUTE(VLOOKUP(E$2,convert!$A$1:$B$4,2,0),"@@@",E1046))</f>
        <v>75</v>
      </c>
      <c r="U1046" s="4" t="str">
        <f>IF(F1046="",IF(ISNUMBER(SEARCH("NOT NULL",UPPER(F$3))),"''","null"),SUBSTITUTE(VLOOKUP(F$2,convert!$A$1:$B$4,2,0),"@@@",F1046))</f>
        <v>110</v>
      </c>
      <c r="V1046" s="4" t="str">
        <f>IF(G1046="",IF(ISNUMBER(SEARCH("NOT NULL",UPPER(G$3))),"''","null"),SUBSTITUTE(VLOOKUP(G$2,convert!$A$1:$B$4,2,0),"@@@",G1046))</f>
        <v>100</v>
      </c>
      <c r="W1046" s="4" t="str">
        <f>IF(H1046="",IF(ISNUMBER(SEARCH("NOT NULL",UPPER(H$3))),"''","null"),SUBSTITUTE(VLOOKUP(H$2,convert!$A$1:$B$4,2,0),"@@@",H1046))</f>
        <v>70</v>
      </c>
      <c r="X1046" s="4" t="str">
        <f>IF(I1046="",IF(ISNUMBER(SEARCH("NOT NULL",UPPER(I$3))),"''","null"),SUBSTITUTE(VLOOKUP(I$2,convert!$A$1:$B$4,2,0),"@@@",I1046))</f>
        <v>''</v>
      </c>
      <c r="Y1046" s="4" t="str">
        <f>IF(J1046="",IF(ISNUMBER(SEARCH("NOT NULL",UPPER(J$3))),"''","null"),SUBSTITUTE(VLOOKUP(J$2,convert!$A$1:$B$4,2,0),"@@@",J1046))</f>
        <v>'ice'</v>
      </c>
      <c r="Z1046" s="4" t="str">
        <f>IF(K1046="",IF(ISNUMBER(SEARCH("NOT NULL",UPPER(K$3))),"''","null"),SUBSTITUTE(VLOOKUP(K$2,convert!$A$1:$B$4,2,0),"@@@",K1046))</f>
        <v>'psychic'</v>
      </c>
      <c r="AA1046" s="4" t="str">
        <f>IF(L1046="",IF(ISNUMBER(SEARCH("NOT NULL",UPPER(L$3))),"''","null"),SUBSTITUTE(VLOOKUP(L$2,convert!$A$1:$B$4,2,0),"@@@",L1046))</f>
        <v>'g8'</v>
      </c>
      <c r="AB1046" s="4" t="str">
        <f>IF(M1046="",IF(ISNUMBER(SEARCH("NOT NULL",UPPER(M$3))),"''","null"),SUBSTITUTE(VLOOKUP(M$2,convert!$A$1:$B$4,2,0),"@@@",M1046))</f>
        <v>null</v>
      </c>
      <c r="AC1046" s="4" t="str">
        <f>IF(N1046="",IF(ISNUMBER(SEARCH("NOT NULL",UPPER(N$3))),"''","null"),SUBSTITUTE(VLOOKUP(N$2,convert!$A$1:$B$4,2,0),"@@@",N1046))</f>
        <v>null</v>
      </c>
      <c r="AD1046" s="4" t="str">
        <f>IF(O1046="",IF(ISNUMBER(SEARCH("NOT NULL",UPPER(O$3))),"''","null"),SUBSTITUTE(VLOOKUP(O$2,convert!$A$1:$B$4,2,0),"@@@",O1046))</f>
        <v>TRUE</v>
      </c>
      <c r="AE1046" s="4" t="str">
        <f t="shared" si="16"/>
        <v>    ('0866N01', 'バリコオル', 80, 85, 75, 110, 100, 70, '', 'ice', 'psychic', 'g8', null, null, TRUE),</v>
      </c>
    </row>
    <row r="1047" spans="1:31">
      <c r="A1047" s="4" t="s">
        <v>2101</v>
      </c>
      <c r="B1047" s="4" t="s">
        <v>2102</v>
      </c>
      <c r="C1047" s="5">
        <v>58</v>
      </c>
      <c r="D1047" s="5">
        <v>95</v>
      </c>
      <c r="E1047" s="5">
        <v>145</v>
      </c>
      <c r="F1047" s="5">
        <v>50</v>
      </c>
      <c r="G1047" s="5">
        <v>105</v>
      </c>
      <c r="H1047" s="5">
        <v>30</v>
      </c>
      <c r="I1047" s="5"/>
      <c r="J1047" s="4" t="s">
        <v>116</v>
      </c>
      <c r="K1047" s="4" t="s">
        <v>281</v>
      </c>
      <c r="L1047" s="4" t="s">
        <v>179</v>
      </c>
      <c r="M1047" s="5"/>
      <c r="N1047" s="5"/>
      <c r="O1047" s="5" t="b">
        <v>1</v>
      </c>
      <c r="P1047" s="4" t="str">
        <f>IF(A1047="",IF(ISNUMBER(SEARCH("NOT NULL",UPPER(A$3))),"''","null"),SUBSTITUTE(VLOOKUP(A$2,convert!$A$1:$B$4,2,0),"@@@",A1047))</f>
        <v>'0867N01'</v>
      </c>
      <c r="Q1047" s="4" t="str">
        <f>IF(B1047="",IF(ISNUMBER(SEARCH("NOT NULL",UPPER(B$3))),"''","null"),SUBSTITUTE(VLOOKUP(B$2,convert!$A$1:$B$4,2,0),"@@@",B1047))</f>
        <v>'デスバーン'</v>
      </c>
      <c r="R1047" s="4" t="str">
        <f>IF(C1047="",IF(ISNUMBER(SEARCH("NOT NULL",UPPER(C$3))),"''","null"),SUBSTITUTE(VLOOKUP(C$2,convert!$A$1:$B$4,2,0),"@@@",C1047))</f>
        <v>58</v>
      </c>
      <c r="S1047" s="4" t="str">
        <f>IF(D1047="",IF(ISNUMBER(SEARCH("NOT NULL",UPPER(D$3))),"''","null"),SUBSTITUTE(VLOOKUP(D$2,convert!$A$1:$B$4,2,0),"@@@",D1047))</f>
        <v>95</v>
      </c>
      <c r="T1047" s="4" t="str">
        <f>IF(E1047="",IF(ISNUMBER(SEARCH("NOT NULL",UPPER(E$3))),"''","null"),SUBSTITUTE(VLOOKUP(E$2,convert!$A$1:$B$4,2,0),"@@@",E1047))</f>
        <v>145</v>
      </c>
      <c r="U1047" s="4" t="str">
        <f>IF(F1047="",IF(ISNUMBER(SEARCH("NOT NULL",UPPER(F$3))),"''","null"),SUBSTITUTE(VLOOKUP(F$2,convert!$A$1:$B$4,2,0),"@@@",F1047))</f>
        <v>50</v>
      </c>
      <c r="V1047" s="4" t="str">
        <f>IF(G1047="",IF(ISNUMBER(SEARCH("NOT NULL",UPPER(G$3))),"''","null"),SUBSTITUTE(VLOOKUP(G$2,convert!$A$1:$B$4,2,0),"@@@",G1047))</f>
        <v>105</v>
      </c>
      <c r="W1047" s="4" t="str">
        <f>IF(H1047="",IF(ISNUMBER(SEARCH("NOT NULL",UPPER(H$3))),"''","null"),SUBSTITUTE(VLOOKUP(H$2,convert!$A$1:$B$4,2,0),"@@@",H1047))</f>
        <v>30</v>
      </c>
      <c r="X1047" s="4" t="str">
        <f>IF(I1047="",IF(ISNUMBER(SEARCH("NOT NULL",UPPER(I$3))),"''","null"),SUBSTITUTE(VLOOKUP(I$2,convert!$A$1:$B$4,2,0),"@@@",I1047))</f>
        <v>''</v>
      </c>
      <c r="Y1047" s="4" t="str">
        <f>IF(J1047="",IF(ISNUMBER(SEARCH("NOT NULL",UPPER(J$3))),"''","null"),SUBSTITUTE(VLOOKUP(J$2,convert!$A$1:$B$4,2,0),"@@@",J1047))</f>
        <v>'ground'</v>
      </c>
      <c r="Z1047" s="4" t="str">
        <f>IF(K1047="",IF(ISNUMBER(SEARCH("NOT NULL",UPPER(K$3))),"''","null"),SUBSTITUTE(VLOOKUP(K$2,convert!$A$1:$B$4,2,0),"@@@",K1047))</f>
        <v>'ghost'</v>
      </c>
      <c r="AA1047" s="4" t="str">
        <f>IF(L1047="",IF(ISNUMBER(SEARCH("NOT NULL",UPPER(L$3))),"''","null"),SUBSTITUTE(VLOOKUP(L$2,convert!$A$1:$B$4,2,0),"@@@",L1047))</f>
        <v>'g8'</v>
      </c>
      <c r="AB1047" s="4" t="str">
        <f>IF(M1047="",IF(ISNUMBER(SEARCH("NOT NULL",UPPER(M$3))),"''","null"),SUBSTITUTE(VLOOKUP(M$2,convert!$A$1:$B$4,2,0),"@@@",M1047))</f>
        <v>null</v>
      </c>
      <c r="AC1047" s="4" t="str">
        <f>IF(N1047="",IF(ISNUMBER(SEARCH("NOT NULL",UPPER(N$3))),"''","null"),SUBSTITUTE(VLOOKUP(N$2,convert!$A$1:$B$4,2,0),"@@@",N1047))</f>
        <v>null</v>
      </c>
      <c r="AD1047" s="4" t="str">
        <f>IF(O1047="",IF(ISNUMBER(SEARCH("NOT NULL",UPPER(O$3))),"''","null"),SUBSTITUTE(VLOOKUP(O$2,convert!$A$1:$B$4,2,0),"@@@",O1047))</f>
        <v>TRUE</v>
      </c>
      <c r="AE1047" s="4" t="str">
        <f t="shared" si="16"/>
        <v>    ('0867N01', 'デスバーン', 58, 95, 145, 50, 105, 30, '', 'ground', 'ghost', 'g8', null, null, TRUE),</v>
      </c>
    </row>
    <row r="1048" spans="1:31">
      <c r="A1048" s="4" t="s">
        <v>2103</v>
      </c>
      <c r="B1048" s="4" t="s">
        <v>2104</v>
      </c>
      <c r="C1048" s="5">
        <v>45</v>
      </c>
      <c r="D1048" s="5">
        <v>40</v>
      </c>
      <c r="E1048" s="5">
        <v>40</v>
      </c>
      <c r="F1048" s="5">
        <v>50</v>
      </c>
      <c r="G1048" s="5">
        <v>61</v>
      </c>
      <c r="H1048" s="5">
        <v>34</v>
      </c>
      <c r="I1048" s="5"/>
      <c r="J1048" s="4" t="s">
        <v>137</v>
      </c>
      <c r="K1048" s="5"/>
      <c r="L1048" s="4" t="s">
        <v>179</v>
      </c>
      <c r="M1048" s="5"/>
      <c r="N1048" s="5"/>
      <c r="O1048" s="5" t="b">
        <v>0</v>
      </c>
      <c r="P1048" s="4" t="str">
        <f>IF(A1048="",IF(ISNUMBER(SEARCH("NOT NULL",UPPER(A$3))),"''","null"),SUBSTITUTE(VLOOKUP(A$2,convert!$A$1:$B$4,2,0),"@@@",A1048))</f>
        <v>'0868N01'</v>
      </c>
      <c r="Q1048" s="4" t="str">
        <f>IF(B1048="",IF(ISNUMBER(SEARCH("NOT NULL",UPPER(B$3))),"''","null"),SUBSTITUTE(VLOOKUP(B$2,convert!$A$1:$B$4,2,0),"@@@",B1048))</f>
        <v>'マホミル'</v>
      </c>
      <c r="R1048" s="4" t="str">
        <f>IF(C1048="",IF(ISNUMBER(SEARCH("NOT NULL",UPPER(C$3))),"''","null"),SUBSTITUTE(VLOOKUP(C$2,convert!$A$1:$B$4,2,0),"@@@",C1048))</f>
        <v>45</v>
      </c>
      <c r="S1048" s="4" t="str">
        <f>IF(D1048="",IF(ISNUMBER(SEARCH("NOT NULL",UPPER(D$3))),"''","null"),SUBSTITUTE(VLOOKUP(D$2,convert!$A$1:$B$4,2,0),"@@@",D1048))</f>
        <v>40</v>
      </c>
      <c r="T1048" s="4" t="str">
        <f>IF(E1048="",IF(ISNUMBER(SEARCH("NOT NULL",UPPER(E$3))),"''","null"),SUBSTITUTE(VLOOKUP(E$2,convert!$A$1:$B$4,2,0),"@@@",E1048))</f>
        <v>40</v>
      </c>
      <c r="U1048" s="4" t="str">
        <f>IF(F1048="",IF(ISNUMBER(SEARCH("NOT NULL",UPPER(F$3))),"''","null"),SUBSTITUTE(VLOOKUP(F$2,convert!$A$1:$B$4,2,0),"@@@",F1048))</f>
        <v>50</v>
      </c>
      <c r="V1048" s="4" t="str">
        <f>IF(G1048="",IF(ISNUMBER(SEARCH("NOT NULL",UPPER(G$3))),"''","null"),SUBSTITUTE(VLOOKUP(G$2,convert!$A$1:$B$4,2,0),"@@@",G1048))</f>
        <v>61</v>
      </c>
      <c r="W1048" s="4" t="str">
        <f>IF(H1048="",IF(ISNUMBER(SEARCH("NOT NULL",UPPER(H$3))),"''","null"),SUBSTITUTE(VLOOKUP(H$2,convert!$A$1:$B$4,2,0),"@@@",H1048))</f>
        <v>34</v>
      </c>
      <c r="X1048" s="4" t="str">
        <f>IF(I1048="",IF(ISNUMBER(SEARCH("NOT NULL",UPPER(I$3))),"''","null"),SUBSTITUTE(VLOOKUP(I$2,convert!$A$1:$B$4,2,0),"@@@",I1048))</f>
        <v>''</v>
      </c>
      <c r="Y1048" s="4" t="str">
        <f>IF(J1048="",IF(ISNUMBER(SEARCH("NOT NULL",UPPER(J$3))),"''","null"),SUBSTITUTE(VLOOKUP(J$2,convert!$A$1:$B$4,2,0),"@@@",J1048))</f>
        <v>'fairy'</v>
      </c>
      <c r="Z1048" s="4" t="str">
        <f>IF(K1048="",IF(ISNUMBER(SEARCH("NOT NULL",UPPER(K$3))),"''","null"),SUBSTITUTE(VLOOKUP(K$2,convert!$A$1:$B$4,2,0),"@@@",K1048))</f>
        <v>null</v>
      </c>
      <c r="AA1048" s="4" t="str">
        <f>IF(L1048="",IF(ISNUMBER(SEARCH("NOT NULL",UPPER(L$3))),"''","null"),SUBSTITUTE(VLOOKUP(L$2,convert!$A$1:$B$4,2,0),"@@@",L1048))</f>
        <v>'g8'</v>
      </c>
      <c r="AB1048" s="4" t="str">
        <f>IF(M1048="",IF(ISNUMBER(SEARCH("NOT NULL",UPPER(M$3))),"''","null"),SUBSTITUTE(VLOOKUP(M$2,convert!$A$1:$B$4,2,0),"@@@",M1048))</f>
        <v>null</v>
      </c>
      <c r="AC1048" s="4" t="str">
        <f>IF(N1048="",IF(ISNUMBER(SEARCH("NOT NULL",UPPER(N$3))),"''","null"),SUBSTITUTE(VLOOKUP(N$2,convert!$A$1:$B$4,2,0),"@@@",N1048))</f>
        <v>null</v>
      </c>
      <c r="AD1048" s="4" t="str">
        <f>IF(O1048="",IF(ISNUMBER(SEARCH("NOT NULL",UPPER(O$3))),"''","null"),SUBSTITUTE(VLOOKUP(O$2,convert!$A$1:$B$4,2,0),"@@@",O1048))</f>
        <v>FALSE</v>
      </c>
      <c r="AE1048" s="4" t="str">
        <f t="shared" si="16"/>
        <v>    ('0868N01', 'マホミル', 45, 40, 40, 50, 61, 34, '', 'fairy', null, 'g8', null, null, FALSE),</v>
      </c>
    </row>
    <row r="1049" spans="1:31">
      <c r="A1049" s="4" t="s">
        <v>2105</v>
      </c>
      <c r="B1049" s="4" t="s">
        <v>2106</v>
      </c>
      <c r="C1049" s="5">
        <v>65</v>
      </c>
      <c r="D1049" s="5">
        <v>60</v>
      </c>
      <c r="E1049" s="5">
        <v>75</v>
      </c>
      <c r="F1049" s="5">
        <v>110</v>
      </c>
      <c r="G1049" s="5">
        <v>121</v>
      </c>
      <c r="H1049" s="5">
        <v>64</v>
      </c>
      <c r="I1049" s="5"/>
      <c r="J1049" s="4" t="s">
        <v>137</v>
      </c>
      <c r="K1049" s="5"/>
      <c r="L1049" s="4" t="s">
        <v>179</v>
      </c>
      <c r="M1049" s="5"/>
      <c r="N1049" s="5"/>
      <c r="O1049" s="5" t="b">
        <v>0</v>
      </c>
      <c r="P1049" s="4" t="str">
        <f>IF(A1049="",IF(ISNUMBER(SEARCH("NOT NULL",UPPER(A$3))),"''","null"),SUBSTITUTE(VLOOKUP(A$2,convert!$A$1:$B$4,2,0),"@@@",A1049))</f>
        <v>'0869N01'</v>
      </c>
      <c r="Q1049" s="4" t="str">
        <f>IF(B1049="",IF(ISNUMBER(SEARCH("NOT NULL",UPPER(B$3))),"''","null"),SUBSTITUTE(VLOOKUP(B$2,convert!$A$1:$B$4,2,0),"@@@",B1049))</f>
        <v>'マホイップ'</v>
      </c>
      <c r="R1049" s="4" t="str">
        <f>IF(C1049="",IF(ISNUMBER(SEARCH("NOT NULL",UPPER(C$3))),"''","null"),SUBSTITUTE(VLOOKUP(C$2,convert!$A$1:$B$4,2,0),"@@@",C1049))</f>
        <v>65</v>
      </c>
      <c r="S1049" s="4" t="str">
        <f>IF(D1049="",IF(ISNUMBER(SEARCH("NOT NULL",UPPER(D$3))),"''","null"),SUBSTITUTE(VLOOKUP(D$2,convert!$A$1:$B$4,2,0),"@@@",D1049))</f>
        <v>60</v>
      </c>
      <c r="T1049" s="4" t="str">
        <f>IF(E1049="",IF(ISNUMBER(SEARCH("NOT NULL",UPPER(E$3))),"''","null"),SUBSTITUTE(VLOOKUP(E$2,convert!$A$1:$B$4,2,0),"@@@",E1049))</f>
        <v>75</v>
      </c>
      <c r="U1049" s="4" t="str">
        <f>IF(F1049="",IF(ISNUMBER(SEARCH("NOT NULL",UPPER(F$3))),"''","null"),SUBSTITUTE(VLOOKUP(F$2,convert!$A$1:$B$4,2,0),"@@@",F1049))</f>
        <v>110</v>
      </c>
      <c r="V1049" s="4" t="str">
        <f>IF(G1049="",IF(ISNUMBER(SEARCH("NOT NULL",UPPER(G$3))),"''","null"),SUBSTITUTE(VLOOKUP(G$2,convert!$A$1:$B$4,2,0),"@@@",G1049))</f>
        <v>121</v>
      </c>
      <c r="W1049" s="4" t="str">
        <f>IF(H1049="",IF(ISNUMBER(SEARCH("NOT NULL",UPPER(H$3))),"''","null"),SUBSTITUTE(VLOOKUP(H$2,convert!$A$1:$B$4,2,0),"@@@",H1049))</f>
        <v>64</v>
      </c>
      <c r="X1049" s="4" t="str">
        <f>IF(I1049="",IF(ISNUMBER(SEARCH("NOT NULL",UPPER(I$3))),"''","null"),SUBSTITUTE(VLOOKUP(I$2,convert!$A$1:$B$4,2,0),"@@@",I1049))</f>
        <v>''</v>
      </c>
      <c r="Y1049" s="4" t="str">
        <f>IF(J1049="",IF(ISNUMBER(SEARCH("NOT NULL",UPPER(J$3))),"''","null"),SUBSTITUTE(VLOOKUP(J$2,convert!$A$1:$B$4,2,0),"@@@",J1049))</f>
        <v>'fairy'</v>
      </c>
      <c r="Z1049" s="4" t="str">
        <f>IF(K1049="",IF(ISNUMBER(SEARCH("NOT NULL",UPPER(K$3))),"''","null"),SUBSTITUTE(VLOOKUP(K$2,convert!$A$1:$B$4,2,0),"@@@",K1049))</f>
        <v>null</v>
      </c>
      <c r="AA1049" s="4" t="str">
        <f>IF(L1049="",IF(ISNUMBER(SEARCH("NOT NULL",UPPER(L$3))),"''","null"),SUBSTITUTE(VLOOKUP(L$2,convert!$A$1:$B$4,2,0),"@@@",L1049))</f>
        <v>'g8'</v>
      </c>
      <c r="AB1049" s="4" t="str">
        <f>IF(M1049="",IF(ISNUMBER(SEARCH("NOT NULL",UPPER(M$3))),"''","null"),SUBSTITUTE(VLOOKUP(M$2,convert!$A$1:$B$4,2,0),"@@@",M1049))</f>
        <v>null</v>
      </c>
      <c r="AC1049" s="4" t="str">
        <f>IF(N1049="",IF(ISNUMBER(SEARCH("NOT NULL",UPPER(N$3))),"''","null"),SUBSTITUTE(VLOOKUP(N$2,convert!$A$1:$B$4,2,0),"@@@",N1049))</f>
        <v>null</v>
      </c>
      <c r="AD1049" s="4" t="str">
        <f>IF(O1049="",IF(ISNUMBER(SEARCH("NOT NULL",UPPER(O$3))),"''","null"),SUBSTITUTE(VLOOKUP(O$2,convert!$A$1:$B$4,2,0),"@@@",O1049))</f>
        <v>FALSE</v>
      </c>
      <c r="AE1049" s="4" t="str">
        <f t="shared" si="16"/>
        <v>    ('0869N01', 'マホイップ', 65, 60, 75, 110, 121, 64, '', 'fairy', null, 'g8', null, null, FALSE),</v>
      </c>
    </row>
    <row r="1050" spans="1:31">
      <c r="A1050" s="4" t="s">
        <v>2107</v>
      </c>
      <c r="B1050" s="4" t="s">
        <v>2108</v>
      </c>
      <c r="C1050" s="5">
        <v>65</v>
      </c>
      <c r="D1050" s="5">
        <v>100</v>
      </c>
      <c r="E1050" s="5">
        <v>100</v>
      </c>
      <c r="F1050" s="5">
        <v>70</v>
      </c>
      <c r="G1050" s="5">
        <v>60</v>
      </c>
      <c r="H1050" s="5">
        <v>75</v>
      </c>
      <c r="I1050" s="5"/>
      <c r="J1050" s="4" t="s">
        <v>189</v>
      </c>
      <c r="K1050" s="5"/>
      <c r="L1050" s="4" t="s">
        <v>179</v>
      </c>
      <c r="M1050" s="5"/>
      <c r="N1050" s="5"/>
      <c r="O1050" s="5" t="b">
        <v>1</v>
      </c>
      <c r="P1050" s="4" t="str">
        <f>IF(A1050="",IF(ISNUMBER(SEARCH("NOT NULL",UPPER(A$3))),"''","null"),SUBSTITUTE(VLOOKUP(A$2,convert!$A$1:$B$4,2,0),"@@@",A1050))</f>
        <v>'0870N01'</v>
      </c>
      <c r="Q1050" s="4" t="str">
        <f>IF(B1050="",IF(ISNUMBER(SEARCH("NOT NULL",UPPER(B$3))),"''","null"),SUBSTITUTE(VLOOKUP(B$2,convert!$A$1:$B$4,2,0),"@@@",B1050))</f>
        <v>'タイレーツ'</v>
      </c>
      <c r="R1050" s="4" t="str">
        <f>IF(C1050="",IF(ISNUMBER(SEARCH("NOT NULL",UPPER(C$3))),"''","null"),SUBSTITUTE(VLOOKUP(C$2,convert!$A$1:$B$4,2,0),"@@@",C1050))</f>
        <v>65</v>
      </c>
      <c r="S1050" s="4" t="str">
        <f>IF(D1050="",IF(ISNUMBER(SEARCH("NOT NULL",UPPER(D$3))),"''","null"),SUBSTITUTE(VLOOKUP(D$2,convert!$A$1:$B$4,2,0),"@@@",D1050))</f>
        <v>100</v>
      </c>
      <c r="T1050" s="4" t="str">
        <f>IF(E1050="",IF(ISNUMBER(SEARCH("NOT NULL",UPPER(E$3))),"''","null"),SUBSTITUTE(VLOOKUP(E$2,convert!$A$1:$B$4,2,0),"@@@",E1050))</f>
        <v>100</v>
      </c>
      <c r="U1050" s="4" t="str">
        <f>IF(F1050="",IF(ISNUMBER(SEARCH("NOT NULL",UPPER(F$3))),"''","null"),SUBSTITUTE(VLOOKUP(F$2,convert!$A$1:$B$4,2,0),"@@@",F1050))</f>
        <v>70</v>
      </c>
      <c r="V1050" s="4" t="str">
        <f>IF(G1050="",IF(ISNUMBER(SEARCH("NOT NULL",UPPER(G$3))),"''","null"),SUBSTITUTE(VLOOKUP(G$2,convert!$A$1:$B$4,2,0),"@@@",G1050))</f>
        <v>60</v>
      </c>
      <c r="W1050" s="4" t="str">
        <f>IF(H1050="",IF(ISNUMBER(SEARCH("NOT NULL",UPPER(H$3))),"''","null"),SUBSTITUTE(VLOOKUP(H$2,convert!$A$1:$B$4,2,0),"@@@",H1050))</f>
        <v>75</v>
      </c>
      <c r="X1050" s="4" t="str">
        <f>IF(I1050="",IF(ISNUMBER(SEARCH("NOT NULL",UPPER(I$3))),"''","null"),SUBSTITUTE(VLOOKUP(I$2,convert!$A$1:$B$4,2,0),"@@@",I1050))</f>
        <v>''</v>
      </c>
      <c r="Y1050" s="4" t="str">
        <f>IF(J1050="",IF(ISNUMBER(SEARCH("NOT NULL",UPPER(J$3))),"''","null"),SUBSTITUTE(VLOOKUP(J$2,convert!$A$1:$B$4,2,0),"@@@",J1050))</f>
        <v>'fighting'</v>
      </c>
      <c r="Z1050" s="4" t="str">
        <f>IF(K1050="",IF(ISNUMBER(SEARCH("NOT NULL",UPPER(K$3))),"''","null"),SUBSTITUTE(VLOOKUP(K$2,convert!$A$1:$B$4,2,0),"@@@",K1050))</f>
        <v>null</v>
      </c>
      <c r="AA1050" s="4" t="str">
        <f>IF(L1050="",IF(ISNUMBER(SEARCH("NOT NULL",UPPER(L$3))),"''","null"),SUBSTITUTE(VLOOKUP(L$2,convert!$A$1:$B$4,2,0),"@@@",L1050))</f>
        <v>'g8'</v>
      </c>
      <c r="AB1050" s="4" t="str">
        <f>IF(M1050="",IF(ISNUMBER(SEARCH("NOT NULL",UPPER(M$3))),"''","null"),SUBSTITUTE(VLOOKUP(M$2,convert!$A$1:$B$4,2,0),"@@@",M1050))</f>
        <v>null</v>
      </c>
      <c r="AC1050" s="4" t="str">
        <f>IF(N1050="",IF(ISNUMBER(SEARCH("NOT NULL",UPPER(N$3))),"''","null"),SUBSTITUTE(VLOOKUP(N$2,convert!$A$1:$B$4,2,0),"@@@",N1050))</f>
        <v>null</v>
      </c>
      <c r="AD1050" s="4" t="str">
        <f>IF(O1050="",IF(ISNUMBER(SEARCH("NOT NULL",UPPER(O$3))),"''","null"),SUBSTITUTE(VLOOKUP(O$2,convert!$A$1:$B$4,2,0),"@@@",O1050))</f>
        <v>TRUE</v>
      </c>
      <c r="AE1050" s="4" t="str">
        <f t="shared" si="16"/>
        <v>    ('0870N01', 'タイレーツ', 65, 100, 100, 70, 60, 75, '', 'fighting', null, 'g8', null, null, TRUE),</v>
      </c>
    </row>
    <row r="1051" spans="1:31">
      <c r="A1051" s="4" t="s">
        <v>2109</v>
      </c>
      <c r="B1051" s="4" t="s">
        <v>2110</v>
      </c>
      <c r="C1051" s="5">
        <v>48</v>
      </c>
      <c r="D1051" s="5">
        <v>101</v>
      </c>
      <c r="E1051" s="5">
        <v>95</v>
      </c>
      <c r="F1051" s="5">
        <v>91</v>
      </c>
      <c r="G1051" s="5">
        <v>85</v>
      </c>
      <c r="H1051" s="5">
        <v>15</v>
      </c>
      <c r="I1051" s="5"/>
      <c r="J1051" s="4" t="s">
        <v>106</v>
      </c>
      <c r="K1051" s="5"/>
      <c r="L1051" s="4" t="s">
        <v>179</v>
      </c>
      <c r="M1051" s="5"/>
      <c r="N1051" s="5"/>
      <c r="O1051" s="5" t="b">
        <v>0</v>
      </c>
      <c r="P1051" s="4" t="str">
        <f>IF(A1051="",IF(ISNUMBER(SEARCH("NOT NULL",UPPER(A$3))),"''","null"),SUBSTITUTE(VLOOKUP(A$2,convert!$A$1:$B$4,2,0),"@@@",A1051))</f>
        <v>'0871N01'</v>
      </c>
      <c r="Q1051" s="4" t="str">
        <f>IF(B1051="",IF(ISNUMBER(SEARCH("NOT NULL",UPPER(B$3))),"''","null"),SUBSTITUTE(VLOOKUP(B$2,convert!$A$1:$B$4,2,0),"@@@",B1051))</f>
        <v>'バチンウニ'</v>
      </c>
      <c r="R1051" s="4" t="str">
        <f>IF(C1051="",IF(ISNUMBER(SEARCH("NOT NULL",UPPER(C$3))),"''","null"),SUBSTITUTE(VLOOKUP(C$2,convert!$A$1:$B$4,2,0),"@@@",C1051))</f>
        <v>48</v>
      </c>
      <c r="S1051" s="4" t="str">
        <f>IF(D1051="",IF(ISNUMBER(SEARCH("NOT NULL",UPPER(D$3))),"''","null"),SUBSTITUTE(VLOOKUP(D$2,convert!$A$1:$B$4,2,0),"@@@",D1051))</f>
        <v>101</v>
      </c>
      <c r="T1051" s="4" t="str">
        <f>IF(E1051="",IF(ISNUMBER(SEARCH("NOT NULL",UPPER(E$3))),"''","null"),SUBSTITUTE(VLOOKUP(E$2,convert!$A$1:$B$4,2,0),"@@@",E1051))</f>
        <v>95</v>
      </c>
      <c r="U1051" s="4" t="str">
        <f>IF(F1051="",IF(ISNUMBER(SEARCH("NOT NULL",UPPER(F$3))),"''","null"),SUBSTITUTE(VLOOKUP(F$2,convert!$A$1:$B$4,2,0),"@@@",F1051))</f>
        <v>91</v>
      </c>
      <c r="V1051" s="4" t="str">
        <f>IF(G1051="",IF(ISNUMBER(SEARCH("NOT NULL",UPPER(G$3))),"''","null"),SUBSTITUTE(VLOOKUP(G$2,convert!$A$1:$B$4,2,0),"@@@",G1051))</f>
        <v>85</v>
      </c>
      <c r="W1051" s="4" t="str">
        <f>IF(H1051="",IF(ISNUMBER(SEARCH("NOT NULL",UPPER(H$3))),"''","null"),SUBSTITUTE(VLOOKUP(H$2,convert!$A$1:$B$4,2,0),"@@@",H1051))</f>
        <v>15</v>
      </c>
      <c r="X1051" s="4" t="str">
        <f>IF(I1051="",IF(ISNUMBER(SEARCH("NOT NULL",UPPER(I$3))),"''","null"),SUBSTITUTE(VLOOKUP(I$2,convert!$A$1:$B$4,2,0),"@@@",I1051))</f>
        <v>''</v>
      </c>
      <c r="Y1051" s="4" t="str">
        <f>IF(J1051="",IF(ISNUMBER(SEARCH("NOT NULL",UPPER(J$3))),"''","null"),SUBSTITUTE(VLOOKUP(J$2,convert!$A$1:$B$4,2,0),"@@@",J1051))</f>
        <v>'electric'</v>
      </c>
      <c r="Z1051" s="4" t="str">
        <f>IF(K1051="",IF(ISNUMBER(SEARCH("NOT NULL",UPPER(K$3))),"''","null"),SUBSTITUTE(VLOOKUP(K$2,convert!$A$1:$B$4,2,0),"@@@",K1051))</f>
        <v>null</v>
      </c>
      <c r="AA1051" s="4" t="str">
        <f>IF(L1051="",IF(ISNUMBER(SEARCH("NOT NULL",UPPER(L$3))),"''","null"),SUBSTITUTE(VLOOKUP(L$2,convert!$A$1:$B$4,2,0),"@@@",L1051))</f>
        <v>'g8'</v>
      </c>
      <c r="AB1051" s="4" t="str">
        <f>IF(M1051="",IF(ISNUMBER(SEARCH("NOT NULL",UPPER(M$3))),"''","null"),SUBSTITUTE(VLOOKUP(M$2,convert!$A$1:$B$4,2,0),"@@@",M1051))</f>
        <v>null</v>
      </c>
      <c r="AC1051" s="4" t="str">
        <f>IF(N1051="",IF(ISNUMBER(SEARCH("NOT NULL",UPPER(N$3))),"''","null"),SUBSTITUTE(VLOOKUP(N$2,convert!$A$1:$B$4,2,0),"@@@",N1051))</f>
        <v>null</v>
      </c>
      <c r="AD1051" s="4" t="str">
        <f>IF(O1051="",IF(ISNUMBER(SEARCH("NOT NULL",UPPER(O$3))),"''","null"),SUBSTITUTE(VLOOKUP(O$2,convert!$A$1:$B$4,2,0),"@@@",O1051))</f>
        <v>FALSE</v>
      </c>
      <c r="AE1051" s="4" t="str">
        <f t="shared" si="16"/>
        <v>    ('0871N01', 'バチンウニ', 48, 101, 95, 91, 85, 15, '', 'electric', null, 'g8', null, null, FALSE),</v>
      </c>
    </row>
    <row r="1052" spans="1:31">
      <c r="A1052" s="4" t="s">
        <v>2111</v>
      </c>
      <c r="B1052" s="4" t="s">
        <v>2112</v>
      </c>
      <c r="C1052" s="5">
        <v>30</v>
      </c>
      <c r="D1052" s="5">
        <v>25</v>
      </c>
      <c r="E1052" s="5">
        <v>35</v>
      </c>
      <c r="F1052" s="5">
        <v>45</v>
      </c>
      <c r="G1052" s="5">
        <v>30</v>
      </c>
      <c r="H1052" s="5">
        <v>20</v>
      </c>
      <c r="I1052" s="5"/>
      <c r="J1052" s="4" t="s">
        <v>118</v>
      </c>
      <c r="K1052" s="4" t="s">
        <v>64</v>
      </c>
      <c r="L1052" s="4" t="s">
        <v>179</v>
      </c>
      <c r="M1052" s="5"/>
      <c r="N1052" s="5"/>
      <c r="O1052" s="5" t="b">
        <v>0</v>
      </c>
      <c r="P1052" s="4" t="str">
        <f>IF(A1052="",IF(ISNUMBER(SEARCH("NOT NULL",UPPER(A$3))),"''","null"),SUBSTITUTE(VLOOKUP(A$2,convert!$A$1:$B$4,2,0),"@@@",A1052))</f>
        <v>'0872N01'</v>
      </c>
      <c r="Q1052" s="4" t="str">
        <f>IF(B1052="",IF(ISNUMBER(SEARCH("NOT NULL",UPPER(B$3))),"''","null"),SUBSTITUTE(VLOOKUP(B$2,convert!$A$1:$B$4,2,0),"@@@",B1052))</f>
        <v>'ユキハミ'</v>
      </c>
      <c r="R1052" s="4" t="str">
        <f>IF(C1052="",IF(ISNUMBER(SEARCH("NOT NULL",UPPER(C$3))),"''","null"),SUBSTITUTE(VLOOKUP(C$2,convert!$A$1:$B$4,2,0),"@@@",C1052))</f>
        <v>30</v>
      </c>
      <c r="S1052" s="4" t="str">
        <f>IF(D1052="",IF(ISNUMBER(SEARCH("NOT NULL",UPPER(D$3))),"''","null"),SUBSTITUTE(VLOOKUP(D$2,convert!$A$1:$B$4,2,0),"@@@",D1052))</f>
        <v>25</v>
      </c>
      <c r="T1052" s="4" t="str">
        <f>IF(E1052="",IF(ISNUMBER(SEARCH("NOT NULL",UPPER(E$3))),"''","null"),SUBSTITUTE(VLOOKUP(E$2,convert!$A$1:$B$4,2,0),"@@@",E1052))</f>
        <v>35</v>
      </c>
      <c r="U1052" s="4" t="str">
        <f>IF(F1052="",IF(ISNUMBER(SEARCH("NOT NULL",UPPER(F$3))),"''","null"),SUBSTITUTE(VLOOKUP(F$2,convert!$A$1:$B$4,2,0),"@@@",F1052))</f>
        <v>45</v>
      </c>
      <c r="V1052" s="4" t="str">
        <f>IF(G1052="",IF(ISNUMBER(SEARCH("NOT NULL",UPPER(G$3))),"''","null"),SUBSTITUTE(VLOOKUP(G$2,convert!$A$1:$B$4,2,0),"@@@",G1052))</f>
        <v>30</v>
      </c>
      <c r="W1052" s="4" t="str">
        <f>IF(H1052="",IF(ISNUMBER(SEARCH("NOT NULL",UPPER(H$3))),"''","null"),SUBSTITUTE(VLOOKUP(H$2,convert!$A$1:$B$4,2,0),"@@@",H1052))</f>
        <v>20</v>
      </c>
      <c r="X1052" s="4" t="str">
        <f>IF(I1052="",IF(ISNUMBER(SEARCH("NOT NULL",UPPER(I$3))),"''","null"),SUBSTITUTE(VLOOKUP(I$2,convert!$A$1:$B$4,2,0),"@@@",I1052))</f>
        <v>''</v>
      </c>
      <c r="Y1052" s="4" t="str">
        <f>IF(J1052="",IF(ISNUMBER(SEARCH("NOT NULL",UPPER(J$3))),"''","null"),SUBSTITUTE(VLOOKUP(J$2,convert!$A$1:$B$4,2,0),"@@@",J1052))</f>
        <v>'ice'</v>
      </c>
      <c r="Z1052" s="4" t="str">
        <f>IF(K1052="",IF(ISNUMBER(SEARCH("NOT NULL",UPPER(K$3))),"''","null"),SUBSTITUTE(VLOOKUP(K$2,convert!$A$1:$B$4,2,0),"@@@",K1052))</f>
        <v>'bug'</v>
      </c>
      <c r="AA1052" s="4" t="str">
        <f>IF(L1052="",IF(ISNUMBER(SEARCH("NOT NULL",UPPER(L$3))),"''","null"),SUBSTITUTE(VLOOKUP(L$2,convert!$A$1:$B$4,2,0),"@@@",L1052))</f>
        <v>'g8'</v>
      </c>
      <c r="AB1052" s="4" t="str">
        <f>IF(M1052="",IF(ISNUMBER(SEARCH("NOT NULL",UPPER(M$3))),"''","null"),SUBSTITUTE(VLOOKUP(M$2,convert!$A$1:$B$4,2,0),"@@@",M1052))</f>
        <v>null</v>
      </c>
      <c r="AC1052" s="4" t="str">
        <f>IF(N1052="",IF(ISNUMBER(SEARCH("NOT NULL",UPPER(N$3))),"''","null"),SUBSTITUTE(VLOOKUP(N$2,convert!$A$1:$B$4,2,0),"@@@",N1052))</f>
        <v>null</v>
      </c>
      <c r="AD1052" s="4" t="str">
        <f>IF(O1052="",IF(ISNUMBER(SEARCH("NOT NULL",UPPER(O$3))),"''","null"),SUBSTITUTE(VLOOKUP(O$2,convert!$A$1:$B$4,2,0),"@@@",O1052))</f>
        <v>FALSE</v>
      </c>
      <c r="AE1052" s="4" t="str">
        <f t="shared" si="16"/>
        <v>    ('0872N01', 'ユキハミ', 30, 25, 35, 45, 30, 20, '', 'ice', 'bug', 'g8', null, null, FALSE),</v>
      </c>
    </row>
    <row r="1053" spans="1:31">
      <c r="A1053" s="4" t="s">
        <v>2113</v>
      </c>
      <c r="B1053" s="4" t="s">
        <v>2114</v>
      </c>
      <c r="C1053" s="5">
        <v>70</v>
      </c>
      <c r="D1053" s="5">
        <v>65</v>
      </c>
      <c r="E1053" s="5">
        <v>60</v>
      </c>
      <c r="F1053" s="5">
        <v>125</v>
      </c>
      <c r="G1053" s="5">
        <v>90</v>
      </c>
      <c r="H1053" s="5">
        <v>65</v>
      </c>
      <c r="I1053" s="5"/>
      <c r="J1053" s="4" t="s">
        <v>118</v>
      </c>
      <c r="K1053" s="4" t="s">
        <v>64</v>
      </c>
      <c r="L1053" s="4" t="s">
        <v>179</v>
      </c>
      <c r="M1053" s="5"/>
      <c r="N1053" s="5"/>
      <c r="O1053" s="5" t="b">
        <v>0</v>
      </c>
      <c r="P1053" s="4" t="str">
        <f>IF(A1053="",IF(ISNUMBER(SEARCH("NOT NULL",UPPER(A$3))),"''","null"),SUBSTITUTE(VLOOKUP(A$2,convert!$A$1:$B$4,2,0),"@@@",A1053))</f>
        <v>'0873N01'</v>
      </c>
      <c r="Q1053" s="4" t="str">
        <f>IF(B1053="",IF(ISNUMBER(SEARCH("NOT NULL",UPPER(B$3))),"''","null"),SUBSTITUTE(VLOOKUP(B$2,convert!$A$1:$B$4,2,0),"@@@",B1053))</f>
        <v>'モスノウ'</v>
      </c>
      <c r="R1053" s="4" t="str">
        <f>IF(C1053="",IF(ISNUMBER(SEARCH("NOT NULL",UPPER(C$3))),"''","null"),SUBSTITUTE(VLOOKUP(C$2,convert!$A$1:$B$4,2,0),"@@@",C1053))</f>
        <v>70</v>
      </c>
      <c r="S1053" s="4" t="str">
        <f>IF(D1053="",IF(ISNUMBER(SEARCH("NOT NULL",UPPER(D$3))),"''","null"),SUBSTITUTE(VLOOKUP(D$2,convert!$A$1:$B$4,2,0),"@@@",D1053))</f>
        <v>65</v>
      </c>
      <c r="T1053" s="4" t="str">
        <f>IF(E1053="",IF(ISNUMBER(SEARCH("NOT NULL",UPPER(E$3))),"''","null"),SUBSTITUTE(VLOOKUP(E$2,convert!$A$1:$B$4,2,0),"@@@",E1053))</f>
        <v>60</v>
      </c>
      <c r="U1053" s="4" t="str">
        <f>IF(F1053="",IF(ISNUMBER(SEARCH("NOT NULL",UPPER(F$3))),"''","null"),SUBSTITUTE(VLOOKUP(F$2,convert!$A$1:$B$4,2,0),"@@@",F1053))</f>
        <v>125</v>
      </c>
      <c r="V1053" s="4" t="str">
        <f>IF(G1053="",IF(ISNUMBER(SEARCH("NOT NULL",UPPER(G$3))),"''","null"),SUBSTITUTE(VLOOKUP(G$2,convert!$A$1:$B$4,2,0),"@@@",G1053))</f>
        <v>90</v>
      </c>
      <c r="W1053" s="4" t="str">
        <f>IF(H1053="",IF(ISNUMBER(SEARCH("NOT NULL",UPPER(H$3))),"''","null"),SUBSTITUTE(VLOOKUP(H$2,convert!$A$1:$B$4,2,0),"@@@",H1053))</f>
        <v>65</v>
      </c>
      <c r="X1053" s="4" t="str">
        <f>IF(I1053="",IF(ISNUMBER(SEARCH("NOT NULL",UPPER(I$3))),"''","null"),SUBSTITUTE(VLOOKUP(I$2,convert!$A$1:$B$4,2,0),"@@@",I1053))</f>
        <v>''</v>
      </c>
      <c r="Y1053" s="4" t="str">
        <f>IF(J1053="",IF(ISNUMBER(SEARCH("NOT NULL",UPPER(J$3))),"''","null"),SUBSTITUTE(VLOOKUP(J$2,convert!$A$1:$B$4,2,0),"@@@",J1053))</f>
        <v>'ice'</v>
      </c>
      <c r="Z1053" s="4" t="str">
        <f>IF(K1053="",IF(ISNUMBER(SEARCH("NOT NULL",UPPER(K$3))),"''","null"),SUBSTITUTE(VLOOKUP(K$2,convert!$A$1:$B$4,2,0),"@@@",K1053))</f>
        <v>'bug'</v>
      </c>
      <c r="AA1053" s="4" t="str">
        <f>IF(L1053="",IF(ISNUMBER(SEARCH("NOT NULL",UPPER(L$3))),"''","null"),SUBSTITUTE(VLOOKUP(L$2,convert!$A$1:$B$4,2,0),"@@@",L1053))</f>
        <v>'g8'</v>
      </c>
      <c r="AB1053" s="4" t="str">
        <f>IF(M1053="",IF(ISNUMBER(SEARCH("NOT NULL",UPPER(M$3))),"''","null"),SUBSTITUTE(VLOOKUP(M$2,convert!$A$1:$B$4,2,0),"@@@",M1053))</f>
        <v>null</v>
      </c>
      <c r="AC1053" s="4" t="str">
        <f>IF(N1053="",IF(ISNUMBER(SEARCH("NOT NULL",UPPER(N$3))),"''","null"),SUBSTITUTE(VLOOKUP(N$2,convert!$A$1:$B$4,2,0),"@@@",N1053))</f>
        <v>null</v>
      </c>
      <c r="AD1053" s="4" t="str">
        <f>IF(O1053="",IF(ISNUMBER(SEARCH("NOT NULL",UPPER(O$3))),"''","null"),SUBSTITUTE(VLOOKUP(O$2,convert!$A$1:$B$4,2,0),"@@@",O1053))</f>
        <v>FALSE</v>
      </c>
      <c r="AE1053" s="4" t="str">
        <f t="shared" si="16"/>
        <v>    ('0873N01', 'モスノウ', 70, 65, 60, 125, 90, 65, '', 'ice', 'bug', 'g8', null, null, FALSE),</v>
      </c>
    </row>
    <row r="1054" spans="1:31">
      <c r="A1054" s="4" t="s">
        <v>2115</v>
      </c>
      <c r="B1054" s="4" t="s">
        <v>2116</v>
      </c>
      <c r="C1054" s="5">
        <v>100</v>
      </c>
      <c r="D1054" s="5">
        <v>125</v>
      </c>
      <c r="E1054" s="5">
        <v>135</v>
      </c>
      <c r="F1054" s="5">
        <v>20</v>
      </c>
      <c r="G1054" s="5">
        <v>20</v>
      </c>
      <c r="H1054" s="5">
        <v>70</v>
      </c>
      <c r="I1054" s="5"/>
      <c r="J1054" s="4" t="s">
        <v>196</v>
      </c>
      <c r="K1054" s="5"/>
      <c r="L1054" s="4" t="s">
        <v>179</v>
      </c>
      <c r="M1054" s="5"/>
      <c r="N1054" s="5"/>
      <c r="O1054" s="5" t="b">
        <v>0</v>
      </c>
      <c r="P1054" s="4" t="str">
        <f>IF(A1054="",IF(ISNUMBER(SEARCH("NOT NULL",UPPER(A$3))),"''","null"),SUBSTITUTE(VLOOKUP(A$2,convert!$A$1:$B$4,2,0),"@@@",A1054))</f>
        <v>'0874N01'</v>
      </c>
      <c r="Q1054" s="4" t="str">
        <f>IF(B1054="",IF(ISNUMBER(SEARCH("NOT NULL",UPPER(B$3))),"''","null"),SUBSTITUTE(VLOOKUP(B$2,convert!$A$1:$B$4,2,0),"@@@",B1054))</f>
        <v>'イシヘンジン'</v>
      </c>
      <c r="R1054" s="4" t="str">
        <f>IF(C1054="",IF(ISNUMBER(SEARCH("NOT NULL",UPPER(C$3))),"''","null"),SUBSTITUTE(VLOOKUP(C$2,convert!$A$1:$B$4,2,0),"@@@",C1054))</f>
        <v>100</v>
      </c>
      <c r="S1054" s="4" t="str">
        <f>IF(D1054="",IF(ISNUMBER(SEARCH("NOT NULL",UPPER(D$3))),"''","null"),SUBSTITUTE(VLOOKUP(D$2,convert!$A$1:$B$4,2,0),"@@@",D1054))</f>
        <v>125</v>
      </c>
      <c r="T1054" s="4" t="str">
        <f>IF(E1054="",IF(ISNUMBER(SEARCH("NOT NULL",UPPER(E$3))),"''","null"),SUBSTITUTE(VLOOKUP(E$2,convert!$A$1:$B$4,2,0),"@@@",E1054))</f>
        <v>135</v>
      </c>
      <c r="U1054" s="4" t="str">
        <f>IF(F1054="",IF(ISNUMBER(SEARCH("NOT NULL",UPPER(F$3))),"''","null"),SUBSTITUTE(VLOOKUP(F$2,convert!$A$1:$B$4,2,0),"@@@",F1054))</f>
        <v>20</v>
      </c>
      <c r="V1054" s="4" t="str">
        <f>IF(G1054="",IF(ISNUMBER(SEARCH("NOT NULL",UPPER(G$3))),"''","null"),SUBSTITUTE(VLOOKUP(G$2,convert!$A$1:$B$4,2,0),"@@@",G1054))</f>
        <v>20</v>
      </c>
      <c r="W1054" s="4" t="str">
        <f>IF(H1054="",IF(ISNUMBER(SEARCH("NOT NULL",UPPER(H$3))),"''","null"),SUBSTITUTE(VLOOKUP(H$2,convert!$A$1:$B$4,2,0),"@@@",H1054))</f>
        <v>70</v>
      </c>
      <c r="X1054" s="4" t="str">
        <f>IF(I1054="",IF(ISNUMBER(SEARCH("NOT NULL",UPPER(I$3))),"''","null"),SUBSTITUTE(VLOOKUP(I$2,convert!$A$1:$B$4,2,0),"@@@",I1054))</f>
        <v>''</v>
      </c>
      <c r="Y1054" s="4" t="str">
        <f>IF(J1054="",IF(ISNUMBER(SEARCH("NOT NULL",UPPER(J$3))),"''","null"),SUBSTITUTE(VLOOKUP(J$2,convert!$A$1:$B$4,2,0),"@@@",J1054))</f>
        <v>'rock'</v>
      </c>
      <c r="Z1054" s="4" t="str">
        <f>IF(K1054="",IF(ISNUMBER(SEARCH("NOT NULL",UPPER(K$3))),"''","null"),SUBSTITUTE(VLOOKUP(K$2,convert!$A$1:$B$4,2,0),"@@@",K1054))</f>
        <v>null</v>
      </c>
      <c r="AA1054" s="4" t="str">
        <f>IF(L1054="",IF(ISNUMBER(SEARCH("NOT NULL",UPPER(L$3))),"''","null"),SUBSTITUTE(VLOOKUP(L$2,convert!$A$1:$B$4,2,0),"@@@",L1054))</f>
        <v>'g8'</v>
      </c>
      <c r="AB1054" s="4" t="str">
        <f>IF(M1054="",IF(ISNUMBER(SEARCH("NOT NULL",UPPER(M$3))),"''","null"),SUBSTITUTE(VLOOKUP(M$2,convert!$A$1:$B$4,2,0),"@@@",M1054))</f>
        <v>null</v>
      </c>
      <c r="AC1054" s="4" t="str">
        <f>IF(N1054="",IF(ISNUMBER(SEARCH("NOT NULL",UPPER(N$3))),"''","null"),SUBSTITUTE(VLOOKUP(N$2,convert!$A$1:$B$4,2,0),"@@@",N1054))</f>
        <v>null</v>
      </c>
      <c r="AD1054" s="4" t="str">
        <f>IF(O1054="",IF(ISNUMBER(SEARCH("NOT NULL",UPPER(O$3))),"''","null"),SUBSTITUTE(VLOOKUP(O$2,convert!$A$1:$B$4,2,0),"@@@",O1054))</f>
        <v>FALSE</v>
      </c>
      <c r="AE1054" s="4" t="str">
        <f t="shared" si="16"/>
        <v>    ('0874N01', 'イシヘンジン', 100, 125, 135, 20, 20, 70, '', 'rock', null, 'g8', null, null, FALSE),</v>
      </c>
    </row>
    <row r="1055" spans="1:31">
      <c r="A1055" s="4" t="s">
        <v>2117</v>
      </c>
      <c r="B1055" s="4" t="s">
        <v>2118</v>
      </c>
      <c r="C1055" s="5">
        <v>75</v>
      </c>
      <c r="D1055" s="5">
        <v>80</v>
      </c>
      <c r="E1055" s="5">
        <v>110</v>
      </c>
      <c r="F1055" s="5">
        <v>65</v>
      </c>
      <c r="G1055" s="5">
        <v>90</v>
      </c>
      <c r="H1055" s="5">
        <v>50</v>
      </c>
      <c r="I1055" s="4" t="s">
        <v>2119</v>
      </c>
      <c r="J1055" s="4" t="s">
        <v>118</v>
      </c>
      <c r="K1055" s="5"/>
      <c r="L1055" s="4" t="s">
        <v>179</v>
      </c>
      <c r="M1055" s="5"/>
      <c r="N1055" s="5"/>
      <c r="O1055" s="5" t="b">
        <v>0</v>
      </c>
      <c r="P1055" s="4" t="str">
        <f>IF(A1055="",IF(ISNUMBER(SEARCH("NOT NULL",UPPER(A$3))),"''","null"),SUBSTITUTE(VLOOKUP(A$2,convert!$A$1:$B$4,2,0),"@@@",A1055))</f>
        <v>'0875N01'</v>
      </c>
      <c r="Q1055" s="4" t="str">
        <f>IF(B1055="",IF(ISNUMBER(SEARCH("NOT NULL",UPPER(B$3))),"''","null"),SUBSTITUTE(VLOOKUP(B$2,convert!$A$1:$B$4,2,0),"@@@",B1055))</f>
        <v>'コオリッポ'</v>
      </c>
      <c r="R1055" s="4" t="str">
        <f>IF(C1055="",IF(ISNUMBER(SEARCH("NOT NULL",UPPER(C$3))),"''","null"),SUBSTITUTE(VLOOKUP(C$2,convert!$A$1:$B$4,2,0),"@@@",C1055))</f>
        <v>75</v>
      </c>
      <c r="S1055" s="4" t="str">
        <f>IF(D1055="",IF(ISNUMBER(SEARCH("NOT NULL",UPPER(D$3))),"''","null"),SUBSTITUTE(VLOOKUP(D$2,convert!$A$1:$B$4,2,0),"@@@",D1055))</f>
        <v>80</v>
      </c>
      <c r="T1055" s="4" t="str">
        <f>IF(E1055="",IF(ISNUMBER(SEARCH("NOT NULL",UPPER(E$3))),"''","null"),SUBSTITUTE(VLOOKUP(E$2,convert!$A$1:$B$4,2,0),"@@@",E1055))</f>
        <v>110</v>
      </c>
      <c r="U1055" s="4" t="str">
        <f>IF(F1055="",IF(ISNUMBER(SEARCH("NOT NULL",UPPER(F$3))),"''","null"),SUBSTITUTE(VLOOKUP(F$2,convert!$A$1:$B$4,2,0),"@@@",F1055))</f>
        <v>65</v>
      </c>
      <c r="V1055" s="4" t="str">
        <f>IF(G1055="",IF(ISNUMBER(SEARCH("NOT NULL",UPPER(G$3))),"''","null"),SUBSTITUTE(VLOOKUP(G$2,convert!$A$1:$B$4,2,0),"@@@",G1055))</f>
        <v>90</v>
      </c>
      <c r="W1055" s="4" t="str">
        <f>IF(H1055="",IF(ISNUMBER(SEARCH("NOT NULL",UPPER(H$3))),"''","null"),SUBSTITUTE(VLOOKUP(H$2,convert!$A$1:$B$4,2,0),"@@@",H1055))</f>
        <v>50</v>
      </c>
      <c r="X1055" s="4" t="str">
        <f>IF(I1055="",IF(ISNUMBER(SEARCH("NOT NULL",UPPER(I$3))),"''","null"),SUBSTITUTE(VLOOKUP(I$2,convert!$A$1:$B$4,2,0),"@@@",I1055))</f>
        <v>'アイスフェイス'</v>
      </c>
      <c r="Y1055" s="4" t="str">
        <f>IF(J1055="",IF(ISNUMBER(SEARCH("NOT NULL",UPPER(J$3))),"''","null"),SUBSTITUTE(VLOOKUP(J$2,convert!$A$1:$B$4,2,0),"@@@",J1055))</f>
        <v>'ice'</v>
      </c>
      <c r="Z1055" s="4" t="str">
        <f>IF(K1055="",IF(ISNUMBER(SEARCH("NOT NULL",UPPER(K$3))),"''","null"),SUBSTITUTE(VLOOKUP(K$2,convert!$A$1:$B$4,2,0),"@@@",K1055))</f>
        <v>null</v>
      </c>
      <c r="AA1055" s="4" t="str">
        <f>IF(L1055="",IF(ISNUMBER(SEARCH("NOT NULL",UPPER(L$3))),"''","null"),SUBSTITUTE(VLOOKUP(L$2,convert!$A$1:$B$4,2,0),"@@@",L1055))</f>
        <v>'g8'</v>
      </c>
      <c r="AB1055" s="4" t="str">
        <f>IF(M1055="",IF(ISNUMBER(SEARCH("NOT NULL",UPPER(M$3))),"''","null"),SUBSTITUTE(VLOOKUP(M$2,convert!$A$1:$B$4,2,0),"@@@",M1055))</f>
        <v>null</v>
      </c>
      <c r="AC1055" s="4" t="str">
        <f>IF(N1055="",IF(ISNUMBER(SEARCH("NOT NULL",UPPER(N$3))),"''","null"),SUBSTITUTE(VLOOKUP(N$2,convert!$A$1:$B$4,2,0),"@@@",N1055))</f>
        <v>null</v>
      </c>
      <c r="AD1055" s="4" t="str">
        <f>IF(O1055="",IF(ISNUMBER(SEARCH("NOT NULL",UPPER(O$3))),"''","null"),SUBSTITUTE(VLOOKUP(O$2,convert!$A$1:$B$4,2,0),"@@@",O1055))</f>
        <v>FALSE</v>
      </c>
      <c r="AE1055" s="4" t="str">
        <f t="shared" si="16"/>
        <v>    ('0875N01', 'コオリッポ', 75, 80, 110, 65, 90, 50, 'アイスフェイス', 'ice', null, 'g8', null, null, FALSE),</v>
      </c>
    </row>
    <row r="1056" spans="1:31">
      <c r="A1056" s="4" t="s">
        <v>2120</v>
      </c>
      <c r="B1056" s="4" t="s">
        <v>2118</v>
      </c>
      <c r="C1056" s="5">
        <v>75</v>
      </c>
      <c r="D1056" s="5">
        <v>80</v>
      </c>
      <c r="E1056" s="5">
        <v>70</v>
      </c>
      <c r="F1056" s="5">
        <v>65</v>
      </c>
      <c r="G1056" s="5">
        <v>50</v>
      </c>
      <c r="H1056" s="5">
        <v>130</v>
      </c>
      <c r="I1056" s="4" t="s">
        <v>2121</v>
      </c>
      <c r="J1056" s="4" t="s">
        <v>118</v>
      </c>
      <c r="K1056" s="5"/>
      <c r="L1056" s="4" t="s">
        <v>179</v>
      </c>
      <c r="M1056" s="5"/>
      <c r="N1056" s="5"/>
      <c r="O1056" s="5" t="b">
        <v>0</v>
      </c>
      <c r="P1056" s="4" t="str">
        <f>IF(A1056="",IF(ISNUMBER(SEARCH("NOT NULL",UPPER(A$3))),"''","null"),SUBSTITUTE(VLOOKUP(A$2,convert!$A$1:$B$4,2,0),"@@@",A1056))</f>
        <v>'0875N02'</v>
      </c>
      <c r="Q1056" s="4" t="str">
        <f>IF(B1056="",IF(ISNUMBER(SEARCH("NOT NULL",UPPER(B$3))),"''","null"),SUBSTITUTE(VLOOKUP(B$2,convert!$A$1:$B$4,2,0),"@@@",B1056))</f>
        <v>'コオリッポ'</v>
      </c>
      <c r="R1056" s="4" t="str">
        <f>IF(C1056="",IF(ISNUMBER(SEARCH("NOT NULL",UPPER(C$3))),"''","null"),SUBSTITUTE(VLOOKUP(C$2,convert!$A$1:$B$4,2,0),"@@@",C1056))</f>
        <v>75</v>
      </c>
      <c r="S1056" s="4" t="str">
        <f>IF(D1056="",IF(ISNUMBER(SEARCH("NOT NULL",UPPER(D$3))),"''","null"),SUBSTITUTE(VLOOKUP(D$2,convert!$A$1:$B$4,2,0),"@@@",D1056))</f>
        <v>80</v>
      </c>
      <c r="T1056" s="4" t="str">
        <f>IF(E1056="",IF(ISNUMBER(SEARCH("NOT NULL",UPPER(E$3))),"''","null"),SUBSTITUTE(VLOOKUP(E$2,convert!$A$1:$B$4,2,0),"@@@",E1056))</f>
        <v>70</v>
      </c>
      <c r="U1056" s="4" t="str">
        <f>IF(F1056="",IF(ISNUMBER(SEARCH("NOT NULL",UPPER(F$3))),"''","null"),SUBSTITUTE(VLOOKUP(F$2,convert!$A$1:$B$4,2,0),"@@@",F1056))</f>
        <v>65</v>
      </c>
      <c r="V1056" s="4" t="str">
        <f>IF(G1056="",IF(ISNUMBER(SEARCH("NOT NULL",UPPER(G$3))),"''","null"),SUBSTITUTE(VLOOKUP(G$2,convert!$A$1:$B$4,2,0),"@@@",G1056))</f>
        <v>50</v>
      </c>
      <c r="W1056" s="4" t="str">
        <f>IF(H1056="",IF(ISNUMBER(SEARCH("NOT NULL",UPPER(H$3))),"''","null"),SUBSTITUTE(VLOOKUP(H$2,convert!$A$1:$B$4,2,0),"@@@",H1056))</f>
        <v>130</v>
      </c>
      <c r="X1056" s="4" t="str">
        <f>IF(I1056="",IF(ISNUMBER(SEARCH("NOT NULL",UPPER(I$3))),"''","null"),SUBSTITUTE(VLOOKUP(I$2,convert!$A$1:$B$4,2,0),"@@@",I1056))</f>
        <v>'ナイスフェイス'</v>
      </c>
      <c r="Y1056" s="4" t="str">
        <f>IF(J1056="",IF(ISNUMBER(SEARCH("NOT NULL",UPPER(J$3))),"''","null"),SUBSTITUTE(VLOOKUP(J$2,convert!$A$1:$B$4,2,0),"@@@",J1056))</f>
        <v>'ice'</v>
      </c>
      <c r="Z1056" s="4" t="str">
        <f>IF(K1056="",IF(ISNUMBER(SEARCH("NOT NULL",UPPER(K$3))),"''","null"),SUBSTITUTE(VLOOKUP(K$2,convert!$A$1:$B$4,2,0),"@@@",K1056))</f>
        <v>null</v>
      </c>
      <c r="AA1056" s="4" t="str">
        <f>IF(L1056="",IF(ISNUMBER(SEARCH("NOT NULL",UPPER(L$3))),"''","null"),SUBSTITUTE(VLOOKUP(L$2,convert!$A$1:$B$4,2,0),"@@@",L1056))</f>
        <v>'g8'</v>
      </c>
      <c r="AB1056" s="4" t="str">
        <f>IF(M1056="",IF(ISNUMBER(SEARCH("NOT NULL",UPPER(M$3))),"''","null"),SUBSTITUTE(VLOOKUP(M$2,convert!$A$1:$B$4,2,0),"@@@",M1056))</f>
        <v>null</v>
      </c>
      <c r="AC1056" s="4" t="str">
        <f>IF(N1056="",IF(ISNUMBER(SEARCH("NOT NULL",UPPER(N$3))),"''","null"),SUBSTITUTE(VLOOKUP(N$2,convert!$A$1:$B$4,2,0),"@@@",N1056))</f>
        <v>null</v>
      </c>
      <c r="AD1056" s="4" t="str">
        <f>IF(O1056="",IF(ISNUMBER(SEARCH("NOT NULL",UPPER(O$3))),"''","null"),SUBSTITUTE(VLOOKUP(O$2,convert!$A$1:$B$4,2,0),"@@@",O1056))</f>
        <v>FALSE</v>
      </c>
      <c r="AE1056" s="4" t="str">
        <f t="shared" si="16"/>
        <v>    ('0875N02', 'コオリッポ', 75, 80, 70, 65, 50, 130, 'ナイスフェイス', 'ice', null, 'g8', null, null, FALSE),</v>
      </c>
    </row>
    <row r="1057" spans="1:31">
      <c r="A1057" s="4" t="s">
        <v>2122</v>
      </c>
      <c r="B1057" s="4" t="s">
        <v>2123</v>
      </c>
      <c r="C1057" s="5">
        <v>60</v>
      </c>
      <c r="D1057" s="5">
        <v>65</v>
      </c>
      <c r="E1057" s="5">
        <v>55</v>
      </c>
      <c r="F1057" s="5">
        <v>105</v>
      </c>
      <c r="G1057" s="5">
        <v>95</v>
      </c>
      <c r="H1057" s="5">
        <v>95</v>
      </c>
      <c r="I1057" s="4" t="s">
        <v>1468</v>
      </c>
      <c r="J1057" s="4" t="s">
        <v>113</v>
      </c>
      <c r="K1057" s="4" t="s">
        <v>80</v>
      </c>
      <c r="L1057" s="4" t="s">
        <v>179</v>
      </c>
      <c r="M1057" s="5"/>
      <c r="N1057" s="5"/>
      <c r="O1057" s="5" t="b">
        <v>0</v>
      </c>
      <c r="P1057" s="4" t="str">
        <f>IF(A1057="",IF(ISNUMBER(SEARCH("NOT NULL",UPPER(A$3))),"''","null"),SUBSTITUTE(VLOOKUP(A$2,convert!$A$1:$B$4,2,0),"@@@",A1057))</f>
        <v>'0876N01'</v>
      </c>
      <c r="Q1057" s="4" t="str">
        <f>IF(B1057="",IF(ISNUMBER(SEARCH("NOT NULL",UPPER(B$3))),"''","null"),SUBSTITUTE(VLOOKUP(B$2,convert!$A$1:$B$4,2,0),"@@@",B1057))</f>
        <v>'イエッサン'</v>
      </c>
      <c r="R1057" s="4" t="str">
        <f>IF(C1057="",IF(ISNUMBER(SEARCH("NOT NULL",UPPER(C$3))),"''","null"),SUBSTITUTE(VLOOKUP(C$2,convert!$A$1:$B$4,2,0),"@@@",C1057))</f>
        <v>60</v>
      </c>
      <c r="S1057" s="4" t="str">
        <f>IF(D1057="",IF(ISNUMBER(SEARCH("NOT NULL",UPPER(D$3))),"''","null"),SUBSTITUTE(VLOOKUP(D$2,convert!$A$1:$B$4,2,0),"@@@",D1057))</f>
        <v>65</v>
      </c>
      <c r="T1057" s="4" t="str">
        <f>IF(E1057="",IF(ISNUMBER(SEARCH("NOT NULL",UPPER(E$3))),"''","null"),SUBSTITUTE(VLOOKUP(E$2,convert!$A$1:$B$4,2,0),"@@@",E1057))</f>
        <v>55</v>
      </c>
      <c r="U1057" s="4" t="str">
        <f>IF(F1057="",IF(ISNUMBER(SEARCH("NOT NULL",UPPER(F$3))),"''","null"),SUBSTITUTE(VLOOKUP(F$2,convert!$A$1:$B$4,2,0),"@@@",F1057))</f>
        <v>105</v>
      </c>
      <c r="V1057" s="4" t="str">
        <f>IF(G1057="",IF(ISNUMBER(SEARCH("NOT NULL",UPPER(G$3))),"''","null"),SUBSTITUTE(VLOOKUP(G$2,convert!$A$1:$B$4,2,0),"@@@",G1057))</f>
        <v>95</v>
      </c>
      <c r="W1057" s="4" t="str">
        <f>IF(H1057="",IF(ISNUMBER(SEARCH("NOT NULL",UPPER(H$3))),"''","null"),SUBSTITUTE(VLOOKUP(H$2,convert!$A$1:$B$4,2,0),"@@@",H1057))</f>
        <v>95</v>
      </c>
      <c r="X1057" s="4" t="str">
        <f>IF(I1057="",IF(ISNUMBER(SEARCH("NOT NULL",UPPER(I$3))),"''","null"),SUBSTITUTE(VLOOKUP(I$2,convert!$A$1:$B$4,2,0),"@@@",I1057))</f>
        <v>'オスのすがた'</v>
      </c>
      <c r="Y1057" s="4" t="str">
        <f>IF(J1057="",IF(ISNUMBER(SEARCH("NOT NULL",UPPER(J$3))),"''","null"),SUBSTITUTE(VLOOKUP(J$2,convert!$A$1:$B$4,2,0),"@@@",J1057))</f>
        <v>'psychic'</v>
      </c>
      <c r="Z1057" s="4" t="str">
        <f>IF(K1057="",IF(ISNUMBER(SEARCH("NOT NULL",UPPER(K$3))),"''","null"),SUBSTITUTE(VLOOKUP(K$2,convert!$A$1:$B$4,2,0),"@@@",K1057))</f>
        <v>'normal'</v>
      </c>
      <c r="AA1057" s="4" t="str">
        <f>IF(L1057="",IF(ISNUMBER(SEARCH("NOT NULL",UPPER(L$3))),"''","null"),SUBSTITUTE(VLOOKUP(L$2,convert!$A$1:$B$4,2,0),"@@@",L1057))</f>
        <v>'g8'</v>
      </c>
      <c r="AB1057" s="4" t="str">
        <f>IF(M1057="",IF(ISNUMBER(SEARCH("NOT NULL",UPPER(M$3))),"''","null"),SUBSTITUTE(VLOOKUP(M$2,convert!$A$1:$B$4,2,0),"@@@",M1057))</f>
        <v>null</v>
      </c>
      <c r="AC1057" s="4" t="str">
        <f>IF(N1057="",IF(ISNUMBER(SEARCH("NOT NULL",UPPER(N$3))),"''","null"),SUBSTITUTE(VLOOKUP(N$2,convert!$A$1:$B$4,2,0),"@@@",N1057))</f>
        <v>null</v>
      </c>
      <c r="AD1057" s="4" t="str">
        <f>IF(O1057="",IF(ISNUMBER(SEARCH("NOT NULL",UPPER(O$3))),"''","null"),SUBSTITUTE(VLOOKUP(O$2,convert!$A$1:$B$4,2,0),"@@@",O1057))</f>
        <v>FALSE</v>
      </c>
      <c r="AE1057" s="4" t="str">
        <f t="shared" si="16"/>
        <v>    ('0876N01', 'イエッサン', 60, 65, 55, 105, 95, 95, 'オスのすがた', 'psychic', 'normal', 'g8', null, null, FALSE),</v>
      </c>
    </row>
    <row r="1058" spans="1:31">
      <c r="A1058" s="4" t="s">
        <v>2124</v>
      </c>
      <c r="B1058" s="4" t="s">
        <v>2123</v>
      </c>
      <c r="C1058" s="5">
        <v>70</v>
      </c>
      <c r="D1058" s="5">
        <v>55</v>
      </c>
      <c r="E1058" s="5">
        <v>65</v>
      </c>
      <c r="F1058" s="5">
        <v>95</v>
      </c>
      <c r="G1058" s="5">
        <v>105</v>
      </c>
      <c r="H1058" s="5">
        <v>85</v>
      </c>
      <c r="I1058" s="4" t="s">
        <v>1470</v>
      </c>
      <c r="J1058" s="4" t="s">
        <v>113</v>
      </c>
      <c r="K1058" s="4" t="s">
        <v>80</v>
      </c>
      <c r="L1058" s="4" t="s">
        <v>179</v>
      </c>
      <c r="M1058" s="5"/>
      <c r="N1058" s="5"/>
      <c r="O1058" s="5" t="b">
        <v>0</v>
      </c>
      <c r="P1058" s="4" t="str">
        <f>IF(A1058="",IF(ISNUMBER(SEARCH("NOT NULL",UPPER(A$3))),"''","null"),SUBSTITUTE(VLOOKUP(A$2,convert!$A$1:$B$4,2,0),"@@@",A1058))</f>
        <v>'0876N02'</v>
      </c>
      <c r="Q1058" s="4" t="str">
        <f>IF(B1058="",IF(ISNUMBER(SEARCH("NOT NULL",UPPER(B$3))),"''","null"),SUBSTITUTE(VLOOKUP(B$2,convert!$A$1:$B$4,2,0),"@@@",B1058))</f>
        <v>'イエッサン'</v>
      </c>
      <c r="R1058" s="4" t="str">
        <f>IF(C1058="",IF(ISNUMBER(SEARCH("NOT NULL",UPPER(C$3))),"''","null"),SUBSTITUTE(VLOOKUP(C$2,convert!$A$1:$B$4,2,0),"@@@",C1058))</f>
        <v>70</v>
      </c>
      <c r="S1058" s="4" t="str">
        <f>IF(D1058="",IF(ISNUMBER(SEARCH("NOT NULL",UPPER(D$3))),"''","null"),SUBSTITUTE(VLOOKUP(D$2,convert!$A$1:$B$4,2,0),"@@@",D1058))</f>
        <v>55</v>
      </c>
      <c r="T1058" s="4" t="str">
        <f>IF(E1058="",IF(ISNUMBER(SEARCH("NOT NULL",UPPER(E$3))),"''","null"),SUBSTITUTE(VLOOKUP(E$2,convert!$A$1:$B$4,2,0),"@@@",E1058))</f>
        <v>65</v>
      </c>
      <c r="U1058" s="4" t="str">
        <f>IF(F1058="",IF(ISNUMBER(SEARCH("NOT NULL",UPPER(F$3))),"''","null"),SUBSTITUTE(VLOOKUP(F$2,convert!$A$1:$B$4,2,0),"@@@",F1058))</f>
        <v>95</v>
      </c>
      <c r="V1058" s="4" t="str">
        <f>IF(G1058="",IF(ISNUMBER(SEARCH("NOT NULL",UPPER(G$3))),"''","null"),SUBSTITUTE(VLOOKUP(G$2,convert!$A$1:$B$4,2,0),"@@@",G1058))</f>
        <v>105</v>
      </c>
      <c r="W1058" s="4" t="str">
        <f>IF(H1058="",IF(ISNUMBER(SEARCH("NOT NULL",UPPER(H$3))),"''","null"),SUBSTITUTE(VLOOKUP(H$2,convert!$A$1:$B$4,2,0),"@@@",H1058))</f>
        <v>85</v>
      </c>
      <c r="X1058" s="4" t="str">
        <f>IF(I1058="",IF(ISNUMBER(SEARCH("NOT NULL",UPPER(I$3))),"''","null"),SUBSTITUTE(VLOOKUP(I$2,convert!$A$1:$B$4,2,0),"@@@",I1058))</f>
        <v>'メスのすがた'</v>
      </c>
      <c r="Y1058" s="4" t="str">
        <f>IF(J1058="",IF(ISNUMBER(SEARCH("NOT NULL",UPPER(J$3))),"''","null"),SUBSTITUTE(VLOOKUP(J$2,convert!$A$1:$B$4,2,0),"@@@",J1058))</f>
        <v>'psychic'</v>
      </c>
      <c r="Z1058" s="4" t="str">
        <f>IF(K1058="",IF(ISNUMBER(SEARCH("NOT NULL",UPPER(K$3))),"''","null"),SUBSTITUTE(VLOOKUP(K$2,convert!$A$1:$B$4,2,0),"@@@",K1058))</f>
        <v>'normal'</v>
      </c>
      <c r="AA1058" s="4" t="str">
        <f>IF(L1058="",IF(ISNUMBER(SEARCH("NOT NULL",UPPER(L$3))),"''","null"),SUBSTITUTE(VLOOKUP(L$2,convert!$A$1:$B$4,2,0),"@@@",L1058))</f>
        <v>'g8'</v>
      </c>
      <c r="AB1058" s="4" t="str">
        <f>IF(M1058="",IF(ISNUMBER(SEARCH("NOT NULL",UPPER(M$3))),"''","null"),SUBSTITUTE(VLOOKUP(M$2,convert!$A$1:$B$4,2,0),"@@@",M1058))</f>
        <v>null</v>
      </c>
      <c r="AC1058" s="4" t="str">
        <f>IF(N1058="",IF(ISNUMBER(SEARCH("NOT NULL",UPPER(N$3))),"''","null"),SUBSTITUTE(VLOOKUP(N$2,convert!$A$1:$B$4,2,0),"@@@",N1058))</f>
        <v>null</v>
      </c>
      <c r="AD1058" s="4" t="str">
        <f>IF(O1058="",IF(ISNUMBER(SEARCH("NOT NULL",UPPER(O$3))),"''","null"),SUBSTITUTE(VLOOKUP(O$2,convert!$A$1:$B$4,2,0),"@@@",O1058))</f>
        <v>FALSE</v>
      </c>
      <c r="AE1058" s="4" t="str">
        <f t="shared" si="16"/>
        <v>    ('0876N02', 'イエッサン', 70, 55, 65, 95, 105, 85, 'メスのすがた', 'psychic', 'normal', 'g8', null, null, FALSE),</v>
      </c>
    </row>
    <row r="1059" spans="1:31">
      <c r="A1059" s="4" t="s">
        <v>2125</v>
      </c>
      <c r="B1059" s="4" t="s">
        <v>2126</v>
      </c>
      <c r="C1059" s="5">
        <v>58</v>
      </c>
      <c r="D1059" s="5">
        <v>95</v>
      </c>
      <c r="E1059" s="5">
        <v>58</v>
      </c>
      <c r="F1059" s="5">
        <v>70</v>
      </c>
      <c r="G1059" s="5">
        <v>58</v>
      </c>
      <c r="H1059" s="5">
        <v>97</v>
      </c>
      <c r="I1059" s="4" t="s">
        <v>2127</v>
      </c>
      <c r="J1059" s="4" t="s">
        <v>106</v>
      </c>
      <c r="K1059" s="4" t="s">
        <v>91</v>
      </c>
      <c r="L1059" s="4" t="s">
        <v>179</v>
      </c>
      <c r="M1059" s="5"/>
      <c r="N1059" s="5"/>
      <c r="O1059" s="5" t="b">
        <v>0</v>
      </c>
      <c r="P1059" s="4" t="str">
        <f>IF(A1059="",IF(ISNUMBER(SEARCH("NOT NULL",UPPER(A$3))),"''","null"),SUBSTITUTE(VLOOKUP(A$2,convert!$A$1:$B$4,2,0),"@@@",A1059))</f>
        <v>'0877N01'</v>
      </c>
      <c r="Q1059" s="4" t="str">
        <f>IF(B1059="",IF(ISNUMBER(SEARCH("NOT NULL",UPPER(B$3))),"''","null"),SUBSTITUTE(VLOOKUP(B$2,convert!$A$1:$B$4,2,0),"@@@",B1059))</f>
        <v>'モルペコ'</v>
      </c>
      <c r="R1059" s="4" t="str">
        <f>IF(C1059="",IF(ISNUMBER(SEARCH("NOT NULL",UPPER(C$3))),"''","null"),SUBSTITUTE(VLOOKUP(C$2,convert!$A$1:$B$4,2,0),"@@@",C1059))</f>
        <v>58</v>
      </c>
      <c r="S1059" s="4" t="str">
        <f>IF(D1059="",IF(ISNUMBER(SEARCH("NOT NULL",UPPER(D$3))),"''","null"),SUBSTITUTE(VLOOKUP(D$2,convert!$A$1:$B$4,2,0),"@@@",D1059))</f>
        <v>95</v>
      </c>
      <c r="T1059" s="4" t="str">
        <f>IF(E1059="",IF(ISNUMBER(SEARCH("NOT NULL",UPPER(E$3))),"''","null"),SUBSTITUTE(VLOOKUP(E$2,convert!$A$1:$B$4,2,0),"@@@",E1059))</f>
        <v>58</v>
      </c>
      <c r="U1059" s="4" t="str">
        <f>IF(F1059="",IF(ISNUMBER(SEARCH("NOT NULL",UPPER(F$3))),"''","null"),SUBSTITUTE(VLOOKUP(F$2,convert!$A$1:$B$4,2,0),"@@@",F1059))</f>
        <v>70</v>
      </c>
      <c r="V1059" s="4" t="str">
        <f>IF(G1059="",IF(ISNUMBER(SEARCH("NOT NULL",UPPER(G$3))),"''","null"),SUBSTITUTE(VLOOKUP(G$2,convert!$A$1:$B$4,2,0),"@@@",G1059))</f>
        <v>58</v>
      </c>
      <c r="W1059" s="4" t="str">
        <f>IF(H1059="",IF(ISNUMBER(SEARCH("NOT NULL",UPPER(H$3))),"''","null"),SUBSTITUTE(VLOOKUP(H$2,convert!$A$1:$B$4,2,0),"@@@",H1059))</f>
        <v>97</v>
      </c>
      <c r="X1059" s="4" t="str">
        <f>IF(I1059="",IF(ISNUMBER(SEARCH("NOT NULL",UPPER(I$3))),"''","null"),SUBSTITUTE(VLOOKUP(I$2,convert!$A$1:$B$4,2,0),"@@@",I1059))</f>
        <v>'まんぷくもよう'</v>
      </c>
      <c r="Y1059" s="4" t="str">
        <f>IF(J1059="",IF(ISNUMBER(SEARCH("NOT NULL",UPPER(J$3))),"''","null"),SUBSTITUTE(VLOOKUP(J$2,convert!$A$1:$B$4,2,0),"@@@",J1059))</f>
        <v>'electric'</v>
      </c>
      <c r="Z1059" s="4" t="str">
        <f>IF(K1059="",IF(ISNUMBER(SEARCH("NOT NULL",UPPER(K$3))),"''","null"),SUBSTITUTE(VLOOKUP(K$2,convert!$A$1:$B$4,2,0),"@@@",K1059))</f>
        <v>'dark'</v>
      </c>
      <c r="AA1059" s="4" t="str">
        <f>IF(L1059="",IF(ISNUMBER(SEARCH("NOT NULL",UPPER(L$3))),"''","null"),SUBSTITUTE(VLOOKUP(L$2,convert!$A$1:$B$4,2,0),"@@@",L1059))</f>
        <v>'g8'</v>
      </c>
      <c r="AB1059" s="4" t="str">
        <f>IF(M1059="",IF(ISNUMBER(SEARCH("NOT NULL",UPPER(M$3))),"''","null"),SUBSTITUTE(VLOOKUP(M$2,convert!$A$1:$B$4,2,0),"@@@",M1059))</f>
        <v>null</v>
      </c>
      <c r="AC1059" s="4" t="str">
        <f>IF(N1059="",IF(ISNUMBER(SEARCH("NOT NULL",UPPER(N$3))),"''","null"),SUBSTITUTE(VLOOKUP(N$2,convert!$A$1:$B$4,2,0),"@@@",N1059))</f>
        <v>null</v>
      </c>
      <c r="AD1059" s="4" t="str">
        <f>IF(O1059="",IF(ISNUMBER(SEARCH("NOT NULL",UPPER(O$3))),"''","null"),SUBSTITUTE(VLOOKUP(O$2,convert!$A$1:$B$4,2,0),"@@@",O1059))</f>
        <v>FALSE</v>
      </c>
      <c r="AE1059" s="4" t="str">
        <f t="shared" si="16"/>
        <v>    ('0877N01', 'モルペコ', 58, 95, 58, 70, 58, 97, 'まんぷくもよう', 'electric', 'dark', 'g8', null, null, FALSE),</v>
      </c>
    </row>
    <row r="1060" spans="1:31">
      <c r="A1060" s="4" t="s">
        <v>2128</v>
      </c>
      <c r="B1060" s="4" t="s">
        <v>2126</v>
      </c>
      <c r="C1060" s="5">
        <v>58</v>
      </c>
      <c r="D1060" s="5">
        <v>95</v>
      </c>
      <c r="E1060" s="5">
        <v>58</v>
      </c>
      <c r="F1060" s="5">
        <v>70</v>
      </c>
      <c r="G1060" s="5">
        <v>58</v>
      </c>
      <c r="H1060" s="5">
        <v>97</v>
      </c>
      <c r="I1060" s="4" t="s">
        <v>2129</v>
      </c>
      <c r="J1060" s="4" t="s">
        <v>106</v>
      </c>
      <c r="K1060" s="4" t="s">
        <v>91</v>
      </c>
      <c r="L1060" s="4" t="s">
        <v>179</v>
      </c>
      <c r="M1060" s="5"/>
      <c r="N1060" s="5"/>
      <c r="O1060" s="5" t="b">
        <v>0</v>
      </c>
      <c r="P1060" s="4" t="str">
        <f>IF(A1060="",IF(ISNUMBER(SEARCH("NOT NULL",UPPER(A$3))),"''","null"),SUBSTITUTE(VLOOKUP(A$2,convert!$A$1:$B$4,2,0),"@@@",A1060))</f>
        <v>'0877N02'</v>
      </c>
      <c r="Q1060" s="4" t="str">
        <f>IF(B1060="",IF(ISNUMBER(SEARCH("NOT NULL",UPPER(B$3))),"''","null"),SUBSTITUTE(VLOOKUP(B$2,convert!$A$1:$B$4,2,0),"@@@",B1060))</f>
        <v>'モルペコ'</v>
      </c>
      <c r="R1060" s="4" t="str">
        <f>IF(C1060="",IF(ISNUMBER(SEARCH("NOT NULL",UPPER(C$3))),"''","null"),SUBSTITUTE(VLOOKUP(C$2,convert!$A$1:$B$4,2,0),"@@@",C1060))</f>
        <v>58</v>
      </c>
      <c r="S1060" s="4" t="str">
        <f>IF(D1060="",IF(ISNUMBER(SEARCH("NOT NULL",UPPER(D$3))),"''","null"),SUBSTITUTE(VLOOKUP(D$2,convert!$A$1:$B$4,2,0),"@@@",D1060))</f>
        <v>95</v>
      </c>
      <c r="T1060" s="4" t="str">
        <f>IF(E1060="",IF(ISNUMBER(SEARCH("NOT NULL",UPPER(E$3))),"''","null"),SUBSTITUTE(VLOOKUP(E$2,convert!$A$1:$B$4,2,0),"@@@",E1060))</f>
        <v>58</v>
      </c>
      <c r="U1060" s="4" t="str">
        <f>IF(F1060="",IF(ISNUMBER(SEARCH("NOT NULL",UPPER(F$3))),"''","null"),SUBSTITUTE(VLOOKUP(F$2,convert!$A$1:$B$4,2,0),"@@@",F1060))</f>
        <v>70</v>
      </c>
      <c r="V1060" s="4" t="str">
        <f>IF(G1060="",IF(ISNUMBER(SEARCH("NOT NULL",UPPER(G$3))),"''","null"),SUBSTITUTE(VLOOKUP(G$2,convert!$A$1:$B$4,2,0),"@@@",G1060))</f>
        <v>58</v>
      </c>
      <c r="W1060" s="4" t="str">
        <f>IF(H1060="",IF(ISNUMBER(SEARCH("NOT NULL",UPPER(H$3))),"''","null"),SUBSTITUTE(VLOOKUP(H$2,convert!$A$1:$B$4,2,0),"@@@",H1060))</f>
        <v>97</v>
      </c>
      <c r="X1060" s="4" t="str">
        <f>IF(I1060="",IF(ISNUMBER(SEARCH("NOT NULL",UPPER(I$3))),"''","null"),SUBSTITUTE(VLOOKUP(I$2,convert!$A$1:$B$4,2,0),"@@@",I1060))</f>
        <v>'はらぺこもよう'</v>
      </c>
      <c r="Y1060" s="4" t="str">
        <f>IF(J1060="",IF(ISNUMBER(SEARCH("NOT NULL",UPPER(J$3))),"''","null"),SUBSTITUTE(VLOOKUP(J$2,convert!$A$1:$B$4,2,0),"@@@",J1060))</f>
        <v>'electric'</v>
      </c>
      <c r="Z1060" s="4" t="str">
        <f>IF(K1060="",IF(ISNUMBER(SEARCH("NOT NULL",UPPER(K$3))),"''","null"),SUBSTITUTE(VLOOKUP(K$2,convert!$A$1:$B$4,2,0),"@@@",K1060))</f>
        <v>'dark'</v>
      </c>
      <c r="AA1060" s="4" t="str">
        <f>IF(L1060="",IF(ISNUMBER(SEARCH("NOT NULL",UPPER(L$3))),"''","null"),SUBSTITUTE(VLOOKUP(L$2,convert!$A$1:$B$4,2,0),"@@@",L1060))</f>
        <v>'g8'</v>
      </c>
      <c r="AB1060" s="4" t="str">
        <f>IF(M1060="",IF(ISNUMBER(SEARCH("NOT NULL",UPPER(M$3))),"''","null"),SUBSTITUTE(VLOOKUP(M$2,convert!$A$1:$B$4,2,0),"@@@",M1060))</f>
        <v>null</v>
      </c>
      <c r="AC1060" s="4" t="str">
        <f>IF(N1060="",IF(ISNUMBER(SEARCH("NOT NULL",UPPER(N$3))),"''","null"),SUBSTITUTE(VLOOKUP(N$2,convert!$A$1:$B$4,2,0),"@@@",N1060))</f>
        <v>null</v>
      </c>
      <c r="AD1060" s="4" t="str">
        <f>IF(O1060="",IF(ISNUMBER(SEARCH("NOT NULL",UPPER(O$3))),"''","null"),SUBSTITUTE(VLOOKUP(O$2,convert!$A$1:$B$4,2,0),"@@@",O1060))</f>
        <v>FALSE</v>
      </c>
      <c r="AE1060" s="4" t="str">
        <f t="shared" si="16"/>
        <v>    ('0877N02', 'モルペコ', 58, 95, 58, 70, 58, 97, 'はらぺこもよう', 'electric', 'dark', 'g8', null, null, FALSE),</v>
      </c>
    </row>
    <row r="1061" spans="1:31">
      <c r="A1061" s="4" t="s">
        <v>2130</v>
      </c>
      <c r="B1061" s="4" t="s">
        <v>2131</v>
      </c>
      <c r="C1061" s="5">
        <v>72</v>
      </c>
      <c r="D1061" s="5">
        <v>80</v>
      </c>
      <c r="E1061" s="5">
        <v>49</v>
      </c>
      <c r="F1061" s="5">
        <v>40</v>
      </c>
      <c r="G1061" s="5">
        <v>49</v>
      </c>
      <c r="H1061" s="5">
        <v>40</v>
      </c>
      <c r="I1061" s="5"/>
      <c r="J1061" s="4" t="s">
        <v>119</v>
      </c>
      <c r="K1061" s="5"/>
      <c r="L1061" s="4" t="s">
        <v>179</v>
      </c>
      <c r="M1061" s="5"/>
      <c r="N1061" s="5"/>
      <c r="O1061" s="5" t="b">
        <v>0</v>
      </c>
      <c r="P1061" s="4" t="str">
        <f>IF(A1061="",IF(ISNUMBER(SEARCH("NOT NULL",UPPER(A$3))),"''","null"),SUBSTITUTE(VLOOKUP(A$2,convert!$A$1:$B$4,2,0),"@@@",A1061))</f>
        <v>'0878N01'</v>
      </c>
      <c r="Q1061" s="4" t="str">
        <f>IF(B1061="",IF(ISNUMBER(SEARCH("NOT NULL",UPPER(B$3))),"''","null"),SUBSTITUTE(VLOOKUP(B$2,convert!$A$1:$B$4,2,0),"@@@",B1061))</f>
        <v>'ゾウドウ'</v>
      </c>
      <c r="R1061" s="4" t="str">
        <f>IF(C1061="",IF(ISNUMBER(SEARCH("NOT NULL",UPPER(C$3))),"''","null"),SUBSTITUTE(VLOOKUP(C$2,convert!$A$1:$B$4,2,0),"@@@",C1061))</f>
        <v>72</v>
      </c>
      <c r="S1061" s="4" t="str">
        <f>IF(D1061="",IF(ISNUMBER(SEARCH("NOT NULL",UPPER(D$3))),"''","null"),SUBSTITUTE(VLOOKUP(D$2,convert!$A$1:$B$4,2,0),"@@@",D1061))</f>
        <v>80</v>
      </c>
      <c r="T1061" s="4" t="str">
        <f>IF(E1061="",IF(ISNUMBER(SEARCH("NOT NULL",UPPER(E$3))),"''","null"),SUBSTITUTE(VLOOKUP(E$2,convert!$A$1:$B$4,2,0),"@@@",E1061))</f>
        <v>49</v>
      </c>
      <c r="U1061" s="4" t="str">
        <f>IF(F1061="",IF(ISNUMBER(SEARCH("NOT NULL",UPPER(F$3))),"''","null"),SUBSTITUTE(VLOOKUP(F$2,convert!$A$1:$B$4,2,0),"@@@",F1061))</f>
        <v>40</v>
      </c>
      <c r="V1061" s="4" t="str">
        <f>IF(G1061="",IF(ISNUMBER(SEARCH("NOT NULL",UPPER(G$3))),"''","null"),SUBSTITUTE(VLOOKUP(G$2,convert!$A$1:$B$4,2,0),"@@@",G1061))</f>
        <v>49</v>
      </c>
      <c r="W1061" s="4" t="str">
        <f>IF(H1061="",IF(ISNUMBER(SEARCH("NOT NULL",UPPER(H$3))),"''","null"),SUBSTITUTE(VLOOKUP(H$2,convert!$A$1:$B$4,2,0),"@@@",H1061))</f>
        <v>40</v>
      </c>
      <c r="X1061" s="4" t="str">
        <f>IF(I1061="",IF(ISNUMBER(SEARCH("NOT NULL",UPPER(I$3))),"''","null"),SUBSTITUTE(VLOOKUP(I$2,convert!$A$1:$B$4,2,0),"@@@",I1061))</f>
        <v>''</v>
      </c>
      <c r="Y1061" s="4" t="str">
        <f>IF(J1061="",IF(ISNUMBER(SEARCH("NOT NULL",UPPER(J$3))),"''","null"),SUBSTITUTE(VLOOKUP(J$2,convert!$A$1:$B$4,2,0),"@@@",J1061))</f>
        <v>'steel'</v>
      </c>
      <c r="Z1061" s="4" t="str">
        <f>IF(K1061="",IF(ISNUMBER(SEARCH("NOT NULL",UPPER(K$3))),"''","null"),SUBSTITUTE(VLOOKUP(K$2,convert!$A$1:$B$4,2,0),"@@@",K1061))</f>
        <v>null</v>
      </c>
      <c r="AA1061" s="4" t="str">
        <f>IF(L1061="",IF(ISNUMBER(SEARCH("NOT NULL",UPPER(L$3))),"''","null"),SUBSTITUTE(VLOOKUP(L$2,convert!$A$1:$B$4,2,0),"@@@",L1061))</f>
        <v>'g8'</v>
      </c>
      <c r="AB1061" s="4" t="str">
        <f>IF(M1061="",IF(ISNUMBER(SEARCH("NOT NULL",UPPER(M$3))),"''","null"),SUBSTITUTE(VLOOKUP(M$2,convert!$A$1:$B$4,2,0),"@@@",M1061))</f>
        <v>null</v>
      </c>
      <c r="AC1061" s="4" t="str">
        <f>IF(N1061="",IF(ISNUMBER(SEARCH("NOT NULL",UPPER(N$3))),"''","null"),SUBSTITUTE(VLOOKUP(N$2,convert!$A$1:$B$4,2,0),"@@@",N1061))</f>
        <v>null</v>
      </c>
      <c r="AD1061" s="4" t="str">
        <f>IF(O1061="",IF(ISNUMBER(SEARCH("NOT NULL",UPPER(O$3))),"''","null"),SUBSTITUTE(VLOOKUP(O$2,convert!$A$1:$B$4,2,0),"@@@",O1061))</f>
        <v>FALSE</v>
      </c>
      <c r="AE1061" s="4" t="str">
        <f t="shared" si="16"/>
        <v>    ('0878N01', 'ゾウドウ', 72, 80, 49, 40, 49, 40, '', 'steel', null, 'g8', null, null, FALSE),</v>
      </c>
    </row>
    <row r="1062" spans="1:31">
      <c r="A1062" s="4" t="s">
        <v>2132</v>
      </c>
      <c r="B1062" s="4" t="s">
        <v>2133</v>
      </c>
      <c r="C1062" s="5">
        <v>122</v>
      </c>
      <c r="D1062" s="5">
        <v>130</v>
      </c>
      <c r="E1062" s="5">
        <v>69</v>
      </c>
      <c r="F1062" s="5">
        <v>80</v>
      </c>
      <c r="G1062" s="5">
        <v>69</v>
      </c>
      <c r="H1062" s="5">
        <v>30</v>
      </c>
      <c r="I1062" s="5"/>
      <c r="J1062" s="4" t="s">
        <v>119</v>
      </c>
      <c r="K1062" s="5"/>
      <c r="L1062" s="4" t="s">
        <v>179</v>
      </c>
      <c r="M1062" s="5"/>
      <c r="N1062" s="5"/>
      <c r="O1062" s="5" t="b">
        <v>0</v>
      </c>
      <c r="P1062" s="4" t="str">
        <f>IF(A1062="",IF(ISNUMBER(SEARCH("NOT NULL",UPPER(A$3))),"''","null"),SUBSTITUTE(VLOOKUP(A$2,convert!$A$1:$B$4,2,0),"@@@",A1062))</f>
        <v>'0879N01'</v>
      </c>
      <c r="Q1062" s="4" t="str">
        <f>IF(B1062="",IF(ISNUMBER(SEARCH("NOT NULL",UPPER(B$3))),"''","null"),SUBSTITUTE(VLOOKUP(B$2,convert!$A$1:$B$4,2,0),"@@@",B1062))</f>
        <v>'ダイオウドウ'</v>
      </c>
      <c r="R1062" s="4" t="str">
        <f>IF(C1062="",IF(ISNUMBER(SEARCH("NOT NULL",UPPER(C$3))),"''","null"),SUBSTITUTE(VLOOKUP(C$2,convert!$A$1:$B$4,2,0),"@@@",C1062))</f>
        <v>122</v>
      </c>
      <c r="S1062" s="4" t="str">
        <f>IF(D1062="",IF(ISNUMBER(SEARCH("NOT NULL",UPPER(D$3))),"''","null"),SUBSTITUTE(VLOOKUP(D$2,convert!$A$1:$B$4,2,0),"@@@",D1062))</f>
        <v>130</v>
      </c>
      <c r="T1062" s="4" t="str">
        <f>IF(E1062="",IF(ISNUMBER(SEARCH("NOT NULL",UPPER(E$3))),"''","null"),SUBSTITUTE(VLOOKUP(E$2,convert!$A$1:$B$4,2,0),"@@@",E1062))</f>
        <v>69</v>
      </c>
      <c r="U1062" s="4" t="str">
        <f>IF(F1062="",IF(ISNUMBER(SEARCH("NOT NULL",UPPER(F$3))),"''","null"),SUBSTITUTE(VLOOKUP(F$2,convert!$A$1:$B$4,2,0),"@@@",F1062))</f>
        <v>80</v>
      </c>
      <c r="V1062" s="4" t="str">
        <f>IF(G1062="",IF(ISNUMBER(SEARCH("NOT NULL",UPPER(G$3))),"''","null"),SUBSTITUTE(VLOOKUP(G$2,convert!$A$1:$B$4,2,0),"@@@",G1062))</f>
        <v>69</v>
      </c>
      <c r="W1062" s="4" t="str">
        <f>IF(H1062="",IF(ISNUMBER(SEARCH("NOT NULL",UPPER(H$3))),"''","null"),SUBSTITUTE(VLOOKUP(H$2,convert!$A$1:$B$4,2,0),"@@@",H1062))</f>
        <v>30</v>
      </c>
      <c r="X1062" s="4" t="str">
        <f>IF(I1062="",IF(ISNUMBER(SEARCH("NOT NULL",UPPER(I$3))),"''","null"),SUBSTITUTE(VLOOKUP(I$2,convert!$A$1:$B$4,2,0),"@@@",I1062))</f>
        <v>''</v>
      </c>
      <c r="Y1062" s="4" t="str">
        <f>IF(J1062="",IF(ISNUMBER(SEARCH("NOT NULL",UPPER(J$3))),"''","null"),SUBSTITUTE(VLOOKUP(J$2,convert!$A$1:$B$4,2,0),"@@@",J1062))</f>
        <v>'steel'</v>
      </c>
      <c r="Z1062" s="4" t="str">
        <f>IF(K1062="",IF(ISNUMBER(SEARCH("NOT NULL",UPPER(K$3))),"''","null"),SUBSTITUTE(VLOOKUP(K$2,convert!$A$1:$B$4,2,0),"@@@",K1062))</f>
        <v>null</v>
      </c>
      <c r="AA1062" s="4" t="str">
        <f>IF(L1062="",IF(ISNUMBER(SEARCH("NOT NULL",UPPER(L$3))),"''","null"),SUBSTITUTE(VLOOKUP(L$2,convert!$A$1:$B$4,2,0),"@@@",L1062))</f>
        <v>'g8'</v>
      </c>
      <c r="AB1062" s="4" t="str">
        <f>IF(M1062="",IF(ISNUMBER(SEARCH("NOT NULL",UPPER(M$3))),"''","null"),SUBSTITUTE(VLOOKUP(M$2,convert!$A$1:$B$4,2,0),"@@@",M1062))</f>
        <v>null</v>
      </c>
      <c r="AC1062" s="4" t="str">
        <f>IF(N1062="",IF(ISNUMBER(SEARCH("NOT NULL",UPPER(N$3))),"''","null"),SUBSTITUTE(VLOOKUP(N$2,convert!$A$1:$B$4,2,0),"@@@",N1062))</f>
        <v>null</v>
      </c>
      <c r="AD1062" s="4" t="str">
        <f>IF(O1062="",IF(ISNUMBER(SEARCH("NOT NULL",UPPER(O$3))),"''","null"),SUBSTITUTE(VLOOKUP(O$2,convert!$A$1:$B$4,2,0),"@@@",O1062))</f>
        <v>FALSE</v>
      </c>
      <c r="AE1062" s="4" t="str">
        <f t="shared" si="16"/>
        <v>    ('0879N01', 'ダイオウドウ', 122, 130, 69, 80, 69, 30, '', 'steel', null, 'g8', null, null, FALSE),</v>
      </c>
    </row>
    <row r="1063" spans="1:31">
      <c r="A1063" s="4" t="s">
        <v>2134</v>
      </c>
      <c r="B1063" s="4" t="s">
        <v>2135</v>
      </c>
      <c r="C1063" s="5">
        <v>90</v>
      </c>
      <c r="D1063" s="5">
        <v>100</v>
      </c>
      <c r="E1063" s="5">
        <v>90</v>
      </c>
      <c r="F1063" s="5">
        <v>80</v>
      </c>
      <c r="G1063" s="5">
        <v>70</v>
      </c>
      <c r="H1063" s="5">
        <v>75</v>
      </c>
      <c r="I1063" s="5"/>
      <c r="J1063" s="4" t="s">
        <v>106</v>
      </c>
      <c r="K1063" s="4" t="s">
        <v>50</v>
      </c>
      <c r="L1063" s="4" t="s">
        <v>179</v>
      </c>
      <c r="M1063" s="5"/>
      <c r="N1063" s="5"/>
      <c r="O1063" s="5" t="b">
        <v>0</v>
      </c>
      <c r="P1063" s="4" t="str">
        <f>IF(A1063="",IF(ISNUMBER(SEARCH("NOT NULL",UPPER(A$3))),"''","null"),SUBSTITUTE(VLOOKUP(A$2,convert!$A$1:$B$4,2,0),"@@@",A1063))</f>
        <v>'0880N01'</v>
      </c>
      <c r="Q1063" s="4" t="str">
        <f>IF(B1063="",IF(ISNUMBER(SEARCH("NOT NULL",UPPER(B$3))),"''","null"),SUBSTITUTE(VLOOKUP(B$2,convert!$A$1:$B$4,2,0),"@@@",B1063))</f>
        <v>'パッチラゴン'</v>
      </c>
      <c r="R1063" s="4" t="str">
        <f>IF(C1063="",IF(ISNUMBER(SEARCH("NOT NULL",UPPER(C$3))),"''","null"),SUBSTITUTE(VLOOKUP(C$2,convert!$A$1:$B$4,2,0),"@@@",C1063))</f>
        <v>90</v>
      </c>
      <c r="S1063" s="4" t="str">
        <f>IF(D1063="",IF(ISNUMBER(SEARCH("NOT NULL",UPPER(D$3))),"''","null"),SUBSTITUTE(VLOOKUP(D$2,convert!$A$1:$B$4,2,0),"@@@",D1063))</f>
        <v>100</v>
      </c>
      <c r="T1063" s="4" t="str">
        <f>IF(E1063="",IF(ISNUMBER(SEARCH("NOT NULL",UPPER(E$3))),"''","null"),SUBSTITUTE(VLOOKUP(E$2,convert!$A$1:$B$4,2,0),"@@@",E1063))</f>
        <v>90</v>
      </c>
      <c r="U1063" s="4" t="str">
        <f>IF(F1063="",IF(ISNUMBER(SEARCH("NOT NULL",UPPER(F$3))),"''","null"),SUBSTITUTE(VLOOKUP(F$2,convert!$A$1:$B$4,2,0),"@@@",F1063))</f>
        <v>80</v>
      </c>
      <c r="V1063" s="4" t="str">
        <f>IF(G1063="",IF(ISNUMBER(SEARCH("NOT NULL",UPPER(G$3))),"''","null"),SUBSTITUTE(VLOOKUP(G$2,convert!$A$1:$B$4,2,0),"@@@",G1063))</f>
        <v>70</v>
      </c>
      <c r="W1063" s="4" t="str">
        <f>IF(H1063="",IF(ISNUMBER(SEARCH("NOT NULL",UPPER(H$3))),"''","null"),SUBSTITUTE(VLOOKUP(H$2,convert!$A$1:$B$4,2,0),"@@@",H1063))</f>
        <v>75</v>
      </c>
      <c r="X1063" s="4" t="str">
        <f>IF(I1063="",IF(ISNUMBER(SEARCH("NOT NULL",UPPER(I$3))),"''","null"),SUBSTITUTE(VLOOKUP(I$2,convert!$A$1:$B$4,2,0),"@@@",I1063))</f>
        <v>''</v>
      </c>
      <c r="Y1063" s="4" t="str">
        <f>IF(J1063="",IF(ISNUMBER(SEARCH("NOT NULL",UPPER(J$3))),"''","null"),SUBSTITUTE(VLOOKUP(J$2,convert!$A$1:$B$4,2,0),"@@@",J1063))</f>
        <v>'electric'</v>
      </c>
      <c r="Z1063" s="4" t="str">
        <f>IF(K1063="",IF(ISNUMBER(SEARCH("NOT NULL",UPPER(K$3))),"''","null"),SUBSTITUTE(VLOOKUP(K$2,convert!$A$1:$B$4,2,0),"@@@",K1063))</f>
        <v>'dragon'</v>
      </c>
      <c r="AA1063" s="4" t="str">
        <f>IF(L1063="",IF(ISNUMBER(SEARCH("NOT NULL",UPPER(L$3))),"''","null"),SUBSTITUTE(VLOOKUP(L$2,convert!$A$1:$B$4,2,0),"@@@",L1063))</f>
        <v>'g8'</v>
      </c>
      <c r="AB1063" s="4" t="str">
        <f>IF(M1063="",IF(ISNUMBER(SEARCH("NOT NULL",UPPER(M$3))),"''","null"),SUBSTITUTE(VLOOKUP(M$2,convert!$A$1:$B$4,2,0),"@@@",M1063))</f>
        <v>null</v>
      </c>
      <c r="AC1063" s="4" t="str">
        <f>IF(N1063="",IF(ISNUMBER(SEARCH("NOT NULL",UPPER(N$3))),"''","null"),SUBSTITUTE(VLOOKUP(N$2,convert!$A$1:$B$4,2,0),"@@@",N1063))</f>
        <v>null</v>
      </c>
      <c r="AD1063" s="4" t="str">
        <f>IF(O1063="",IF(ISNUMBER(SEARCH("NOT NULL",UPPER(O$3))),"''","null"),SUBSTITUTE(VLOOKUP(O$2,convert!$A$1:$B$4,2,0),"@@@",O1063))</f>
        <v>FALSE</v>
      </c>
      <c r="AE1063" s="4" t="str">
        <f t="shared" si="16"/>
        <v>    ('0880N01', 'パッチラゴン', 90, 100, 90, 80, 70, 75, '', 'electric', 'dragon', 'g8', null, null, FALSE),</v>
      </c>
    </row>
    <row r="1064" spans="1:31">
      <c r="A1064" s="4" t="s">
        <v>2136</v>
      </c>
      <c r="B1064" s="4" t="s">
        <v>2137</v>
      </c>
      <c r="C1064" s="5">
        <v>90</v>
      </c>
      <c r="D1064" s="5">
        <v>100</v>
      </c>
      <c r="E1064" s="5">
        <v>90</v>
      </c>
      <c r="F1064" s="5">
        <v>90</v>
      </c>
      <c r="G1064" s="5">
        <v>80</v>
      </c>
      <c r="H1064" s="5">
        <v>55</v>
      </c>
      <c r="I1064" s="5"/>
      <c r="J1064" s="4" t="s">
        <v>106</v>
      </c>
      <c r="K1064" s="4" t="s">
        <v>118</v>
      </c>
      <c r="L1064" s="4" t="s">
        <v>179</v>
      </c>
      <c r="M1064" s="5"/>
      <c r="N1064" s="5"/>
      <c r="O1064" s="5" t="b">
        <v>0</v>
      </c>
      <c r="P1064" s="4" t="str">
        <f>IF(A1064="",IF(ISNUMBER(SEARCH("NOT NULL",UPPER(A$3))),"''","null"),SUBSTITUTE(VLOOKUP(A$2,convert!$A$1:$B$4,2,0),"@@@",A1064))</f>
        <v>'0881N01'</v>
      </c>
      <c r="Q1064" s="4" t="str">
        <f>IF(B1064="",IF(ISNUMBER(SEARCH("NOT NULL",UPPER(B$3))),"''","null"),SUBSTITUTE(VLOOKUP(B$2,convert!$A$1:$B$4,2,0),"@@@",B1064))</f>
        <v>'パッチルドン'</v>
      </c>
      <c r="R1064" s="4" t="str">
        <f>IF(C1064="",IF(ISNUMBER(SEARCH("NOT NULL",UPPER(C$3))),"''","null"),SUBSTITUTE(VLOOKUP(C$2,convert!$A$1:$B$4,2,0),"@@@",C1064))</f>
        <v>90</v>
      </c>
      <c r="S1064" s="4" t="str">
        <f>IF(D1064="",IF(ISNUMBER(SEARCH("NOT NULL",UPPER(D$3))),"''","null"),SUBSTITUTE(VLOOKUP(D$2,convert!$A$1:$B$4,2,0),"@@@",D1064))</f>
        <v>100</v>
      </c>
      <c r="T1064" s="4" t="str">
        <f>IF(E1064="",IF(ISNUMBER(SEARCH("NOT NULL",UPPER(E$3))),"''","null"),SUBSTITUTE(VLOOKUP(E$2,convert!$A$1:$B$4,2,0),"@@@",E1064))</f>
        <v>90</v>
      </c>
      <c r="U1064" s="4" t="str">
        <f>IF(F1064="",IF(ISNUMBER(SEARCH("NOT NULL",UPPER(F$3))),"''","null"),SUBSTITUTE(VLOOKUP(F$2,convert!$A$1:$B$4,2,0),"@@@",F1064))</f>
        <v>90</v>
      </c>
      <c r="V1064" s="4" t="str">
        <f>IF(G1064="",IF(ISNUMBER(SEARCH("NOT NULL",UPPER(G$3))),"''","null"),SUBSTITUTE(VLOOKUP(G$2,convert!$A$1:$B$4,2,0),"@@@",G1064))</f>
        <v>80</v>
      </c>
      <c r="W1064" s="4" t="str">
        <f>IF(H1064="",IF(ISNUMBER(SEARCH("NOT NULL",UPPER(H$3))),"''","null"),SUBSTITUTE(VLOOKUP(H$2,convert!$A$1:$B$4,2,0),"@@@",H1064))</f>
        <v>55</v>
      </c>
      <c r="X1064" s="4" t="str">
        <f>IF(I1064="",IF(ISNUMBER(SEARCH("NOT NULL",UPPER(I$3))),"''","null"),SUBSTITUTE(VLOOKUP(I$2,convert!$A$1:$B$4,2,0),"@@@",I1064))</f>
        <v>''</v>
      </c>
      <c r="Y1064" s="4" t="str">
        <f>IF(J1064="",IF(ISNUMBER(SEARCH("NOT NULL",UPPER(J$3))),"''","null"),SUBSTITUTE(VLOOKUP(J$2,convert!$A$1:$B$4,2,0),"@@@",J1064))</f>
        <v>'electric'</v>
      </c>
      <c r="Z1064" s="4" t="str">
        <f>IF(K1064="",IF(ISNUMBER(SEARCH("NOT NULL",UPPER(K$3))),"''","null"),SUBSTITUTE(VLOOKUP(K$2,convert!$A$1:$B$4,2,0),"@@@",K1064))</f>
        <v>'ice'</v>
      </c>
      <c r="AA1064" s="4" t="str">
        <f>IF(L1064="",IF(ISNUMBER(SEARCH("NOT NULL",UPPER(L$3))),"''","null"),SUBSTITUTE(VLOOKUP(L$2,convert!$A$1:$B$4,2,0),"@@@",L1064))</f>
        <v>'g8'</v>
      </c>
      <c r="AB1064" s="4" t="str">
        <f>IF(M1064="",IF(ISNUMBER(SEARCH("NOT NULL",UPPER(M$3))),"''","null"),SUBSTITUTE(VLOOKUP(M$2,convert!$A$1:$B$4,2,0),"@@@",M1064))</f>
        <v>null</v>
      </c>
      <c r="AC1064" s="4" t="str">
        <f>IF(N1064="",IF(ISNUMBER(SEARCH("NOT NULL",UPPER(N$3))),"''","null"),SUBSTITUTE(VLOOKUP(N$2,convert!$A$1:$B$4,2,0),"@@@",N1064))</f>
        <v>null</v>
      </c>
      <c r="AD1064" s="4" t="str">
        <f>IF(O1064="",IF(ISNUMBER(SEARCH("NOT NULL",UPPER(O$3))),"''","null"),SUBSTITUTE(VLOOKUP(O$2,convert!$A$1:$B$4,2,0),"@@@",O1064))</f>
        <v>FALSE</v>
      </c>
      <c r="AE1064" s="4" t="str">
        <f t="shared" si="16"/>
        <v>    ('0881N01', 'パッチルドン', 90, 100, 90, 90, 80, 55, '', 'electric', 'ice', 'g8', null, null, FALSE),</v>
      </c>
    </row>
    <row r="1065" spans="1:31">
      <c r="A1065" s="4" t="s">
        <v>2138</v>
      </c>
      <c r="B1065" s="4" t="s">
        <v>2139</v>
      </c>
      <c r="C1065" s="5">
        <v>90</v>
      </c>
      <c r="D1065" s="5">
        <v>90</v>
      </c>
      <c r="E1065" s="5">
        <v>100</v>
      </c>
      <c r="F1065" s="5">
        <v>70</v>
      </c>
      <c r="G1065" s="5">
        <v>80</v>
      </c>
      <c r="H1065" s="5">
        <v>75</v>
      </c>
      <c r="I1065" s="5"/>
      <c r="J1065" s="4" t="s">
        <v>55</v>
      </c>
      <c r="K1065" s="4" t="s">
        <v>50</v>
      </c>
      <c r="L1065" s="4" t="s">
        <v>179</v>
      </c>
      <c r="M1065" s="5"/>
      <c r="N1065" s="5"/>
      <c r="O1065" s="5" t="b">
        <v>0</v>
      </c>
      <c r="P1065" s="4" t="str">
        <f>IF(A1065="",IF(ISNUMBER(SEARCH("NOT NULL",UPPER(A$3))),"''","null"),SUBSTITUTE(VLOOKUP(A$2,convert!$A$1:$B$4,2,0),"@@@",A1065))</f>
        <v>'0882N01'</v>
      </c>
      <c r="Q1065" s="4" t="str">
        <f>IF(B1065="",IF(ISNUMBER(SEARCH("NOT NULL",UPPER(B$3))),"''","null"),SUBSTITUTE(VLOOKUP(B$2,convert!$A$1:$B$4,2,0),"@@@",B1065))</f>
        <v>'ウオノラゴン'</v>
      </c>
      <c r="R1065" s="4" t="str">
        <f>IF(C1065="",IF(ISNUMBER(SEARCH("NOT NULL",UPPER(C$3))),"''","null"),SUBSTITUTE(VLOOKUP(C$2,convert!$A$1:$B$4,2,0),"@@@",C1065))</f>
        <v>90</v>
      </c>
      <c r="S1065" s="4" t="str">
        <f>IF(D1065="",IF(ISNUMBER(SEARCH("NOT NULL",UPPER(D$3))),"''","null"),SUBSTITUTE(VLOOKUP(D$2,convert!$A$1:$B$4,2,0),"@@@",D1065))</f>
        <v>90</v>
      </c>
      <c r="T1065" s="4" t="str">
        <f>IF(E1065="",IF(ISNUMBER(SEARCH("NOT NULL",UPPER(E$3))),"''","null"),SUBSTITUTE(VLOOKUP(E$2,convert!$A$1:$B$4,2,0),"@@@",E1065))</f>
        <v>100</v>
      </c>
      <c r="U1065" s="4" t="str">
        <f>IF(F1065="",IF(ISNUMBER(SEARCH("NOT NULL",UPPER(F$3))),"''","null"),SUBSTITUTE(VLOOKUP(F$2,convert!$A$1:$B$4,2,0),"@@@",F1065))</f>
        <v>70</v>
      </c>
      <c r="V1065" s="4" t="str">
        <f>IF(G1065="",IF(ISNUMBER(SEARCH("NOT NULL",UPPER(G$3))),"''","null"),SUBSTITUTE(VLOOKUP(G$2,convert!$A$1:$B$4,2,0),"@@@",G1065))</f>
        <v>80</v>
      </c>
      <c r="W1065" s="4" t="str">
        <f>IF(H1065="",IF(ISNUMBER(SEARCH("NOT NULL",UPPER(H$3))),"''","null"),SUBSTITUTE(VLOOKUP(H$2,convert!$A$1:$B$4,2,0),"@@@",H1065))</f>
        <v>75</v>
      </c>
      <c r="X1065" s="4" t="str">
        <f>IF(I1065="",IF(ISNUMBER(SEARCH("NOT NULL",UPPER(I$3))),"''","null"),SUBSTITUTE(VLOOKUP(I$2,convert!$A$1:$B$4,2,0),"@@@",I1065))</f>
        <v>''</v>
      </c>
      <c r="Y1065" s="4" t="str">
        <f>IF(J1065="",IF(ISNUMBER(SEARCH("NOT NULL",UPPER(J$3))),"''","null"),SUBSTITUTE(VLOOKUP(J$2,convert!$A$1:$B$4,2,0),"@@@",J1065))</f>
        <v>'water'</v>
      </c>
      <c r="Z1065" s="4" t="str">
        <f>IF(K1065="",IF(ISNUMBER(SEARCH("NOT NULL",UPPER(K$3))),"''","null"),SUBSTITUTE(VLOOKUP(K$2,convert!$A$1:$B$4,2,0),"@@@",K1065))</f>
        <v>'dragon'</v>
      </c>
      <c r="AA1065" s="4" t="str">
        <f>IF(L1065="",IF(ISNUMBER(SEARCH("NOT NULL",UPPER(L$3))),"''","null"),SUBSTITUTE(VLOOKUP(L$2,convert!$A$1:$B$4,2,0),"@@@",L1065))</f>
        <v>'g8'</v>
      </c>
      <c r="AB1065" s="4" t="str">
        <f>IF(M1065="",IF(ISNUMBER(SEARCH("NOT NULL",UPPER(M$3))),"''","null"),SUBSTITUTE(VLOOKUP(M$2,convert!$A$1:$B$4,2,0),"@@@",M1065))</f>
        <v>null</v>
      </c>
      <c r="AC1065" s="4" t="str">
        <f>IF(N1065="",IF(ISNUMBER(SEARCH("NOT NULL",UPPER(N$3))),"''","null"),SUBSTITUTE(VLOOKUP(N$2,convert!$A$1:$B$4,2,0),"@@@",N1065))</f>
        <v>null</v>
      </c>
      <c r="AD1065" s="4" t="str">
        <f>IF(O1065="",IF(ISNUMBER(SEARCH("NOT NULL",UPPER(O$3))),"''","null"),SUBSTITUTE(VLOOKUP(O$2,convert!$A$1:$B$4,2,0),"@@@",O1065))</f>
        <v>FALSE</v>
      </c>
      <c r="AE1065" s="4" t="str">
        <f t="shared" si="16"/>
        <v>    ('0882N01', 'ウオノラゴン', 90, 90, 100, 70, 80, 75, '', 'water', 'dragon', 'g8', null, null, FALSE),</v>
      </c>
    </row>
    <row r="1066" spans="1:31">
      <c r="A1066" s="4" t="s">
        <v>2140</v>
      </c>
      <c r="B1066" s="4" t="s">
        <v>2141</v>
      </c>
      <c r="C1066" s="5">
        <v>90</v>
      </c>
      <c r="D1066" s="5">
        <v>90</v>
      </c>
      <c r="E1066" s="5">
        <v>100</v>
      </c>
      <c r="F1066" s="5">
        <v>80</v>
      </c>
      <c r="G1066" s="5">
        <v>90</v>
      </c>
      <c r="H1066" s="5">
        <v>55</v>
      </c>
      <c r="I1066" s="5"/>
      <c r="J1066" s="4" t="s">
        <v>55</v>
      </c>
      <c r="K1066" s="4" t="s">
        <v>118</v>
      </c>
      <c r="L1066" s="4" t="s">
        <v>179</v>
      </c>
      <c r="M1066" s="5"/>
      <c r="N1066" s="5"/>
      <c r="O1066" s="5" t="b">
        <v>0</v>
      </c>
      <c r="P1066" s="4" t="str">
        <f>IF(A1066="",IF(ISNUMBER(SEARCH("NOT NULL",UPPER(A$3))),"''","null"),SUBSTITUTE(VLOOKUP(A$2,convert!$A$1:$B$4,2,0),"@@@",A1066))</f>
        <v>'0883N01'</v>
      </c>
      <c r="Q1066" s="4" t="str">
        <f>IF(B1066="",IF(ISNUMBER(SEARCH("NOT NULL",UPPER(B$3))),"''","null"),SUBSTITUTE(VLOOKUP(B$2,convert!$A$1:$B$4,2,0),"@@@",B1066))</f>
        <v>'ウオチルドン'</v>
      </c>
      <c r="R1066" s="4" t="str">
        <f>IF(C1066="",IF(ISNUMBER(SEARCH("NOT NULL",UPPER(C$3))),"''","null"),SUBSTITUTE(VLOOKUP(C$2,convert!$A$1:$B$4,2,0),"@@@",C1066))</f>
        <v>90</v>
      </c>
      <c r="S1066" s="4" t="str">
        <f>IF(D1066="",IF(ISNUMBER(SEARCH("NOT NULL",UPPER(D$3))),"''","null"),SUBSTITUTE(VLOOKUP(D$2,convert!$A$1:$B$4,2,0),"@@@",D1066))</f>
        <v>90</v>
      </c>
      <c r="T1066" s="4" t="str">
        <f>IF(E1066="",IF(ISNUMBER(SEARCH("NOT NULL",UPPER(E$3))),"''","null"),SUBSTITUTE(VLOOKUP(E$2,convert!$A$1:$B$4,2,0),"@@@",E1066))</f>
        <v>100</v>
      </c>
      <c r="U1066" s="4" t="str">
        <f>IF(F1066="",IF(ISNUMBER(SEARCH("NOT NULL",UPPER(F$3))),"''","null"),SUBSTITUTE(VLOOKUP(F$2,convert!$A$1:$B$4,2,0),"@@@",F1066))</f>
        <v>80</v>
      </c>
      <c r="V1066" s="4" t="str">
        <f>IF(G1066="",IF(ISNUMBER(SEARCH("NOT NULL",UPPER(G$3))),"''","null"),SUBSTITUTE(VLOOKUP(G$2,convert!$A$1:$B$4,2,0),"@@@",G1066))</f>
        <v>90</v>
      </c>
      <c r="W1066" s="4" t="str">
        <f>IF(H1066="",IF(ISNUMBER(SEARCH("NOT NULL",UPPER(H$3))),"''","null"),SUBSTITUTE(VLOOKUP(H$2,convert!$A$1:$B$4,2,0),"@@@",H1066))</f>
        <v>55</v>
      </c>
      <c r="X1066" s="4" t="str">
        <f>IF(I1066="",IF(ISNUMBER(SEARCH("NOT NULL",UPPER(I$3))),"''","null"),SUBSTITUTE(VLOOKUP(I$2,convert!$A$1:$B$4,2,0),"@@@",I1066))</f>
        <v>''</v>
      </c>
      <c r="Y1066" s="4" t="str">
        <f>IF(J1066="",IF(ISNUMBER(SEARCH("NOT NULL",UPPER(J$3))),"''","null"),SUBSTITUTE(VLOOKUP(J$2,convert!$A$1:$B$4,2,0),"@@@",J1066))</f>
        <v>'water'</v>
      </c>
      <c r="Z1066" s="4" t="str">
        <f>IF(K1066="",IF(ISNUMBER(SEARCH("NOT NULL",UPPER(K$3))),"''","null"),SUBSTITUTE(VLOOKUP(K$2,convert!$A$1:$B$4,2,0),"@@@",K1066))</f>
        <v>'ice'</v>
      </c>
      <c r="AA1066" s="4" t="str">
        <f>IF(L1066="",IF(ISNUMBER(SEARCH("NOT NULL",UPPER(L$3))),"''","null"),SUBSTITUTE(VLOOKUP(L$2,convert!$A$1:$B$4,2,0),"@@@",L1066))</f>
        <v>'g8'</v>
      </c>
      <c r="AB1066" s="4" t="str">
        <f>IF(M1066="",IF(ISNUMBER(SEARCH("NOT NULL",UPPER(M$3))),"''","null"),SUBSTITUTE(VLOOKUP(M$2,convert!$A$1:$B$4,2,0),"@@@",M1066))</f>
        <v>null</v>
      </c>
      <c r="AC1066" s="4" t="str">
        <f>IF(N1066="",IF(ISNUMBER(SEARCH("NOT NULL",UPPER(N$3))),"''","null"),SUBSTITUTE(VLOOKUP(N$2,convert!$A$1:$B$4,2,0),"@@@",N1066))</f>
        <v>null</v>
      </c>
      <c r="AD1066" s="4" t="str">
        <f>IF(O1066="",IF(ISNUMBER(SEARCH("NOT NULL",UPPER(O$3))),"''","null"),SUBSTITUTE(VLOOKUP(O$2,convert!$A$1:$B$4,2,0),"@@@",O1066))</f>
        <v>FALSE</v>
      </c>
      <c r="AE1066" s="4" t="str">
        <f t="shared" si="16"/>
        <v>    ('0883N01', 'ウオチルドン', 90, 90, 100, 80, 90, 55, '', 'water', 'ice', 'g8', null, null, FALSE),</v>
      </c>
    </row>
    <row r="1067" spans="1:31">
      <c r="A1067" s="4" t="s">
        <v>2142</v>
      </c>
      <c r="B1067" s="4" t="s">
        <v>2143</v>
      </c>
      <c r="C1067" s="5">
        <v>70</v>
      </c>
      <c r="D1067" s="5">
        <v>95</v>
      </c>
      <c r="E1067" s="5">
        <v>115</v>
      </c>
      <c r="F1067" s="5">
        <v>120</v>
      </c>
      <c r="G1067" s="5">
        <v>50</v>
      </c>
      <c r="H1067" s="5">
        <v>85</v>
      </c>
      <c r="I1067" s="5"/>
      <c r="J1067" s="4" t="s">
        <v>119</v>
      </c>
      <c r="K1067" s="4" t="s">
        <v>50</v>
      </c>
      <c r="L1067" s="4" t="s">
        <v>179</v>
      </c>
      <c r="M1067" s="5"/>
      <c r="N1067" s="5"/>
      <c r="O1067" s="5" t="b">
        <v>0</v>
      </c>
      <c r="P1067" s="4" t="str">
        <f>IF(A1067="",IF(ISNUMBER(SEARCH("NOT NULL",UPPER(A$3))),"''","null"),SUBSTITUTE(VLOOKUP(A$2,convert!$A$1:$B$4,2,0),"@@@",A1067))</f>
        <v>'0884N01'</v>
      </c>
      <c r="Q1067" s="4" t="str">
        <f>IF(B1067="",IF(ISNUMBER(SEARCH("NOT NULL",UPPER(B$3))),"''","null"),SUBSTITUTE(VLOOKUP(B$2,convert!$A$1:$B$4,2,0),"@@@",B1067))</f>
        <v>'ジュラルドン'</v>
      </c>
      <c r="R1067" s="4" t="str">
        <f>IF(C1067="",IF(ISNUMBER(SEARCH("NOT NULL",UPPER(C$3))),"''","null"),SUBSTITUTE(VLOOKUP(C$2,convert!$A$1:$B$4,2,0),"@@@",C1067))</f>
        <v>70</v>
      </c>
      <c r="S1067" s="4" t="str">
        <f>IF(D1067="",IF(ISNUMBER(SEARCH("NOT NULL",UPPER(D$3))),"''","null"),SUBSTITUTE(VLOOKUP(D$2,convert!$A$1:$B$4,2,0),"@@@",D1067))</f>
        <v>95</v>
      </c>
      <c r="T1067" s="4" t="str">
        <f>IF(E1067="",IF(ISNUMBER(SEARCH("NOT NULL",UPPER(E$3))),"''","null"),SUBSTITUTE(VLOOKUP(E$2,convert!$A$1:$B$4,2,0),"@@@",E1067))</f>
        <v>115</v>
      </c>
      <c r="U1067" s="4" t="str">
        <f>IF(F1067="",IF(ISNUMBER(SEARCH("NOT NULL",UPPER(F$3))),"''","null"),SUBSTITUTE(VLOOKUP(F$2,convert!$A$1:$B$4,2,0),"@@@",F1067))</f>
        <v>120</v>
      </c>
      <c r="V1067" s="4" t="str">
        <f>IF(G1067="",IF(ISNUMBER(SEARCH("NOT NULL",UPPER(G$3))),"''","null"),SUBSTITUTE(VLOOKUP(G$2,convert!$A$1:$B$4,2,0),"@@@",G1067))</f>
        <v>50</v>
      </c>
      <c r="W1067" s="4" t="str">
        <f>IF(H1067="",IF(ISNUMBER(SEARCH("NOT NULL",UPPER(H$3))),"''","null"),SUBSTITUTE(VLOOKUP(H$2,convert!$A$1:$B$4,2,0),"@@@",H1067))</f>
        <v>85</v>
      </c>
      <c r="X1067" s="4" t="str">
        <f>IF(I1067="",IF(ISNUMBER(SEARCH("NOT NULL",UPPER(I$3))),"''","null"),SUBSTITUTE(VLOOKUP(I$2,convert!$A$1:$B$4,2,0),"@@@",I1067))</f>
        <v>''</v>
      </c>
      <c r="Y1067" s="4" t="str">
        <f>IF(J1067="",IF(ISNUMBER(SEARCH("NOT NULL",UPPER(J$3))),"''","null"),SUBSTITUTE(VLOOKUP(J$2,convert!$A$1:$B$4,2,0),"@@@",J1067))</f>
        <v>'steel'</v>
      </c>
      <c r="Z1067" s="4" t="str">
        <f>IF(K1067="",IF(ISNUMBER(SEARCH("NOT NULL",UPPER(K$3))),"''","null"),SUBSTITUTE(VLOOKUP(K$2,convert!$A$1:$B$4,2,0),"@@@",K1067))</f>
        <v>'dragon'</v>
      </c>
      <c r="AA1067" s="4" t="str">
        <f>IF(L1067="",IF(ISNUMBER(SEARCH("NOT NULL",UPPER(L$3))),"''","null"),SUBSTITUTE(VLOOKUP(L$2,convert!$A$1:$B$4,2,0),"@@@",L1067))</f>
        <v>'g8'</v>
      </c>
      <c r="AB1067" s="4" t="str">
        <f>IF(M1067="",IF(ISNUMBER(SEARCH("NOT NULL",UPPER(M$3))),"''","null"),SUBSTITUTE(VLOOKUP(M$2,convert!$A$1:$B$4,2,0),"@@@",M1067))</f>
        <v>null</v>
      </c>
      <c r="AC1067" s="4" t="str">
        <f>IF(N1067="",IF(ISNUMBER(SEARCH("NOT NULL",UPPER(N$3))),"''","null"),SUBSTITUTE(VLOOKUP(N$2,convert!$A$1:$B$4,2,0),"@@@",N1067))</f>
        <v>null</v>
      </c>
      <c r="AD1067" s="4" t="str">
        <f>IF(O1067="",IF(ISNUMBER(SEARCH("NOT NULL",UPPER(O$3))),"''","null"),SUBSTITUTE(VLOOKUP(O$2,convert!$A$1:$B$4,2,0),"@@@",O1067))</f>
        <v>FALSE</v>
      </c>
      <c r="AE1067" s="4" t="str">
        <f t="shared" si="16"/>
        <v>    ('0884N01', 'ジュラルドン', 70, 95, 115, 120, 50, 85, '', 'steel', 'dragon', 'g8', null, null, FALSE),</v>
      </c>
    </row>
    <row r="1068" spans="1:31">
      <c r="A1068" s="4" t="s">
        <v>2144</v>
      </c>
      <c r="B1068" s="4" t="s">
        <v>2145</v>
      </c>
      <c r="C1068" s="5">
        <v>28</v>
      </c>
      <c r="D1068" s="5">
        <v>60</v>
      </c>
      <c r="E1068" s="5">
        <v>30</v>
      </c>
      <c r="F1068" s="5">
        <v>40</v>
      </c>
      <c r="G1068" s="5">
        <v>30</v>
      </c>
      <c r="H1068" s="5">
        <v>82</v>
      </c>
      <c r="I1068" s="5"/>
      <c r="J1068" s="4" t="s">
        <v>50</v>
      </c>
      <c r="K1068" s="4" t="s">
        <v>281</v>
      </c>
      <c r="L1068" s="4" t="s">
        <v>179</v>
      </c>
      <c r="M1068" s="5"/>
      <c r="N1068" s="5"/>
      <c r="O1068" s="5" t="b">
        <v>0</v>
      </c>
      <c r="P1068" s="4" t="str">
        <f>IF(A1068="",IF(ISNUMBER(SEARCH("NOT NULL",UPPER(A$3))),"''","null"),SUBSTITUTE(VLOOKUP(A$2,convert!$A$1:$B$4,2,0),"@@@",A1068))</f>
        <v>'0885N01'</v>
      </c>
      <c r="Q1068" s="4" t="str">
        <f>IF(B1068="",IF(ISNUMBER(SEARCH("NOT NULL",UPPER(B$3))),"''","null"),SUBSTITUTE(VLOOKUP(B$2,convert!$A$1:$B$4,2,0),"@@@",B1068))</f>
        <v>'ドラメシヤ'</v>
      </c>
      <c r="R1068" s="4" t="str">
        <f>IF(C1068="",IF(ISNUMBER(SEARCH("NOT NULL",UPPER(C$3))),"''","null"),SUBSTITUTE(VLOOKUP(C$2,convert!$A$1:$B$4,2,0),"@@@",C1068))</f>
        <v>28</v>
      </c>
      <c r="S1068" s="4" t="str">
        <f>IF(D1068="",IF(ISNUMBER(SEARCH("NOT NULL",UPPER(D$3))),"''","null"),SUBSTITUTE(VLOOKUP(D$2,convert!$A$1:$B$4,2,0),"@@@",D1068))</f>
        <v>60</v>
      </c>
      <c r="T1068" s="4" t="str">
        <f>IF(E1068="",IF(ISNUMBER(SEARCH("NOT NULL",UPPER(E$3))),"''","null"),SUBSTITUTE(VLOOKUP(E$2,convert!$A$1:$B$4,2,0),"@@@",E1068))</f>
        <v>30</v>
      </c>
      <c r="U1068" s="4" t="str">
        <f>IF(F1068="",IF(ISNUMBER(SEARCH("NOT NULL",UPPER(F$3))),"''","null"),SUBSTITUTE(VLOOKUP(F$2,convert!$A$1:$B$4,2,0),"@@@",F1068))</f>
        <v>40</v>
      </c>
      <c r="V1068" s="4" t="str">
        <f>IF(G1068="",IF(ISNUMBER(SEARCH("NOT NULL",UPPER(G$3))),"''","null"),SUBSTITUTE(VLOOKUP(G$2,convert!$A$1:$B$4,2,0),"@@@",G1068))</f>
        <v>30</v>
      </c>
      <c r="W1068" s="4" t="str">
        <f>IF(H1068="",IF(ISNUMBER(SEARCH("NOT NULL",UPPER(H$3))),"''","null"),SUBSTITUTE(VLOOKUP(H$2,convert!$A$1:$B$4,2,0),"@@@",H1068))</f>
        <v>82</v>
      </c>
      <c r="X1068" s="4" t="str">
        <f>IF(I1068="",IF(ISNUMBER(SEARCH("NOT NULL",UPPER(I$3))),"''","null"),SUBSTITUTE(VLOOKUP(I$2,convert!$A$1:$B$4,2,0),"@@@",I1068))</f>
        <v>''</v>
      </c>
      <c r="Y1068" s="4" t="str">
        <f>IF(J1068="",IF(ISNUMBER(SEARCH("NOT NULL",UPPER(J$3))),"''","null"),SUBSTITUTE(VLOOKUP(J$2,convert!$A$1:$B$4,2,0),"@@@",J1068))</f>
        <v>'dragon'</v>
      </c>
      <c r="Z1068" s="4" t="str">
        <f>IF(K1068="",IF(ISNUMBER(SEARCH("NOT NULL",UPPER(K$3))),"''","null"),SUBSTITUTE(VLOOKUP(K$2,convert!$A$1:$B$4,2,0),"@@@",K1068))</f>
        <v>'ghost'</v>
      </c>
      <c r="AA1068" s="4" t="str">
        <f>IF(L1068="",IF(ISNUMBER(SEARCH("NOT NULL",UPPER(L$3))),"''","null"),SUBSTITUTE(VLOOKUP(L$2,convert!$A$1:$B$4,2,0),"@@@",L1068))</f>
        <v>'g8'</v>
      </c>
      <c r="AB1068" s="4" t="str">
        <f>IF(M1068="",IF(ISNUMBER(SEARCH("NOT NULL",UPPER(M$3))),"''","null"),SUBSTITUTE(VLOOKUP(M$2,convert!$A$1:$B$4,2,0),"@@@",M1068))</f>
        <v>null</v>
      </c>
      <c r="AC1068" s="4" t="str">
        <f>IF(N1068="",IF(ISNUMBER(SEARCH("NOT NULL",UPPER(N$3))),"''","null"),SUBSTITUTE(VLOOKUP(N$2,convert!$A$1:$B$4,2,0),"@@@",N1068))</f>
        <v>null</v>
      </c>
      <c r="AD1068" s="4" t="str">
        <f>IF(O1068="",IF(ISNUMBER(SEARCH("NOT NULL",UPPER(O$3))),"''","null"),SUBSTITUTE(VLOOKUP(O$2,convert!$A$1:$B$4,2,0),"@@@",O1068))</f>
        <v>FALSE</v>
      </c>
      <c r="AE1068" s="4" t="str">
        <f t="shared" si="16"/>
        <v>    ('0885N01', 'ドラメシヤ', 28, 60, 30, 40, 30, 82, '', 'dragon', 'ghost', 'g8', null, null, FALSE),</v>
      </c>
    </row>
    <row r="1069" spans="1:31">
      <c r="A1069" s="4" t="s">
        <v>2146</v>
      </c>
      <c r="B1069" s="4" t="s">
        <v>2147</v>
      </c>
      <c r="C1069" s="5">
        <v>68</v>
      </c>
      <c r="D1069" s="5">
        <v>80</v>
      </c>
      <c r="E1069" s="5">
        <v>50</v>
      </c>
      <c r="F1069" s="5">
        <v>60</v>
      </c>
      <c r="G1069" s="5">
        <v>50</v>
      </c>
      <c r="H1069" s="5">
        <v>102</v>
      </c>
      <c r="I1069" s="5"/>
      <c r="J1069" s="4" t="s">
        <v>50</v>
      </c>
      <c r="K1069" s="4" t="s">
        <v>281</v>
      </c>
      <c r="L1069" s="4" t="s">
        <v>179</v>
      </c>
      <c r="M1069" s="5"/>
      <c r="N1069" s="5"/>
      <c r="O1069" s="5" t="b">
        <v>0</v>
      </c>
      <c r="P1069" s="4" t="str">
        <f>IF(A1069="",IF(ISNUMBER(SEARCH("NOT NULL",UPPER(A$3))),"''","null"),SUBSTITUTE(VLOOKUP(A$2,convert!$A$1:$B$4,2,0),"@@@",A1069))</f>
        <v>'0886N01'</v>
      </c>
      <c r="Q1069" s="4" t="str">
        <f>IF(B1069="",IF(ISNUMBER(SEARCH("NOT NULL",UPPER(B$3))),"''","null"),SUBSTITUTE(VLOOKUP(B$2,convert!$A$1:$B$4,2,0),"@@@",B1069))</f>
        <v>'ドロンチ'</v>
      </c>
      <c r="R1069" s="4" t="str">
        <f>IF(C1069="",IF(ISNUMBER(SEARCH("NOT NULL",UPPER(C$3))),"''","null"),SUBSTITUTE(VLOOKUP(C$2,convert!$A$1:$B$4,2,0),"@@@",C1069))</f>
        <v>68</v>
      </c>
      <c r="S1069" s="4" t="str">
        <f>IF(D1069="",IF(ISNUMBER(SEARCH("NOT NULL",UPPER(D$3))),"''","null"),SUBSTITUTE(VLOOKUP(D$2,convert!$A$1:$B$4,2,0),"@@@",D1069))</f>
        <v>80</v>
      </c>
      <c r="T1069" s="4" t="str">
        <f>IF(E1069="",IF(ISNUMBER(SEARCH("NOT NULL",UPPER(E$3))),"''","null"),SUBSTITUTE(VLOOKUP(E$2,convert!$A$1:$B$4,2,0),"@@@",E1069))</f>
        <v>50</v>
      </c>
      <c r="U1069" s="4" t="str">
        <f>IF(F1069="",IF(ISNUMBER(SEARCH("NOT NULL",UPPER(F$3))),"''","null"),SUBSTITUTE(VLOOKUP(F$2,convert!$A$1:$B$4,2,0),"@@@",F1069))</f>
        <v>60</v>
      </c>
      <c r="V1069" s="4" t="str">
        <f>IF(G1069="",IF(ISNUMBER(SEARCH("NOT NULL",UPPER(G$3))),"''","null"),SUBSTITUTE(VLOOKUP(G$2,convert!$A$1:$B$4,2,0),"@@@",G1069))</f>
        <v>50</v>
      </c>
      <c r="W1069" s="4" t="str">
        <f>IF(H1069="",IF(ISNUMBER(SEARCH("NOT NULL",UPPER(H$3))),"''","null"),SUBSTITUTE(VLOOKUP(H$2,convert!$A$1:$B$4,2,0),"@@@",H1069))</f>
        <v>102</v>
      </c>
      <c r="X1069" s="4" t="str">
        <f>IF(I1069="",IF(ISNUMBER(SEARCH("NOT NULL",UPPER(I$3))),"''","null"),SUBSTITUTE(VLOOKUP(I$2,convert!$A$1:$B$4,2,0),"@@@",I1069))</f>
        <v>''</v>
      </c>
      <c r="Y1069" s="4" t="str">
        <f>IF(J1069="",IF(ISNUMBER(SEARCH("NOT NULL",UPPER(J$3))),"''","null"),SUBSTITUTE(VLOOKUP(J$2,convert!$A$1:$B$4,2,0),"@@@",J1069))</f>
        <v>'dragon'</v>
      </c>
      <c r="Z1069" s="4" t="str">
        <f>IF(K1069="",IF(ISNUMBER(SEARCH("NOT NULL",UPPER(K$3))),"''","null"),SUBSTITUTE(VLOOKUP(K$2,convert!$A$1:$B$4,2,0),"@@@",K1069))</f>
        <v>'ghost'</v>
      </c>
      <c r="AA1069" s="4" t="str">
        <f>IF(L1069="",IF(ISNUMBER(SEARCH("NOT NULL",UPPER(L$3))),"''","null"),SUBSTITUTE(VLOOKUP(L$2,convert!$A$1:$B$4,2,0),"@@@",L1069))</f>
        <v>'g8'</v>
      </c>
      <c r="AB1069" s="4" t="str">
        <f>IF(M1069="",IF(ISNUMBER(SEARCH("NOT NULL",UPPER(M$3))),"''","null"),SUBSTITUTE(VLOOKUP(M$2,convert!$A$1:$B$4,2,0),"@@@",M1069))</f>
        <v>null</v>
      </c>
      <c r="AC1069" s="4" t="str">
        <f>IF(N1069="",IF(ISNUMBER(SEARCH("NOT NULL",UPPER(N$3))),"''","null"),SUBSTITUTE(VLOOKUP(N$2,convert!$A$1:$B$4,2,0),"@@@",N1069))</f>
        <v>null</v>
      </c>
      <c r="AD1069" s="4" t="str">
        <f>IF(O1069="",IF(ISNUMBER(SEARCH("NOT NULL",UPPER(O$3))),"''","null"),SUBSTITUTE(VLOOKUP(O$2,convert!$A$1:$B$4,2,0),"@@@",O1069))</f>
        <v>FALSE</v>
      </c>
      <c r="AE1069" s="4" t="str">
        <f t="shared" si="16"/>
        <v>    ('0886N01', 'ドロンチ', 68, 80, 50, 60, 50, 102, '', 'dragon', 'ghost', 'g8', null, null, FALSE),</v>
      </c>
    </row>
    <row r="1070" spans="1:31">
      <c r="A1070" s="4" t="s">
        <v>2148</v>
      </c>
      <c r="B1070" s="4" t="s">
        <v>2149</v>
      </c>
      <c r="C1070" s="5">
        <v>88</v>
      </c>
      <c r="D1070" s="5">
        <v>120</v>
      </c>
      <c r="E1070" s="5">
        <v>75</v>
      </c>
      <c r="F1070" s="5">
        <v>100</v>
      </c>
      <c r="G1070" s="5">
        <v>75</v>
      </c>
      <c r="H1070" s="5">
        <v>142</v>
      </c>
      <c r="I1070" s="5"/>
      <c r="J1070" s="4" t="s">
        <v>50</v>
      </c>
      <c r="K1070" s="4" t="s">
        <v>281</v>
      </c>
      <c r="L1070" s="4" t="s">
        <v>179</v>
      </c>
      <c r="M1070" s="5"/>
      <c r="N1070" s="5"/>
      <c r="O1070" s="5" t="b">
        <v>0</v>
      </c>
      <c r="P1070" s="4" t="str">
        <f>IF(A1070="",IF(ISNUMBER(SEARCH("NOT NULL",UPPER(A$3))),"''","null"),SUBSTITUTE(VLOOKUP(A$2,convert!$A$1:$B$4,2,0),"@@@",A1070))</f>
        <v>'0887N01'</v>
      </c>
      <c r="Q1070" s="4" t="str">
        <f>IF(B1070="",IF(ISNUMBER(SEARCH("NOT NULL",UPPER(B$3))),"''","null"),SUBSTITUTE(VLOOKUP(B$2,convert!$A$1:$B$4,2,0),"@@@",B1070))</f>
        <v>'ドラパルト'</v>
      </c>
      <c r="R1070" s="4" t="str">
        <f>IF(C1070="",IF(ISNUMBER(SEARCH("NOT NULL",UPPER(C$3))),"''","null"),SUBSTITUTE(VLOOKUP(C$2,convert!$A$1:$B$4,2,0),"@@@",C1070))</f>
        <v>88</v>
      </c>
      <c r="S1070" s="4" t="str">
        <f>IF(D1070="",IF(ISNUMBER(SEARCH("NOT NULL",UPPER(D$3))),"''","null"),SUBSTITUTE(VLOOKUP(D$2,convert!$A$1:$B$4,2,0),"@@@",D1070))</f>
        <v>120</v>
      </c>
      <c r="T1070" s="4" t="str">
        <f>IF(E1070="",IF(ISNUMBER(SEARCH("NOT NULL",UPPER(E$3))),"''","null"),SUBSTITUTE(VLOOKUP(E$2,convert!$A$1:$B$4,2,0),"@@@",E1070))</f>
        <v>75</v>
      </c>
      <c r="U1070" s="4" t="str">
        <f>IF(F1070="",IF(ISNUMBER(SEARCH("NOT NULL",UPPER(F$3))),"''","null"),SUBSTITUTE(VLOOKUP(F$2,convert!$A$1:$B$4,2,0),"@@@",F1070))</f>
        <v>100</v>
      </c>
      <c r="V1070" s="4" t="str">
        <f>IF(G1070="",IF(ISNUMBER(SEARCH("NOT NULL",UPPER(G$3))),"''","null"),SUBSTITUTE(VLOOKUP(G$2,convert!$A$1:$B$4,2,0),"@@@",G1070))</f>
        <v>75</v>
      </c>
      <c r="W1070" s="4" t="str">
        <f>IF(H1070="",IF(ISNUMBER(SEARCH("NOT NULL",UPPER(H$3))),"''","null"),SUBSTITUTE(VLOOKUP(H$2,convert!$A$1:$B$4,2,0),"@@@",H1070))</f>
        <v>142</v>
      </c>
      <c r="X1070" s="4" t="str">
        <f>IF(I1070="",IF(ISNUMBER(SEARCH("NOT NULL",UPPER(I$3))),"''","null"),SUBSTITUTE(VLOOKUP(I$2,convert!$A$1:$B$4,2,0),"@@@",I1070))</f>
        <v>''</v>
      </c>
      <c r="Y1070" s="4" t="str">
        <f>IF(J1070="",IF(ISNUMBER(SEARCH("NOT NULL",UPPER(J$3))),"''","null"),SUBSTITUTE(VLOOKUP(J$2,convert!$A$1:$B$4,2,0),"@@@",J1070))</f>
        <v>'dragon'</v>
      </c>
      <c r="Z1070" s="4" t="str">
        <f>IF(K1070="",IF(ISNUMBER(SEARCH("NOT NULL",UPPER(K$3))),"''","null"),SUBSTITUTE(VLOOKUP(K$2,convert!$A$1:$B$4,2,0),"@@@",K1070))</f>
        <v>'ghost'</v>
      </c>
      <c r="AA1070" s="4" t="str">
        <f>IF(L1070="",IF(ISNUMBER(SEARCH("NOT NULL",UPPER(L$3))),"''","null"),SUBSTITUTE(VLOOKUP(L$2,convert!$A$1:$B$4,2,0),"@@@",L1070))</f>
        <v>'g8'</v>
      </c>
      <c r="AB1070" s="4" t="str">
        <f>IF(M1070="",IF(ISNUMBER(SEARCH("NOT NULL",UPPER(M$3))),"''","null"),SUBSTITUTE(VLOOKUP(M$2,convert!$A$1:$B$4,2,0),"@@@",M1070))</f>
        <v>null</v>
      </c>
      <c r="AC1070" s="4" t="str">
        <f>IF(N1070="",IF(ISNUMBER(SEARCH("NOT NULL",UPPER(N$3))),"''","null"),SUBSTITUTE(VLOOKUP(N$2,convert!$A$1:$B$4,2,0),"@@@",N1070))</f>
        <v>null</v>
      </c>
      <c r="AD1070" s="4" t="str">
        <f>IF(O1070="",IF(ISNUMBER(SEARCH("NOT NULL",UPPER(O$3))),"''","null"),SUBSTITUTE(VLOOKUP(O$2,convert!$A$1:$B$4,2,0),"@@@",O1070))</f>
        <v>FALSE</v>
      </c>
      <c r="AE1070" s="4" t="str">
        <f t="shared" si="16"/>
        <v>    ('0887N01', 'ドラパルト', 88, 120, 75, 100, 75, 142, '', 'dragon', 'ghost', 'g8', null, null, FALSE),</v>
      </c>
    </row>
    <row r="1071" spans="1:31">
      <c r="A1071" s="4" t="s">
        <v>2150</v>
      </c>
      <c r="B1071" s="4" t="s">
        <v>2151</v>
      </c>
      <c r="C1071" s="5">
        <v>92</v>
      </c>
      <c r="D1071" s="5">
        <v>130</v>
      </c>
      <c r="E1071" s="5">
        <v>115</v>
      </c>
      <c r="F1071" s="5">
        <v>80</v>
      </c>
      <c r="G1071" s="5">
        <v>115</v>
      </c>
      <c r="H1071" s="5">
        <v>138</v>
      </c>
      <c r="I1071" s="4" t="s">
        <v>2152</v>
      </c>
      <c r="J1071" s="4" t="s">
        <v>137</v>
      </c>
      <c r="K1071" s="5"/>
      <c r="L1071" s="4" t="s">
        <v>179</v>
      </c>
      <c r="M1071" s="5"/>
      <c r="N1071" s="5"/>
      <c r="O1071" s="5" t="b">
        <v>1</v>
      </c>
      <c r="P1071" s="4" t="str">
        <f>IF(A1071="",IF(ISNUMBER(SEARCH("NOT NULL",UPPER(A$3))),"''","null"),SUBSTITUTE(VLOOKUP(A$2,convert!$A$1:$B$4,2,0),"@@@",A1071))</f>
        <v>'0888N01'</v>
      </c>
      <c r="Q1071" s="4" t="str">
        <f>IF(B1071="",IF(ISNUMBER(SEARCH("NOT NULL",UPPER(B$3))),"''","null"),SUBSTITUTE(VLOOKUP(B$2,convert!$A$1:$B$4,2,0),"@@@",B1071))</f>
        <v>'ザシアン'</v>
      </c>
      <c r="R1071" s="4" t="str">
        <f>IF(C1071="",IF(ISNUMBER(SEARCH("NOT NULL",UPPER(C$3))),"''","null"),SUBSTITUTE(VLOOKUP(C$2,convert!$A$1:$B$4,2,0),"@@@",C1071))</f>
        <v>92</v>
      </c>
      <c r="S1071" s="4" t="str">
        <f>IF(D1071="",IF(ISNUMBER(SEARCH("NOT NULL",UPPER(D$3))),"''","null"),SUBSTITUTE(VLOOKUP(D$2,convert!$A$1:$B$4,2,0),"@@@",D1071))</f>
        <v>130</v>
      </c>
      <c r="T1071" s="4" t="str">
        <f>IF(E1071="",IF(ISNUMBER(SEARCH("NOT NULL",UPPER(E$3))),"''","null"),SUBSTITUTE(VLOOKUP(E$2,convert!$A$1:$B$4,2,0),"@@@",E1071))</f>
        <v>115</v>
      </c>
      <c r="U1071" s="4" t="str">
        <f>IF(F1071="",IF(ISNUMBER(SEARCH("NOT NULL",UPPER(F$3))),"''","null"),SUBSTITUTE(VLOOKUP(F$2,convert!$A$1:$B$4,2,0),"@@@",F1071))</f>
        <v>80</v>
      </c>
      <c r="V1071" s="4" t="str">
        <f>IF(G1071="",IF(ISNUMBER(SEARCH("NOT NULL",UPPER(G$3))),"''","null"),SUBSTITUTE(VLOOKUP(G$2,convert!$A$1:$B$4,2,0),"@@@",G1071))</f>
        <v>115</v>
      </c>
      <c r="W1071" s="4" t="str">
        <f>IF(H1071="",IF(ISNUMBER(SEARCH("NOT NULL",UPPER(H$3))),"''","null"),SUBSTITUTE(VLOOKUP(H$2,convert!$A$1:$B$4,2,0),"@@@",H1071))</f>
        <v>138</v>
      </c>
      <c r="X1071" s="4" t="str">
        <f>IF(I1071="",IF(ISNUMBER(SEARCH("NOT NULL",UPPER(I$3))),"''","null"),SUBSTITUTE(VLOOKUP(I$2,convert!$A$1:$B$4,2,0),"@@@",I1071))</f>
        <v>'れきせんのゆうしゃ'</v>
      </c>
      <c r="Y1071" s="4" t="str">
        <f>IF(J1071="",IF(ISNUMBER(SEARCH("NOT NULL",UPPER(J$3))),"''","null"),SUBSTITUTE(VLOOKUP(J$2,convert!$A$1:$B$4,2,0),"@@@",J1071))</f>
        <v>'fairy'</v>
      </c>
      <c r="Z1071" s="4" t="str">
        <f>IF(K1071="",IF(ISNUMBER(SEARCH("NOT NULL",UPPER(K$3))),"''","null"),SUBSTITUTE(VLOOKUP(K$2,convert!$A$1:$B$4,2,0),"@@@",K1071))</f>
        <v>null</v>
      </c>
      <c r="AA1071" s="4" t="str">
        <f>IF(L1071="",IF(ISNUMBER(SEARCH("NOT NULL",UPPER(L$3))),"''","null"),SUBSTITUTE(VLOOKUP(L$2,convert!$A$1:$B$4,2,0),"@@@",L1071))</f>
        <v>'g8'</v>
      </c>
      <c r="AB1071" s="4" t="str">
        <f>IF(M1071="",IF(ISNUMBER(SEARCH("NOT NULL",UPPER(M$3))),"''","null"),SUBSTITUTE(VLOOKUP(M$2,convert!$A$1:$B$4,2,0),"@@@",M1071))</f>
        <v>null</v>
      </c>
      <c r="AC1071" s="4" t="str">
        <f>IF(N1071="",IF(ISNUMBER(SEARCH("NOT NULL",UPPER(N$3))),"''","null"),SUBSTITUTE(VLOOKUP(N$2,convert!$A$1:$B$4,2,0),"@@@",N1071))</f>
        <v>null</v>
      </c>
      <c r="AD1071" s="4" t="str">
        <f>IF(O1071="",IF(ISNUMBER(SEARCH("NOT NULL",UPPER(O$3))),"''","null"),SUBSTITUTE(VLOOKUP(O$2,convert!$A$1:$B$4,2,0),"@@@",O1071))</f>
        <v>TRUE</v>
      </c>
      <c r="AE1071" s="4" t="str">
        <f t="shared" si="16"/>
        <v>    ('0888N01', 'ザシアン', 92, 130, 115, 80, 115, 138, 'れきせんのゆうしゃ', 'fairy', null, 'g8', null, null, TRUE),</v>
      </c>
    </row>
    <row r="1072" spans="1:31">
      <c r="A1072" s="4" t="s">
        <v>2153</v>
      </c>
      <c r="B1072" s="4" t="s">
        <v>2151</v>
      </c>
      <c r="C1072" s="5">
        <v>92</v>
      </c>
      <c r="D1072" s="5">
        <v>170</v>
      </c>
      <c r="E1072" s="5">
        <v>115</v>
      </c>
      <c r="F1072" s="5">
        <v>80</v>
      </c>
      <c r="G1072" s="5">
        <v>115</v>
      </c>
      <c r="H1072" s="5">
        <v>148</v>
      </c>
      <c r="I1072" s="4" t="s">
        <v>2154</v>
      </c>
      <c r="J1072" s="4" t="s">
        <v>137</v>
      </c>
      <c r="K1072" s="4" t="s">
        <v>119</v>
      </c>
      <c r="L1072" s="4" t="s">
        <v>179</v>
      </c>
      <c r="M1072" s="5"/>
      <c r="N1072" s="5"/>
      <c r="O1072" s="5" t="b">
        <v>0</v>
      </c>
      <c r="P1072" s="4" t="str">
        <f>IF(A1072="",IF(ISNUMBER(SEARCH("NOT NULL",UPPER(A$3))),"''","null"),SUBSTITUTE(VLOOKUP(A$2,convert!$A$1:$B$4,2,0),"@@@",A1072))</f>
        <v>'0888N02'</v>
      </c>
      <c r="Q1072" s="4" t="str">
        <f>IF(B1072="",IF(ISNUMBER(SEARCH("NOT NULL",UPPER(B$3))),"''","null"),SUBSTITUTE(VLOOKUP(B$2,convert!$A$1:$B$4,2,0),"@@@",B1072))</f>
        <v>'ザシアン'</v>
      </c>
      <c r="R1072" s="4" t="str">
        <f>IF(C1072="",IF(ISNUMBER(SEARCH("NOT NULL",UPPER(C$3))),"''","null"),SUBSTITUTE(VLOOKUP(C$2,convert!$A$1:$B$4,2,0),"@@@",C1072))</f>
        <v>92</v>
      </c>
      <c r="S1072" s="4" t="str">
        <f>IF(D1072="",IF(ISNUMBER(SEARCH("NOT NULL",UPPER(D$3))),"''","null"),SUBSTITUTE(VLOOKUP(D$2,convert!$A$1:$B$4,2,0),"@@@",D1072))</f>
        <v>170</v>
      </c>
      <c r="T1072" s="4" t="str">
        <f>IF(E1072="",IF(ISNUMBER(SEARCH("NOT NULL",UPPER(E$3))),"''","null"),SUBSTITUTE(VLOOKUP(E$2,convert!$A$1:$B$4,2,0),"@@@",E1072))</f>
        <v>115</v>
      </c>
      <c r="U1072" s="4" t="str">
        <f>IF(F1072="",IF(ISNUMBER(SEARCH("NOT NULL",UPPER(F$3))),"''","null"),SUBSTITUTE(VLOOKUP(F$2,convert!$A$1:$B$4,2,0),"@@@",F1072))</f>
        <v>80</v>
      </c>
      <c r="V1072" s="4" t="str">
        <f>IF(G1072="",IF(ISNUMBER(SEARCH("NOT NULL",UPPER(G$3))),"''","null"),SUBSTITUTE(VLOOKUP(G$2,convert!$A$1:$B$4,2,0),"@@@",G1072))</f>
        <v>115</v>
      </c>
      <c r="W1072" s="4" t="str">
        <f>IF(H1072="",IF(ISNUMBER(SEARCH("NOT NULL",UPPER(H$3))),"''","null"),SUBSTITUTE(VLOOKUP(H$2,convert!$A$1:$B$4,2,0),"@@@",H1072))</f>
        <v>148</v>
      </c>
      <c r="X1072" s="4" t="str">
        <f>IF(I1072="",IF(ISNUMBER(SEARCH("NOT NULL",UPPER(I$3))),"''","null"),SUBSTITUTE(VLOOKUP(I$2,convert!$A$1:$B$4,2,0),"@@@",I1072))</f>
        <v>'けんのおう'</v>
      </c>
      <c r="Y1072" s="4" t="str">
        <f>IF(J1072="",IF(ISNUMBER(SEARCH("NOT NULL",UPPER(J$3))),"''","null"),SUBSTITUTE(VLOOKUP(J$2,convert!$A$1:$B$4,2,0),"@@@",J1072))</f>
        <v>'fairy'</v>
      </c>
      <c r="Z1072" s="4" t="str">
        <f>IF(K1072="",IF(ISNUMBER(SEARCH("NOT NULL",UPPER(K$3))),"''","null"),SUBSTITUTE(VLOOKUP(K$2,convert!$A$1:$B$4,2,0),"@@@",K1072))</f>
        <v>'steel'</v>
      </c>
      <c r="AA1072" s="4" t="str">
        <f>IF(L1072="",IF(ISNUMBER(SEARCH("NOT NULL",UPPER(L$3))),"''","null"),SUBSTITUTE(VLOOKUP(L$2,convert!$A$1:$B$4,2,0),"@@@",L1072))</f>
        <v>'g8'</v>
      </c>
      <c r="AB1072" s="4" t="str">
        <f>IF(M1072="",IF(ISNUMBER(SEARCH("NOT NULL",UPPER(M$3))),"''","null"),SUBSTITUTE(VLOOKUP(M$2,convert!$A$1:$B$4,2,0),"@@@",M1072))</f>
        <v>null</v>
      </c>
      <c r="AC1072" s="4" t="str">
        <f>IF(N1072="",IF(ISNUMBER(SEARCH("NOT NULL",UPPER(N$3))),"''","null"),SUBSTITUTE(VLOOKUP(N$2,convert!$A$1:$B$4,2,0),"@@@",N1072))</f>
        <v>null</v>
      </c>
      <c r="AD1072" s="4" t="str">
        <f>IF(O1072="",IF(ISNUMBER(SEARCH("NOT NULL",UPPER(O$3))),"''","null"),SUBSTITUTE(VLOOKUP(O$2,convert!$A$1:$B$4,2,0),"@@@",O1072))</f>
        <v>FALSE</v>
      </c>
      <c r="AE1072" s="4" t="str">
        <f t="shared" si="16"/>
        <v>    ('0888N02', 'ザシアン', 92, 170, 115, 80, 115, 148, 'けんのおう', 'fairy', 'steel', 'g8', null, null, FALSE),</v>
      </c>
    </row>
    <row r="1073" spans="1:31">
      <c r="A1073" s="4" t="s">
        <v>2155</v>
      </c>
      <c r="B1073" s="4" t="s">
        <v>2156</v>
      </c>
      <c r="C1073" s="5">
        <v>92</v>
      </c>
      <c r="D1073" s="5">
        <v>130</v>
      </c>
      <c r="E1073" s="5">
        <v>115</v>
      </c>
      <c r="F1073" s="5">
        <v>80</v>
      </c>
      <c r="G1073" s="5">
        <v>115</v>
      </c>
      <c r="H1073" s="5">
        <v>138</v>
      </c>
      <c r="I1073" s="4" t="s">
        <v>2152</v>
      </c>
      <c r="J1073" s="4" t="s">
        <v>189</v>
      </c>
      <c r="K1073" s="5"/>
      <c r="L1073" s="4" t="s">
        <v>179</v>
      </c>
      <c r="M1073" s="5"/>
      <c r="N1073" s="5"/>
      <c r="O1073" s="5" t="b">
        <v>1</v>
      </c>
      <c r="P1073" s="4" t="str">
        <f>IF(A1073="",IF(ISNUMBER(SEARCH("NOT NULL",UPPER(A$3))),"''","null"),SUBSTITUTE(VLOOKUP(A$2,convert!$A$1:$B$4,2,0),"@@@",A1073))</f>
        <v>'0889N01'</v>
      </c>
      <c r="Q1073" s="4" t="str">
        <f>IF(B1073="",IF(ISNUMBER(SEARCH("NOT NULL",UPPER(B$3))),"''","null"),SUBSTITUTE(VLOOKUP(B$2,convert!$A$1:$B$4,2,0),"@@@",B1073))</f>
        <v>'ザマゼンタ'</v>
      </c>
      <c r="R1073" s="4" t="str">
        <f>IF(C1073="",IF(ISNUMBER(SEARCH("NOT NULL",UPPER(C$3))),"''","null"),SUBSTITUTE(VLOOKUP(C$2,convert!$A$1:$B$4,2,0),"@@@",C1073))</f>
        <v>92</v>
      </c>
      <c r="S1073" s="4" t="str">
        <f>IF(D1073="",IF(ISNUMBER(SEARCH("NOT NULL",UPPER(D$3))),"''","null"),SUBSTITUTE(VLOOKUP(D$2,convert!$A$1:$B$4,2,0),"@@@",D1073))</f>
        <v>130</v>
      </c>
      <c r="T1073" s="4" t="str">
        <f>IF(E1073="",IF(ISNUMBER(SEARCH("NOT NULL",UPPER(E$3))),"''","null"),SUBSTITUTE(VLOOKUP(E$2,convert!$A$1:$B$4,2,0),"@@@",E1073))</f>
        <v>115</v>
      </c>
      <c r="U1073" s="4" t="str">
        <f>IF(F1073="",IF(ISNUMBER(SEARCH("NOT NULL",UPPER(F$3))),"''","null"),SUBSTITUTE(VLOOKUP(F$2,convert!$A$1:$B$4,2,0),"@@@",F1073))</f>
        <v>80</v>
      </c>
      <c r="V1073" s="4" t="str">
        <f>IF(G1073="",IF(ISNUMBER(SEARCH("NOT NULL",UPPER(G$3))),"''","null"),SUBSTITUTE(VLOOKUP(G$2,convert!$A$1:$B$4,2,0),"@@@",G1073))</f>
        <v>115</v>
      </c>
      <c r="W1073" s="4" t="str">
        <f>IF(H1073="",IF(ISNUMBER(SEARCH("NOT NULL",UPPER(H$3))),"''","null"),SUBSTITUTE(VLOOKUP(H$2,convert!$A$1:$B$4,2,0),"@@@",H1073))</f>
        <v>138</v>
      </c>
      <c r="X1073" s="4" t="str">
        <f>IF(I1073="",IF(ISNUMBER(SEARCH("NOT NULL",UPPER(I$3))),"''","null"),SUBSTITUTE(VLOOKUP(I$2,convert!$A$1:$B$4,2,0),"@@@",I1073))</f>
        <v>'れきせんのゆうしゃ'</v>
      </c>
      <c r="Y1073" s="4" t="str">
        <f>IF(J1073="",IF(ISNUMBER(SEARCH("NOT NULL",UPPER(J$3))),"''","null"),SUBSTITUTE(VLOOKUP(J$2,convert!$A$1:$B$4,2,0),"@@@",J1073))</f>
        <v>'fighting'</v>
      </c>
      <c r="Z1073" s="4" t="str">
        <f>IF(K1073="",IF(ISNUMBER(SEARCH("NOT NULL",UPPER(K$3))),"''","null"),SUBSTITUTE(VLOOKUP(K$2,convert!$A$1:$B$4,2,0),"@@@",K1073))</f>
        <v>null</v>
      </c>
      <c r="AA1073" s="4" t="str">
        <f>IF(L1073="",IF(ISNUMBER(SEARCH("NOT NULL",UPPER(L$3))),"''","null"),SUBSTITUTE(VLOOKUP(L$2,convert!$A$1:$B$4,2,0),"@@@",L1073))</f>
        <v>'g8'</v>
      </c>
      <c r="AB1073" s="4" t="str">
        <f>IF(M1073="",IF(ISNUMBER(SEARCH("NOT NULL",UPPER(M$3))),"''","null"),SUBSTITUTE(VLOOKUP(M$2,convert!$A$1:$B$4,2,0),"@@@",M1073))</f>
        <v>null</v>
      </c>
      <c r="AC1073" s="4" t="str">
        <f>IF(N1073="",IF(ISNUMBER(SEARCH("NOT NULL",UPPER(N$3))),"''","null"),SUBSTITUTE(VLOOKUP(N$2,convert!$A$1:$B$4,2,0),"@@@",N1073))</f>
        <v>null</v>
      </c>
      <c r="AD1073" s="4" t="str">
        <f>IF(O1073="",IF(ISNUMBER(SEARCH("NOT NULL",UPPER(O$3))),"''","null"),SUBSTITUTE(VLOOKUP(O$2,convert!$A$1:$B$4,2,0),"@@@",O1073))</f>
        <v>TRUE</v>
      </c>
      <c r="AE1073" s="4" t="str">
        <f t="shared" si="16"/>
        <v>    ('0889N01', 'ザマゼンタ', 92, 130, 115, 80, 115, 138, 'れきせんのゆうしゃ', 'fighting', null, 'g8', null, null, TRUE),</v>
      </c>
    </row>
    <row r="1074" spans="1:31">
      <c r="A1074" s="4" t="s">
        <v>2157</v>
      </c>
      <c r="B1074" s="4" t="s">
        <v>2156</v>
      </c>
      <c r="C1074" s="5">
        <v>92</v>
      </c>
      <c r="D1074" s="5">
        <v>130</v>
      </c>
      <c r="E1074" s="5">
        <v>145</v>
      </c>
      <c r="F1074" s="5">
        <v>80</v>
      </c>
      <c r="G1074" s="5">
        <v>145</v>
      </c>
      <c r="H1074" s="5">
        <v>128</v>
      </c>
      <c r="I1074" s="4" t="s">
        <v>2158</v>
      </c>
      <c r="J1074" s="4" t="s">
        <v>189</v>
      </c>
      <c r="K1074" s="4" t="s">
        <v>119</v>
      </c>
      <c r="L1074" s="4" t="s">
        <v>179</v>
      </c>
      <c r="M1074" s="5"/>
      <c r="N1074" s="5"/>
      <c r="O1074" s="5" t="b">
        <v>0</v>
      </c>
      <c r="P1074" s="4" t="str">
        <f>IF(A1074="",IF(ISNUMBER(SEARCH("NOT NULL",UPPER(A$3))),"''","null"),SUBSTITUTE(VLOOKUP(A$2,convert!$A$1:$B$4,2,0),"@@@",A1074))</f>
        <v>'0889N02'</v>
      </c>
      <c r="Q1074" s="4" t="str">
        <f>IF(B1074="",IF(ISNUMBER(SEARCH("NOT NULL",UPPER(B$3))),"''","null"),SUBSTITUTE(VLOOKUP(B$2,convert!$A$1:$B$4,2,0),"@@@",B1074))</f>
        <v>'ザマゼンタ'</v>
      </c>
      <c r="R1074" s="4" t="str">
        <f>IF(C1074="",IF(ISNUMBER(SEARCH("NOT NULL",UPPER(C$3))),"''","null"),SUBSTITUTE(VLOOKUP(C$2,convert!$A$1:$B$4,2,0),"@@@",C1074))</f>
        <v>92</v>
      </c>
      <c r="S1074" s="4" t="str">
        <f>IF(D1074="",IF(ISNUMBER(SEARCH("NOT NULL",UPPER(D$3))),"''","null"),SUBSTITUTE(VLOOKUP(D$2,convert!$A$1:$B$4,2,0),"@@@",D1074))</f>
        <v>130</v>
      </c>
      <c r="T1074" s="4" t="str">
        <f>IF(E1074="",IF(ISNUMBER(SEARCH("NOT NULL",UPPER(E$3))),"''","null"),SUBSTITUTE(VLOOKUP(E$2,convert!$A$1:$B$4,2,0),"@@@",E1074))</f>
        <v>145</v>
      </c>
      <c r="U1074" s="4" t="str">
        <f>IF(F1074="",IF(ISNUMBER(SEARCH("NOT NULL",UPPER(F$3))),"''","null"),SUBSTITUTE(VLOOKUP(F$2,convert!$A$1:$B$4,2,0),"@@@",F1074))</f>
        <v>80</v>
      </c>
      <c r="V1074" s="4" t="str">
        <f>IF(G1074="",IF(ISNUMBER(SEARCH("NOT NULL",UPPER(G$3))),"''","null"),SUBSTITUTE(VLOOKUP(G$2,convert!$A$1:$B$4,2,0),"@@@",G1074))</f>
        <v>145</v>
      </c>
      <c r="W1074" s="4" t="str">
        <f>IF(H1074="",IF(ISNUMBER(SEARCH("NOT NULL",UPPER(H$3))),"''","null"),SUBSTITUTE(VLOOKUP(H$2,convert!$A$1:$B$4,2,0),"@@@",H1074))</f>
        <v>128</v>
      </c>
      <c r="X1074" s="4" t="str">
        <f>IF(I1074="",IF(ISNUMBER(SEARCH("NOT NULL",UPPER(I$3))),"''","null"),SUBSTITUTE(VLOOKUP(I$2,convert!$A$1:$B$4,2,0),"@@@",I1074))</f>
        <v>'たてのおう'</v>
      </c>
      <c r="Y1074" s="4" t="str">
        <f>IF(J1074="",IF(ISNUMBER(SEARCH("NOT NULL",UPPER(J$3))),"''","null"),SUBSTITUTE(VLOOKUP(J$2,convert!$A$1:$B$4,2,0),"@@@",J1074))</f>
        <v>'fighting'</v>
      </c>
      <c r="Z1074" s="4" t="str">
        <f>IF(K1074="",IF(ISNUMBER(SEARCH("NOT NULL",UPPER(K$3))),"''","null"),SUBSTITUTE(VLOOKUP(K$2,convert!$A$1:$B$4,2,0),"@@@",K1074))</f>
        <v>'steel'</v>
      </c>
      <c r="AA1074" s="4" t="str">
        <f>IF(L1074="",IF(ISNUMBER(SEARCH("NOT NULL",UPPER(L$3))),"''","null"),SUBSTITUTE(VLOOKUP(L$2,convert!$A$1:$B$4,2,0),"@@@",L1074))</f>
        <v>'g8'</v>
      </c>
      <c r="AB1074" s="4" t="str">
        <f>IF(M1074="",IF(ISNUMBER(SEARCH("NOT NULL",UPPER(M$3))),"''","null"),SUBSTITUTE(VLOOKUP(M$2,convert!$A$1:$B$4,2,0),"@@@",M1074))</f>
        <v>null</v>
      </c>
      <c r="AC1074" s="4" t="str">
        <f>IF(N1074="",IF(ISNUMBER(SEARCH("NOT NULL",UPPER(N$3))),"''","null"),SUBSTITUTE(VLOOKUP(N$2,convert!$A$1:$B$4,2,0),"@@@",N1074))</f>
        <v>null</v>
      </c>
      <c r="AD1074" s="4" t="str">
        <f>IF(O1074="",IF(ISNUMBER(SEARCH("NOT NULL",UPPER(O$3))),"''","null"),SUBSTITUTE(VLOOKUP(O$2,convert!$A$1:$B$4,2,0),"@@@",O1074))</f>
        <v>FALSE</v>
      </c>
      <c r="AE1074" s="4" t="str">
        <f t="shared" si="16"/>
        <v>    ('0889N02', 'ザマゼンタ', 92, 130, 145, 80, 145, 128, 'たてのおう', 'fighting', 'steel', 'g8', null, null, FALSE),</v>
      </c>
    </row>
    <row r="1075" spans="1:31">
      <c r="A1075" s="4" t="s">
        <v>2159</v>
      </c>
      <c r="B1075" s="4" t="s">
        <v>2160</v>
      </c>
      <c r="C1075" s="5">
        <v>140</v>
      </c>
      <c r="D1075" s="5">
        <v>85</v>
      </c>
      <c r="E1075" s="5">
        <v>95</v>
      </c>
      <c r="F1075" s="5">
        <v>145</v>
      </c>
      <c r="G1075" s="5">
        <v>95</v>
      </c>
      <c r="H1075" s="5">
        <v>130</v>
      </c>
      <c r="I1075" s="5"/>
      <c r="J1075" s="4" t="s">
        <v>31</v>
      </c>
      <c r="K1075" s="4" t="s">
        <v>50</v>
      </c>
      <c r="L1075" s="4" t="s">
        <v>179</v>
      </c>
      <c r="M1075" s="5"/>
      <c r="N1075" s="5"/>
      <c r="O1075" s="5" t="b">
        <v>0</v>
      </c>
      <c r="P1075" s="4" t="str">
        <f>IF(A1075="",IF(ISNUMBER(SEARCH("NOT NULL",UPPER(A$3))),"''","null"),SUBSTITUTE(VLOOKUP(A$2,convert!$A$1:$B$4,2,0),"@@@",A1075))</f>
        <v>'0890N01'</v>
      </c>
      <c r="Q1075" s="4" t="str">
        <f>IF(B1075="",IF(ISNUMBER(SEARCH("NOT NULL",UPPER(B$3))),"''","null"),SUBSTITUTE(VLOOKUP(B$2,convert!$A$1:$B$4,2,0),"@@@",B1075))</f>
        <v>'ムゲンダイナ'</v>
      </c>
      <c r="R1075" s="4" t="str">
        <f>IF(C1075="",IF(ISNUMBER(SEARCH("NOT NULL",UPPER(C$3))),"''","null"),SUBSTITUTE(VLOOKUP(C$2,convert!$A$1:$B$4,2,0),"@@@",C1075))</f>
        <v>140</v>
      </c>
      <c r="S1075" s="4" t="str">
        <f>IF(D1075="",IF(ISNUMBER(SEARCH("NOT NULL",UPPER(D$3))),"''","null"),SUBSTITUTE(VLOOKUP(D$2,convert!$A$1:$B$4,2,0),"@@@",D1075))</f>
        <v>85</v>
      </c>
      <c r="T1075" s="4" t="str">
        <f>IF(E1075="",IF(ISNUMBER(SEARCH("NOT NULL",UPPER(E$3))),"''","null"),SUBSTITUTE(VLOOKUP(E$2,convert!$A$1:$B$4,2,0),"@@@",E1075))</f>
        <v>95</v>
      </c>
      <c r="U1075" s="4" t="str">
        <f>IF(F1075="",IF(ISNUMBER(SEARCH("NOT NULL",UPPER(F$3))),"''","null"),SUBSTITUTE(VLOOKUP(F$2,convert!$A$1:$B$4,2,0),"@@@",F1075))</f>
        <v>145</v>
      </c>
      <c r="V1075" s="4" t="str">
        <f>IF(G1075="",IF(ISNUMBER(SEARCH("NOT NULL",UPPER(G$3))),"''","null"),SUBSTITUTE(VLOOKUP(G$2,convert!$A$1:$B$4,2,0),"@@@",G1075))</f>
        <v>95</v>
      </c>
      <c r="W1075" s="4" t="str">
        <f>IF(H1075="",IF(ISNUMBER(SEARCH("NOT NULL",UPPER(H$3))),"''","null"),SUBSTITUTE(VLOOKUP(H$2,convert!$A$1:$B$4,2,0),"@@@",H1075))</f>
        <v>130</v>
      </c>
      <c r="X1075" s="4" t="str">
        <f>IF(I1075="",IF(ISNUMBER(SEARCH("NOT NULL",UPPER(I$3))),"''","null"),SUBSTITUTE(VLOOKUP(I$2,convert!$A$1:$B$4,2,0),"@@@",I1075))</f>
        <v>''</v>
      </c>
      <c r="Y1075" s="4" t="str">
        <f>IF(J1075="",IF(ISNUMBER(SEARCH("NOT NULL",UPPER(J$3))),"''","null"),SUBSTITUTE(VLOOKUP(J$2,convert!$A$1:$B$4,2,0),"@@@",J1075))</f>
        <v>'poison'</v>
      </c>
      <c r="Z1075" s="4" t="str">
        <f>IF(K1075="",IF(ISNUMBER(SEARCH("NOT NULL",UPPER(K$3))),"''","null"),SUBSTITUTE(VLOOKUP(K$2,convert!$A$1:$B$4,2,0),"@@@",K1075))</f>
        <v>'dragon'</v>
      </c>
      <c r="AA1075" s="4" t="str">
        <f>IF(L1075="",IF(ISNUMBER(SEARCH("NOT NULL",UPPER(L$3))),"''","null"),SUBSTITUTE(VLOOKUP(L$2,convert!$A$1:$B$4,2,0),"@@@",L1075))</f>
        <v>'g8'</v>
      </c>
      <c r="AB1075" s="4" t="str">
        <f>IF(M1075="",IF(ISNUMBER(SEARCH("NOT NULL",UPPER(M$3))),"''","null"),SUBSTITUTE(VLOOKUP(M$2,convert!$A$1:$B$4,2,0),"@@@",M1075))</f>
        <v>null</v>
      </c>
      <c r="AC1075" s="4" t="str">
        <f>IF(N1075="",IF(ISNUMBER(SEARCH("NOT NULL",UPPER(N$3))),"''","null"),SUBSTITUTE(VLOOKUP(N$2,convert!$A$1:$B$4,2,0),"@@@",N1075))</f>
        <v>null</v>
      </c>
      <c r="AD1075" s="4" t="str">
        <f>IF(O1075="",IF(ISNUMBER(SEARCH("NOT NULL",UPPER(O$3))),"''","null"),SUBSTITUTE(VLOOKUP(O$2,convert!$A$1:$B$4,2,0),"@@@",O1075))</f>
        <v>FALSE</v>
      </c>
      <c r="AE1075" s="4" t="str">
        <f t="shared" si="16"/>
        <v>    ('0890N01', 'ムゲンダイナ', 140, 85, 95, 145, 95, 130, '', 'poison', 'dragon', 'g8', null, null, FALSE),</v>
      </c>
    </row>
    <row r="1076" spans="1:31">
      <c r="A1076" s="4" t="s">
        <v>2161</v>
      </c>
      <c r="B1076" s="4" t="s">
        <v>2162</v>
      </c>
      <c r="C1076" s="5">
        <v>60</v>
      </c>
      <c r="D1076" s="5">
        <v>90</v>
      </c>
      <c r="E1076" s="5">
        <v>60</v>
      </c>
      <c r="F1076" s="5">
        <v>53</v>
      </c>
      <c r="G1076" s="5">
        <v>50</v>
      </c>
      <c r="H1076" s="5">
        <v>72</v>
      </c>
      <c r="I1076" s="5"/>
      <c r="J1076" s="4" t="s">
        <v>189</v>
      </c>
      <c r="K1076" s="5"/>
      <c r="L1076" s="4" t="s">
        <v>179</v>
      </c>
      <c r="M1076" s="5"/>
      <c r="N1076" s="5"/>
      <c r="O1076" s="5" t="b">
        <v>0</v>
      </c>
      <c r="P1076" s="4" t="str">
        <f>IF(A1076="",IF(ISNUMBER(SEARCH("NOT NULL",UPPER(A$3))),"''","null"),SUBSTITUTE(VLOOKUP(A$2,convert!$A$1:$B$4,2,0),"@@@",A1076))</f>
        <v>'0891N01'</v>
      </c>
      <c r="Q1076" s="4" t="str">
        <f>IF(B1076="",IF(ISNUMBER(SEARCH("NOT NULL",UPPER(B$3))),"''","null"),SUBSTITUTE(VLOOKUP(B$2,convert!$A$1:$B$4,2,0),"@@@",B1076))</f>
        <v>'ダクマ'</v>
      </c>
      <c r="R1076" s="4" t="str">
        <f>IF(C1076="",IF(ISNUMBER(SEARCH("NOT NULL",UPPER(C$3))),"''","null"),SUBSTITUTE(VLOOKUP(C$2,convert!$A$1:$B$4,2,0),"@@@",C1076))</f>
        <v>60</v>
      </c>
      <c r="S1076" s="4" t="str">
        <f>IF(D1076="",IF(ISNUMBER(SEARCH("NOT NULL",UPPER(D$3))),"''","null"),SUBSTITUTE(VLOOKUP(D$2,convert!$A$1:$B$4,2,0),"@@@",D1076))</f>
        <v>90</v>
      </c>
      <c r="T1076" s="4" t="str">
        <f>IF(E1076="",IF(ISNUMBER(SEARCH("NOT NULL",UPPER(E$3))),"''","null"),SUBSTITUTE(VLOOKUP(E$2,convert!$A$1:$B$4,2,0),"@@@",E1076))</f>
        <v>60</v>
      </c>
      <c r="U1076" s="4" t="str">
        <f>IF(F1076="",IF(ISNUMBER(SEARCH("NOT NULL",UPPER(F$3))),"''","null"),SUBSTITUTE(VLOOKUP(F$2,convert!$A$1:$B$4,2,0),"@@@",F1076))</f>
        <v>53</v>
      </c>
      <c r="V1076" s="4" t="str">
        <f>IF(G1076="",IF(ISNUMBER(SEARCH("NOT NULL",UPPER(G$3))),"''","null"),SUBSTITUTE(VLOOKUP(G$2,convert!$A$1:$B$4,2,0),"@@@",G1076))</f>
        <v>50</v>
      </c>
      <c r="W1076" s="4" t="str">
        <f>IF(H1076="",IF(ISNUMBER(SEARCH("NOT NULL",UPPER(H$3))),"''","null"),SUBSTITUTE(VLOOKUP(H$2,convert!$A$1:$B$4,2,0),"@@@",H1076))</f>
        <v>72</v>
      </c>
      <c r="X1076" s="4" t="str">
        <f>IF(I1076="",IF(ISNUMBER(SEARCH("NOT NULL",UPPER(I$3))),"''","null"),SUBSTITUTE(VLOOKUP(I$2,convert!$A$1:$B$4,2,0),"@@@",I1076))</f>
        <v>''</v>
      </c>
      <c r="Y1076" s="4" t="str">
        <f>IF(J1076="",IF(ISNUMBER(SEARCH("NOT NULL",UPPER(J$3))),"''","null"),SUBSTITUTE(VLOOKUP(J$2,convert!$A$1:$B$4,2,0),"@@@",J1076))</f>
        <v>'fighting'</v>
      </c>
      <c r="Z1076" s="4" t="str">
        <f>IF(K1076="",IF(ISNUMBER(SEARCH("NOT NULL",UPPER(K$3))),"''","null"),SUBSTITUTE(VLOOKUP(K$2,convert!$A$1:$B$4,2,0),"@@@",K1076))</f>
        <v>null</v>
      </c>
      <c r="AA1076" s="4" t="str">
        <f>IF(L1076="",IF(ISNUMBER(SEARCH("NOT NULL",UPPER(L$3))),"''","null"),SUBSTITUTE(VLOOKUP(L$2,convert!$A$1:$B$4,2,0),"@@@",L1076))</f>
        <v>'g8'</v>
      </c>
      <c r="AB1076" s="4" t="str">
        <f>IF(M1076="",IF(ISNUMBER(SEARCH("NOT NULL",UPPER(M$3))),"''","null"),SUBSTITUTE(VLOOKUP(M$2,convert!$A$1:$B$4,2,0),"@@@",M1076))</f>
        <v>null</v>
      </c>
      <c r="AC1076" s="4" t="str">
        <f>IF(N1076="",IF(ISNUMBER(SEARCH("NOT NULL",UPPER(N$3))),"''","null"),SUBSTITUTE(VLOOKUP(N$2,convert!$A$1:$B$4,2,0),"@@@",N1076))</f>
        <v>null</v>
      </c>
      <c r="AD1076" s="4" t="str">
        <f>IF(O1076="",IF(ISNUMBER(SEARCH("NOT NULL",UPPER(O$3))),"''","null"),SUBSTITUTE(VLOOKUP(O$2,convert!$A$1:$B$4,2,0),"@@@",O1076))</f>
        <v>FALSE</v>
      </c>
      <c r="AE1076" s="4" t="str">
        <f t="shared" si="16"/>
        <v>    ('0891N01', 'ダクマ', 60, 90, 60, 53, 50, 72, '', 'fighting', null, 'g8', null, null, FALSE),</v>
      </c>
    </row>
    <row r="1077" spans="1:31">
      <c r="A1077" s="4" t="s">
        <v>2163</v>
      </c>
      <c r="B1077" s="4" t="s">
        <v>2164</v>
      </c>
      <c r="C1077" s="5">
        <v>100</v>
      </c>
      <c r="D1077" s="5">
        <v>130</v>
      </c>
      <c r="E1077" s="5">
        <v>100</v>
      </c>
      <c r="F1077" s="5">
        <v>63</v>
      </c>
      <c r="G1077" s="5">
        <v>60</v>
      </c>
      <c r="H1077" s="5">
        <v>97</v>
      </c>
      <c r="I1077" s="4" t="s">
        <v>2165</v>
      </c>
      <c r="J1077" s="4" t="s">
        <v>189</v>
      </c>
      <c r="K1077" s="4" t="s">
        <v>91</v>
      </c>
      <c r="L1077" s="4" t="s">
        <v>179</v>
      </c>
      <c r="M1077" s="5"/>
      <c r="N1077" s="5"/>
      <c r="O1077" s="5" t="b">
        <v>0</v>
      </c>
      <c r="P1077" s="4" t="str">
        <f>IF(A1077="",IF(ISNUMBER(SEARCH("NOT NULL",UPPER(A$3))),"''","null"),SUBSTITUTE(VLOOKUP(A$2,convert!$A$1:$B$4,2,0),"@@@",A1077))</f>
        <v>'0892N01'</v>
      </c>
      <c r="Q1077" s="4" t="str">
        <f>IF(B1077="",IF(ISNUMBER(SEARCH("NOT NULL",UPPER(B$3))),"''","null"),SUBSTITUTE(VLOOKUP(B$2,convert!$A$1:$B$4,2,0),"@@@",B1077))</f>
        <v>'ウーラオス'</v>
      </c>
      <c r="R1077" s="4" t="str">
        <f>IF(C1077="",IF(ISNUMBER(SEARCH("NOT NULL",UPPER(C$3))),"''","null"),SUBSTITUTE(VLOOKUP(C$2,convert!$A$1:$B$4,2,0),"@@@",C1077))</f>
        <v>100</v>
      </c>
      <c r="S1077" s="4" t="str">
        <f>IF(D1077="",IF(ISNUMBER(SEARCH("NOT NULL",UPPER(D$3))),"''","null"),SUBSTITUTE(VLOOKUP(D$2,convert!$A$1:$B$4,2,0),"@@@",D1077))</f>
        <v>130</v>
      </c>
      <c r="T1077" s="4" t="str">
        <f>IF(E1077="",IF(ISNUMBER(SEARCH("NOT NULL",UPPER(E$3))),"''","null"),SUBSTITUTE(VLOOKUP(E$2,convert!$A$1:$B$4,2,0),"@@@",E1077))</f>
        <v>100</v>
      </c>
      <c r="U1077" s="4" t="str">
        <f>IF(F1077="",IF(ISNUMBER(SEARCH("NOT NULL",UPPER(F$3))),"''","null"),SUBSTITUTE(VLOOKUP(F$2,convert!$A$1:$B$4,2,0),"@@@",F1077))</f>
        <v>63</v>
      </c>
      <c r="V1077" s="4" t="str">
        <f>IF(G1077="",IF(ISNUMBER(SEARCH("NOT NULL",UPPER(G$3))),"''","null"),SUBSTITUTE(VLOOKUP(G$2,convert!$A$1:$B$4,2,0),"@@@",G1077))</f>
        <v>60</v>
      </c>
      <c r="W1077" s="4" t="str">
        <f>IF(H1077="",IF(ISNUMBER(SEARCH("NOT NULL",UPPER(H$3))),"''","null"),SUBSTITUTE(VLOOKUP(H$2,convert!$A$1:$B$4,2,0),"@@@",H1077))</f>
        <v>97</v>
      </c>
      <c r="X1077" s="4" t="str">
        <f>IF(I1077="",IF(ISNUMBER(SEARCH("NOT NULL",UPPER(I$3))),"''","null"),SUBSTITUTE(VLOOKUP(I$2,convert!$A$1:$B$4,2,0),"@@@",I1077))</f>
        <v>'いちげきのかた'</v>
      </c>
      <c r="Y1077" s="4" t="str">
        <f>IF(J1077="",IF(ISNUMBER(SEARCH("NOT NULL",UPPER(J$3))),"''","null"),SUBSTITUTE(VLOOKUP(J$2,convert!$A$1:$B$4,2,0),"@@@",J1077))</f>
        <v>'fighting'</v>
      </c>
      <c r="Z1077" s="4" t="str">
        <f>IF(K1077="",IF(ISNUMBER(SEARCH("NOT NULL",UPPER(K$3))),"''","null"),SUBSTITUTE(VLOOKUP(K$2,convert!$A$1:$B$4,2,0),"@@@",K1077))</f>
        <v>'dark'</v>
      </c>
      <c r="AA1077" s="4" t="str">
        <f>IF(L1077="",IF(ISNUMBER(SEARCH("NOT NULL",UPPER(L$3))),"''","null"),SUBSTITUTE(VLOOKUP(L$2,convert!$A$1:$B$4,2,0),"@@@",L1077))</f>
        <v>'g8'</v>
      </c>
      <c r="AB1077" s="4" t="str">
        <f>IF(M1077="",IF(ISNUMBER(SEARCH("NOT NULL",UPPER(M$3))),"''","null"),SUBSTITUTE(VLOOKUP(M$2,convert!$A$1:$B$4,2,0),"@@@",M1077))</f>
        <v>null</v>
      </c>
      <c r="AC1077" s="4" t="str">
        <f>IF(N1077="",IF(ISNUMBER(SEARCH("NOT NULL",UPPER(N$3))),"''","null"),SUBSTITUTE(VLOOKUP(N$2,convert!$A$1:$B$4,2,0),"@@@",N1077))</f>
        <v>null</v>
      </c>
      <c r="AD1077" s="4" t="str">
        <f>IF(O1077="",IF(ISNUMBER(SEARCH("NOT NULL",UPPER(O$3))),"''","null"),SUBSTITUTE(VLOOKUP(O$2,convert!$A$1:$B$4,2,0),"@@@",O1077))</f>
        <v>FALSE</v>
      </c>
      <c r="AE1077" s="4" t="str">
        <f t="shared" si="16"/>
        <v>    ('0892N01', 'ウーラオス', 100, 130, 100, 63, 60, 97, 'いちげきのかた', 'fighting', 'dark', 'g8', null, null, FALSE),</v>
      </c>
    </row>
    <row r="1078" spans="1:31">
      <c r="A1078" s="4" t="s">
        <v>2166</v>
      </c>
      <c r="B1078" s="4" t="s">
        <v>2164</v>
      </c>
      <c r="C1078" s="5">
        <v>100</v>
      </c>
      <c r="D1078" s="5">
        <v>130</v>
      </c>
      <c r="E1078" s="5">
        <v>100</v>
      </c>
      <c r="F1078" s="5">
        <v>63</v>
      </c>
      <c r="G1078" s="5">
        <v>60</v>
      </c>
      <c r="H1078" s="5">
        <v>97</v>
      </c>
      <c r="I1078" s="4" t="s">
        <v>2167</v>
      </c>
      <c r="J1078" s="4" t="s">
        <v>189</v>
      </c>
      <c r="K1078" s="4" t="s">
        <v>55</v>
      </c>
      <c r="L1078" s="4" t="s">
        <v>179</v>
      </c>
      <c r="M1078" s="5"/>
      <c r="N1078" s="5"/>
      <c r="O1078" s="5" t="b">
        <v>0</v>
      </c>
      <c r="P1078" s="4" t="str">
        <f>IF(A1078="",IF(ISNUMBER(SEARCH("NOT NULL",UPPER(A$3))),"''","null"),SUBSTITUTE(VLOOKUP(A$2,convert!$A$1:$B$4,2,0),"@@@",A1078))</f>
        <v>'0892N02'</v>
      </c>
      <c r="Q1078" s="4" t="str">
        <f>IF(B1078="",IF(ISNUMBER(SEARCH("NOT NULL",UPPER(B$3))),"''","null"),SUBSTITUTE(VLOOKUP(B$2,convert!$A$1:$B$4,2,0),"@@@",B1078))</f>
        <v>'ウーラオス'</v>
      </c>
      <c r="R1078" s="4" t="str">
        <f>IF(C1078="",IF(ISNUMBER(SEARCH("NOT NULL",UPPER(C$3))),"''","null"),SUBSTITUTE(VLOOKUP(C$2,convert!$A$1:$B$4,2,0),"@@@",C1078))</f>
        <v>100</v>
      </c>
      <c r="S1078" s="4" t="str">
        <f>IF(D1078="",IF(ISNUMBER(SEARCH("NOT NULL",UPPER(D$3))),"''","null"),SUBSTITUTE(VLOOKUP(D$2,convert!$A$1:$B$4,2,0),"@@@",D1078))</f>
        <v>130</v>
      </c>
      <c r="T1078" s="4" t="str">
        <f>IF(E1078="",IF(ISNUMBER(SEARCH("NOT NULL",UPPER(E$3))),"''","null"),SUBSTITUTE(VLOOKUP(E$2,convert!$A$1:$B$4,2,0),"@@@",E1078))</f>
        <v>100</v>
      </c>
      <c r="U1078" s="4" t="str">
        <f>IF(F1078="",IF(ISNUMBER(SEARCH("NOT NULL",UPPER(F$3))),"''","null"),SUBSTITUTE(VLOOKUP(F$2,convert!$A$1:$B$4,2,0),"@@@",F1078))</f>
        <v>63</v>
      </c>
      <c r="V1078" s="4" t="str">
        <f>IF(G1078="",IF(ISNUMBER(SEARCH("NOT NULL",UPPER(G$3))),"''","null"),SUBSTITUTE(VLOOKUP(G$2,convert!$A$1:$B$4,2,0),"@@@",G1078))</f>
        <v>60</v>
      </c>
      <c r="W1078" s="4" t="str">
        <f>IF(H1078="",IF(ISNUMBER(SEARCH("NOT NULL",UPPER(H$3))),"''","null"),SUBSTITUTE(VLOOKUP(H$2,convert!$A$1:$B$4,2,0),"@@@",H1078))</f>
        <v>97</v>
      </c>
      <c r="X1078" s="4" t="str">
        <f>IF(I1078="",IF(ISNUMBER(SEARCH("NOT NULL",UPPER(I$3))),"''","null"),SUBSTITUTE(VLOOKUP(I$2,convert!$A$1:$B$4,2,0),"@@@",I1078))</f>
        <v>'れんげきのかた'</v>
      </c>
      <c r="Y1078" s="4" t="str">
        <f>IF(J1078="",IF(ISNUMBER(SEARCH("NOT NULL",UPPER(J$3))),"''","null"),SUBSTITUTE(VLOOKUP(J$2,convert!$A$1:$B$4,2,0),"@@@",J1078))</f>
        <v>'fighting'</v>
      </c>
      <c r="Z1078" s="4" t="str">
        <f>IF(K1078="",IF(ISNUMBER(SEARCH("NOT NULL",UPPER(K$3))),"''","null"),SUBSTITUTE(VLOOKUP(K$2,convert!$A$1:$B$4,2,0),"@@@",K1078))</f>
        <v>'water'</v>
      </c>
      <c r="AA1078" s="4" t="str">
        <f>IF(L1078="",IF(ISNUMBER(SEARCH("NOT NULL",UPPER(L$3))),"''","null"),SUBSTITUTE(VLOOKUP(L$2,convert!$A$1:$B$4,2,0),"@@@",L1078))</f>
        <v>'g8'</v>
      </c>
      <c r="AB1078" s="4" t="str">
        <f>IF(M1078="",IF(ISNUMBER(SEARCH("NOT NULL",UPPER(M$3))),"''","null"),SUBSTITUTE(VLOOKUP(M$2,convert!$A$1:$B$4,2,0),"@@@",M1078))</f>
        <v>null</v>
      </c>
      <c r="AC1078" s="4" t="str">
        <f>IF(N1078="",IF(ISNUMBER(SEARCH("NOT NULL",UPPER(N$3))),"''","null"),SUBSTITUTE(VLOOKUP(N$2,convert!$A$1:$B$4,2,0),"@@@",N1078))</f>
        <v>null</v>
      </c>
      <c r="AD1078" s="4" t="str">
        <f>IF(O1078="",IF(ISNUMBER(SEARCH("NOT NULL",UPPER(O$3))),"''","null"),SUBSTITUTE(VLOOKUP(O$2,convert!$A$1:$B$4,2,0),"@@@",O1078))</f>
        <v>FALSE</v>
      </c>
      <c r="AE1078" s="4" t="str">
        <f t="shared" si="16"/>
        <v>    ('0892N02', 'ウーラオス', 100, 130, 100, 63, 60, 97, 'れんげきのかた', 'fighting', 'water', 'g8', null, null, FALSE),</v>
      </c>
    </row>
    <row r="1079" spans="1:31">
      <c r="A1079" s="4" t="s">
        <v>2168</v>
      </c>
      <c r="B1079" s="4" t="s">
        <v>2169</v>
      </c>
      <c r="C1079" s="5">
        <v>105</v>
      </c>
      <c r="D1079" s="5">
        <v>120</v>
      </c>
      <c r="E1079" s="5">
        <v>105</v>
      </c>
      <c r="F1079" s="5">
        <v>70</v>
      </c>
      <c r="G1079" s="5">
        <v>95</v>
      </c>
      <c r="H1079" s="5">
        <v>105</v>
      </c>
      <c r="I1079" s="5"/>
      <c r="J1079" s="4" t="s">
        <v>91</v>
      </c>
      <c r="K1079" s="4" t="s">
        <v>30</v>
      </c>
      <c r="L1079" s="4" t="s">
        <v>179</v>
      </c>
      <c r="M1079" s="5"/>
      <c r="N1079" s="5"/>
      <c r="O1079" s="5" t="b">
        <v>1</v>
      </c>
      <c r="P1079" s="4" t="str">
        <f>IF(A1079="",IF(ISNUMBER(SEARCH("NOT NULL",UPPER(A$3))),"''","null"),SUBSTITUTE(VLOOKUP(A$2,convert!$A$1:$B$4,2,0),"@@@",A1079))</f>
        <v>'0893N01'</v>
      </c>
      <c r="Q1079" s="4" t="str">
        <f>IF(B1079="",IF(ISNUMBER(SEARCH("NOT NULL",UPPER(B$3))),"''","null"),SUBSTITUTE(VLOOKUP(B$2,convert!$A$1:$B$4,2,0),"@@@",B1079))</f>
        <v>'ザルード'</v>
      </c>
      <c r="R1079" s="4" t="str">
        <f>IF(C1079="",IF(ISNUMBER(SEARCH("NOT NULL",UPPER(C$3))),"''","null"),SUBSTITUTE(VLOOKUP(C$2,convert!$A$1:$B$4,2,0),"@@@",C1079))</f>
        <v>105</v>
      </c>
      <c r="S1079" s="4" t="str">
        <f>IF(D1079="",IF(ISNUMBER(SEARCH("NOT NULL",UPPER(D$3))),"''","null"),SUBSTITUTE(VLOOKUP(D$2,convert!$A$1:$B$4,2,0),"@@@",D1079))</f>
        <v>120</v>
      </c>
      <c r="T1079" s="4" t="str">
        <f>IF(E1079="",IF(ISNUMBER(SEARCH("NOT NULL",UPPER(E$3))),"''","null"),SUBSTITUTE(VLOOKUP(E$2,convert!$A$1:$B$4,2,0),"@@@",E1079))</f>
        <v>105</v>
      </c>
      <c r="U1079" s="4" t="str">
        <f>IF(F1079="",IF(ISNUMBER(SEARCH("NOT NULL",UPPER(F$3))),"''","null"),SUBSTITUTE(VLOOKUP(F$2,convert!$A$1:$B$4,2,0),"@@@",F1079))</f>
        <v>70</v>
      </c>
      <c r="V1079" s="4" t="str">
        <f>IF(G1079="",IF(ISNUMBER(SEARCH("NOT NULL",UPPER(G$3))),"''","null"),SUBSTITUTE(VLOOKUP(G$2,convert!$A$1:$B$4,2,0),"@@@",G1079))</f>
        <v>95</v>
      </c>
      <c r="W1079" s="4" t="str">
        <f>IF(H1079="",IF(ISNUMBER(SEARCH("NOT NULL",UPPER(H$3))),"''","null"),SUBSTITUTE(VLOOKUP(H$2,convert!$A$1:$B$4,2,0),"@@@",H1079))</f>
        <v>105</v>
      </c>
      <c r="X1079" s="4" t="str">
        <f>IF(I1079="",IF(ISNUMBER(SEARCH("NOT NULL",UPPER(I$3))),"''","null"),SUBSTITUTE(VLOOKUP(I$2,convert!$A$1:$B$4,2,0),"@@@",I1079))</f>
        <v>''</v>
      </c>
      <c r="Y1079" s="4" t="str">
        <f>IF(J1079="",IF(ISNUMBER(SEARCH("NOT NULL",UPPER(J$3))),"''","null"),SUBSTITUTE(VLOOKUP(J$2,convert!$A$1:$B$4,2,0),"@@@",J1079))</f>
        <v>'dark'</v>
      </c>
      <c r="Z1079" s="4" t="str">
        <f>IF(K1079="",IF(ISNUMBER(SEARCH("NOT NULL",UPPER(K$3))),"''","null"),SUBSTITUTE(VLOOKUP(K$2,convert!$A$1:$B$4,2,0),"@@@",K1079))</f>
        <v>'grass'</v>
      </c>
      <c r="AA1079" s="4" t="str">
        <f>IF(L1079="",IF(ISNUMBER(SEARCH("NOT NULL",UPPER(L$3))),"''","null"),SUBSTITUTE(VLOOKUP(L$2,convert!$A$1:$B$4,2,0),"@@@",L1079))</f>
        <v>'g8'</v>
      </c>
      <c r="AB1079" s="4" t="str">
        <f>IF(M1079="",IF(ISNUMBER(SEARCH("NOT NULL",UPPER(M$3))),"''","null"),SUBSTITUTE(VLOOKUP(M$2,convert!$A$1:$B$4,2,0),"@@@",M1079))</f>
        <v>null</v>
      </c>
      <c r="AC1079" s="4" t="str">
        <f>IF(N1079="",IF(ISNUMBER(SEARCH("NOT NULL",UPPER(N$3))),"''","null"),SUBSTITUTE(VLOOKUP(N$2,convert!$A$1:$B$4,2,0),"@@@",N1079))</f>
        <v>null</v>
      </c>
      <c r="AD1079" s="4" t="str">
        <f>IF(O1079="",IF(ISNUMBER(SEARCH("NOT NULL",UPPER(O$3))),"''","null"),SUBSTITUTE(VLOOKUP(O$2,convert!$A$1:$B$4,2,0),"@@@",O1079))</f>
        <v>TRUE</v>
      </c>
      <c r="AE1079" s="4" t="str">
        <f t="shared" si="16"/>
        <v>    ('0893N01', 'ザルード', 105, 120, 105, 70, 95, 105, '', 'dark', 'grass', 'g8', null, null, TRUE),</v>
      </c>
    </row>
    <row r="1080" spans="1:31">
      <c r="A1080" s="4" t="s">
        <v>2170</v>
      </c>
      <c r="B1080" s="4" t="s">
        <v>2171</v>
      </c>
      <c r="C1080" s="5">
        <v>80</v>
      </c>
      <c r="D1080" s="5">
        <v>100</v>
      </c>
      <c r="E1080" s="5">
        <v>50</v>
      </c>
      <c r="F1080" s="5">
        <v>100</v>
      </c>
      <c r="G1080" s="5">
        <v>50</v>
      </c>
      <c r="H1080" s="5">
        <v>200</v>
      </c>
      <c r="I1080" s="5"/>
      <c r="J1080" s="4" t="s">
        <v>106</v>
      </c>
      <c r="K1080" s="5"/>
      <c r="L1080" s="4" t="s">
        <v>179</v>
      </c>
      <c r="M1080" s="5"/>
      <c r="N1080" s="5"/>
      <c r="O1080" s="5" t="b">
        <v>1</v>
      </c>
      <c r="P1080" s="4" t="str">
        <f>IF(A1080="",IF(ISNUMBER(SEARCH("NOT NULL",UPPER(A$3))),"''","null"),SUBSTITUTE(VLOOKUP(A$2,convert!$A$1:$B$4,2,0),"@@@",A1080))</f>
        <v>'0894N01'</v>
      </c>
      <c r="Q1080" s="4" t="str">
        <f>IF(B1080="",IF(ISNUMBER(SEARCH("NOT NULL",UPPER(B$3))),"''","null"),SUBSTITUTE(VLOOKUP(B$2,convert!$A$1:$B$4,2,0),"@@@",B1080))</f>
        <v>'レジエレキ'</v>
      </c>
      <c r="R1080" s="4" t="str">
        <f>IF(C1080="",IF(ISNUMBER(SEARCH("NOT NULL",UPPER(C$3))),"''","null"),SUBSTITUTE(VLOOKUP(C$2,convert!$A$1:$B$4,2,0),"@@@",C1080))</f>
        <v>80</v>
      </c>
      <c r="S1080" s="4" t="str">
        <f>IF(D1080="",IF(ISNUMBER(SEARCH("NOT NULL",UPPER(D$3))),"''","null"),SUBSTITUTE(VLOOKUP(D$2,convert!$A$1:$B$4,2,0),"@@@",D1080))</f>
        <v>100</v>
      </c>
      <c r="T1080" s="4" t="str">
        <f>IF(E1080="",IF(ISNUMBER(SEARCH("NOT NULL",UPPER(E$3))),"''","null"),SUBSTITUTE(VLOOKUP(E$2,convert!$A$1:$B$4,2,0),"@@@",E1080))</f>
        <v>50</v>
      </c>
      <c r="U1080" s="4" t="str">
        <f>IF(F1080="",IF(ISNUMBER(SEARCH("NOT NULL",UPPER(F$3))),"''","null"),SUBSTITUTE(VLOOKUP(F$2,convert!$A$1:$B$4,2,0),"@@@",F1080))</f>
        <v>100</v>
      </c>
      <c r="V1080" s="4" t="str">
        <f>IF(G1080="",IF(ISNUMBER(SEARCH("NOT NULL",UPPER(G$3))),"''","null"),SUBSTITUTE(VLOOKUP(G$2,convert!$A$1:$B$4,2,0),"@@@",G1080))</f>
        <v>50</v>
      </c>
      <c r="W1080" s="4" t="str">
        <f>IF(H1080="",IF(ISNUMBER(SEARCH("NOT NULL",UPPER(H$3))),"''","null"),SUBSTITUTE(VLOOKUP(H$2,convert!$A$1:$B$4,2,0),"@@@",H1080))</f>
        <v>200</v>
      </c>
      <c r="X1080" s="4" t="str">
        <f>IF(I1080="",IF(ISNUMBER(SEARCH("NOT NULL",UPPER(I$3))),"''","null"),SUBSTITUTE(VLOOKUP(I$2,convert!$A$1:$B$4,2,0),"@@@",I1080))</f>
        <v>''</v>
      </c>
      <c r="Y1080" s="4" t="str">
        <f>IF(J1080="",IF(ISNUMBER(SEARCH("NOT NULL",UPPER(J$3))),"''","null"),SUBSTITUTE(VLOOKUP(J$2,convert!$A$1:$B$4,2,0),"@@@",J1080))</f>
        <v>'electric'</v>
      </c>
      <c r="Z1080" s="4" t="str">
        <f>IF(K1080="",IF(ISNUMBER(SEARCH("NOT NULL",UPPER(K$3))),"''","null"),SUBSTITUTE(VLOOKUP(K$2,convert!$A$1:$B$4,2,0),"@@@",K1080))</f>
        <v>null</v>
      </c>
      <c r="AA1080" s="4" t="str">
        <f>IF(L1080="",IF(ISNUMBER(SEARCH("NOT NULL",UPPER(L$3))),"''","null"),SUBSTITUTE(VLOOKUP(L$2,convert!$A$1:$B$4,2,0),"@@@",L1080))</f>
        <v>'g8'</v>
      </c>
      <c r="AB1080" s="4" t="str">
        <f>IF(M1080="",IF(ISNUMBER(SEARCH("NOT NULL",UPPER(M$3))),"''","null"),SUBSTITUTE(VLOOKUP(M$2,convert!$A$1:$B$4,2,0),"@@@",M1080))</f>
        <v>null</v>
      </c>
      <c r="AC1080" s="4" t="str">
        <f>IF(N1080="",IF(ISNUMBER(SEARCH("NOT NULL",UPPER(N$3))),"''","null"),SUBSTITUTE(VLOOKUP(N$2,convert!$A$1:$B$4,2,0),"@@@",N1080))</f>
        <v>null</v>
      </c>
      <c r="AD1080" s="4" t="str">
        <f>IF(O1080="",IF(ISNUMBER(SEARCH("NOT NULL",UPPER(O$3))),"''","null"),SUBSTITUTE(VLOOKUP(O$2,convert!$A$1:$B$4,2,0),"@@@",O1080))</f>
        <v>TRUE</v>
      </c>
      <c r="AE1080" s="4" t="str">
        <f t="shared" si="16"/>
        <v>    ('0894N01', 'レジエレキ', 80, 100, 50, 100, 50, 200, '', 'electric', null, 'g8', null, null, TRUE),</v>
      </c>
    </row>
    <row r="1081" spans="1:31">
      <c r="A1081" s="4" t="s">
        <v>2172</v>
      </c>
      <c r="B1081" s="4" t="s">
        <v>2173</v>
      </c>
      <c r="C1081" s="5">
        <v>200</v>
      </c>
      <c r="D1081" s="5">
        <v>100</v>
      </c>
      <c r="E1081" s="5">
        <v>50</v>
      </c>
      <c r="F1081" s="5">
        <v>100</v>
      </c>
      <c r="G1081" s="5">
        <v>50</v>
      </c>
      <c r="H1081" s="5">
        <v>80</v>
      </c>
      <c r="I1081" s="5"/>
      <c r="J1081" s="4" t="s">
        <v>50</v>
      </c>
      <c r="K1081" s="5"/>
      <c r="L1081" s="4" t="s">
        <v>179</v>
      </c>
      <c r="M1081" s="5"/>
      <c r="N1081" s="5"/>
      <c r="O1081" s="5" t="b">
        <v>1</v>
      </c>
      <c r="P1081" s="4" t="str">
        <f>IF(A1081="",IF(ISNUMBER(SEARCH("NOT NULL",UPPER(A$3))),"''","null"),SUBSTITUTE(VLOOKUP(A$2,convert!$A$1:$B$4,2,0),"@@@",A1081))</f>
        <v>'0895N01'</v>
      </c>
      <c r="Q1081" s="4" t="str">
        <f>IF(B1081="",IF(ISNUMBER(SEARCH("NOT NULL",UPPER(B$3))),"''","null"),SUBSTITUTE(VLOOKUP(B$2,convert!$A$1:$B$4,2,0),"@@@",B1081))</f>
        <v>'レジドラゴ'</v>
      </c>
      <c r="R1081" s="4" t="str">
        <f>IF(C1081="",IF(ISNUMBER(SEARCH("NOT NULL",UPPER(C$3))),"''","null"),SUBSTITUTE(VLOOKUP(C$2,convert!$A$1:$B$4,2,0),"@@@",C1081))</f>
        <v>200</v>
      </c>
      <c r="S1081" s="4" t="str">
        <f>IF(D1081="",IF(ISNUMBER(SEARCH("NOT NULL",UPPER(D$3))),"''","null"),SUBSTITUTE(VLOOKUP(D$2,convert!$A$1:$B$4,2,0),"@@@",D1081))</f>
        <v>100</v>
      </c>
      <c r="T1081" s="4" t="str">
        <f>IF(E1081="",IF(ISNUMBER(SEARCH("NOT NULL",UPPER(E$3))),"''","null"),SUBSTITUTE(VLOOKUP(E$2,convert!$A$1:$B$4,2,0),"@@@",E1081))</f>
        <v>50</v>
      </c>
      <c r="U1081" s="4" t="str">
        <f>IF(F1081="",IF(ISNUMBER(SEARCH("NOT NULL",UPPER(F$3))),"''","null"),SUBSTITUTE(VLOOKUP(F$2,convert!$A$1:$B$4,2,0),"@@@",F1081))</f>
        <v>100</v>
      </c>
      <c r="V1081" s="4" t="str">
        <f>IF(G1081="",IF(ISNUMBER(SEARCH("NOT NULL",UPPER(G$3))),"''","null"),SUBSTITUTE(VLOOKUP(G$2,convert!$A$1:$B$4,2,0),"@@@",G1081))</f>
        <v>50</v>
      </c>
      <c r="W1081" s="4" t="str">
        <f>IF(H1081="",IF(ISNUMBER(SEARCH("NOT NULL",UPPER(H$3))),"''","null"),SUBSTITUTE(VLOOKUP(H$2,convert!$A$1:$B$4,2,0),"@@@",H1081))</f>
        <v>80</v>
      </c>
      <c r="X1081" s="4" t="str">
        <f>IF(I1081="",IF(ISNUMBER(SEARCH("NOT NULL",UPPER(I$3))),"''","null"),SUBSTITUTE(VLOOKUP(I$2,convert!$A$1:$B$4,2,0),"@@@",I1081))</f>
        <v>''</v>
      </c>
      <c r="Y1081" s="4" t="str">
        <f>IF(J1081="",IF(ISNUMBER(SEARCH("NOT NULL",UPPER(J$3))),"''","null"),SUBSTITUTE(VLOOKUP(J$2,convert!$A$1:$B$4,2,0),"@@@",J1081))</f>
        <v>'dragon'</v>
      </c>
      <c r="Z1081" s="4" t="str">
        <f>IF(K1081="",IF(ISNUMBER(SEARCH("NOT NULL",UPPER(K$3))),"''","null"),SUBSTITUTE(VLOOKUP(K$2,convert!$A$1:$B$4,2,0),"@@@",K1081))</f>
        <v>null</v>
      </c>
      <c r="AA1081" s="4" t="str">
        <f>IF(L1081="",IF(ISNUMBER(SEARCH("NOT NULL",UPPER(L$3))),"''","null"),SUBSTITUTE(VLOOKUP(L$2,convert!$A$1:$B$4,2,0),"@@@",L1081))</f>
        <v>'g8'</v>
      </c>
      <c r="AB1081" s="4" t="str">
        <f>IF(M1081="",IF(ISNUMBER(SEARCH("NOT NULL",UPPER(M$3))),"''","null"),SUBSTITUTE(VLOOKUP(M$2,convert!$A$1:$B$4,2,0),"@@@",M1081))</f>
        <v>null</v>
      </c>
      <c r="AC1081" s="4" t="str">
        <f>IF(N1081="",IF(ISNUMBER(SEARCH("NOT NULL",UPPER(N$3))),"''","null"),SUBSTITUTE(VLOOKUP(N$2,convert!$A$1:$B$4,2,0),"@@@",N1081))</f>
        <v>null</v>
      </c>
      <c r="AD1081" s="4" t="str">
        <f>IF(O1081="",IF(ISNUMBER(SEARCH("NOT NULL",UPPER(O$3))),"''","null"),SUBSTITUTE(VLOOKUP(O$2,convert!$A$1:$B$4,2,0),"@@@",O1081))</f>
        <v>TRUE</v>
      </c>
      <c r="AE1081" s="4" t="str">
        <f t="shared" si="16"/>
        <v>    ('0895N01', 'レジドラゴ', 200, 100, 50, 100, 50, 80, '', 'dragon', null, 'g8', null, null, TRUE),</v>
      </c>
    </row>
    <row r="1082" spans="1:31">
      <c r="A1082" s="4" t="s">
        <v>2174</v>
      </c>
      <c r="B1082" s="4" t="s">
        <v>2175</v>
      </c>
      <c r="C1082" s="5">
        <v>100</v>
      </c>
      <c r="D1082" s="5">
        <v>145</v>
      </c>
      <c r="E1082" s="5">
        <v>130</v>
      </c>
      <c r="F1082" s="5">
        <v>65</v>
      </c>
      <c r="G1082" s="5">
        <v>110</v>
      </c>
      <c r="H1082" s="5">
        <v>30</v>
      </c>
      <c r="I1082" s="5"/>
      <c r="J1082" s="4" t="s">
        <v>118</v>
      </c>
      <c r="K1082" s="5"/>
      <c r="L1082" s="4" t="s">
        <v>179</v>
      </c>
      <c r="M1082" s="5"/>
      <c r="N1082" s="5"/>
      <c r="O1082" s="5" t="b">
        <v>0</v>
      </c>
      <c r="P1082" s="4" t="str">
        <f>IF(A1082="",IF(ISNUMBER(SEARCH("NOT NULL",UPPER(A$3))),"''","null"),SUBSTITUTE(VLOOKUP(A$2,convert!$A$1:$B$4,2,0),"@@@",A1082))</f>
        <v>'0896N01'</v>
      </c>
      <c r="Q1082" s="4" t="str">
        <f>IF(B1082="",IF(ISNUMBER(SEARCH("NOT NULL",UPPER(B$3))),"''","null"),SUBSTITUTE(VLOOKUP(B$2,convert!$A$1:$B$4,2,0),"@@@",B1082))</f>
        <v>'ブリザポス'</v>
      </c>
      <c r="R1082" s="4" t="str">
        <f>IF(C1082="",IF(ISNUMBER(SEARCH("NOT NULL",UPPER(C$3))),"''","null"),SUBSTITUTE(VLOOKUP(C$2,convert!$A$1:$B$4,2,0),"@@@",C1082))</f>
        <v>100</v>
      </c>
      <c r="S1082" s="4" t="str">
        <f>IF(D1082="",IF(ISNUMBER(SEARCH("NOT NULL",UPPER(D$3))),"''","null"),SUBSTITUTE(VLOOKUP(D$2,convert!$A$1:$B$4,2,0),"@@@",D1082))</f>
        <v>145</v>
      </c>
      <c r="T1082" s="4" t="str">
        <f>IF(E1082="",IF(ISNUMBER(SEARCH("NOT NULL",UPPER(E$3))),"''","null"),SUBSTITUTE(VLOOKUP(E$2,convert!$A$1:$B$4,2,0),"@@@",E1082))</f>
        <v>130</v>
      </c>
      <c r="U1082" s="4" t="str">
        <f>IF(F1082="",IF(ISNUMBER(SEARCH("NOT NULL",UPPER(F$3))),"''","null"),SUBSTITUTE(VLOOKUP(F$2,convert!$A$1:$B$4,2,0),"@@@",F1082))</f>
        <v>65</v>
      </c>
      <c r="V1082" s="4" t="str">
        <f>IF(G1082="",IF(ISNUMBER(SEARCH("NOT NULL",UPPER(G$3))),"''","null"),SUBSTITUTE(VLOOKUP(G$2,convert!$A$1:$B$4,2,0),"@@@",G1082))</f>
        <v>110</v>
      </c>
      <c r="W1082" s="4" t="str">
        <f>IF(H1082="",IF(ISNUMBER(SEARCH("NOT NULL",UPPER(H$3))),"''","null"),SUBSTITUTE(VLOOKUP(H$2,convert!$A$1:$B$4,2,0),"@@@",H1082))</f>
        <v>30</v>
      </c>
      <c r="X1082" s="4" t="str">
        <f>IF(I1082="",IF(ISNUMBER(SEARCH("NOT NULL",UPPER(I$3))),"''","null"),SUBSTITUTE(VLOOKUP(I$2,convert!$A$1:$B$4,2,0),"@@@",I1082))</f>
        <v>''</v>
      </c>
      <c r="Y1082" s="4" t="str">
        <f>IF(J1082="",IF(ISNUMBER(SEARCH("NOT NULL",UPPER(J$3))),"''","null"),SUBSTITUTE(VLOOKUP(J$2,convert!$A$1:$B$4,2,0),"@@@",J1082))</f>
        <v>'ice'</v>
      </c>
      <c r="Z1082" s="4" t="str">
        <f>IF(K1082="",IF(ISNUMBER(SEARCH("NOT NULL",UPPER(K$3))),"''","null"),SUBSTITUTE(VLOOKUP(K$2,convert!$A$1:$B$4,2,0),"@@@",K1082))</f>
        <v>null</v>
      </c>
      <c r="AA1082" s="4" t="str">
        <f>IF(L1082="",IF(ISNUMBER(SEARCH("NOT NULL",UPPER(L$3))),"''","null"),SUBSTITUTE(VLOOKUP(L$2,convert!$A$1:$B$4,2,0),"@@@",L1082))</f>
        <v>'g8'</v>
      </c>
      <c r="AB1082" s="4" t="str">
        <f>IF(M1082="",IF(ISNUMBER(SEARCH("NOT NULL",UPPER(M$3))),"''","null"),SUBSTITUTE(VLOOKUP(M$2,convert!$A$1:$B$4,2,0),"@@@",M1082))</f>
        <v>null</v>
      </c>
      <c r="AC1082" s="4" t="str">
        <f>IF(N1082="",IF(ISNUMBER(SEARCH("NOT NULL",UPPER(N$3))),"''","null"),SUBSTITUTE(VLOOKUP(N$2,convert!$A$1:$B$4,2,0),"@@@",N1082))</f>
        <v>null</v>
      </c>
      <c r="AD1082" s="4" t="str">
        <f>IF(O1082="",IF(ISNUMBER(SEARCH("NOT NULL",UPPER(O$3))),"''","null"),SUBSTITUTE(VLOOKUP(O$2,convert!$A$1:$B$4,2,0),"@@@",O1082))</f>
        <v>FALSE</v>
      </c>
      <c r="AE1082" s="4" t="str">
        <f t="shared" si="16"/>
        <v>    ('0896N01', 'ブリザポス', 100, 145, 130, 65, 110, 30, '', 'ice', null, 'g8', null, null, FALSE),</v>
      </c>
    </row>
    <row r="1083" spans="1:31">
      <c r="A1083" s="4" t="s">
        <v>2176</v>
      </c>
      <c r="B1083" s="4" t="s">
        <v>2177</v>
      </c>
      <c r="C1083" s="5">
        <v>100</v>
      </c>
      <c r="D1083" s="5">
        <v>65</v>
      </c>
      <c r="E1083" s="5">
        <v>60</v>
      </c>
      <c r="F1083" s="5">
        <v>145</v>
      </c>
      <c r="G1083" s="5">
        <v>80</v>
      </c>
      <c r="H1083" s="5">
        <v>130</v>
      </c>
      <c r="I1083" s="5"/>
      <c r="J1083" s="4" t="s">
        <v>281</v>
      </c>
      <c r="K1083" s="5"/>
      <c r="L1083" s="4" t="s">
        <v>179</v>
      </c>
      <c r="M1083" s="5"/>
      <c r="N1083" s="5"/>
      <c r="O1083" s="5" t="b">
        <v>0</v>
      </c>
      <c r="P1083" s="4" t="str">
        <f>IF(A1083="",IF(ISNUMBER(SEARCH("NOT NULL",UPPER(A$3))),"''","null"),SUBSTITUTE(VLOOKUP(A$2,convert!$A$1:$B$4,2,0),"@@@",A1083))</f>
        <v>'0897N01'</v>
      </c>
      <c r="Q1083" s="4" t="str">
        <f>IF(B1083="",IF(ISNUMBER(SEARCH("NOT NULL",UPPER(B$3))),"''","null"),SUBSTITUTE(VLOOKUP(B$2,convert!$A$1:$B$4,2,0),"@@@",B1083))</f>
        <v>'レイスポス'</v>
      </c>
      <c r="R1083" s="4" t="str">
        <f>IF(C1083="",IF(ISNUMBER(SEARCH("NOT NULL",UPPER(C$3))),"''","null"),SUBSTITUTE(VLOOKUP(C$2,convert!$A$1:$B$4,2,0),"@@@",C1083))</f>
        <v>100</v>
      </c>
      <c r="S1083" s="4" t="str">
        <f>IF(D1083="",IF(ISNUMBER(SEARCH("NOT NULL",UPPER(D$3))),"''","null"),SUBSTITUTE(VLOOKUP(D$2,convert!$A$1:$B$4,2,0),"@@@",D1083))</f>
        <v>65</v>
      </c>
      <c r="T1083" s="4" t="str">
        <f>IF(E1083="",IF(ISNUMBER(SEARCH("NOT NULL",UPPER(E$3))),"''","null"),SUBSTITUTE(VLOOKUP(E$2,convert!$A$1:$B$4,2,0),"@@@",E1083))</f>
        <v>60</v>
      </c>
      <c r="U1083" s="4" t="str">
        <f>IF(F1083="",IF(ISNUMBER(SEARCH("NOT NULL",UPPER(F$3))),"''","null"),SUBSTITUTE(VLOOKUP(F$2,convert!$A$1:$B$4,2,0),"@@@",F1083))</f>
        <v>145</v>
      </c>
      <c r="V1083" s="4" t="str">
        <f>IF(G1083="",IF(ISNUMBER(SEARCH("NOT NULL",UPPER(G$3))),"''","null"),SUBSTITUTE(VLOOKUP(G$2,convert!$A$1:$B$4,2,0),"@@@",G1083))</f>
        <v>80</v>
      </c>
      <c r="W1083" s="4" t="str">
        <f>IF(H1083="",IF(ISNUMBER(SEARCH("NOT NULL",UPPER(H$3))),"''","null"),SUBSTITUTE(VLOOKUP(H$2,convert!$A$1:$B$4,2,0),"@@@",H1083))</f>
        <v>130</v>
      </c>
      <c r="X1083" s="4" t="str">
        <f>IF(I1083="",IF(ISNUMBER(SEARCH("NOT NULL",UPPER(I$3))),"''","null"),SUBSTITUTE(VLOOKUP(I$2,convert!$A$1:$B$4,2,0),"@@@",I1083))</f>
        <v>''</v>
      </c>
      <c r="Y1083" s="4" t="str">
        <f>IF(J1083="",IF(ISNUMBER(SEARCH("NOT NULL",UPPER(J$3))),"''","null"),SUBSTITUTE(VLOOKUP(J$2,convert!$A$1:$B$4,2,0),"@@@",J1083))</f>
        <v>'ghost'</v>
      </c>
      <c r="Z1083" s="4" t="str">
        <f>IF(K1083="",IF(ISNUMBER(SEARCH("NOT NULL",UPPER(K$3))),"''","null"),SUBSTITUTE(VLOOKUP(K$2,convert!$A$1:$B$4,2,0),"@@@",K1083))</f>
        <v>null</v>
      </c>
      <c r="AA1083" s="4" t="str">
        <f>IF(L1083="",IF(ISNUMBER(SEARCH("NOT NULL",UPPER(L$3))),"''","null"),SUBSTITUTE(VLOOKUP(L$2,convert!$A$1:$B$4,2,0),"@@@",L1083))</f>
        <v>'g8'</v>
      </c>
      <c r="AB1083" s="4" t="str">
        <f>IF(M1083="",IF(ISNUMBER(SEARCH("NOT NULL",UPPER(M$3))),"''","null"),SUBSTITUTE(VLOOKUP(M$2,convert!$A$1:$B$4,2,0),"@@@",M1083))</f>
        <v>null</v>
      </c>
      <c r="AC1083" s="4" t="str">
        <f>IF(N1083="",IF(ISNUMBER(SEARCH("NOT NULL",UPPER(N$3))),"''","null"),SUBSTITUTE(VLOOKUP(N$2,convert!$A$1:$B$4,2,0),"@@@",N1083))</f>
        <v>null</v>
      </c>
      <c r="AD1083" s="4" t="str">
        <f>IF(O1083="",IF(ISNUMBER(SEARCH("NOT NULL",UPPER(O$3))),"''","null"),SUBSTITUTE(VLOOKUP(O$2,convert!$A$1:$B$4,2,0),"@@@",O1083))</f>
        <v>FALSE</v>
      </c>
      <c r="AE1083" s="4" t="str">
        <f t="shared" si="16"/>
        <v>    ('0897N01', 'レイスポス', 100, 65, 60, 145, 80, 130, '', 'ghost', null, 'g8', null, null, FALSE),</v>
      </c>
    </row>
    <row r="1084" spans="1:31">
      <c r="A1084" s="4" t="s">
        <v>2178</v>
      </c>
      <c r="B1084" s="4" t="s">
        <v>2179</v>
      </c>
      <c r="C1084" s="5">
        <v>100</v>
      </c>
      <c r="D1084" s="5">
        <v>80</v>
      </c>
      <c r="E1084" s="5">
        <v>80</v>
      </c>
      <c r="F1084" s="5">
        <v>80</v>
      </c>
      <c r="G1084" s="5">
        <v>80</v>
      </c>
      <c r="H1084" s="5">
        <v>80</v>
      </c>
      <c r="I1084" s="5"/>
      <c r="J1084" s="4" t="s">
        <v>113</v>
      </c>
      <c r="K1084" s="4" t="s">
        <v>30</v>
      </c>
      <c r="L1084" s="4" t="s">
        <v>179</v>
      </c>
      <c r="M1084" s="5"/>
      <c r="N1084" s="5"/>
      <c r="O1084" s="5" t="b">
        <v>0</v>
      </c>
      <c r="P1084" s="4" t="str">
        <f>IF(A1084="",IF(ISNUMBER(SEARCH("NOT NULL",UPPER(A$3))),"''","null"),SUBSTITUTE(VLOOKUP(A$2,convert!$A$1:$B$4,2,0),"@@@",A1084))</f>
        <v>'0898N01'</v>
      </c>
      <c r="Q1084" s="4" t="str">
        <f>IF(B1084="",IF(ISNUMBER(SEARCH("NOT NULL",UPPER(B$3))),"''","null"),SUBSTITUTE(VLOOKUP(B$2,convert!$A$1:$B$4,2,0),"@@@",B1084))</f>
        <v>'バドレックス'</v>
      </c>
      <c r="R1084" s="4" t="str">
        <f>IF(C1084="",IF(ISNUMBER(SEARCH("NOT NULL",UPPER(C$3))),"''","null"),SUBSTITUTE(VLOOKUP(C$2,convert!$A$1:$B$4,2,0),"@@@",C1084))</f>
        <v>100</v>
      </c>
      <c r="S1084" s="4" t="str">
        <f>IF(D1084="",IF(ISNUMBER(SEARCH("NOT NULL",UPPER(D$3))),"''","null"),SUBSTITUTE(VLOOKUP(D$2,convert!$A$1:$B$4,2,0),"@@@",D1084))</f>
        <v>80</v>
      </c>
      <c r="T1084" s="4" t="str">
        <f>IF(E1084="",IF(ISNUMBER(SEARCH("NOT NULL",UPPER(E$3))),"''","null"),SUBSTITUTE(VLOOKUP(E$2,convert!$A$1:$B$4,2,0),"@@@",E1084))</f>
        <v>80</v>
      </c>
      <c r="U1084" s="4" t="str">
        <f>IF(F1084="",IF(ISNUMBER(SEARCH("NOT NULL",UPPER(F$3))),"''","null"),SUBSTITUTE(VLOOKUP(F$2,convert!$A$1:$B$4,2,0),"@@@",F1084))</f>
        <v>80</v>
      </c>
      <c r="V1084" s="4" t="str">
        <f>IF(G1084="",IF(ISNUMBER(SEARCH("NOT NULL",UPPER(G$3))),"''","null"),SUBSTITUTE(VLOOKUP(G$2,convert!$A$1:$B$4,2,0),"@@@",G1084))</f>
        <v>80</v>
      </c>
      <c r="W1084" s="4" t="str">
        <f>IF(H1084="",IF(ISNUMBER(SEARCH("NOT NULL",UPPER(H$3))),"''","null"),SUBSTITUTE(VLOOKUP(H$2,convert!$A$1:$B$4,2,0),"@@@",H1084))</f>
        <v>80</v>
      </c>
      <c r="X1084" s="4" t="str">
        <f>IF(I1084="",IF(ISNUMBER(SEARCH("NOT NULL",UPPER(I$3))),"''","null"),SUBSTITUTE(VLOOKUP(I$2,convert!$A$1:$B$4,2,0),"@@@",I1084))</f>
        <v>''</v>
      </c>
      <c r="Y1084" s="4" t="str">
        <f>IF(J1084="",IF(ISNUMBER(SEARCH("NOT NULL",UPPER(J$3))),"''","null"),SUBSTITUTE(VLOOKUP(J$2,convert!$A$1:$B$4,2,0),"@@@",J1084))</f>
        <v>'psychic'</v>
      </c>
      <c r="Z1084" s="4" t="str">
        <f>IF(K1084="",IF(ISNUMBER(SEARCH("NOT NULL",UPPER(K$3))),"''","null"),SUBSTITUTE(VLOOKUP(K$2,convert!$A$1:$B$4,2,0),"@@@",K1084))</f>
        <v>'grass'</v>
      </c>
      <c r="AA1084" s="4" t="str">
        <f>IF(L1084="",IF(ISNUMBER(SEARCH("NOT NULL",UPPER(L$3))),"''","null"),SUBSTITUTE(VLOOKUP(L$2,convert!$A$1:$B$4,2,0),"@@@",L1084))</f>
        <v>'g8'</v>
      </c>
      <c r="AB1084" s="4" t="str">
        <f>IF(M1084="",IF(ISNUMBER(SEARCH("NOT NULL",UPPER(M$3))),"''","null"),SUBSTITUTE(VLOOKUP(M$2,convert!$A$1:$B$4,2,0),"@@@",M1084))</f>
        <v>null</v>
      </c>
      <c r="AC1084" s="4" t="str">
        <f>IF(N1084="",IF(ISNUMBER(SEARCH("NOT NULL",UPPER(N$3))),"''","null"),SUBSTITUTE(VLOOKUP(N$2,convert!$A$1:$B$4,2,0),"@@@",N1084))</f>
        <v>null</v>
      </c>
      <c r="AD1084" s="4" t="str">
        <f>IF(O1084="",IF(ISNUMBER(SEARCH("NOT NULL",UPPER(O$3))),"''","null"),SUBSTITUTE(VLOOKUP(O$2,convert!$A$1:$B$4,2,0),"@@@",O1084))</f>
        <v>FALSE</v>
      </c>
      <c r="AE1084" s="4" t="str">
        <f t="shared" si="16"/>
        <v>    ('0898N01', 'バドレックス', 100, 80, 80, 80, 80, 80, '', 'psychic', 'grass', 'g8', null, null, FALSE),</v>
      </c>
    </row>
    <row r="1085" spans="1:31">
      <c r="A1085" s="4" t="s">
        <v>2180</v>
      </c>
      <c r="B1085" s="4" t="s">
        <v>2179</v>
      </c>
      <c r="C1085" s="5">
        <v>100</v>
      </c>
      <c r="D1085" s="5">
        <v>165</v>
      </c>
      <c r="E1085" s="5">
        <v>150</v>
      </c>
      <c r="F1085" s="5">
        <v>85</v>
      </c>
      <c r="G1085" s="5">
        <v>130</v>
      </c>
      <c r="H1085" s="5">
        <v>50</v>
      </c>
      <c r="I1085" s="4" t="s">
        <v>2181</v>
      </c>
      <c r="J1085" s="4" t="s">
        <v>113</v>
      </c>
      <c r="K1085" s="4" t="s">
        <v>118</v>
      </c>
      <c r="L1085" s="4" t="s">
        <v>179</v>
      </c>
      <c r="M1085" s="5"/>
      <c r="N1085" s="5"/>
      <c r="O1085" s="5" t="b">
        <v>0</v>
      </c>
      <c r="P1085" s="4" t="str">
        <f>IF(A1085="",IF(ISNUMBER(SEARCH("NOT NULL",UPPER(A$3))),"''","null"),SUBSTITUTE(VLOOKUP(A$2,convert!$A$1:$B$4,2,0),"@@@",A1085))</f>
        <v>'0898N02'</v>
      </c>
      <c r="Q1085" s="4" t="str">
        <f>IF(B1085="",IF(ISNUMBER(SEARCH("NOT NULL",UPPER(B$3))),"''","null"),SUBSTITUTE(VLOOKUP(B$2,convert!$A$1:$B$4,2,0),"@@@",B1085))</f>
        <v>'バドレックス'</v>
      </c>
      <c r="R1085" s="4" t="str">
        <f>IF(C1085="",IF(ISNUMBER(SEARCH("NOT NULL",UPPER(C$3))),"''","null"),SUBSTITUTE(VLOOKUP(C$2,convert!$A$1:$B$4,2,0),"@@@",C1085))</f>
        <v>100</v>
      </c>
      <c r="S1085" s="4" t="str">
        <f>IF(D1085="",IF(ISNUMBER(SEARCH("NOT NULL",UPPER(D$3))),"''","null"),SUBSTITUTE(VLOOKUP(D$2,convert!$A$1:$B$4,2,0),"@@@",D1085))</f>
        <v>165</v>
      </c>
      <c r="T1085" s="4" t="str">
        <f>IF(E1085="",IF(ISNUMBER(SEARCH("NOT NULL",UPPER(E$3))),"''","null"),SUBSTITUTE(VLOOKUP(E$2,convert!$A$1:$B$4,2,0),"@@@",E1085))</f>
        <v>150</v>
      </c>
      <c r="U1085" s="4" t="str">
        <f>IF(F1085="",IF(ISNUMBER(SEARCH("NOT NULL",UPPER(F$3))),"''","null"),SUBSTITUTE(VLOOKUP(F$2,convert!$A$1:$B$4,2,0),"@@@",F1085))</f>
        <v>85</v>
      </c>
      <c r="V1085" s="4" t="str">
        <f>IF(G1085="",IF(ISNUMBER(SEARCH("NOT NULL",UPPER(G$3))),"''","null"),SUBSTITUTE(VLOOKUP(G$2,convert!$A$1:$B$4,2,0),"@@@",G1085))</f>
        <v>130</v>
      </c>
      <c r="W1085" s="4" t="str">
        <f>IF(H1085="",IF(ISNUMBER(SEARCH("NOT NULL",UPPER(H$3))),"''","null"),SUBSTITUTE(VLOOKUP(H$2,convert!$A$1:$B$4,2,0),"@@@",H1085))</f>
        <v>50</v>
      </c>
      <c r="X1085" s="4" t="str">
        <f>IF(I1085="",IF(ISNUMBER(SEARCH("NOT NULL",UPPER(I$3))),"''","null"),SUBSTITUTE(VLOOKUP(I$2,convert!$A$1:$B$4,2,0),"@@@",I1085))</f>
        <v>'はくばじょうのすがた'</v>
      </c>
      <c r="Y1085" s="4" t="str">
        <f>IF(J1085="",IF(ISNUMBER(SEARCH("NOT NULL",UPPER(J$3))),"''","null"),SUBSTITUTE(VLOOKUP(J$2,convert!$A$1:$B$4,2,0),"@@@",J1085))</f>
        <v>'psychic'</v>
      </c>
      <c r="Z1085" s="4" t="str">
        <f>IF(K1085="",IF(ISNUMBER(SEARCH("NOT NULL",UPPER(K$3))),"''","null"),SUBSTITUTE(VLOOKUP(K$2,convert!$A$1:$B$4,2,0),"@@@",K1085))</f>
        <v>'ice'</v>
      </c>
      <c r="AA1085" s="4" t="str">
        <f>IF(L1085="",IF(ISNUMBER(SEARCH("NOT NULL",UPPER(L$3))),"''","null"),SUBSTITUTE(VLOOKUP(L$2,convert!$A$1:$B$4,2,0),"@@@",L1085))</f>
        <v>'g8'</v>
      </c>
      <c r="AB1085" s="4" t="str">
        <f>IF(M1085="",IF(ISNUMBER(SEARCH("NOT NULL",UPPER(M$3))),"''","null"),SUBSTITUTE(VLOOKUP(M$2,convert!$A$1:$B$4,2,0),"@@@",M1085))</f>
        <v>null</v>
      </c>
      <c r="AC1085" s="4" t="str">
        <f>IF(N1085="",IF(ISNUMBER(SEARCH("NOT NULL",UPPER(N$3))),"''","null"),SUBSTITUTE(VLOOKUP(N$2,convert!$A$1:$B$4,2,0),"@@@",N1085))</f>
        <v>null</v>
      </c>
      <c r="AD1085" s="4" t="str">
        <f>IF(O1085="",IF(ISNUMBER(SEARCH("NOT NULL",UPPER(O$3))),"''","null"),SUBSTITUTE(VLOOKUP(O$2,convert!$A$1:$B$4,2,0),"@@@",O1085))</f>
        <v>FALSE</v>
      </c>
      <c r="AE1085" s="4" t="str">
        <f t="shared" si="16"/>
        <v>    ('0898N02', 'バドレックス', 100, 165, 150, 85, 130, 50, 'はくばじょうのすがた', 'psychic', 'ice', 'g8', null, null, FALSE),</v>
      </c>
    </row>
    <row r="1086" spans="1:31">
      <c r="A1086" s="4" t="s">
        <v>2182</v>
      </c>
      <c r="B1086" s="4" t="s">
        <v>2179</v>
      </c>
      <c r="C1086" s="5">
        <v>100</v>
      </c>
      <c r="D1086" s="5">
        <v>85</v>
      </c>
      <c r="E1086" s="5">
        <v>80</v>
      </c>
      <c r="F1086" s="5">
        <v>165</v>
      </c>
      <c r="G1086" s="5">
        <v>100</v>
      </c>
      <c r="H1086" s="5">
        <v>150</v>
      </c>
      <c r="I1086" s="4" t="s">
        <v>2183</v>
      </c>
      <c r="J1086" s="4" t="s">
        <v>113</v>
      </c>
      <c r="K1086" s="4" t="s">
        <v>281</v>
      </c>
      <c r="L1086" s="4" t="s">
        <v>179</v>
      </c>
      <c r="M1086" s="5"/>
      <c r="N1086" s="5"/>
      <c r="O1086" s="5" t="b">
        <v>0</v>
      </c>
      <c r="P1086" s="4" t="str">
        <f>IF(A1086="",IF(ISNUMBER(SEARCH("NOT NULL",UPPER(A$3))),"''","null"),SUBSTITUTE(VLOOKUP(A$2,convert!$A$1:$B$4,2,0),"@@@",A1086))</f>
        <v>'0898N03'</v>
      </c>
      <c r="Q1086" s="4" t="str">
        <f>IF(B1086="",IF(ISNUMBER(SEARCH("NOT NULL",UPPER(B$3))),"''","null"),SUBSTITUTE(VLOOKUP(B$2,convert!$A$1:$B$4,2,0),"@@@",B1086))</f>
        <v>'バドレックス'</v>
      </c>
      <c r="R1086" s="4" t="str">
        <f>IF(C1086="",IF(ISNUMBER(SEARCH("NOT NULL",UPPER(C$3))),"''","null"),SUBSTITUTE(VLOOKUP(C$2,convert!$A$1:$B$4,2,0),"@@@",C1086))</f>
        <v>100</v>
      </c>
      <c r="S1086" s="4" t="str">
        <f>IF(D1086="",IF(ISNUMBER(SEARCH("NOT NULL",UPPER(D$3))),"''","null"),SUBSTITUTE(VLOOKUP(D$2,convert!$A$1:$B$4,2,0),"@@@",D1086))</f>
        <v>85</v>
      </c>
      <c r="T1086" s="4" t="str">
        <f>IF(E1086="",IF(ISNUMBER(SEARCH("NOT NULL",UPPER(E$3))),"''","null"),SUBSTITUTE(VLOOKUP(E$2,convert!$A$1:$B$4,2,0),"@@@",E1086))</f>
        <v>80</v>
      </c>
      <c r="U1086" s="4" t="str">
        <f>IF(F1086="",IF(ISNUMBER(SEARCH("NOT NULL",UPPER(F$3))),"''","null"),SUBSTITUTE(VLOOKUP(F$2,convert!$A$1:$B$4,2,0),"@@@",F1086))</f>
        <v>165</v>
      </c>
      <c r="V1086" s="4" t="str">
        <f>IF(G1086="",IF(ISNUMBER(SEARCH("NOT NULL",UPPER(G$3))),"''","null"),SUBSTITUTE(VLOOKUP(G$2,convert!$A$1:$B$4,2,0),"@@@",G1086))</f>
        <v>100</v>
      </c>
      <c r="W1086" s="4" t="str">
        <f>IF(H1086="",IF(ISNUMBER(SEARCH("NOT NULL",UPPER(H$3))),"''","null"),SUBSTITUTE(VLOOKUP(H$2,convert!$A$1:$B$4,2,0),"@@@",H1086))</f>
        <v>150</v>
      </c>
      <c r="X1086" s="4" t="str">
        <f>IF(I1086="",IF(ISNUMBER(SEARCH("NOT NULL",UPPER(I$3))),"''","null"),SUBSTITUTE(VLOOKUP(I$2,convert!$A$1:$B$4,2,0),"@@@",I1086))</f>
        <v>'こくばじょうのすがた'</v>
      </c>
      <c r="Y1086" s="4" t="str">
        <f>IF(J1086="",IF(ISNUMBER(SEARCH("NOT NULL",UPPER(J$3))),"''","null"),SUBSTITUTE(VLOOKUP(J$2,convert!$A$1:$B$4,2,0),"@@@",J1086))</f>
        <v>'psychic'</v>
      </c>
      <c r="Z1086" s="4" t="str">
        <f>IF(K1086="",IF(ISNUMBER(SEARCH("NOT NULL",UPPER(K$3))),"''","null"),SUBSTITUTE(VLOOKUP(K$2,convert!$A$1:$B$4,2,0),"@@@",K1086))</f>
        <v>'ghost'</v>
      </c>
      <c r="AA1086" s="4" t="str">
        <f>IF(L1086="",IF(ISNUMBER(SEARCH("NOT NULL",UPPER(L$3))),"''","null"),SUBSTITUTE(VLOOKUP(L$2,convert!$A$1:$B$4,2,0),"@@@",L1086))</f>
        <v>'g8'</v>
      </c>
      <c r="AB1086" s="4" t="str">
        <f>IF(M1086="",IF(ISNUMBER(SEARCH("NOT NULL",UPPER(M$3))),"''","null"),SUBSTITUTE(VLOOKUP(M$2,convert!$A$1:$B$4,2,0),"@@@",M1086))</f>
        <v>null</v>
      </c>
      <c r="AC1086" s="4" t="str">
        <f>IF(N1086="",IF(ISNUMBER(SEARCH("NOT NULL",UPPER(N$3))),"''","null"),SUBSTITUTE(VLOOKUP(N$2,convert!$A$1:$B$4,2,0),"@@@",N1086))</f>
        <v>null</v>
      </c>
      <c r="AD1086" s="4" t="str">
        <f>IF(O1086="",IF(ISNUMBER(SEARCH("NOT NULL",UPPER(O$3))),"''","null"),SUBSTITUTE(VLOOKUP(O$2,convert!$A$1:$B$4,2,0),"@@@",O1086))</f>
        <v>FALSE</v>
      </c>
      <c r="AE1086" s="4" t="str">
        <f t="shared" si="16"/>
        <v>    ('0898N03', 'バドレックス', 100, 85, 80, 165, 100, 150, 'こくばじょうのすがた', 'psychic', 'ghost', 'g8', null, null, FALSE),</v>
      </c>
    </row>
    <row r="1087" spans="1:31">
      <c r="A1087" s="4" t="s">
        <v>2184</v>
      </c>
      <c r="B1087" s="4" t="s">
        <v>2185</v>
      </c>
      <c r="C1087" s="5">
        <v>103</v>
      </c>
      <c r="D1087" s="5">
        <v>105</v>
      </c>
      <c r="E1087" s="5">
        <v>72</v>
      </c>
      <c r="F1087" s="5">
        <v>105</v>
      </c>
      <c r="G1087" s="5">
        <v>75</v>
      </c>
      <c r="H1087" s="5">
        <v>65</v>
      </c>
      <c r="I1087" s="5"/>
      <c r="J1087" s="4" t="s">
        <v>80</v>
      </c>
      <c r="K1087" s="4" t="s">
        <v>113</v>
      </c>
      <c r="L1087" s="4" t="s">
        <v>197</v>
      </c>
      <c r="M1087" s="5"/>
      <c r="N1087" s="5"/>
      <c r="O1087" s="5" t="b">
        <v>1</v>
      </c>
      <c r="P1087" s="4" t="str">
        <f>IF(A1087="",IF(ISNUMBER(SEARCH("NOT NULL",UPPER(A$3))),"''","null"),SUBSTITUTE(VLOOKUP(A$2,convert!$A$1:$B$4,2,0),"@@@",A1087))</f>
        <v>'0899N01'</v>
      </c>
      <c r="Q1087" s="4" t="str">
        <f>IF(B1087="",IF(ISNUMBER(SEARCH("NOT NULL",UPPER(B$3))),"''","null"),SUBSTITUTE(VLOOKUP(B$2,convert!$A$1:$B$4,2,0),"@@@",B1087))</f>
        <v>'アヤシシ'</v>
      </c>
      <c r="R1087" s="4" t="str">
        <f>IF(C1087="",IF(ISNUMBER(SEARCH("NOT NULL",UPPER(C$3))),"''","null"),SUBSTITUTE(VLOOKUP(C$2,convert!$A$1:$B$4,2,0),"@@@",C1087))</f>
        <v>103</v>
      </c>
      <c r="S1087" s="4" t="str">
        <f>IF(D1087="",IF(ISNUMBER(SEARCH("NOT NULL",UPPER(D$3))),"''","null"),SUBSTITUTE(VLOOKUP(D$2,convert!$A$1:$B$4,2,0),"@@@",D1087))</f>
        <v>105</v>
      </c>
      <c r="T1087" s="4" t="str">
        <f>IF(E1087="",IF(ISNUMBER(SEARCH("NOT NULL",UPPER(E$3))),"''","null"),SUBSTITUTE(VLOOKUP(E$2,convert!$A$1:$B$4,2,0),"@@@",E1087))</f>
        <v>72</v>
      </c>
      <c r="U1087" s="4" t="str">
        <f>IF(F1087="",IF(ISNUMBER(SEARCH("NOT NULL",UPPER(F$3))),"''","null"),SUBSTITUTE(VLOOKUP(F$2,convert!$A$1:$B$4,2,0),"@@@",F1087))</f>
        <v>105</v>
      </c>
      <c r="V1087" s="4" t="str">
        <f>IF(G1087="",IF(ISNUMBER(SEARCH("NOT NULL",UPPER(G$3))),"''","null"),SUBSTITUTE(VLOOKUP(G$2,convert!$A$1:$B$4,2,0),"@@@",G1087))</f>
        <v>75</v>
      </c>
      <c r="W1087" s="4" t="str">
        <f>IF(H1087="",IF(ISNUMBER(SEARCH("NOT NULL",UPPER(H$3))),"''","null"),SUBSTITUTE(VLOOKUP(H$2,convert!$A$1:$B$4,2,0),"@@@",H1087))</f>
        <v>65</v>
      </c>
      <c r="X1087" s="4" t="str">
        <f>IF(I1087="",IF(ISNUMBER(SEARCH("NOT NULL",UPPER(I$3))),"''","null"),SUBSTITUTE(VLOOKUP(I$2,convert!$A$1:$B$4,2,0),"@@@",I1087))</f>
        <v>''</v>
      </c>
      <c r="Y1087" s="4" t="str">
        <f>IF(J1087="",IF(ISNUMBER(SEARCH("NOT NULL",UPPER(J$3))),"''","null"),SUBSTITUTE(VLOOKUP(J$2,convert!$A$1:$B$4,2,0),"@@@",J1087))</f>
        <v>'normal'</v>
      </c>
      <c r="Z1087" s="4" t="str">
        <f>IF(K1087="",IF(ISNUMBER(SEARCH("NOT NULL",UPPER(K$3))),"''","null"),SUBSTITUTE(VLOOKUP(K$2,convert!$A$1:$B$4,2,0),"@@@",K1087))</f>
        <v>'psychic'</v>
      </c>
      <c r="AA1087" s="4" t="str">
        <f>IF(L1087="",IF(ISNUMBER(SEARCH("NOT NULL",UPPER(L$3))),"''","null"),SUBSTITUTE(VLOOKUP(L$2,convert!$A$1:$B$4,2,0),"@@@",L1087))</f>
        <v>'g8arceus'</v>
      </c>
      <c r="AB1087" s="4" t="str">
        <f>IF(M1087="",IF(ISNUMBER(SEARCH("NOT NULL",UPPER(M$3))),"''","null"),SUBSTITUTE(VLOOKUP(M$2,convert!$A$1:$B$4,2,0),"@@@",M1087))</f>
        <v>null</v>
      </c>
      <c r="AC1087" s="4" t="str">
        <f>IF(N1087="",IF(ISNUMBER(SEARCH("NOT NULL",UPPER(N$3))),"''","null"),SUBSTITUTE(VLOOKUP(N$2,convert!$A$1:$B$4,2,0),"@@@",N1087))</f>
        <v>null</v>
      </c>
      <c r="AD1087" s="4" t="str">
        <f>IF(O1087="",IF(ISNUMBER(SEARCH("NOT NULL",UPPER(O$3))),"''","null"),SUBSTITUTE(VLOOKUP(O$2,convert!$A$1:$B$4,2,0),"@@@",O1087))</f>
        <v>TRUE</v>
      </c>
      <c r="AE1087" s="4" t="str">
        <f t="shared" si="16"/>
        <v>    ('0899N01', 'アヤシシ', 103, 105, 72, 105, 75, 65, '', 'normal', 'psychic', 'g8arceus', null, null, TRUE),</v>
      </c>
    </row>
    <row r="1088" spans="1:31">
      <c r="A1088" s="4" t="s">
        <v>2186</v>
      </c>
      <c r="B1088" s="4" t="s">
        <v>2187</v>
      </c>
      <c r="C1088" s="5">
        <v>70</v>
      </c>
      <c r="D1088" s="5">
        <v>135</v>
      </c>
      <c r="E1088" s="5">
        <v>95</v>
      </c>
      <c r="F1088" s="5">
        <v>45</v>
      </c>
      <c r="G1088" s="5">
        <v>70</v>
      </c>
      <c r="H1088" s="5">
        <v>85</v>
      </c>
      <c r="I1088" s="5"/>
      <c r="J1088" s="4" t="s">
        <v>64</v>
      </c>
      <c r="K1088" s="4" t="s">
        <v>196</v>
      </c>
      <c r="L1088" s="4" t="s">
        <v>197</v>
      </c>
      <c r="M1088" s="5"/>
      <c r="N1088" s="5"/>
      <c r="O1088" s="5" t="b">
        <v>1</v>
      </c>
      <c r="P1088" s="4" t="str">
        <f>IF(A1088="",IF(ISNUMBER(SEARCH("NOT NULL",UPPER(A$3))),"''","null"),SUBSTITUTE(VLOOKUP(A$2,convert!$A$1:$B$4,2,0),"@@@",A1088))</f>
        <v>'0900N01'</v>
      </c>
      <c r="Q1088" s="4" t="str">
        <f>IF(B1088="",IF(ISNUMBER(SEARCH("NOT NULL",UPPER(B$3))),"''","null"),SUBSTITUTE(VLOOKUP(B$2,convert!$A$1:$B$4,2,0),"@@@",B1088))</f>
        <v>'バサギリ'</v>
      </c>
      <c r="R1088" s="4" t="str">
        <f>IF(C1088="",IF(ISNUMBER(SEARCH("NOT NULL",UPPER(C$3))),"''","null"),SUBSTITUTE(VLOOKUP(C$2,convert!$A$1:$B$4,2,0),"@@@",C1088))</f>
        <v>70</v>
      </c>
      <c r="S1088" s="4" t="str">
        <f>IF(D1088="",IF(ISNUMBER(SEARCH("NOT NULL",UPPER(D$3))),"''","null"),SUBSTITUTE(VLOOKUP(D$2,convert!$A$1:$B$4,2,0),"@@@",D1088))</f>
        <v>135</v>
      </c>
      <c r="T1088" s="4" t="str">
        <f>IF(E1088="",IF(ISNUMBER(SEARCH("NOT NULL",UPPER(E$3))),"''","null"),SUBSTITUTE(VLOOKUP(E$2,convert!$A$1:$B$4,2,0),"@@@",E1088))</f>
        <v>95</v>
      </c>
      <c r="U1088" s="4" t="str">
        <f>IF(F1088="",IF(ISNUMBER(SEARCH("NOT NULL",UPPER(F$3))),"''","null"),SUBSTITUTE(VLOOKUP(F$2,convert!$A$1:$B$4,2,0),"@@@",F1088))</f>
        <v>45</v>
      </c>
      <c r="V1088" s="4" t="str">
        <f>IF(G1088="",IF(ISNUMBER(SEARCH("NOT NULL",UPPER(G$3))),"''","null"),SUBSTITUTE(VLOOKUP(G$2,convert!$A$1:$B$4,2,0),"@@@",G1088))</f>
        <v>70</v>
      </c>
      <c r="W1088" s="4" t="str">
        <f>IF(H1088="",IF(ISNUMBER(SEARCH("NOT NULL",UPPER(H$3))),"''","null"),SUBSTITUTE(VLOOKUP(H$2,convert!$A$1:$B$4,2,0),"@@@",H1088))</f>
        <v>85</v>
      </c>
      <c r="X1088" s="4" t="str">
        <f>IF(I1088="",IF(ISNUMBER(SEARCH("NOT NULL",UPPER(I$3))),"''","null"),SUBSTITUTE(VLOOKUP(I$2,convert!$A$1:$B$4,2,0),"@@@",I1088))</f>
        <v>''</v>
      </c>
      <c r="Y1088" s="4" t="str">
        <f>IF(J1088="",IF(ISNUMBER(SEARCH("NOT NULL",UPPER(J$3))),"''","null"),SUBSTITUTE(VLOOKUP(J$2,convert!$A$1:$B$4,2,0),"@@@",J1088))</f>
        <v>'bug'</v>
      </c>
      <c r="Z1088" s="4" t="str">
        <f>IF(K1088="",IF(ISNUMBER(SEARCH("NOT NULL",UPPER(K$3))),"''","null"),SUBSTITUTE(VLOOKUP(K$2,convert!$A$1:$B$4,2,0),"@@@",K1088))</f>
        <v>'rock'</v>
      </c>
      <c r="AA1088" s="4" t="str">
        <f>IF(L1088="",IF(ISNUMBER(SEARCH("NOT NULL",UPPER(L$3))),"''","null"),SUBSTITUTE(VLOOKUP(L$2,convert!$A$1:$B$4,2,0),"@@@",L1088))</f>
        <v>'g8arceus'</v>
      </c>
      <c r="AB1088" s="4" t="str">
        <f>IF(M1088="",IF(ISNUMBER(SEARCH("NOT NULL",UPPER(M$3))),"''","null"),SUBSTITUTE(VLOOKUP(M$2,convert!$A$1:$B$4,2,0),"@@@",M1088))</f>
        <v>null</v>
      </c>
      <c r="AC1088" s="4" t="str">
        <f>IF(N1088="",IF(ISNUMBER(SEARCH("NOT NULL",UPPER(N$3))),"''","null"),SUBSTITUTE(VLOOKUP(N$2,convert!$A$1:$B$4,2,0),"@@@",N1088))</f>
        <v>null</v>
      </c>
      <c r="AD1088" s="4" t="str">
        <f>IF(O1088="",IF(ISNUMBER(SEARCH("NOT NULL",UPPER(O$3))),"''","null"),SUBSTITUTE(VLOOKUP(O$2,convert!$A$1:$B$4,2,0),"@@@",O1088))</f>
        <v>TRUE</v>
      </c>
      <c r="AE1088" s="4" t="str">
        <f t="shared" si="16"/>
        <v>    ('0900N01', 'バサギリ', 70, 135, 95, 45, 70, 85, '', 'bug', 'rock', 'g8arceus', null, null, TRUE),</v>
      </c>
    </row>
    <row r="1089" spans="1:31">
      <c r="A1089" s="4" t="s">
        <v>2188</v>
      </c>
      <c r="B1089" s="4" t="s">
        <v>2189</v>
      </c>
      <c r="C1089" s="5">
        <v>130</v>
      </c>
      <c r="D1089" s="5">
        <v>140</v>
      </c>
      <c r="E1089" s="5">
        <v>105</v>
      </c>
      <c r="F1089" s="5">
        <v>45</v>
      </c>
      <c r="G1089" s="5">
        <v>80</v>
      </c>
      <c r="H1089" s="5">
        <v>50</v>
      </c>
      <c r="I1089" s="5"/>
      <c r="J1089" s="4" t="s">
        <v>116</v>
      </c>
      <c r="K1089" s="4" t="s">
        <v>80</v>
      </c>
      <c r="L1089" s="4" t="s">
        <v>197</v>
      </c>
      <c r="M1089" s="5"/>
      <c r="N1089" s="5"/>
      <c r="O1089" s="5" t="b">
        <v>1</v>
      </c>
      <c r="P1089" s="4" t="str">
        <f>IF(A1089="",IF(ISNUMBER(SEARCH("NOT NULL",UPPER(A$3))),"''","null"),SUBSTITUTE(VLOOKUP(A$2,convert!$A$1:$B$4,2,0),"@@@",A1089))</f>
        <v>'0901N01'</v>
      </c>
      <c r="Q1089" s="4" t="str">
        <f>IF(B1089="",IF(ISNUMBER(SEARCH("NOT NULL",UPPER(B$3))),"''","null"),SUBSTITUTE(VLOOKUP(B$2,convert!$A$1:$B$4,2,0),"@@@",B1089))</f>
        <v>'ガチグマ'</v>
      </c>
      <c r="R1089" s="4" t="str">
        <f>IF(C1089="",IF(ISNUMBER(SEARCH("NOT NULL",UPPER(C$3))),"''","null"),SUBSTITUTE(VLOOKUP(C$2,convert!$A$1:$B$4,2,0),"@@@",C1089))</f>
        <v>130</v>
      </c>
      <c r="S1089" s="4" t="str">
        <f>IF(D1089="",IF(ISNUMBER(SEARCH("NOT NULL",UPPER(D$3))),"''","null"),SUBSTITUTE(VLOOKUP(D$2,convert!$A$1:$B$4,2,0),"@@@",D1089))</f>
        <v>140</v>
      </c>
      <c r="T1089" s="4" t="str">
        <f>IF(E1089="",IF(ISNUMBER(SEARCH("NOT NULL",UPPER(E$3))),"''","null"),SUBSTITUTE(VLOOKUP(E$2,convert!$A$1:$B$4,2,0),"@@@",E1089))</f>
        <v>105</v>
      </c>
      <c r="U1089" s="4" t="str">
        <f>IF(F1089="",IF(ISNUMBER(SEARCH("NOT NULL",UPPER(F$3))),"''","null"),SUBSTITUTE(VLOOKUP(F$2,convert!$A$1:$B$4,2,0),"@@@",F1089))</f>
        <v>45</v>
      </c>
      <c r="V1089" s="4" t="str">
        <f>IF(G1089="",IF(ISNUMBER(SEARCH("NOT NULL",UPPER(G$3))),"''","null"),SUBSTITUTE(VLOOKUP(G$2,convert!$A$1:$B$4,2,0),"@@@",G1089))</f>
        <v>80</v>
      </c>
      <c r="W1089" s="4" t="str">
        <f>IF(H1089="",IF(ISNUMBER(SEARCH("NOT NULL",UPPER(H$3))),"''","null"),SUBSTITUTE(VLOOKUP(H$2,convert!$A$1:$B$4,2,0),"@@@",H1089))</f>
        <v>50</v>
      </c>
      <c r="X1089" s="4" t="str">
        <f>IF(I1089="",IF(ISNUMBER(SEARCH("NOT NULL",UPPER(I$3))),"''","null"),SUBSTITUTE(VLOOKUP(I$2,convert!$A$1:$B$4,2,0),"@@@",I1089))</f>
        <v>''</v>
      </c>
      <c r="Y1089" s="4" t="str">
        <f>IF(J1089="",IF(ISNUMBER(SEARCH("NOT NULL",UPPER(J$3))),"''","null"),SUBSTITUTE(VLOOKUP(J$2,convert!$A$1:$B$4,2,0),"@@@",J1089))</f>
        <v>'ground'</v>
      </c>
      <c r="Z1089" s="4" t="str">
        <f>IF(K1089="",IF(ISNUMBER(SEARCH("NOT NULL",UPPER(K$3))),"''","null"),SUBSTITUTE(VLOOKUP(K$2,convert!$A$1:$B$4,2,0),"@@@",K1089))</f>
        <v>'normal'</v>
      </c>
      <c r="AA1089" s="4" t="str">
        <f>IF(L1089="",IF(ISNUMBER(SEARCH("NOT NULL",UPPER(L$3))),"''","null"),SUBSTITUTE(VLOOKUP(L$2,convert!$A$1:$B$4,2,0),"@@@",L1089))</f>
        <v>'g8arceus'</v>
      </c>
      <c r="AB1089" s="4" t="str">
        <f>IF(M1089="",IF(ISNUMBER(SEARCH("NOT NULL",UPPER(M$3))),"''","null"),SUBSTITUTE(VLOOKUP(M$2,convert!$A$1:$B$4,2,0),"@@@",M1089))</f>
        <v>null</v>
      </c>
      <c r="AC1089" s="4" t="str">
        <f>IF(N1089="",IF(ISNUMBER(SEARCH("NOT NULL",UPPER(N$3))),"''","null"),SUBSTITUTE(VLOOKUP(N$2,convert!$A$1:$B$4,2,0),"@@@",N1089))</f>
        <v>null</v>
      </c>
      <c r="AD1089" s="4" t="str">
        <f>IF(O1089="",IF(ISNUMBER(SEARCH("NOT NULL",UPPER(O$3))),"''","null"),SUBSTITUTE(VLOOKUP(O$2,convert!$A$1:$B$4,2,0),"@@@",O1089))</f>
        <v>TRUE</v>
      </c>
      <c r="AE1089" s="4" t="str">
        <f t="shared" si="16"/>
        <v>    ('0901N01', 'ガチグマ', 130, 140, 105, 45, 80, 50, '', 'ground', 'normal', 'g8arceus', null, null, TRUE),</v>
      </c>
    </row>
    <row r="1090" spans="1:31">
      <c r="A1090" s="4" t="s">
        <v>2190</v>
      </c>
      <c r="B1090" s="4" t="s">
        <v>2191</v>
      </c>
      <c r="C1090" s="5">
        <v>120</v>
      </c>
      <c r="D1090" s="5">
        <v>112</v>
      </c>
      <c r="E1090" s="5">
        <v>65</v>
      </c>
      <c r="F1090" s="5">
        <v>80</v>
      </c>
      <c r="G1090" s="5">
        <v>75</v>
      </c>
      <c r="H1090" s="5">
        <v>78</v>
      </c>
      <c r="I1090" s="4" t="s">
        <v>1468</v>
      </c>
      <c r="J1090" s="4" t="s">
        <v>55</v>
      </c>
      <c r="K1090" s="4" t="s">
        <v>281</v>
      </c>
      <c r="L1090" s="4" t="s">
        <v>197</v>
      </c>
      <c r="M1090" s="5"/>
      <c r="N1090" s="5"/>
      <c r="O1090" s="5" t="b">
        <v>0</v>
      </c>
      <c r="P1090" s="4" t="str">
        <f>IF(A1090="",IF(ISNUMBER(SEARCH("NOT NULL",UPPER(A$3))),"''","null"),SUBSTITUTE(VLOOKUP(A$2,convert!$A$1:$B$4,2,0),"@@@",A1090))</f>
        <v>'0902N01'</v>
      </c>
      <c r="Q1090" s="4" t="str">
        <f>IF(B1090="",IF(ISNUMBER(SEARCH("NOT NULL",UPPER(B$3))),"''","null"),SUBSTITUTE(VLOOKUP(B$2,convert!$A$1:$B$4,2,0),"@@@",B1090))</f>
        <v>'イダイトウ'</v>
      </c>
      <c r="R1090" s="4" t="str">
        <f>IF(C1090="",IF(ISNUMBER(SEARCH("NOT NULL",UPPER(C$3))),"''","null"),SUBSTITUTE(VLOOKUP(C$2,convert!$A$1:$B$4,2,0),"@@@",C1090))</f>
        <v>120</v>
      </c>
      <c r="S1090" s="4" t="str">
        <f>IF(D1090="",IF(ISNUMBER(SEARCH("NOT NULL",UPPER(D$3))),"''","null"),SUBSTITUTE(VLOOKUP(D$2,convert!$A$1:$B$4,2,0),"@@@",D1090))</f>
        <v>112</v>
      </c>
      <c r="T1090" s="4" t="str">
        <f>IF(E1090="",IF(ISNUMBER(SEARCH("NOT NULL",UPPER(E$3))),"''","null"),SUBSTITUTE(VLOOKUP(E$2,convert!$A$1:$B$4,2,0),"@@@",E1090))</f>
        <v>65</v>
      </c>
      <c r="U1090" s="4" t="str">
        <f>IF(F1090="",IF(ISNUMBER(SEARCH("NOT NULL",UPPER(F$3))),"''","null"),SUBSTITUTE(VLOOKUP(F$2,convert!$A$1:$B$4,2,0),"@@@",F1090))</f>
        <v>80</v>
      </c>
      <c r="V1090" s="4" t="str">
        <f>IF(G1090="",IF(ISNUMBER(SEARCH("NOT NULL",UPPER(G$3))),"''","null"),SUBSTITUTE(VLOOKUP(G$2,convert!$A$1:$B$4,2,0),"@@@",G1090))</f>
        <v>75</v>
      </c>
      <c r="W1090" s="4" t="str">
        <f>IF(H1090="",IF(ISNUMBER(SEARCH("NOT NULL",UPPER(H$3))),"''","null"),SUBSTITUTE(VLOOKUP(H$2,convert!$A$1:$B$4,2,0),"@@@",H1090))</f>
        <v>78</v>
      </c>
      <c r="X1090" s="4" t="str">
        <f>IF(I1090="",IF(ISNUMBER(SEARCH("NOT NULL",UPPER(I$3))),"''","null"),SUBSTITUTE(VLOOKUP(I$2,convert!$A$1:$B$4,2,0),"@@@",I1090))</f>
        <v>'オスのすがた'</v>
      </c>
      <c r="Y1090" s="4" t="str">
        <f>IF(J1090="",IF(ISNUMBER(SEARCH("NOT NULL",UPPER(J$3))),"''","null"),SUBSTITUTE(VLOOKUP(J$2,convert!$A$1:$B$4,2,0),"@@@",J1090))</f>
        <v>'water'</v>
      </c>
      <c r="Z1090" s="4" t="str">
        <f>IF(K1090="",IF(ISNUMBER(SEARCH("NOT NULL",UPPER(K$3))),"''","null"),SUBSTITUTE(VLOOKUP(K$2,convert!$A$1:$B$4,2,0),"@@@",K1090))</f>
        <v>'ghost'</v>
      </c>
      <c r="AA1090" s="4" t="str">
        <f>IF(L1090="",IF(ISNUMBER(SEARCH("NOT NULL",UPPER(L$3))),"''","null"),SUBSTITUTE(VLOOKUP(L$2,convert!$A$1:$B$4,2,0),"@@@",L1090))</f>
        <v>'g8arceus'</v>
      </c>
      <c r="AB1090" s="4" t="str">
        <f>IF(M1090="",IF(ISNUMBER(SEARCH("NOT NULL",UPPER(M$3))),"''","null"),SUBSTITUTE(VLOOKUP(M$2,convert!$A$1:$B$4,2,0),"@@@",M1090))</f>
        <v>null</v>
      </c>
      <c r="AC1090" s="4" t="str">
        <f>IF(N1090="",IF(ISNUMBER(SEARCH("NOT NULL",UPPER(N$3))),"''","null"),SUBSTITUTE(VLOOKUP(N$2,convert!$A$1:$B$4,2,0),"@@@",N1090))</f>
        <v>null</v>
      </c>
      <c r="AD1090" s="4" t="str">
        <f>IF(O1090="",IF(ISNUMBER(SEARCH("NOT NULL",UPPER(O$3))),"''","null"),SUBSTITUTE(VLOOKUP(O$2,convert!$A$1:$B$4,2,0),"@@@",O1090))</f>
        <v>FALSE</v>
      </c>
      <c r="AE1090" s="4" t="str">
        <f t="shared" si="16"/>
        <v>    ('0902N01', 'イダイトウ', 120, 112, 65, 80, 75, 78, 'オスのすがた', 'water', 'ghost', 'g8arceus', null, null, FALSE),</v>
      </c>
    </row>
    <row r="1091" spans="1:31">
      <c r="A1091" s="4" t="s">
        <v>2192</v>
      </c>
      <c r="B1091" s="4" t="s">
        <v>2191</v>
      </c>
      <c r="C1091" s="5">
        <v>120</v>
      </c>
      <c r="D1091" s="5">
        <v>92</v>
      </c>
      <c r="E1091" s="5">
        <v>65</v>
      </c>
      <c r="F1091" s="5">
        <v>100</v>
      </c>
      <c r="G1091" s="5">
        <v>75</v>
      </c>
      <c r="H1091" s="5">
        <v>78</v>
      </c>
      <c r="I1091" s="4" t="s">
        <v>1470</v>
      </c>
      <c r="J1091" s="4" t="s">
        <v>55</v>
      </c>
      <c r="K1091" s="4" t="s">
        <v>281</v>
      </c>
      <c r="L1091" s="4" t="s">
        <v>197</v>
      </c>
      <c r="M1091" s="5"/>
      <c r="N1091" s="5"/>
      <c r="O1091" s="5" t="b">
        <v>0</v>
      </c>
      <c r="P1091" s="4" t="str">
        <f>IF(A1091="",IF(ISNUMBER(SEARCH("NOT NULL",UPPER(A$3))),"''","null"),SUBSTITUTE(VLOOKUP(A$2,convert!$A$1:$B$4,2,0),"@@@",A1091))</f>
        <v>'0902N02'</v>
      </c>
      <c r="Q1091" s="4" t="str">
        <f>IF(B1091="",IF(ISNUMBER(SEARCH("NOT NULL",UPPER(B$3))),"''","null"),SUBSTITUTE(VLOOKUP(B$2,convert!$A$1:$B$4,2,0),"@@@",B1091))</f>
        <v>'イダイトウ'</v>
      </c>
      <c r="R1091" s="4" t="str">
        <f>IF(C1091="",IF(ISNUMBER(SEARCH("NOT NULL",UPPER(C$3))),"''","null"),SUBSTITUTE(VLOOKUP(C$2,convert!$A$1:$B$4,2,0),"@@@",C1091))</f>
        <v>120</v>
      </c>
      <c r="S1091" s="4" t="str">
        <f>IF(D1091="",IF(ISNUMBER(SEARCH("NOT NULL",UPPER(D$3))),"''","null"),SUBSTITUTE(VLOOKUP(D$2,convert!$A$1:$B$4,2,0),"@@@",D1091))</f>
        <v>92</v>
      </c>
      <c r="T1091" s="4" t="str">
        <f>IF(E1091="",IF(ISNUMBER(SEARCH("NOT NULL",UPPER(E$3))),"''","null"),SUBSTITUTE(VLOOKUP(E$2,convert!$A$1:$B$4,2,0),"@@@",E1091))</f>
        <v>65</v>
      </c>
      <c r="U1091" s="4" t="str">
        <f>IF(F1091="",IF(ISNUMBER(SEARCH("NOT NULL",UPPER(F$3))),"''","null"),SUBSTITUTE(VLOOKUP(F$2,convert!$A$1:$B$4,2,0),"@@@",F1091))</f>
        <v>100</v>
      </c>
      <c r="V1091" s="4" t="str">
        <f>IF(G1091="",IF(ISNUMBER(SEARCH("NOT NULL",UPPER(G$3))),"''","null"),SUBSTITUTE(VLOOKUP(G$2,convert!$A$1:$B$4,2,0),"@@@",G1091))</f>
        <v>75</v>
      </c>
      <c r="W1091" s="4" t="str">
        <f>IF(H1091="",IF(ISNUMBER(SEARCH("NOT NULL",UPPER(H$3))),"''","null"),SUBSTITUTE(VLOOKUP(H$2,convert!$A$1:$B$4,2,0),"@@@",H1091))</f>
        <v>78</v>
      </c>
      <c r="X1091" s="4" t="str">
        <f>IF(I1091="",IF(ISNUMBER(SEARCH("NOT NULL",UPPER(I$3))),"''","null"),SUBSTITUTE(VLOOKUP(I$2,convert!$A$1:$B$4,2,0),"@@@",I1091))</f>
        <v>'メスのすがた'</v>
      </c>
      <c r="Y1091" s="4" t="str">
        <f>IF(J1091="",IF(ISNUMBER(SEARCH("NOT NULL",UPPER(J$3))),"''","null"),SUBSTITUTE(VLOOKUP(J$2,convert!$A$1:$B$4,2,0),"@@@",J1091))</f>
        <v>'water'</v>
      </c>
      <c r="Z1091" s="4" t="str">
        <f>IF(K1091="",IF(ISNUMBER(SEARCH("NOT NULL",UPPER(K$3))),"''","null"),SUBSTITUTE(VLOOKUP(K$2,convert!$A$1:$B$4,2,0),"@@@",K1091))</f>
        <v>'ghost'</v>
      </c>
      <c r="AA1091" s="4" t="str">
        <f>IF(L1091="",IF(ISNUMBER(SEARCH("NOT NULL",UPPER(L$3))),"''","null"),SUBSTITUTE(VLOOKUP(L$2,convert!$A$1:$B$4,2,0),"@@@",L1091))</f>
        <v>'g8arceus'</v>
      </c>
      <c r="AB1091" s="4" t="str">
        <f>IF(M1091="",IF(ISNUMBER(SEARCH("NOT NULL",UPPER(M$3))),"''","null"),SUBSTITUTE(VLOOKUP(M$2,convert!$A$1:$B$4,2,0),"@@@",M1091))</f>
        <v>null</v>
      </c>
      <c r="AC1091" s="4" t="str">
        <f>IF(N1091="",IF(ISNUMBER(SEARCH("NOT NULL",UPPER(N$3))),"''","null"),SUBSTITUTE(VLOOKUP(N$2,convert!$A$1:$B$4,2,0),"@@@",N1091))</f>
        <v>null</v>
      </c>
      <c r="AD1091" s="4" t="str">
        <f>IF(O1091="",IF(ISNUMBER(SEARCH("NOT NULL",UPPER(O$3))),"''","null"),SUBSTITUTE(VLOOKUP(O$2,convert!$A$1:$B$4,2,0),"@@@",O1091))</f>
        <v>FALSE</v>
      </c>
      <c r="AE1091" s="4" t="str">
        <f t="shared" si="16"/>
        <v>    ('0902N02', 'イダイトウ', 120, 92, 65, 100, 75, 78, 'メスのすがた', 'water', 'ghost', 'g8arceus', null, null, FALSE),</v>
      </c>
    </row>
    <row r="1092" spans="1:31">
      <c r="A1092" s="4" t="s">
        <v>2193</v>
      </c>
      <c r="B1092" s="4" t="s">
        <v>2194</v>
      </c>
      <c r="C1092" s="5">
        <v>80</v>
      </c>
      <c r="D1092" s="5">
        <v>130</v>
      </c>
      <c r="E1092" s="5">
        <v>60</v>
      </c>
      <c r="F1092" s="5">
        <v>40</v>
      </c>
      <c r="G1092" s="5">
        <v>80</v>
      </c>
      <c r="H1092" s="5">
        <v>120</v>
      </c>
      <c r="I1092" s="5"/>
      <c r="J1092" s="4" t="s">
        <v>189</v>
      </c>
      <c r="K1092" s="4" t="s">
        <v>31</v>
      </c>
      <c r="L1092" s="4" t="s">
        <v>197</v>
      </c>
      <c r="M1092" s="5"/>
      <c r="N1092" s="5"/>
      <c r="O1092" s="5" t="b">
        <v>1</v>
      </c>
      <c r="P1092" s="4" t="str">
        <f>IF(A1092="",IF(ISNUMBER(SEARCH("NOT NULL",UPPER(A$3))),"''","null"),SUBSTITUTE(VLOOKUP(A$2,convert!$A$1:$B$4,2,0),"@@@",A1092))</f>
        <v>'0903N01'</v>
      </c>
      <c r="Q1092" s="4" t="str">
        <f>IF(B1092="",IF(ISNUMBER(SEARCH("NOT NULL",UPPER(B$3))),"''","null"),SUBSTITUTE(VLOOKUP(B$2,convert!$A$1:$B$4,2,0),"@@@",B1092))</f>
        <v>'オオニューラ'</v>
      </c>
      <c r="R1092" s="4" t="str">
        <f>IF(C1092="",IF(ISNUMBER(SEARCH("NOT NULL",UPPER(C$3))),"''","null"),SUBSTITUTE(VLOOKUP(C$2,convert!$A$1:$B$4,2,0),"@@@",C1092))</f>
        <v>80</v>
      </c>
      <c r="S1092" s="4" t="str">
        <f>IF(D1092="",IF(ISNUMBER(SEARCH("NOT NULL",UPPER(D$3))),"''","null"),SUBSTITUTE(VLOOKUP(D$2,convert!$A$1:$B$4,2,0),"@@@",D1092))</f>
        <v>130</v>
      </c>
      <c r="T1092" s="4" t="str">
        <f>IF(E1092="",IF(ISNUMBER(SEARCH("NOT NULL",UPPER(E$3))),"''","null"),SUBSTITUTE(VLOOKUP(E$2,convert!$A$1:$B$4,2,0),"@@@",E1092))</f>
        <v>60</v>
      </c>
      <c r="U1092" s="4" t="str">
        <f>IF(F1092="",IF(ISNUMBER(SEARCH("NOT NULL",UPPER(F$3))),"''","null"),SUBSTITUTE(VLOOKUP(F$2,convert!$A$1:$B$4,2,0),"@@@",F1092))</f>
        <v>40</v>
      </c>
      <c r="V1092" s="4" t="str">
        <f>IF(G1092="",IF(ISNUMBER(SEARCH("NOT NULL",UPPER(G$3))),"''","null"),SUBSTITUTE(VLOOKUP(G$2,convert!$A$1:$B$4,2,0),"@@@",G1092))</f>
        <v>80</v>
      </c>
      <c r="W1092" s="4" t="str">
        <f>IF(H1092="",IF(ISNUMBER(SEARCH("NOT NULL",UPPER(H$3))),"''","null"),SUBSTITUTE(VLOOKUP(H$2,convert!$A$1:$B$4,2,0),"@@@",H1092))</f>
        <v>120</v>
      </c>
      <c r="X1092" s="4" t="str">
        <f>IF(I1092="",IF(ISNUMBER(SEARCH("NOT NULL",UPPER(I$3))),"''","null"),SUBSTITUTE(VLOOKUP(I$2,convert!$A$1:$B$4,2,0),"@@@",I1092))</f>
        <v>''</v>
      </c>
      <c r="Y1092" s="4" t="str">
        <f>IF(J1092="",IF(ISNUMBER(SEARCH("NOT NULL",UPPER(J$3))),"''","null"),SUBSTITUTE(VLOOKUP(J$2,convert!$A$1:$B$4,2,0),"@@@",J1092))</f>
        <v>'fighting'</v>
      </c>
      <c r="Z1092" s="4" t="str">
        <f>IF(K1092="",IF(ISNUMBER(SEARCH("NOT NULL",UPPER(K$3))),"''","null"),SUBSTITUTE(VLOOKUP(K$2,convert!$A$1:$B$4,2,0),"@@@",K1092))</f>
        <v>'poison'</v>
      </c>
      <c r="AA1092" s="4" t="str">
        <f>IF(L1092="",IF(ISNUMBER(SEARCH("NOT NULL",UPPER(L$3))),"''","null"),SUBSTITUTE(VLOOKUP(L$2,convert!$A$1:$B$4,2,0),"@@@",L1092))</f>
        <v>'g8arceus'</v>
      </c>
      <c r="AB1092" s="4" t="str">
        <f>IF(M1092="",IF(ISNUMBER(SEARCH("NOT NULL",UPPER(M$3))),"''","null"),SUBSTITUTE(VLOOKUP(M$2,convert!$A$1:$B$4,2,0),"@@@",M1092))</f>
        <v>null</v>
      </c>
      <c r="AC1092" s="4" t="str">
        <f>IF(N1092="",IF(ISNUMBER(SEARCH("NOT NULL",UPPER(N$3))),"''","null"),SUBSTITUTE(VLOOKUP(N$2,convert!$A$1:$B$4,2,0),"@@@",N1092))</f>
        <v>null</v>
      </c>
      <c r="AD1092" s="4" t="str">
        <f>IF(O1092="",IF(ISNUMBER(SEARCH("NOT NULL",UPPER(O$3))),"''","null"),SUBSTITUTE(VLOOKUP(O$2,convert!$A$1:$B$4,2,0),"@@@",O1092))</f>
        <v>TRUE</v>
      </c>
      <c r="AE1092" s="4" t="str">
        <f t="shared" si="16"/>
        <v>    ('0903N01', 'オオニューラ', 80, 130, 60, 40, 80, 120, '', 'fighting', 'poison', 'g8arceus', null, null, TRUE),</v>
      </c>
    </row>
    <row r="1093" spans="1:31">
      <c r="A1093" s="4" t="s">
        <v>2195</v>
      </c>
      <c r="B1093" s="4" t="s">
        <v>2196</v>
      </c>
      <c r="C1093" s="5">
        <v>85</v>
      </c>
      <c r="D1093" s="5">
        <v>115</v>
      </c>
      <c r="E1093" s="5">
        <v>95</v>
      </c>
      <c r="F1093" s="5">
        <v>65</v>
      </c>
      <c r="G1093" s="5">
        <v>65</v>
      </c>
      <c r="H1093" s="5">
        <v>85</v>
      </c>
      <c r="I1093" s="5"/>
      <c r="J1093" s="4" t="s">
        <v>91</v>
      </c>
      <c r="K1093" s="4" t="s">
        <v>31</v>
      </c>
      <c r="L1093" s="4" t="s">
        <v>197</v>
      </c>
      <c r="M1093" s="5"/>
      <c r="N1093" s="5"/>
      <c r="O1093" s="5" t="b">
        <v>1</v>
      </c>
      <c r="P1093" s="4" t="str">
        <f>IF(A1093="",IF(ISNUMBER(SEARCH("NOT NULL",UPPER(A$3))),"''","null"),SUBSTITUTE(VLOOKUP(A$2,convert!$A$1:$B$4,2,0),"@@@",A1093))</f>
        <v>'0904N01'</v>
      </c>
      <c r="Q1093" s="4" t="str">
        <f>IF(B1093="",IF(ISNUMBER(SEARCH("NOT NULL",UPPER(B$3))),"''","null"),SUBSTITUTE(VLOOKUP(B$2,convert!$A$1:$B$4,2,0),"@@@",B1093))</f>
        <v>'ハリーマン'</v>
      </c>
      <c r="R1093" s="4" t="str">
        <f>IF(C1093="",IF(ISNUMBER(SEARCH("NOT NULL",UPPER(C$3))),"''","null"),SUBSTITUTE(VLOOKUP(C$2,convert!$A$1:$B$4,2,0),"@@@",C1093))</f>
        <v>85</v>
      </c>
      <c r="S1093" s="4" t="str">
        <f>IF(D1093="",IF(ISNUMBER(SEARCH("NOT NULL",UPPER(D$3))),"''","null"),SUBSTITUTE(VLOOKUP(D$2,convert!$A$1:$B$4,2,0),"@@@",D1093))</f>
        <v>115</v>
      </c>
      <c r="T1093" s="4" t="str">
        <f>IF(E1093="",IF(ISNUMBER(SEARCH("NOT NULL",UPPER(E$3))),"''","null"),SUBSTITUTE(VLOOKUP(E$2,convert!$A$1:$B$4,2,0),"@@@",E1093))</f>
        <v>95</v>
      </c>
      <c r="U1093" s="4" t="str">
        <f>IF(F1093="",IF(ISNUMBER(SEARCH("NOT NULL",UPPER(F$3))),"''","null"),SUBSTITUTE(VLOOKUP(F$2,convert!$A$1:$B$4,2,0),"@@@",F1093))</f>
        <v>65</v>
      </c>
      <c r="V1093" s="4" t="str">
        <f>IF(G1093="",IF(ISNUMBER(SEARCH("NOT NULL",UPPER(G$3))),"''","null"),SUBSTITUTE(VLOOKUP(G$2,convert!$A$1:$B$4,2,0),"@@@",G1093))</f>
        <v>65</v>
      </c>
      <c r="W1093" s="4" t="str">
        <f>IF(H1093="",IF(ISNUMBER(SEARCH("NOT NULL",UPPER(H$3))),"''","null"),SUBSTITUTE(VLOOKUP(H$2,convert!$A$1:$B$4,2,0),"@@@",H1093))</f>
        <v>85</v>
      </c>
      <c r="X1093" s="4" t="str">
        <f>IF(I1093="",IF(ISNUMBER(SEARCH("NOT NULL",UPPER(I$3))),"''","null"),SUBSTITUTE(VLOOKUP(I$2,convert!$A$1:$B$4,2,0),"@@@",I1093))</f>
        <v>''</v>
      </c>
      <c r="Y1093" s="4" t="str">
        <f>IF(J1093="",IF(ISNUMBER(SEARCH("NOT NULL",UPPER(J$3))),"''","null"),SUBSTITUTE(VLOOKUP(J$2,convert!$A$1:$B$4,2,0),"@@@",J1093))</f>
        <v>'dark'</v>
      </c>
      <c r="Z1093" s="4" t="str">
        <f>IF(K1093="",IF(ISNUMBER(SEARCH("NOT NULL",UPPER(K$3))),"''","null"),SUBSTITUTE(VLOOKUP(K$2,convert!$A$1:$B$4,2,0),"@@@",K1093))</f>
        <v>'poison'</v>
      </c>
      <c r="AA1093" s="4" t="str">
        <f>IF(L1093="",IF(ISNUMBER(SEARCH("NOT NULL",UPPER(L$3))),"''","null"),SUBSTITUTE(VLOOKUP(L$2,convert!$A$1:$B$4,2,0),"@@@",L1093))</f>
        <v>'g8arceus'</v>
      </c>
      <c r="AB1093" s="4" t="str">
        <f>IF(M1093="",IF(ISNUMBER(SEARCH("NOT NULL",UPPER(M$3))),"''","null"),SUBSTITUTE(VLOOKUP(M$2,convert!$A$1:$B$4,2,0),"@@@",M1093))</f>
        <v>null</v>
      </c>
      <c r="AC1093" s="4" t="str">
        <f>IF(N1093="",IF(ISNUMBER(SEARCH("NOT NULL",UPPER(N$3))),"''","null"),SUBSTITUTE(VLOOKUP(N$2,convert!$A$1:$B$4,2,0),"@@@",N1093))</f>
        <v>null</v>
      </c>
      <c r="AD1093" s="4" t="str">
        <f>IF(O1093="",IF(ISNUMBER(SEARCH("NOT NULL",UPPER(O$3))),"''","null"),SUBSTITUTE(VLOOKUP(O$2,convert!$A$1:$B$4,2,0),"@@@",O1093))</f>
        <v>TRUE</v>
      </c>
      <c r="AE1093" s="4" t="str">
        <f t="shared" ref="AE1093:AE1156" si="17">"    ("&amp;_xlfn.TEXTJOIN(", ",FALSE,P1093:AD1093)&amp;"),"</f>
        <v>    ('0904N01', 'ハリーマン', 85, 115, 95, 65, 65, 85, '', 'dark', 'poison', 'g8arceus', null, null, TRUE),</v>
      </c>
    </row>
    <row r="1094" spans="1:31">
      <c r="A1094" s="4" t="s">
        <v>2197</v>
      </c>
      <c r="B1094" s="4" t="s">
        <v>2198</v>
      </c>
      <c r="C1094" s="5">
        <v>74</v>
      </c>
      <c r="D1094" s="5">
        <v>115</v>
      </c>
      <c r="E1094" s="5">
        <v>70</v>
      </c>
      <c r="F1094" s="5">
        <v>135</v>
      </c>
      <c r="G1094" s="5">
        <v>80</v>
      </c>
      <c r="H1094" s="5">
        <v>106</v>
      </c>
      <c r="I1094" s="4" t="s">
        <v>1572</v>
      </c>
      <c r="J1094" s="4" t="s">
        <v>137</v>
      </c>
      <c r="K1094" s="4" t="s">
        <v>47</v>
      </c>
      <c r="L1094" s="4" t="s">
        <v>197</v>
      </c>
      <c r="M1094" s="5"/>
      <c r="N1094" s="5"/>
      <c r="O1094" s="5" t="b">
        <v>1</v>
      </c>
      <c r="P1094" s="4" t="str">
        <f>IF(A1094="",IF(ISNUMBER(SEARCH("NOT NULL",UPPER(A$3))),"''","null"),SUBSTITUTE(VLOOKUP(A$2,convert!$A$1:$B$4,2,0),"@@@",A1094))</f>
        <v>'0905N01'</v>
      </c>
      <c r="Q1094" s="4" t="str">
        <f>IF(B1094="",IF(ISNUMBER(SEARCH("NOT NULL",UPPER(B$3))),"''","null"),SUBSTITUTE(VLOOKUP(B$2,convert!$A$1:$B$4,2,0),"@@@",B1094))</f>
        <v>'ラブトロス'</v>
      </c>
      <c r="R1094" s="4" t="str">
        <f>IF(C1094="",IF(ISNUMBER(SEARCH("NOT NULL",UPPER(C$3))),"''","null"),SUBSTITUTE(VLOOKUP(C$2,convert!$A$1:$B$4,2,0),"@@@",C1094))</f>
        <v>74</v>
      </c>
      <c r="S1094" s="4" t="str">
        <f>IF(D1094="",IF(ISNUMBER(SEARCH("NOT NULL",UPPER(D$3))),"''","null"),SUBSTITUTE(VLOOKUP(D$2,convert!$A$1:$B$4,2,0),"@@@",D1094))</f>
        <v>115</v>
      </c>
      <c r="T1094" s="4" t="str">
        <f>IF(E1094="",IF(ISNUMBER(SEARCH("NOT NULL",UPPER(E$3))),"''","null"),SUBSTITUTE(VLOOKUP(E$2,convert!$A$1:$B$4,2,0),"@@@",E1094))</f>
        <v>70</v>
      </c>
      <c r="U1094" s="4" t="str">
        <f>IF(F1094="",IF(ISNUMBER(SEARCH("NOT NULL",UPPER(F$3))),"''","null"),SUBSTITUTE(VLOOKUP(F$2,convert!$A$1:$B$4,2,0),"@@@",F1094))</f>
        <v>135</v>
      </c>
      <c r="V1094" s="4" t="str">
        <f>IF(G1094="",IF(ISNUMBER(SEARCH("NOT NULL",UPPER(G$3))),"''","null"),SUBSTITUTE(VLOOKUP(G$2,convert!$A$1:$B$4,2,0),"@@@",G1094))</f>
        <v>80</v>
      </c>
      <c r="W1094" s="4" t="str">
        <f>IF(H1094="",IF(ISNUMBER(SEARCH("NOT NULL",UPPER(H$3))),"''","null"),SUBSTITUTE(VLOOKUP(H$2,convert!$A$1:$B$4,2,0),"@@@",H1094))</f>
        <v>106</v>
      </c>
      <c r="X1094" s="4" t="str">
        <f>IF(I1094="",IF(ISNUMBER(SEARCH("NOT NULL",UPPER(I$3))),"''","null"),SUBSTITUTE(VLOOKUP(I$2,convert!$A$1:$B$4,2,0),"@@@",I1094))</f>
        <v>'けしんフォルム'</v>
      </c>
      <c r="Y1094" s="4" t="str">
        <f>IF(J1094="",IF(ISNUMBER(SEARCH("NOT NULL",UPPER(J$3))),"''","null"),SUBSTITUTE(VLOOKUP(J$2,convert!$A$1:$B$4,2,0),"@@@",J1094))</f>
        <v>'fairy'</v>
      </c>
      <c r="Z1094" s="4" t="str">
        <f>IF(K1094="",IF(ISNUMBER(SEARCH("NOT NULL",UPPER(K$3))),"''","null"),SUBSTITUTE(VLOOKUP(K$2,convert!$A$1:$B$4,2,0),"@@@",K1094))</f>
        <v>'flying'</v>
      </c>
      <c r="AA1094" s="4" t="str">
        <f>IF(L1094="",IF(ISNUMBER(SEARCH("NOT NULL",UPPER(L$3))),"''","null"),SUBSTITUTE(VLOOKUP(L$2,convert!$A$1:$B$4,2,0),"@@@",L1094))</f>
        <v>'g8arceus'</v>
      </c>
      <c r="AB1094" s="4" t="str">
        <f>IF(M1094="",IF(ISNUMBER(SEARCH("NOT NULL",UPPER(M$3))),"''","null"),SUBSTITUTE(VLOOKUP(M$2,convert!$A$1:$B$4,2,0),"@@@",M1094))</f>
        <v>null</v>
      </c>
      <c r="AC1094" s="4" t="str">
        <f>IF(N1094="",IF(ISNUMBER(SEARCH("NOT NULL",UPPER(N$3))),"''","null"),SUBSTITUTE(VLOOKUP(N$2,convert!$A$1:$B$4,2,0),"@@@",N1094))</f>
        <v>null</v>
      </c>
      <c r="AD1094" s="4" t="str">
        <f>IF(O1094="",IF(ISNUMBER(SEARCH("NOT NULL",UPPER(O$3))),"''","null"),SUBSTITUTE(VLOOKUP(O$2,convert!$A$1:$B$4,2,0),"@@@",O1094))</f>
        <v>TRUE</v>
      </c>
      <c r="AE1094" s="4" t="str">
        <f t="shared" si="17"/>
        <v>    ('0905N01', 'ラブトロス', 74, 115, 70, 135, 80, 106, 'けしんフォルム', 'fairy', 'flying', 'g8arceus', null, null, TRUE),</v>
      </c>
    </row>
    <row r="1095" spans="1:31">
      <c r="A1095" s="4" t="s">
        <v>2199</v>
      </c>
      <c r="B1095" s="4" t="s">
        <v>2198</v>
      </c>
      <c r="C1095" s="5">
        <v>74</v>
      </c>
      <c r="D1095" s="5">
        <v>115</v>
      </c>
      <c r="E1095" s="5">
        <v>110</v>
      </c>
      <c r="F1095" s="5">
        <v>135</v>
      </c>
      <c r="G1095" s="5">
        <v>100</v>
      </c>
      <c r="H1095" s="5">
        <v>46</v>
      </c>
      <c r="I1095" s="4" t="s">
        <v>1574</v>
      </c>
      <c r="J1095" s="4" t="s">
        <v>137</v>
      </c>
      <c r="K1095" s="4" t="s">
        <v>47</v>
      </c>
      <c r="L1095" s="4" t="s">
        <v>197</v>
      </c>
      <c r="M1095" s="5"/>
      <c r="N1095" s="5"/>
      <c r="O1095" s="5" t="b">
        <v>0</v>
      </c>
      <c r="P1095" s="4" t="str">
        <f>IF(A1095="",IF(ISNUMBER(SEARCH("NOT NULL",UPPER(A$3))),"''","null"),SUBSTITUTE(VLOOKUP(A$2,convert!$A$1:$B$4,2,0),"@@@",A1095))</f>
        <v>'0905N02'</v>
      </c>
      <c r="Q1095" s="4" t="str">
        <f>IF(B1095="",IF(ISNUMBER(SEARCH("NOT NULL",UPPER(B$3))),"''","null"),SUBSTITUTE(VLOOKUP(B$2,convert!$A$1:$B$4,2,0),"@@@",B1095))</f>
        <v>'ラブトロス'</v>
      </c>
      <c r="R1095" s="4" t="str">
        <f>IF(C1095="",IF(ISNUMBER(SEARCH("NOT NULL",UPPER(C$3))),"''","null"),SUBSTITUTE(VLOOKUP(C$2,convert!$A$1:$B$4,2,0),"@@@",C1095))</f>
        <v>74</v>
      </c>
      <c r="S1095" s="4" t="str">
        <f>IF(D1095="",IF(ISNUMBER(SEARCH("NOT NULL",UPPER(D$3))),"''","null"),SUBSTITUTE(VLOOKUP(D$2,convert!$A$1:$B$4,2,0),"@@@",D1095))</f>
        <v>115</v>
      </c>
      <c r="T1095" s="4" t="str">
        <f>IF(E1095="",IF(ISNUMBER(SEARCH("NOT NULL",UPPER(E$3))),"''","null"),SUBSTITUTE(VLOOKUP(E$2,convert!$A$1:$B$4,2,0),"@@@",E1095))</f>
        <v>110</v>
      </c>
      <c r="U1095" s="4" t="str">
        <f>IF(F1095="",IF(ISNUMBER(SEARCH("NOT NULL",UPPER(F$3))),"''","null"),SUBSTITUTE(VLOOKUP(F$2,convert!$A$1:$B$4,2,0),"@@@",F1095))</f>
        <v>135</v>
      </c>
      <c r="V1095" s="4" t="str">
        <f>IF(G1095="",IF(ISNUMBER(SEARCH("NOT NULL",UPPER(G$3))),"''","null"),SUBSTITUTE(VLOOKUP(G$2,convert!$A$1:$B$4,2,0),"@@@",G1095))</f>
        <v>100</v>
      </c>
      <c r="W1095" s="4" t="str">
        <f>IF(H1095="",IF(ISNUMBER(SEARCH("NOT NULL",UPPER(H$3))),"''","null"),SUBSTITUTE(VLOOKUP(H$2,convert!$A$1:$B$4,2,0),"@@@",H1095))</f>
        <v>46</v>
      </c>
      <c r="X1095" s="4" t="str">
        <f>IF(I1095="",IF(ISNUMBER(SEARCH("NOT NULL",UPPER(I$3))),"''","null"),SUBSTITUTE(VLOOKUP(I$2,convert!$A$1:$B$4,2,0),"@@@",I1095))</f>
        <v>'れいじゅうフォルム'</v>
      </c>
      <c r="Y1095" s="4" t="str">
        <f>IF(J1095="",IF(ISNUMBER(SEARCH("NOT NULL",UPPER(J$3))),"''","null"),SUBSTITUTE(VLOOKUP(J$2,convert!$A$1:$B$4,2,0),"@@@",J1095))</f>
        <v>'fairy'</v>
      </c>
      <c r="Z1095" s="4" t="str">
        <f>IF(K1095="",IF(ISNUMBER(SEARCH("NOT NULL",UPPER(K$3))),"''","null"),SUBSTITUTE(VLOOKUP(K$2,convert!$A$1:$B$4,2,0),"@@@",K1095))</f>
        <v>'flying'</v>
      </c>
      <c r="AA1095" s="4" t="str">
        <f>IF(L1095="",IF(ISNUMBER(SEARCH("NOT NULL",UPPER(L$3))),"''","null"),SUBSTITUTE(VLOOKUP(L$2,convert!$A$1:$B$4,2,0),"@@@",L1095))</f>
        <v>'g8arceus'</v>
      </c>
      <c r="AB1095" s="4" t="str">
        <f>IF(M1095="",IF(ISNUMBER(SEARCH("NOT NULL",UPPER(M$3))),"''","null"),SUBSTITUTE(VLOOKUP(M$2,convert!$A$1:$B$4,2,0),"@@@",M1095))</f>
        <v>null</v>
      </c>
      <c r="AC1095" s="4" t="str">
        <f>IF(N1095="",IF(ISNUMBER(SEARCH("NOT NULL",UPPER(N$3))),"''","null"),SUBSTITUTE(VLOOKUP(N$2,convert!$A$1:$B$4,2,0),"@@@",N1095))</f>
        <v>null</v>
      </c>
      <c r="AD1095" s="4" t="str">
        <f>IF(O1095="",IF(ISNUMBER(SEARCH("NOT NULL",UPPER(O$3))),"''","null"),SUBSTITUTE(VLOOKUP(O$2,convert!$A$1:$B$4,2,0),"@@@",O1095))</f>
        <v>FALSE</v>
      </c>
      <c r="AE1095" s="4" t="str">
        <f t="shared" si="17"/>
        <v>    ('0905N02', 'ラブトロス', 74, 115, 110, 135, 100, 46, 'れいじゅうフォルム', 'fairy', 'flying', 'g8arceus', null, null, FALSE),</v>
      </c>
    </row>
    <row r="1096" spans="1:31">
      <c r="A1096" s="4" t="s">
        <v>2200</v>
      </c>
      <c r="B1096" s="4" t="s">
        <v>2201</v>
      </c>
      <c r="C1096" s="5">
        <v>40</v>
      </c>
      <c r="D1096" s="5">
        <v>61</v>
      </c>
      <c r="E1096" s="5">
        <v>54</v>
      </c>
      <c r="F1096" s="5">
        <v>45</v>
      </c>
      <c r="G1096" s="5">
        <v>45</v>
      </c>
      <c r="H1096" s="5">
        <v>65</v>
      </c>
      <c r="I1096" s="5"/>
      <c r="J1096" s="4" t="s">
        <v>30</v>
      </c>
      <c r="K1096" s="5"/>
      <c r="L1096" s="4" t="s">
        <v>368</v>
      </c>
      <c r="M1096" s="5"/>
      <c r="N1096" s="5"/>
      <c r="O1096" s="5" t="b">
        <v>1</v>
      </c>
      <c r="P1096" s="4" t="str">
        <f>IF(A1096="",IF(ISNUMBER(SEARCH("NOT NULL",UPPER(A$3))),"''","null"),SUBSTITUTE(VLOOKUP(A$2,convert!$A$1:$B$4,2,0),"@@@",A1096))</f>
        <v>'0906N01'</v>
      </c>
      <c r="Q1096" s="4" t="str">
        <f>IF(B1096="",IF(ISNUMBER(SEARCH("NOT NULL",UPPER(B$3))),"''","null"),SUBSTITUTE(VLOOKUP(B$2,convert!$A$1:$B$4,2,0),"@@@",B1096))</f>
        <v>'ニャオハ'</v>
      </c>
      <c r="R1096" s="4" t="str">
        <f>IF(C1096="",IF(ISNUMBER(SEARCH("NOT NULL",UPPER(C$3))),"''","null"),SUBSTITUTE(VLOOKUP(C$2,convert!$A$1:$B$4,2,0),"@@@",C1096))</f>
        <v>40</v>
      </c>
      <c r="S1096" s="4" t="str">
        <f>IF(D1096="",IF(ISNUMBER(SEARCH("NOT NULL",UPPER(D$3))),"''","null"),SUBSTITUTE(VLOOKUP(D$2,convert!$A$1:$B$4,2,0),"@@@",D1096))</f>
        <v>61</v>
      </c>
      <c r="T1096" s="4" t="str">
        <f>IF(E1096="",IF(ISNUMBER(SEARCH("NOT NULL",UPPER(E$3))),"''","null"),SUBSTITUTE(VLOOKUP(E$2,convert!$A$1:$B$4,2,0),"@@@",E1096))</f>
        <v>54</v>
      </c>
      <c r="U1096" s="4" t="str">
        <f>IF(F1096="",IF(ISNUMBER(SEARCH("NOT NULL",UPPER(F$3))),"''","null"),SUBSTITUTE(VLOOKUP(F$2,convert!$A$1:$B$4,2,0),"@@@",F1096))</f>
        <v>45</v>
      </c>
      <c r="V1096" s="4" t="str">
        <f>IF(G1096="",IF(ISNUMBER(SEARCH("NOT NULL",UPPER(G$3))),"''","null"),SUBSTITUTE(VLOOKUP(G$2,convert!$A$1:$B$4,2,0),"@@@",G1096))</f>
        <v>45</v>
      </c>
      <c r="W1096" s="4" t="str">
        <f>IF(H1096="",IF(ISNUMBER(SEARCH("NOT NULL",UPPER(H$3))),"''","null"),SUBSTITUTE(VLOOKUP(H$2,convert!$A$1:$B$4,2,0),"@@@",H1096))</f>
        <v>65</v>
      </c>
      <c r="X1096" s="4" t="str">
        <f>IF(I1096="",IF(ISNUMBER(SEARCH("NOT NULL",UPPER(I$3))),"''","null"),SUBSTITUTE(VLOOKUP(I$2,convert!$A$1:$B$4,2,0),"@@@",I1096))</f>
        <v>''</v>
      </c>
      <c r="Y1096" s="4" t="str">
        <f>IF(J1096="",IF(ISNUMBER(SEARCH("NOT NULL",UPPER(J$3))),"''","null"),SUBSTITUTE(VLOOKUP(J$2,convert!$A$1:$B$4,2,0),"@@@",J1096))</f>
        <v>'grass'</v>
      </c>
      <c r="Z1096" s="4" t="str">
        <f>IF(K1096="",IF(ISNUMBER(SEARCH("NOT NULL",UPPER(K$3))),"''","null"),SUBSTITUTE(VLOOKUP(K$2,convert!$A$1:$B$4,2,0),"@@@",K1096))</f>
        <v>null</v>
      </c>
      <c r="AA1096" s="4" t="str">
        <f>IF(L1096="",IF(ISNUMBER(SEARCH("NOT NULL",UPPER(L$3))),"''","null"),SUBSTITUTE(VLOOKUP(L$2,convert!$A$1:$B$4,2,0),"@@@",L1096))</f>
        <v>'g9'</v>
      </c>
      <c r="AB1096" s="4" t="str">
        <f>IF(M1096="",IF(ISNUMBER(SEARCH("NOT NULL",UPPER(M$3))),"''","null"),SUBSTITUTE(VLOOKUP(M$2,convert!$A$1:$B$4,2,0),"@@@",M1096))</f>
        <v>null</v>
      </c>
      <c r="AC1096" s="4" t="str">
        <f>IF(N1096="",IF(ISNUMBER(SEARCH("NOT NULL",UPPER(N$3))),"''","null"),SUBSTITUTE(VLOOKUP(N$2,convert!$A$1:$B$4,2,0),"@@@",N1096))</f>
        <v>null</v>
      </c>
      <c r="AD1096" s="4" t="str">
        <f>IF(O1096="",IF(ISNUMBER(SEARCH("NOT NULL",UPPER(O$3))),"''","null"),SUBSTITUTE(VLOOKUP(O$2,convert!$A$1:$B$4,2,0),"@@@",O1096))</f>
        <v>TRUE</v>
      </c>
      <c r="AE1096" s="4" t="str">
        <f t="shared" si="17"/>
        <v>    ('0906N01', 'ニャオハ', 40, 61, 54, 45, 45, 65, '', 'grass', null, 'g9', null, null, TRUE),</v>
      </c>
    </row>
    <row r="1097" spans="1:31">
      <c r="A1097" s="4" t="s">
        <v>2202</v>
      </c>
      <c r="B1097" s="4" t="s">
        <v>2203</v>
      </c>
      <c r="C1097" s="5">
        <v>61</v>
      </c>
      <c r="D1097" s="5">
        <v>80</v>
      </c>
      <c r="E1097" s="5">
        <v>63</v>
      </c>
      <c r="F1097" s="5">
        <v>60</v>
      </c>
      <c r="G1097" s="5">
        <v>63</v>
      </c>
      <c r="H1097" s="5">
        <v>83</v>
      </c>
      <c r="I1097" s="5"/>
      <c r="J1097" s="4" t="s">
        <v>30</v>
      </c>
      <c r="K1097" s="5"/>
      <c r="L1097" s="4" t="s">
        <v>368</v>
      </c>
      <c r="M1097" s="5"/>
      <c r="N1097" s="5"/>
      <c r="O1097" s="5" t="b">
        <v>1</v>
      </c>
      <c r="P1097" s="4" t="str">
        <f>IF(A1097="",IF(ISNUMBER(SEARCH("NOT NULL",UPPER(A$3))),"''","null"),SUBSTITUTE(VLOOKUP(A$2,convert!$A$1:$B$4,2,0),"@@@",A1097))</f>
        <v>'0907N01'</v>
      </c>
      <c r="Q1097" s="4" t="str">
        <f>IF(B1097="",IF(ISNUMBER(SEARCH("NOT NULL",UPPER(B$3))),"''","null"),SUBSTITUTE(VLOOKUP(B$2,convert!$A$1:$B$4,2,0),"@@@",B1097))</f>
        <v>'ニャローテ'</v>
      </c>
      <c r="R1097" s="4" t="str">
        <f>IF(C1097="",IF(ISNUMBER(SEARCH("NOT NULL",UPPER(C$3))),"''","null"),SUBSTITUTE(VLOOKUP(C$2,convert!$A$1:$B$4,2,0),"@@@",C1097))</f>
        <v>61</v>
      </c>
      <c r="S1097" s="4" t="str">
        <f>IF(D1097="",IF(ISNUMBER(SEARCH("NOT NULL",UPPER(D$3))),"''","null"),SUBSTITUTE(VLOOKUP(D$2,convert!$A$1:$B$4,2,0),"@@@",D1097))</f>
        <v>80</v>
      </c>
      <c r="T1097" s="4" t="str">
        <f>IF(E1097="",IF(ISNUMBER(SEARCH("NOT NULL",UPPER(E$3))),"''","null"),SUBSTITUTE(VLOOKUP(E$2,convert!$A$1:$B$4,2,0),"@@@",E1097))</f>
        <v>63</v>
      </c>
      <c r="U1097" s="4" t="str">
        <f>IF(F1097="",IF(ISNUMBER(SEARCH("NOT NULL",UPPER(F$3))),"''","null"),SUBSTITUTE(VLOOKUP(F$2,convert!$A$1:$B$4,2,0),"@@@",F1097))</f>
        <v>60</v>
      </c>
      <c r="V1097" s="4" t="str">
        <f>IF(G1097="",IF(ISNUMBER(SEARCH("NOT NULL",UPPER(G$3))),"''","null"),SUBSTITUTE(VLOOKUP(G$2,convert!$A$1:$B$4,2,0),"@@@",G1097))</f>
        <v>63</v>
      </c>
      <c r="W1097" s="4" t="str">
        <f>IF(H1097="",IF(ISNUMBER(SEARCH("NOT NULL",UPPER(H$3))),"''","null"),SUBSTITUTE(VLOOKUP(H$2,convert!$A$1:$B$4,2,0),"@@@",H1097))</f>
        <v>83</v>
      </c>
      <c r="X1097" s="4" t="str">
        <f>IF(I1097="",IF(ISNUMBER(SEARCH("NOT NULL",UPPER(I$3))),"''","null"),SUBSTITUTE(VLOOKUP(I$2,convert!$A$1:$B$4,2,0),"@@@",I1097))</f>
        <v>''</v>
      </c>
      <c r="Y1097" s="4" t="str">
        <f>IF(J1097="",IF(ISNUMBER(SEARCH("NOT NULL",UPPER(J$3))),"''","null"),SUBSTITUTE(VLOOKUP(J$2,convert!$A$1:$B$4,2,0),"@@@",J1097))</f>
        <v>'grass'</v>
      </c>
      <c r="Z1097" s="4" t="str">
        <f>IF(K1097="",IF(ISNUMBER(SEARCH("NOT NULL",UPPER(K$3))),"''","null"),SUBSTITUTE(VLOOKUP(K$2,convert!$A$1:$B$4,2,0),"@@@",K1097))</f>
        <v>null</v>
      </c>
      <c r="AA1097" s="4" t="str">
        <f>IF(L1097="",IF(ISNUMBER(SEARCH("NOT NULL",UPPER(L$3))),"''","null"),SUBSTITUTE(VLOOKUP(L$2,convert!$A$1:$B$4,2,0),"@@@",L1097))</f>
        <v>'g9'</v>
      </c>
      <c r="AB1097" s="4" t="str">
        <f>IF(M1097="",IF(ISNUMBER(SEARCH("NOT NULL",UPPER(M$3))),"''","null"),SUBSTITUTE(VLOOKUP(M$2,convert!$A$1:$B$4,2,0),"@@@",M1097))</f>
        <v>null</v>
      </c>
      <c r="AC1097" s="4" t="str">
        <f>IF(N1097="",IF(ISNUMBER(SEARCH("NOT NULL",UPPER(N$3))),"''","null"),SUBSTITUTE(VLOOKUP(N$2,convert!$A$1:$B$4,2,0),"@@@",N1097))</f>
        <v>null</v>
      </c>
      <c r="AD1097" s="4" t="str">
        <f>IF(O1097="",IF(ISNUMBER(SEARCH("NOT NULL",UPPER(O$3))),"''","null"),SUBSTITUTE(VLOOKUP(O$2,convert!$A$1:$B$4,2,0),"@@@",O1097))</f>
        <v>TRUE</v>
      </c>
      <c r="AE1097" s="4" t="str">
        <f t="shared" si="17"/>
        <v>    ('0907N01', 'ニャローテ', 61, 80, 63, 60, 63, 83, '', 'grass', null, 'g9', null, null, TRUE),</v>
      </c>
    </row>
    <row r="1098" spans="1:31">
      <c r="A1098" s="4" t="s">
        <v>2204</v>
      </c>
      <c r="B1098" s="4" t="s">
        <v>2205</v>
      </c>
      <c r="C1098" s="5">
        <v>76</v>
      </c>
      <c r="D1098" s="5">
        <v>110</v>
      </c>
      <c r="E1098" s="5">
        <v>70</v>
      </c>
      <c r="F1098" s="5">
        <v>81</v>
      </c>
      <c r="G1098" s="5">
        <v>70</v>
      </c>
      <c r="H1098" s="5">
        <v>123</v>
      </c>
      <c r="I1098" s="5"/>
      <c r="J1098" s="4" t="s">
        <v>30</v>
      </c>
      <c r="K1098" s="4" t="s">
        <v>91</v>
      </c>
      <c r="L1098" s="4" t="s">
        <v>368</v>
      </c>
      <c r="M1098" s="5"/>
      <c r="N1098" s="5"/>
      <c r="O1098" s="5" t="b">
        <v>1</v>
      </c>
      <c r="P1098" s="4" t="str">
        <f>IF(A1098="",IF(ISNUMBER(SEARCH("NOT NULL",UPPER(A$3))),"''","null"),SUBSTITUTE(VLOOKUP(A$2,convert!$A$1:$B$4,2,0),"@@@",A1098))</f>
        <v>'0908N01'</v>
      </c>
      <c r="Q1098" s="4" t="str">
        <f>IF(B1098="",IF(ISNUMBER(SEARCH("NOT NULL",UPPER(B$3))),"''","null"),SUBSTITUTE(VLOOKUP(B$2,convert!$A$1:$B$4,2,0),"@@@",B1098))</f>
        <v>'マスカーニャ'</v>
      </c>
      <c r="R1098" s="4" t="str">
        <f>IF(C1098="",IF(ISNUMBER(SEARCH("NOT NULL",UPPER(C$3))),"''","null"),SUBSTITUTE(VLOOKUP(C$2,convert!$A$1:$B$4,2,0),"@@@",C1098))</f>
        <v>76</v>
      </c>
      <c r="S1098" s="4" t="str">
        <f>IF(D1098="",IF(ISNUMBER(SEARCH("NOT NULL",UPPER(D$3))),"''","null"),SUBSTITUTE(VLOOKUP(D$2,convert!$A$1:$B$4,2,0),"@@@",D1098))</f>
        <v>110</v>
      </c>
      <c r="T1098" s="4" t="str">
        <f>IF(E1098="",IF(ISNUMBER(SEARCH("NOT NULL",UPPER(E$3))),"''","null"),SUBSTITUTE(VLOOKUP(E$2,convert!$A$1:$B$4,2,0),"@@@",E1098))</f>
        <v>70</v>
      </c>
      <c r="U1098" s="4" t="str">
        <f>IF(F1098="",IF(ISNUMBER(SEARCH("NOT NULL",UPPER(F$3))),"''","null"),SUBSTITUTE(VLOOKUP(F$2,convert!$A$1:$B$4,2,0),"@@@",F1098))</f>
        <v>81</v>
      </c>
      <c r="V1098" s="4" t="str">
        <f>IF(G1098="",IF(ISNUMBER(SEARCH("NOT NULL",UPPER(G$3))),"''","null"),SUBSTITUTE(VLOOKUP(G$2,convert!$A$1:$B$4,2,0),"@@@",G1098))</f>
        <v>70</v>
      </c>
      <c r="W1098" s="4" t="str">
        <f>IF(H1098="",IF(ISNUMBER(SEARCH("NOT NULL",UPPER(H$3))),"''","null"),SUBSTITUTE(VLOOKUP(H$2,convert!$A$1:$B$4,2,0),"@@@",H1098))</f>
        <v>123</v>
      </c>
      <c r="X1098" s="4" t="str">
        <f>IF(I1098="",IF(ISNUMBER(SEARCH("NOT NULL",UPPER(I$3))),"''","null"),SUBSTITUTE(VLOOKUP(I$2,convert!$A$1:$B$4,2,0),"@@@",I1098))</f>
        <v>''</v>
      </c>
      <c r="Y1098" s="4" t="str">
        <f>IF(J1098="",IF(ISNUMBER(SEARCH("NOT NULL",UPPER(J$3))),"''","null"),SUBSTITUTE(VLOOKUP(J$2,convert!$A$1:$B$4,2,0),"@@@",J1098))</f>
        <v>'grass'</v>
      </c>
      <c r="Z1098" s="4" t="str">
        <f>IF(K1098="",IF(ISNUMBER(SEARCH("NOT NULL",UPPER(K$3))),"''","null"),SUBSTITUTE(VLOOKUP(K$2,convert!$A$1:$B$4,2,0),"@@@",K1098))</f>
        <v>'dark'</v>
      </c>
      <c r="AA1098" s="4" t="str">
        <f>IF(L1098="",IF(ISNUMBER(SEARCH("NOT NULL",UPPER(L$3))),"''","null"),SUBSTITUTE(VLOOKUP(L$2,convert!$A$1:$B$4,2,0),"@@@",L1098))</f>
        <v>'g9'</v>
      </c>
      <c r="AB1098" s="4" t="str">
        <f>IF(M1098="",IF(ISNUMBER(SEARCH("NOT NULL",UPPER(M$3))),"''","null"),SUBSTITUTE(VLOOKUP(M$2,convert!$A$1:$B$4,2,0),"@@@",M1098))</f>
        <v>null</v>
      </c>
      <c r="AC1098" s="4" t="str">
        <f>IF(N1098="",IF(ISNUMBER(SEARCH("NOT NULL",UPPER(N$3))),"''","null"),SUBSTITUTE(VLOOKUP(N$2,convert!$A$1:$B$4,2,0),"@@@",N1098))</f>
        <v>null</v>
      </c>
      <c r="AD1098" s="4" t="str">
        <f>IF(O1098="",IF(ISNUMBER(SEARCH("NOT NULL",UPPER(O$3))),"''","null"),SUBSTITUTE(VLOOKUP(O$2,convert!$A$1:$B$4,2,0),"@@@",O1098))</f>
        <v>TRUE</v>
      </c>
      <c r="AE1098" s="4" t="str">
        <f t="shared" si="17"/>
        <v>    ('0908N01', 'マスカーニャ', 76, 110, 70, 81, 70, 123, '', 'grass', 'dark', 'g9', null, null, TRUE),</v>
      </c>
    </row>
    <row r="1099" spans="1:31">
      <c r="A1099" s="4" t="s">
        <v>2206</v>
      </c>
      <c r="B1099" s="4" t="s">
        <v>2207</v>
      </c>
      <c r="C1099" s="5">
        <v>67</v>
      </c>
      <c r="D1099" s="5">
        <v>45</v>
      </c>
      <c r="E1099" s="5">
        <v>59</v>
      </c>
      <c r="F1099" s="5">
        <v>63</v>
      </c>
      <c r="G1099" s="5">
        <v>40</v>
      </c>
      <c r="H1099" s="5">
        <v>36</v>
      </c>
      <c r="I1099" s="5"/>
      <c r="J1099" s="4" t="s">
        <v>42</v>
      </c>
      <c r="K1099" s="5"/>
      <c r="L1099" s="4" t="s">
        <v>368</v>
      </c>
      <c r="M1099" s="5"/>
      <c r="N1099" s="5"/>
      <c r="O1099" s="5" t="b">
        <v>1</v>
      </c>
      <c r="P1099" s="4" t="str">
        <f>IF(A1099="",IF(ISNUMBER(SEARCH("NOT NULL",UPPER(A$3))),"''","null"),SUBSTITUTE(VLOOKUP(A$2,convert!$A$1:$B$4,2,0),"@@@",A1099))</f>
        <v>'0909N01'</v>
      </c>
      <c r="Q1099" s="4" t="str">
        <f>IF(B1099="",IF(ISNUMBER(SEARCH("NOT NULL",UPPER(B$3))),"''","null"),SUBSTITUTE(VLOOKUP(B$2,convert!$A$1:$B$4,2,0),"@@@",B1099))</f>
        <v>'ホゲータ'</v>
      </c>
      <c r="R1099" s="4" t="str">
        <f>IF(C1099="",IF(ISNUMBER(SEARCH("NOT NULL",UPPER(C$3))),"''","null"),SUBSTITUTE(VLOOKUP(C$2,convert!$A$1:$B$4,2,0),"@@@",C1099))</f>
        <v>67</v>
      </c>
      <c r="S1099" s="4" t="str">
        <f>IF(D1099="",IF(ISNUMBER(SEARCH("NOT NULL",UPPER(D$3))),"''","null"),SUBSTITUTE(VLOOKUP(D$2,convert!$A$1:$B$4,2,0),"@@@",D1099))</f>
        <v>45</v>
      </c>
      <c r="T1099" s="4" t="str">
        <f>IF(E1099="",IF(ISNUMBER(SEARCH("NOT NULL",UPPER(E$3))),"''","null"),SUBSTITUTE(VLOOKUP(E$2,convert!$A$1:$B$4,2,0),"@@@",E1099))</f>
        <v>59</v>
      </c>
      <c r="U1099" s="4" t="str">
        <f>IF(F1099="",IF(ISNUMBER(SEARCH("NOT NULL",UPPER(F$3))),"''","null"),SUBSTITUTE(VLOOKUP(F$2,convert!$A$1:$B$4,2,0),"@@@",F1099))</f>
        <v>63</v>
      </c>
      <c r="V1099" s="4" t="str">
        <f>IF(G1099="",IF(ISNUMBER(SEARCH("NOT NULL",UPPER(G$3))),"''","null"),SUBSTITUTE(VLOOKUP(G$2,convert!$A$1:$B$4,2,0),"@@@",G1099))</f>
        <v>40</v>
      </c>
      <c r="W1099" s="4" t="str">
        <f>IF(H1099="",IF(ISNUMBER(SEARCH("NOT NULL",UPPER(H$3))),"''","null"),SUBSTITUTE(VLOOKUP(H$2,convert!$A$1:$B$4,2,0),"@@@",H1099))</f>
        <v>36</v>
      </c>
      <c r="X1099" s="4" t="str">
        <f>IF(I1099="",IF(ISNUMBER(SEARCH("NOT NULL",UPPER(I$3))),"''","null"),SUBSTITUTE(VLOOKUP(I$2,convert!$A$1:$B$4,2,0),"@@@",I1099))</f>
        <v>''</v>
      </c>
      <c r="Y1099" s="4" t="str">
        <f>IF(J1099="",IF(ISNUMBER(SEARCH("NOT NULL",UPPER(J$3))),"''","null"),SUBSTITUTE(VLOOKUP(J$2,convert!$A$1:$B$4,2,0),"@@@",J1099))</f>
        <v>'fire'</v>
      </c>
      <c r="Z1099" s="4" t="str">
        <f>IF(K1099="",IF(ISNUMBER(SEARCH("NOT NULL",UPPER(K$3))),"''","null"),SUBSTITUTE(VLOOKUP(K$2,convert!$A$1:$B$4,2,0),"@@@",K1099))</f>
        <v>null</v>
      </c>
      <c r="AA1099" s="4" t="str">
        <f>IF(L1099="",IF(ISNUMBER(SEARCH("NOT NULL",UPPER(L$3))),"''","null"),SUBSTITUTE(VLOOKUP(L$2,convert!$A$1:$B$4,2,0),"@@@",L1099))</f>
        <v>'g9'</v>
      </c>
      <c r="AB1099" s="4" t="str">
        <f>IF(M1099="",IF(ISNUMBER(SEARCH("NOT NULL",UPPER(M$3))),"''","null"),SUBSTITUTE(VLOOKUP(M$2,convert!$A$1:$B$4,2,0),"@@@",M1099))</f>
        <v>null</v>
      </c>
      <c r="AC1099" s="4" t="str">
        <f>IF(N1099="",IF(ISNUMBER(SEARCH("NOT NULL",UPPER(N$3))),"''","null"),SUBSTITUTE(VLOOKUP(N$2,convert!$A$1:$B$4,2,0),"@@@",N1099))</f>
        <v>null</v>
      </c>
      <c r="AD1099" s="4" t="str">
        <f>IF(O1099="",IF(ISNUMBER(SEARCH("NOT NULL",UPPER(O$3))),"''","null"),SUBSTITUTE(VLOOKUP(O$2,convert!$A$1:$B$4,2,0),"@@@",O1099))</f>
        <v>TRUE</v>
      </c>
      <c r="AE1099" s="4" t="str">
        <f t="shared" si="17"/>
        <v>    ('0909N01', 'ホゲータ', 67, 45, 59, 63, 40, 36, '', 'fire', null, 'g9', null, null, TRUE),</v>
      </c>
    </row>
    <row r="1100" spans="1:31">
      <c r="A1100" s="4" t="s">
        <v>2208</v>
      </c>
      <c r="B1100" s="4" t="s">
        <v>2209</v>
      </c>
      <c r="C1100" s="5">
        <v>81</v>
      </c>
      <c r="D1100" s="5">
        <v>55</v>
      </c>
      <c r="E1100" s="5">
        <v>78</v>
      </c>
      <c r="F1100" s="5">
        <v>90</v>
      </c>
      <c r="G1100" s="5">
        <v>58</v>
      </c>
      <c r="H1100" s="5">
        <v>49</v>
      </c>
      <c r="I1100" s="5"/>
      <c r="J1100" s="4" t="s">
        <v>42</v>
      </c>
      <c r="K1100" s="5"/>
      <c r="L1100" s="4" t="s">
        <v>368</v>
      </c>
      <c r="M1100" s="5"/>
      <c r="N1100" s="5"/>
      <c r="O1100" s="5" t="b">
        <v>1</v>
      </c>
      <c r="P1100" s="4" t="str">
        <f>IF(A1100="",IF(ISNUMBER(SEARCH("NOT NULL",UPPER(A$3))),"''","null"),SUBSTITUTE(VLOOKUP(A$2,convert!$A$1:$B$4,2,0),"@@@",A1100))</f>
        <v>'0910N01'</v>
      </c>
      <c r="Q1100" s="4" t="str">
        <f>IF(B1100="",IF(ISNUMBER(SEARCH("NOT NULL",UPPER(B$3))),"''","null"),SUBSTITUTE(VLOOKUP(B$2,convert!$A$1:$B$4,2,0),"@@@",B1100))</f>
        <v>'アチゲータ'</v>
      </c>
      <c r="R1100" s="4" t="str">
        <f>IF(C1100="",IF(ISNUMBER(SEARCH("NOT NULL",UPPER(C$3))),"''","null"),SUBSTITUTE(VLOOKUP(C$2,convert!$A$1:$B$4,2,0),"@@@",C1100))</f>
        <v>81</v>
      </c>
      <c r="S1100" s="4" t="str">
        <f>IF(D1100="",IF(ISNUMBER(SEARCH("NOT NULL",UPPER(D$3))),"''","null"),SUBSTITUTE(VLOOKUP(D$2,convert!$A$1:$B$4,2,0),"@@@",D1100))</f>
        <v>55</v>
      </c>
      <c r="T1100" s="4" t="str">
        <f>IF(E1100="",IF(ISNUMBER(SEARCH("NOT NULL",UPPER(E$3))),"''","null"),SUBSTITUTE(VLOOKUP(E$2,convert!$A$1:$B$4,2,0),"@@@",E1100))</f>
        <v>78</v>
      </c>
      <c r="U1100" s="4" t="str">
        <f>IF(F1100="",IF(ISNUMBER(SEARCH("NOT NULL",UPPER(F$3))),"''","null"),SUBSTITUTE(VLOOKUP(F$2,convert!$A$1:$B$4,2,0),"@@@",F1100))</f>
        <v>90</v>
      </c>
      <c r="V1100" s="4" t="str">
        <f>IF(G1100="",IF(ISNUMBER(SEARCH("NOT NULL",UPPER(G$3))),"''","null"),SUBSTITUTE(VLOOKUP(G$2,convert!$A$1:$B$4,2,0),"@@@",G1100))</f>
        <v>58</v>
      </c>
      <c r="W1100" s="4" t="str">
        <f>IF(H1100="",IF(ISNUMBER(SEARCH("NOT NULL",UPPER(H$3))),"''","null"),SUBSTITUTE(VLOOKUP(H$2,convert!$A$1:$B$4,2,0),"@@@",H1100))</f>
        <v>49</v>
      </c>
      <c r="X1100" s="4" t="str">
        <f>IF(I1100="",IF(ISNUMBER(SEARCH("NOT NULL",UPPER(I$3))),"''","null"),SUBSTITUTE(VLOOKUP(I$2,convert!$A$1:$B$4,2,0),"@@@",I1100))</f>
        <v>''</v>
      </c>
      <c r="Y1100" s="4" t="str">
        <f>IF(J1100="",IF(ISNUMBER(SEARCH("NOT NULL",UPPER(J$3))),"''","null"),SUBSTITUTE(VLOOKUP(J$2,convert!$A$1:$B$4,2,0),"@@@",J1100))</f>
        <v>'fire'</v>
      </c>
      <c r="Z1100" s="4" t="str">
        <f>IF(K1100="",IF(ISNUMBER(SEARCH("NOT NULL",UPPER(K$3))),"''","null"),SUBSTITUTE(VLOOKUP(K$2,convert!$A$1:$B$4,2,0),"@@@",K1100))</f>
        <v>null</v>
      </c>
      <c r="AA1100" s="4" t="str">
        <f>IF(L1100="",IF(ISNUMBER(SEARCH("NOT NULL",UPPER(L$3))),"''","null"),SUBSTITUTE(VLOOKUP(L$2,convert!$A$1:$B$4,2,0),"@@@",L1100))</f>
        <v>'g9'</v>
      </c>
      <c r="AB1100" s="4" t="str">
        <f>IF(M1100="",IF(ISNUMBER(SEARCH("NOT NULL",UPPER(M$3))),"''","null"),SUBSTITUTE(VLOOKUP(M$2,convert!$A$1:$B$4,2,0),"@@@",M1100))</f>
        <v>null</v>
      </c>
      <c r="AC1100" s="4" t="str">
        <f>IF(N1100="",IF(ISNUMBER(SEARCH("NOT NULL",UPPER(N$3))),"''","null"),SUBSTITUTE(VLOOKUP(N$2,convert!$A$1:$B$4,2,0),"@@@",N1100))</f>
        <v>null</v>
      </c>
      <c r="AD1100" s="4" t="str">
        <f>IF(O1100="",IF(ISNUMBER(SEARCH("NOT NULL",UPPER(O$3))),"''","null"),SUBSTITUTE(VLOOKUP(O$2,convert!$A$1:$B$4,2,0),"@@@",O1100))</f>
        <v>TRUE</v>
      </c>
      <c r="AE1100" s="4" t="str">
        <f t="shared" si="17"/>
        <v>    ('0910N01', 'アチゲータ', 81, 55, 78, 90, 58, 49, '', 'fire', null, 'g9', null, null, TRUE),</v>
      </c>
    </row>
    <row r="1101" spans="1:31">
      <c r="A1101" s="4" t="s">
        <v>2210</v>
      </c>
      <c r="B1101" s="4" t="s">
        <v>2211</v>
      </c>
      <c r="C1101" s="5">
        <v>104</v>
      </c>
      <c r="D1101" s="5">
        <v>75</v>
      </c>
      <c r="E1101" s="5">
        <v>100</v>
      </c>
      <c r="F1101" s="5">
        <v>110</v>
      </c>
      <c r="G1101" s="5">
        <v>75</v>
      </c>
      <c r="H1101" s="5">
        <v>66</v>
      </c>
      <c r="I1101" s="5"/>
      <c r="J1101" s="4" t="s">
        <v>42</v>
      </c>
      <c r="K1101" s="4" t="s">
        <v>281</v>
      </c>
      <c r="L1101" s="4" t="s">
        <v>368</v>
      </c>
      <c r="M1101" s="5"/>
      <c r="N1101" s="5"/>
      <c r="O1101" s="5" t="b">
        <v>1</v>
      </c>
      <c r="P1101" s="4" t="str">
        <f>IF(A1101="",IF(ISNUMBER(SEARCH("NOT NULL",UPPER(A$3))),"''","null"),SUBSTITUTE(VLOOKUP(A$2,convert!$A$1:$B$4,2,0),"@@@",A1101))</f>
        <v>'0911N01'</v>
      </c>
      <c r="Q1101" s="4" t="str">
        <f>IF(B1101="",IF(ISNUMBER(SEARCH("NOT NULL",UPPER(B$3))),"''","null"),SUBSTITUTE(VLOOKUP(B$2,convert!$A$1:$B$4,2,0),"@@@",B1101))</f>
        <v>'ラウドボーン'</v>
      </c>
      <c r="R1101" s="4" t="str">
        <f>IF(C1101="",IF(ISNUMBER(SEARCH("NOT NULL",UPPER(C$3))),"''","null"),SUBSTITUTE(VLOOKUP(C$2,convert!$A$1:$B$4,2,0),"@@@",C1101))</f>
        <v>104</v>
      </c>
      <c r="S1101" s="4" t="str">
        <f>IF(D1101="",IF(ISNUMBER(SEARCH("NOT NULL",UPPER(D$3))),"''","null"),SUBSTITUTE(VLOOKUP(D$2,convert!$A$1:$B$4,2,0),"@@@",D1101))</f>
        <v>75</v>
      </c>
      <c r="T1101" s="4" t="str">
        <f>IF(E1101="",IF(ISNUMBER(SEARCH("NOT NULL",UPPER(E$3))),"''","null"),SUBSTITUTE(VLOOKUP(E$2,convert!$A$1:$B$4,2,0),"@@@",E1101))</f>
        <v>100</v>
      </c>
      <c r="U1101" s="4" t="str">
        <f>IF(F1101="",IF(ISNUMBER(SEARCH("NOT NULL",UPPER(F$3))),"''","null"),SUBSTITUTE(VLOOKUP(F$2,convert!$A$1:$B$4,2,0),"@@@",F1101))</f>
        <v>110</v>
      </c>
      <c r="V1101" s="4" t="str">
        <f>IF(G1101="",IF(ISNUMBER(SEARCH("NOT NULL",UPPER(G$3))),"''","null"),SUBSTITUTE(VLOOKUP(G$2,convert!$A$1:$B$4,2,0),"@@@",G1101))</f>
        <v>75</v>
      </c>
      <c r="W1101" s="4" t="str">
        <f>IF(H1101="",IF(ISNUMBER(SEARCH("NOT NULL",UPPER(H$3))),"''","null"),SUBSTITUTE(VLOOKUP(H$2,convert!$A$1:$B$4,2,0),"@@@",H1101))</f>
        <v>66</v>
      </c>
      <c r="X1101" s="4" t="str">
        <f>IF(I1101="",IF(ISNUMBER(SEARCH("NOT NULL",UPPER(I$3))),"''","null"),SUBSTITUTE(VLOOKUP(I$2,convert!$A$1:$B$4,2,0),"@@@",I1101))</f>
        <v>''</v>
      </c>
      <c r="Y1101" s="4" t="str">
        <f>IF(J1101="",IF(ISNUMBER(SEARCH("NOT NULL",UPPER(J$3))),"''","null"),SUBSTITUTE(VLOOKUP(J$2,convert!$A$1:$B$4,2,0),"@@@",J1101))</f>
        <v>'fire'</v>
      </c>
      <c r="Z1101" s="4" t="str">
        <f>IF(K1101="",IF(ISNUMBER(SEARCH("NOT NULL",UPPER(K$3))),"''","null"),SUBSTITUTE(VLOOKUP(K$2,convert!$A$1:$B$4,2,0),"@@@",K1101))</f>
        <v>'ghost'</v>
      </c>
      <c r="AA1101" s="4" t="str">
        <f>IF(L1101="",IF(ISNUMBER(SEARCH("NOT NULL",UPPER(L$3))),"''","null"),SUBSTITUTE(VLOOKUP(L$2,convert!$A$1:$B$4,2,0),"@@@",L1101))</f>
        <v>'g9'</v>
      </c>
      <c r="AB1101" s="4" t="str">
        <f>IF(M1101="",IF(ISNUMBER(SEARCH("NOT NULL",UPPER(M$3))),"''","null"),SUBSTITUTE(VLOOKUP(M$2,convert!$A$1:$B$4,2,0),"@@@",M1101))</f>
        <v>null</v>
      </c>
      <c r="AC1101" s="4" t="str">
        <f>IF(N1101="",IF(ISNUMBER(SEARCH("NOT NULL",UPPER(N$3))),"''","null"),SUBSTITUTE(VLOOKUP(N$2,convert!$A$1:$B$4,2,0),"@@@",N1101))</f>
        <v>null</v>
      </c>
      <c r="AD1101" s="4" t="str">
        <f>IF(O1101="",IF(ISNUMBER(SEARCH("NOT NULL",UPPER(O$3))),"''","null"),SUBSTITUTE(VLOOKUP(O$2,convert!$A$1:$B$4,2,0),"@@@",O1101))</f>
        <v>TRUE</v>
      </c>
      <c r="AE1101" s="4" t="str">
        <f t="shared" si="17"/>
        <v>    ('0911N01', 'ラウドボーン', 104, 75, 100, 110, 75, 66, '', 'fire', 'ghost', 'g9', null, null, TRUE),</v>
      </c>
    </row>
    <row r="1102" spans="1:31">
      <c r="A1102" s="4" t="s">
        <v>2212</v>
      </c>
      <c r="B1102" s="4" t="s">
        <v>2213</v>
      </c>
      <c r="C1102" s="5">
        <v>55</v>
      </c>
      <c r="D1102" s="5">
        <v>65</v>
      </c>
      <c r="E1102" s="5">
        <v>45</v>
      </c>
      <c r="F1102" s="5">
        <v>50</v>
      </c>
      <c r="G1102" s="5">
        <v>45</v>
      </c>
      <c r="H1102" s="5">
        <v>50</v>
      </c>
      <c r="I1102" s="5"/>
      <c r="J1102" s="4" t="s">
        <v>55</v>
      </c>
      <c r="K1102" s="5"/>
      <c r="L1102" s="4" t="s">
        <v>368</v>
      </c>
      <c r="M1102" s="5"/>
      <c r="N1102" s="5"/>
      <c r="O1102" s="5" t="b">
        <v>1</v>
      </c>
      <c r="P1102" s="4" t="str">
        <f>IF(A1102="",IF(ISNUMBER(SEARCH("NOT NULL",UPPER(A$3))),"''","null"),SUBSTITUTE(VLOOKUP(A$2,convert!$A$1:$B$4,2,0),"@@@",A1102))</f>
        <v>'0912N01'</v>
      </c>
      <c r="Q1102" s="4" t="str">
        <f>IF(B1102="",IF(ISNUMBER(SEARCH("NOT NULL",UPPER(B$3))),"''","null"),SUBSTITUTE(VLOOKUP(B$2,convert!$A$1:$B$4,2,0),"@@@",B1102))</f>
        <v>'クワッス'</v>
      </c>
      <c r="R1102" s="4" t="str">
        <f>IF(C1102="",IF(ISNUMBER(SEARCH("NOT NULL",UPPER(C$3))),"''","null"),SUBSTITUTE(VLOOKUP(C$2,convert!$A$1:$B$4,2,0),"@@@",C1102))</f>
        <v>55</v>
      </c>
      <c r="S1102" s="4" t="str">
        <f>IF(D1102="",IF(ISNUMBER(SEARCH("NOT NULL",UPPER(D$3))),"''","null"),SUBSTITUTE(VLOOKUP(D$2,convert!$A$1:$B$4,2,0),"@@@",D1102))</f>
        <v>65</v>
      </c>
      <c r="T1102" s="4" t="str">
        <f>IF(E1102="",IF(ISNUMBER(SEARCH("NOT NULL",UPPER(E$3))),"''","null"),SUBSTITUTE(VLOOKUP(E$2,convert!$A$1:$B$4,2,0),"@@@",E1102))</f>
        <v>45</v>
      </c>
      <c r="U1102" s="4" t="str">
        <f>IF(F1102="",IF(ISNUMBER(SEARCH("NOT NULL",UPPER(F$3))),"''","null"),SUBSTITUTE(VLOOKUP(F$2,convert!$A$1:$B$4,2,0),"@@@",F1102))</f>
        <v>50</v>
      </c>
      <c r="V1102" s="4" t="str">
        <f>IF(G1102="",IF(ISNUMBER(SEARCH("NOT NULL",UPPER(G$3))),"''","null"),SUBSTITUTE(VLOOKUP(G$2,convert!$A$1:$B$4,2,0),"@@@",G1102))</f>
        <v>45</v>
      </c>
      <c r="W1102" s="4" t="str">
        <f>IF(H1102="",IF(ISNUMBER(SEARCH("NOT NULL",UPPER(H$3))),"''","null"),SUBSTITUTE(VLOOKUP(H$2,convert!$A$1:$B$4,2,0),"@@@",H1102))</f>
        <v>50</v>
      </c>
      <c r="X1102" s="4" t="str">
        <f>IF(I1102="",IF(ISNUMBER(SEARCH("NOT NULL",UPPER(I$3))),"''","null"),SUBSTITUTE(VLOOKUP(I$2,convert!$A$1:$B$4,2,0),"@@@",I1102))</f>
        <v>''</v>
      </c>
      <c r="Y1102" s="4" t="str">
        <f>IF(J1102="",IF(ISNUMBER(SEARCH("NOT NULL",UPPER(J$3))),"''","null"),SUBSTITUTE(VLOOKUP(J$2,convert!$A$1:$B$4,2,0),"@@@",J1102))</f>
        <v>'water'</v>
      </c>
      <c r="Z1102" s="4" t="str">
        <f>IF(K1102="",IF(ISNUMBER(SEARCH("NOT NULL",UPPER(K$3))),"''","null"),SUBSTITUTE(VLOOKUP(K$2,convert!$A$1:$B$4,2,0),"@@@",K1102))</f>
        <v>null</v>
      </c>
      <c r="AA1102" s="4" t="str">
        <f>IF(L1102="",IF(ISNUMBER(SEARCH("NOT NULL",UPPER(L$3))),"''","null"),SUBSTITUTE(VLOOKUP(L$2,convert!$A$1:$B$4,2,0),"@@@",L1102))</f>
        <v>'g9'</v>
      </c>
      <c r="AB1102" s="4" t="str">
        <f>IF(M1102="",IF(ISNUMBER(SEARCH("NOT NULL",UPPER(M$3))),"''","null"),SUBSTITUTE(VLOOKUP(M$2,convert!$A$1:$B$4,2,0),"@@@",M1102))</f>
        <v>null</v>
      </c>
      <c r="AC1102" s="4" t="str">
        <f>IF(N1102="",IF(ISNUMBER(SEARCH("NOT NULL",UPPER(N$3))),"''","null"),SUBSTITUTE(VLOOKUP(N$2,convert!$A$1:$B$4,2,0),"@@@",N1102))</f>
        <v>null</v>
      </c>
      <c r="AD1102" s="4" t="str">
        <f>IF(O1102="",IF(ISNUMBER(SEARCH("NOT NULL",UPPER(O$3))),"''","null"),SUBSTITUTE(VLOOKUP(O$2,convert!$A$1:$B$4,2,0),"@@@",O1102))</f>
        <v>TRUE</v>
      </c>
      <c r="AE1102" s="4" t="str">
        <f t="shared" si="17"/>
        <v>    ('0912N01', 'クワッス', 55, 65, 45, 50, 45, 50, '', 'water', null, 'g9', null, null, TRUE),</v>
      </c>
    </row>
    <row r="1103" spans="1:31">
      <c r="A1103" s="4" t="s">
        <v>2214</v>
      </c>
      <c r="B1103" s="4" t="s">
        <v>2215</v>
      </c>
      <c r="C1103" s="5">
        <v>70</v>
      </c>
      <c r="D1103" s="5">
        <v>85</v>
      </c>
      <c r="E1103" s="5">
        <v>65</v>
      </c>
      <c r="F1103" s="5">
        <v>65</v>
      </c>
      <c r="G1103" s="5">
        <v>60</v>
      </c>
      <c r="H1103" s="5">
        <v>65</v>
      </c>
      <c r="I1103" s="5"/>
      <c r="J1103" s="4" t="s">
        <v>55</v>
      </c>
      <c r="K1103" s="5"/>
      <c r="L1103" s="4" t="s">
        <v>368</v>
      </c>
      <c r="M1103" s="5"/>
      <c r="N1103" s="5"/>
      <c r="O1103" s="5" t="b">
        <v>1</v>
      </c>
      <c r="P1103" s="4" t="str">
        <f>IF(A1103="",IF(ISNUMBER(SEARCH("NOT NULL",UPPER(A$3))),"''","null"),SUBSTITUTE(VLOOKUP(A$2,convert!$A$1:$B$4,2,0),"@@@",A1103))</f>
        <v>'0913N01'</v>
      </c>
      <c r="Q1103" s="4" t="str">
        <f>IF(B1103="",IF(ISNUMBER(SEARCH("NOT NULL",UPPER(B$3))),"''","null"),SUBSTITUTE(VLOOKUP(B$2,convert!$A$1:$B$4,2,0),"@@@",B1103))</f>
        <v>'ウェルカモ'</v>
      </c>
      <c r="R1103" s="4" t="str">
        <f>IF(C1103="",IF(ISNUMBER(SEARCH("NOT NULL",UPPER(C$3))),"''","null"),SUBSTITUTE(VLOOKUP(C$2,convert!$A$1:$B$4,2,0),"@@@",C1103))</f>
        <v>70</v>
      </c>
      <c r="S1103" s="4" t="str">
        <f>IF(D1103="",IF(ISNUMBER(SEARCH("NOT NULL",UPPER(D$3))),"''","null"),SUBSTITUTE(VLOOKUP(D$2,convert!$A$1:$B$4,2,0),"@@@",D1103))</f>
        <v>85</v>
      </c>
      <c r="T1103" s="4" t="str">
        <f>IF(E1103="",IF(ISNUMBER(SEARCH("NOT NULL",UPPER(E$3))),"''","null"),SUBSTITUTE(VLOOKUP(E$2,convert!$A$1:$B$4,2,0),"@@@",E1103))</f>
        <v>65</v>
      </c>
      <c r="U1103" s="4" t="str">
        <f>IF(F1103="",IF(ISNUMBER(SEARCH("NOT NULL",UPPER(F$3))),"''","null"),SUBSTITUTE(VLOOKUP(F$2,convert!$A$1:$B$4,2,0),"@@@",F1103))</f>
        <v>65</v>
      </c>
      <c r="V1103" s="4" t="str">
        <f>IF(G1103="",IF(ISNUMBER(SEARCH("NOT NULL",UPPER(G$3))),"''","null"),SUBSTITUTE(VLOOKUP(G$2,convert!$A$1:$B$4,2,0),"@@@",G1103))</f>
        <v>60</v>
      </c>
      <c r="W1103" s="4" t="str">
        <f>IF(H1103="",IF(ISNUMBER(SEARCH("NOT NULL",UPPER(H$3))),"''","null"),SUBSTITUTE(VLOOKUP(H$2,convert!$A$1:$B$4,2,0),"@@@",H1103))</f>
        <v>65</v>
      </c>
      <c r="X1103" s="4" t="str">
        <f>IF(I1103="",IF(ISNUMBER(SEARCH("NOT NULL",UPPER(I$3))),"''","null"),SUBSTITUTE(VLOOKUP(I$2,convert!$A$1:$B$4,2,0),"@@@",I1103))</f>
        <v>''</v>
      </c>
      <c r="Y1103" s="4" t="str">
        <f>IF(J1103="",IF(ISNUMBER(SEARCH("NOT NULL",UPPER(J$3))),"''","null"),SUBSTITUTE(VLOOKUP(J$2,convert!$A$1:$B$4,2,0),"@@@",J1103))</f>
        <v>'water'</v>
      </c>
      <c r="Z1103" s="4" t="str">
        <f>IF(K1103="",IF(ISNUMBER(SEARCH("NOT NULL",UPPER(K$3))),"''","null"),SUBSTITUTE(VLOOKUP(K$2,convert!$A$1:$B$4,2,0),"@@@",K1103))</f>
        <v>null</v>
      </c>
      <c r="AA1103" s="4" t="str">
        <f>IF(L1103="",IF(ISNUMBER(SEARCH("NOT NULL",UPPER(L$3))),"''","null"),SUBSTITUTE(VLOOKUP(L$2,convert!$A$1:$B$4,2,0),"@@@",L1103))</f>
        <v>'g9'</v>
      </c>
      <c r="AB1103" s="4" t="str">
        <f>IF(M1103="",IF(ISNUMBER(SEARCH("NOT NULL",UPPER(M$3))),"''","null"),SUBSTITUTE(VLOOKUP(M$2,convert!$A$1:$B$4,2,0),"@@@",M1103))</f>
        <v>null</v>
      </c>
      <c r="AC1103" s="4" t="str">
        <f>IF(N1103="",IF(ISNUMBER(SEARCH("NOT NULL",UPPER(N$3))),"''","null"),SUBSTITUTE(VLOOKUP(N$2,convert!$A$1:$B$4,2,0),"@@@",N1103))</f>
        <v>null</v>
      </c>
      <c r="AD1103" s="4" t="str">
        <f>IF(O1103="",IF(ISNUMBER(SEARCH("NOT NULL",UPPER(O$3))),"''","null"),SUBSTITUTE(VLOOKUP(O$2,convert!$A$1:$B$4,2,0),"@@@",O1103))</f>
        <v>TRUE</v>
      </c>
      <c r="AE1103" s="4" t="str">
        <f t="shared" si="17"/>
        <v>    ('0913N01', 'ウェルカモ', 70, 85, 65, 65, 60, 65, '', 'water', null, 'g9', null, null, TRUE),</v>
      </c>
    </row>
    <row r="1104" spans="1:31">
      <c r="A1104" s="4" t="s">
        <v>2216</v>
      </c>
      <c r="B1104" s="4" t="s">
        <v>2217</v>
      </c>
      <c r="C1104" s="5">
        <v>85</v>
      </c>
      <c r="D1104" s="5">
        <v>120</v>
      </c>
      <c r="E1104" s="5">
        <v>80</v>
      </c>
      <c r="F1104" s="5">
        <v>85</v>
      </c>
      <c r="G1104" s="5">
        <v>75</v>
      </c>
      <c r="H1104" s="5">
        <v>85</v>
      </c>
      <c r="I1104" s="5"/>
      <c r="J1104" s="4" t="s">
        <v>55</v>
      </c>
      <c r="K1104" s="4" t="s">
        <v>189</v>
      </c>
      <c r="L1104" s="4" t="s">
        <v>368</v>
      </c>
      <c r="M1104" s="5"/>
      <c r="N1104" s="5"/>
      <c r="O1104" s="5" t="b">
        <v>1</v>
      </c>
      <c r="P1104" s="4" t="str">
        <f>IF(A1104="",IF(ISNUMBER(SEARCH("NOT NULL",UPPER(A$3))),"''","null"),SUBSTITUTE(VLOOKUP(A$2,convert!$A$1:$B$4,2,0),"@@@",A1104))</f>
        <v>'0914N01'</v>
      </c>
      <c r="Q1104" s="4" t="str">
        <f>IF(B1104="",IF(ISNUMBER(SEARCH("NOT NULL",UPPER(B$3))),"''","null"),SUBSTITUTE(VLOOKUP(B$2,convert!$A$1:$B$4,2,0),"@@@",B1104))</f>
        <v>'ウェーニバル'</v>
      </c>
      <c r="R1104" s="4" t="str">
        <f>IF(C1104="",IF(ISNUMBER(SEARCH("NOT NULL",UPPER(C$3))),"''","null"),SUBSTITUTE(VLOOKUP(C$2,convert!$A$1:$B$4,2,0),"@@@",C1104))</f>
        <v>85</v>
      </c>
      <c r="S1104" s="4" t="str">
        <f>IF(D1104="",IF(ISNUMBER(SEARCH("NOT NULL",UPPER(D$3))),"''","null"),SUBSTITUTE(VLOOKUP(D$2,convert!$A$1:$B$4,2,0),"@@@",D1104))</f>
        <v>120</v>
      </c>
      <c r="T1104" s="4" t="str">
        <f>IF(E1104="",IF(ISNUMBER(SEARCH("NOT NULL",UPPER(E$3))),"''","null"),SUBSTITUTE(VLOOKUP(E$2,convert!$A$1:$B$4,2,0),"@@@",E1104))</f>
        <v>80</v>
      </c>
      <c r="U1104" s="4" t="str">
        <f>IF(F1104="",IF(ISNUMBER(SEARCH("NOT NULL",UPPER(F$3))),"''","null"),SUBSTITUTE(VLOOKUP(F$2,convert!$A$1:$B$4,2,0),"@@@",F1104))</f>
        <v>85</v>
      </c>
      <c r="V1104" s="4" t="str">
        <f>IF(G1104="",IF(ISNUMBER(SEARCH("NOT NULL",UPPER(G$3))),"''","null"),SUBSTITUTE(VLOOKUP(G$2,convert!$A$1:$B$4,2,0),"@@@",G1104))</f>
        <v>75</v>
      </c>
      <c r="W1104" s="4" t="str">
        <f>IF(H1104="",IF(ISNUMBER(SEARCH("NOT NULL",UPPER(H$3))),"''","null"),SUBSTITUTE(VLOOKUP(H$2,convert!$A$1:$B$4,2,0),"@@@",H1104))</f>
        <v>85</v>
      </c>
      <c r="X1104" s="4" t="str">
        <f>IF(I1104="",IF(ISNUMBER(SEARCH("NOT NULL",UPPER(I$3))),"''","null"),SUBSTITUTE(VLOOKUP(I$2,convert!$A$1:$B$4,2,0),"@@@",I1104))</f>
        <v>''</v>
      </c>
      <c r="Y1104" s="4" t="str">
        <f>IF(J1104="",IF(ISNUMBER(SEARCH("NOT NULL",UPPER(J$3))),"''","null"),SUBSTITUTE(VLOOKUP(J$2,convert!$A$1:$B$4,2,0),"@@@",J1104))</f>
        <v>'water'</v>
      </c>
      <c r="Z1104" s="4" t="str">
        <f>IF(K1104="",IF(ISNUMBER(SEARCH("NOT NULL",UPPER(K$3))),"''","null"),SUBSTITUTE(VLOOKUP(K$2,convert!$A$1:$B$4,2,0),"@@@",K1104))</f>
        <v>'fighting'</v>
      </c>
      <c r="AA1104" s="4" t="str">
        <f>IF(L1104="",IF(ISNUMBER(SEARCH("NOT NULL",UPPER(L$3))),"''","null"),SUBSTITUTE(VLOOKUP(L$2,convert!$A$1:$B$4,2,0),"@@@",L1104))</f>
        <v>'g9'</v>
      </c>
      <c r="AB1104" s="4" t="str">
        <f>IF(M1104="",IF(ISNUMBER(SEARCH("NOT NULL",UPPER(M$3))),"''","null"),SUBSTITUTE(VLOOKUP(M$2,convert!$A$1:$B$4,2,0),"@@@",M1104))</f>
        <v>null</v>
      </c>
      <c r="AC1104" s="4" t="str">
        <f>IF(N1104="",IF(ISNUMBER(SEARCH("NOT NULL",UPPER(N$3))),"''","null"),SUBSTITUTE(VLOOKUP(N$2,convert!$A$1:$B$4,2,0),"@@@",N1104))</f>
        <v>null</v>
      </c>
      <c r="AD1104" s="4" t="str">
        <f>IF(O1104="",IF(ISNUMBER(SEARCH("NOT NULL",UPPER(O$3))),"''","null"),SUBSTITUTE(VLOOKUP(O$2,convert!$A$1:$B$4,2,0),"@@@",O1104))</f>
        <v>TRUE</v>
      </c>
      <c r="AE1104" s="4" t="str">
        <f t="shared" si="17"/>
        <v>    ('0914N01', 'ウェーニバル', 85, 120, 80, 85, 75, 85, '', 'water', 'fighting', 'g9', null, null, TRUE),</v>
      </c>
    </row>
    <row r="1105" spans="1:31">
      <c r="A1105" s="4" t="s">
        <v>2218</v>
      </c>
      <c r="B1105" s="4" t="s">
        <v>2219</v>
      </c>
      <c r="C1105" s="5">
        <v>54</v>
      </c>
      <c r="D1105" s="5">
        <v>45</v>
      </c>
      <c r="E1105" s="5">
        <v>40</v>
      </c>
      <c r="F1105" s="5">
        <v>35</v>
      </c>
      <c r="G1105" s="5">
        <v>45</v>
      </c>
      <c r="H1105" s="5">
        <v>35</v>
      </c>
      <c r="I1105" s="5"/>
      <c r="J1105" s="4" t="s">
        <v>80</v>
      </c>
      <c r="K1105" s="5"/>
      <c r="L1105" s="4" t="s">
        <v>368</v>
      </c>
      <c r="M1105" s="5"/>
      <c r="N1105" s="5"/>
      <c r="O1105" s="5" t="b">
        <v>1</v>
      </c>
      <c r="P1105" s="4" t="str">
        <f>IF(A1105="",IF(ISNUMBER(SEARCH("NOT NULL",UPPER(A$3))),"''","null"),SUBSTITUTE(VLOOKUP(A$2,convert!$A$1:$B$4,2,0),"@@@",A1105))</f>
        <v>'0915N01'</v>
      </c>
      <c r="Q1105" s="4" t="str">
        <f>IF(B1105="",IF(ISNUMBER(SEARCH("NOT NULL",UPPER(B$3))),"''","null"),SUBSTITUTE(VLOOKUP(B$2,convert!$A$1:$B$4,2,0),"@@@",B1105))</f>
        <v>'グルトン'</v>
      </c>
      <c r="R1105" s="4" t="str">
        <f>IF(C1105="",IF(ISNUMBER(SEARCH("NOT NULL",UPPER(C$3))),"''","null"),SUBSTITUTE(VLOOKUP(C$2,convert!$A$1:$B$4,2,0),"@@@",C1105))</f>
        <v>54</v>
      </c>
      <c r="S1105" s="4" t="str">
        <f>IF(D1105="",IF(ISNUMBER(SEARCH("NOT NULL",UPPER(D$3))),"''","null"),SUBSTITUTE(VLOOKUP(D$2,convert!$A$1:$B$4,2,0),"@@@",D1105))</f>
        <v>45</v>
      </c>
      <c r="T1105" s="4" t="str">
        <f>IF(E1105="",IF(ISNUMBER(SEARCH("NOT NULL",UPPER(E$3))),"''","null"),SUBSTITUTE(VLOOKUP(E$2,convert!$A$1:$B$4,2,0),"@@@",E1105))</f>
        <v>40</v>
      </c>
      <c r="U1105" s="4" t="str">
        <f>IF(F1105="",IF(ISNUMBER(SEARCH("NOT NULL",UPPER(F$3))),"''","null"),SUBSTITUTE(VLOOKUP(F$2,convert!$A$1:$B$4,2,0),"@@@",F1105))</f>
        <v>35</v>
      </c>
      <c r="V1105" s="4" t="str">
        <f>IF(G1105="",IF(ISNUMBER(SEARCH("NOT NULL",UPPER(G$3))),"''","null"),SUBSTITUTE(VLOOKUP(G$2,convert!$A$1:$B$4,2,0),"@@@",G1105))</f>
        <v>45</v>
      </c>
      <c r="W1105" s="4" t="str">
        <f>IF(H1105="",IF(ISNUMBER(SEARCH("NOT NULL",UPPER(H$3))),"''","null"),SUBSTITUTE(VLOOKUP(H$2,convert!$A$1:$B$4,2,0),"@@@",H1105))</f>
        <v>35</v>
      </c>
      <c r="X1105" s="4" t="str">
        <f>IF(I1105="",IF(ISNUMBER(SEARCH("NOT NULL",UPPER(I$3))),"''","null"),SUBSTITUTE(VLOOKUP(I$2,convert!$A$1:$B$4,2,0),"@@@",I1105))</f>
        <v>''</v>
      </c>
      <c r="Y1105" s="4" t="str">
        <f>IF(J1105="",IF(ISNUMBER(SEARCH("NOT NULL",UPPER(J$3))),"''","null"),SUBSTITUTE(VLOOKUP(J$2,convert!$A$1:$B$4,2,0),"@@@",J1105))</f>
        <v>'normal'</v>
      </c>
      <c r="Z1105" s="4" t="str">
        <f>IF(K1105="",IF(ISNUMBER(SEARCH("NOT NULL",UPPER(K$3))),"''","null"),SUBSTITUTE(VLOOKUP(K$2,convert!$A$1:$B$4,2,0),"@@@",K1105))</f>
        <v>null</v>
      </c>
      <c r="AA1105" s="4" t="str">
        <f>IF(L1105="",IF(ISNUMBER(SEARCH("NOT NULL",UPPER(L$3))),"''","null"),SUBSTITUTE(VLOOKUP(L$2,convert!$A$1:$B$4,2,0),"@@@",L1105))</f>
        <v>'g9'</v>
      </c>
      <c r="AB1105" s="4" t="str">
        <f>IF(M1105="",IF(ISNUMBER(SEARCH("NOT NULL",UPPER(M$3))),"''","null"),SUBSTITUTE(VLOOKUP(M$2,convert!$A$1:$B$4,2,0),"@@@",M1105))</f>
        <v>null</v>
      </c>
      <c r="AC1105" s="4" t="str">
        <f>IF(N1105="",IF(ISNUMBER(SEARCH("NOT NULL",UPPER(N$3))),"''","null"),SUBSTITUTE(VLOOKUP(N$2,convert!$A$1:$B$4,2,0),"@@@",N1105))</f>
        <v>null</v>
      </c>
      <c r="AD1105" s="4" t="str">
        <f>IF(O1105="",IF(ISNUMBER(SEARCH("NOT NULL",UPPER(O$3))),"''","null"),SUBSTITUTE(VLOOKUP(O$2,convert!$A$1:$B$4,2,0),"@@@",O1105))</f>
        <v>TRUE</v>
      </c>
      <c r="AE1105" s="4" t="str">
        <f t="shared" si="17"/>
        <v>    ('0915N01', 'グルトン', 54, 45, 40, 35, 45, 35, '', 'normal', null, 'g9', null, null, TRUE),</v>
      </c>
    </row>
    <row r="1106" spans="1:31">
      <c r="A1106" s="4" t="s">
        <v>2220</v>
      </c>
      <c r="B1106" s="4" t="s">
        <v>2221</v>
      </c>
      <c r="C1106" s="5">
        <v>110</v>
      </c>
      <c r="D1106" s="5">
        <v>100</v>
      </c>
      <c r="E1106" s="5">
        <v>75</v>
      </c>
      <c r="F1106" s="5">
        <v>59</v>
      </c>
      <c r="G1106" s="5">
        <v>80</v>
      </c>
      <c r="H1106" s="5">
        <v>65</v>
      </c>
      <c r="I1106" s="4" t="s">
        <v>1468</v>
      </c>
      <c r="J1106" s="4" t="s">
        <v>80</v>
      </c>
      <c r="K1106" s="5"/>
      <c r="L1106" s="4" t="s">
        <v>368</v>
      </c>
      <c r="M1106" s="5"/>
      <c r="N1106" s="5"/>
      <c r="O1106" s="5" t="b">
        <v>1</v>
      </c>
      <c r="P1106" s="4" t="str">
        <f>IF(A1106="",IF(ISNUMBER(SEARCH("NOT NULL",UPPER(A$3))),"''","null"),SUBSTITUTE(VLOOKUP(A$2,convert!$A$1:$B$4,2,0),"@@@",A1106))</f>
        <v>'0916N01'</v>
      </c>
      <c r="Q1106" s="4" t="str">
        <f>IF(B1106="",IF(ISNUMBER(SEARCH("NOT NULL",UPPER(B$3))),"''","null"),SUBSTITUTE(VLOOKUP(B$2,convert!$A$1:$B$4,2,0),"@@@",B1106))</f>
        <v>'パフュートン'</v>
      </c>
      <c r="R1106" s="4" t="str">
        <f>IF(C1106="",IF(ISNUMBER(SEARCH("NOT NULL",UPPER(C$3))),"''","null"),SUBSTITUTE(VLOOKUP(C$2,convert!$A$1:$B$4,2,0),"@@@",C1106))</f>
        <v>110</v>
      </c>
      <c r="S1106" s="4" t="str">
        <f>IF(D1106="",IF(ISNUMBER(SEARCH("NOT NULL",UPPER(D$3))),"''","null"),SUBSTITUTE(VLOOKUP(D$2,convert!$A$1:$B$4,2,0),"@@@",D1106))</f>
        <v>100</v>
      </c>
      <c r="T1106" s="4" t="str">
        <f>IF(E1106="",IF(ISNUMBER(SEARCH("NOT NULL",UPPER(E$3))),"''","null"),SUBSTITUTE(VLOOKUP(E$2,convert!$A$1:$B$4,2,0),"@@@",E1106))</f>
        <v>75</v>
      </c>
      <c r="U1106" s="4" t="str">
        <f>IF(F1106="",IF(ISNUMBER(SEARCH("NOT NULL",UPPER(F$3))),"''","null"),SUBSTITUTE(VLOOKUP(F$2,convert!$A$1:$B$4,2,0),"@@@",F1106))</f>
        <v>59</v>
      </c>
      <c r="V1106" s="4" t="str">
        <f>IF(G1106="",IF(ISNUMBER(SEARCH("NOT NULL",UPPER(G$3))),"''","null"),SUBSTITUTE(VLOOKUP(G$2,convert!$A$1:$B$4,2,0),"@@@",G1106))</f>
        <v>80</v>
      </c>
      <c r="W1106" s="4" t="str">
        <f>IF(H1106="",IF(ISNUMBER(SEARCH("NOT NULL",UPPER(H$3))),"''","null"),SUBSTITUTE(VLOOKUP(H$2,convert!$A$1:$B$4,2,0),"@@@",H1106))</f>
        <v>65</v>
      </c>
      <c r="X1106" s="4" t="str">
        <f>IF(I1106="",IF(ISNUMBER(SEARCH("NOT NULL",UPPER(I$3))),"''","null"),SUBSTITUTE(VLOOKUP(I$2,convert!$A$1:$B$4,2,0),"@@@",I1106))</f>
        <v>'オスのすがた'</v>
      </c>
      <c r="Y1106" s="4" t="str">
        <f>IF(J1106="",IF(ISNUMBER(SEARCH("NOT NULL",UPPER(J$3))),"''","null"),SUBSTITUTE(VLOOKUP(J$2,convert!$A$1:$B$4,2,0),"@@@",J1106))</f>
        <v>'normal'</v>
      </c>
      <c r="Z1106" s="4" t="str">
        <f>IF(K1106="",IF(ISNUMBER(SEARCH("NOT NULL",UPPER(K$3))),"''","null"),SUBSTITUTE(VLOOKUP(K$2,convert!$A$1:$B$4,2,0),"@@@",K1106))</f>
        <v>null</v>
      </c>
      <c r="AA1106" s="4" t="str">
        <f>IF(L1106="",IF(ISNUMBER(SEARCH("NOT NULL",UPPER(L$3))),"''","null"),SUBSTITUTE(VLOOKUP(L$2,convert!$A$1:$B$4,2,0),"@@@",L1106))</f>
        <v>'g9'</v>
      </c>
      <c r="AB1106" s="4" t="str">
        <f>IF(M1106="",IF(ISNUMBER(SEARCH("NOT NULL",UPPER(M$3))),"''","null"),SUBSTITUTE(VLOOKUP(M$2,convert!$A$1:$B$4,2,0),"@@@",M1106))</f>
        <v>null</v>
      </c>
      <c r="AC1106" s="4" t="str">
        <f>IF(N1106="",IF(ISNUMBER(SEARCH("NOT NULL",UPPER(N$3))),"''","null"),SUBSTITUTE(VLOOKUP(N$2,convert!$A$1:$B$4,2,0),"@@@",N1106))</f>
        <v>null</v>
      </c>
      <c r="AD1106" s="4" t="str">
        <f>IF(O1106="",IF(ISNUMBER(SEARCH("NOT NULL",UPPER(O$3))),"''","null"),SUBSTITUTE(VLOOKUP(O$2,convert!$A$1:$B$4,2,0),"@@@",O1106))</f>
        <v>TRUE</v>
      </c>
      <c r="AE1106" s="4" t="str">
        <f t="shared" si="17"/>
        <v>    ('0916N01', 'パフュートン', 110, 100, 75, 59, 80, 65, 'オスのすがた', 'normal', null, 'g9', null, null, TRUE),</v>
      </c>
    </row>
    <row r="1107" spans="1:31">
      <c r="A1107" s="4" t="s">
        <v>2222</v>
      </c>
      <c r="B1107" s="4" t="s">
        <v>2221</v>
      </c>
      <c r="C1107" s="5">
        <v>115</v>
      </c>
      <c r="D1107" s="5">
        <v>90</v>
      </c>
      <c r="E1107" s="5">
        <v>70</v>
      </c>
      <c r="F1107" s="5">
        <v>59</v>
      </c>
      <c r="G1107" s="5">
        <v>90</v>
      </c>
      <c r="H1107" s="5">
        <v>65</v>
      </c>
      <c r="I1107" s="4" t="s">
        <v>1470</v>
      </c>
      <c r="J1107" s="4" t="s">
        <v>80</v>
      </c>
      <c r="K1107" s="5"/>
      <c r="L1107" s="4" t="s">
        <v>368</v>
      </c>
      <c r="M1107" s="5"/>
      <c r="N1107" s="5"/>
      <c r="O1107" s="5" t="b">
        <v>1</v>
      </c>
      <c r="P1107" s="4" t="str">
        <f>IF(A1107="",IF(ISNUMBER(SEARCH("NOT NULL",UPPER(A$3))),"''","null"),SUBSTITUTE(VLOOKUP(A$2,convert!$A$1:$B$4,2,0),"@@@",A1107))</f>
        <v>'0916N02'</v>
      </c>
      <c r="Q1107" s="4" t="str">
        <f>IF(B1107="",IF(ISNUMBER(SEARCH("NOT NULL",UPPER(B$3))),"''","null"),SUBSTITUTE(VLOOKUP(B$2,convert!$A$1:$B$4,2,0),"@@@",B1107))</f>
        <v>'パフュートン'</v>
      </c>
      <c r="R1107" s="4" t="str">
        <f>IF(C1107="",IF(ISNUMBER(SEARCH("NOT NULL",UPPER(C$3))),"''","null"),SUBSTITUTE(VLOOKUP(C$2,convert!$A$1:$B$4,2,0),"@@@",C1107))</f>
        <v>115</v>
      </c>
      <c r="S1107" s="4" t="str">
        <f>IF(D1107="",IF(ISNUMBER(SEARCH("NOT NULL",UPPER(D$3))),"''","null"),SUBSTITUTE(VLOOKUP(D$2,convert!$A$1:$B$4,2,0),"@@@",D1107))</f>
        <v>90</v>
      </c>
      <c r="T1107" s="4" t="str">
        <f>IF(E1107="",IF(ISNUMBER(SEARCH("NOT NULL",UPPER(E$3))),"''","null"),SUBSTITUTE(VLOOKUP(E$2,convert!$A$1:$B$4,2,0),"@@@",E1107))</f>
        <v>70</v>
      </c>
      <c r="U1107" s="4" t="str">
        <f>IF(F1107="",IF(ISNUMBER(SEARCH("NOT NULL",UPPER(F$3))),"''","null"),SUBSTITUTE(VLOOKUP(F$2,convert!$A$1:$B$4,2,0),"@@@",F1107))</f>
        <v>59</v>
      </c>
      <c r="V1107" s="4" t="str">
        <f>IF(G1107="",IF(ISNUMBER(SEARCH("NOT NULL",UPPER(G$3))),"''","null"),SUBSTITUTE(VLOOKUP(G$2,convert!$A$1:$B$4,2,0),"@@@",G1107))</f>
        <v>90</v>
      </c>
      <c r="W1107" s="4" t="str">
        <f>IF(H1107="",IF(ISNUMBER(SEARCH("NOT NULL",UPPER(H$3))),"''","null"),SUBSTITUTE(VLOOKUP(H$2,convert!$A$1:$B$4,2,0),"@@@",H1107))</f>
        <v>65</v>
      </c>
      <c r="X1107" s="4" t="str">
        <f>IF(I1107="",IF(ISNUMBER(SEARCH("NOT NULL",UPPER(I$3))),"''","null"),SUBSTITUTE(VLOOKUP(I$2,convert!$A$1:$B$4,2,0),"@@@",I1107))</f>
        <v>'メスのすがた'</v>
      </c>
      <c r="Y1107" s="4" t="str">
        <f>IF(J1107="",IF(ISNUMBER(SEARCH("NOT NULL",UPPER(J$3))),"''","null"),SUBSTITUTE(VLOOKUP(J$2,convert!$A$1:$B$4,2,0),"@@@",J1107))</f>
        <v>'normal'</v>
      </c>
      <c r="Z1107" s="4" t="str">
        <f>IF(K1107="",IF(ISNUMBER(SEARCH("NOT NULL",UPPER(K$3))),"''","null"),SUBSTITUTE(VLOOKUP(K$2,convert!$A$1:$B$4,2,0),"@@@",K1107))</f>
        <v>null</v>
      </c>
      <c r="AA1107" s="4" t="str">
        <f>IF(L1107="",IF(ISNUMBER(SEARCH("NOT NULL",UPPER(L$3))),"''","null"),SUBSTITUTE(VLOOKUP(L$2,convert!$A$1:$B$4,2,0),"@@@",L1107))</f>
        <v>'g9'</v>
      </c>
      <c r="AB1107" s="4" t="str">
        <f>IF(M1107="",IF(ISNUMBER(SEARCH("NOT NULL",UPPER(M$3))),"''","null"),SUBSTITUTE(VLOOKUP(M$2,convert!$A$1:$B$4,2,0),"@@@",M1107))</f>
        <v>null</v>
      </c>
      <c r="AC1107" s="4" t="str">
        <f>IF(N1107="",IF(ISNUMBER(SEARCH("NOT NULL",UPPER(N$3))),"''","null"),SUBSTITUTE(VLOOKUP(N$2,convert!$A$1:$B$4,2,0),"@@@",N1107))</f>
        <v>null</v>
      </c>
      <c r="AD1107" s="4" t="str">
        <f>IF(O1107="",IF(ISNUMBER(SEARCH("NOT NULL",UPPER(O$3))),"''","null"),SUBSTITUTE(VLOOKUP(O$2,convert!$A$1:$B$4,2,0),"@@@",O1107))</f>
        <v>TRUE</v>
      </c>
      <c r="AE1107" s="4" t="str">
        <f t="shared" si="17"/>
        <v>    ('0916N02', 'パフュートン', 115, 90, 70, 59, 90, 65, 'メスのすがた', 'normal', null, 'g9', null, null, TRUE),</v>
      </c>
    </row>
    <row r="1108" spans="1:31">
      <c r="A1108" s="4" t="s">
        <v>2223</v>
      </c>
      <c r="B1108" s="4" t="s">
        <v>2224</v>
      </c>
      <c r="C1108" s="5">
        <v>35</v>
      </c>
      <c r="D1108" s="5">
        <v>41</v>
      </c>
      <c r="E1108" s="5">
        <v>45</v>
      </c>
      <c r="F1108" s="5">
        <v>29</v>
      </c>
      <c r="G1108" s="5">
        <v>40</v>
      </c>
      <c r="H1108" s="5">
        <v>20</v>
      </c>
      <c r="I1108" s="5"/>
      <c r="J1108" s="4" t="s">
        <v>64</v>
      </c>
      <c r="K1108" s="5"/>
      <c r="L1108" s="4" t="s">
        <v>368</v>
      </c>
      <c r="M1108" s="5"/>
      <c r="N1108" s="5"/>
      <c r="O1108" s="5" t="b">
        <v>0</v>
      </c>
      <c r="P1108" s="4" t="str">
        <f>IF(A1108="",IF(ISNUMBER(SEARCH("NOT NULL",UPPER(A$3))),"''","null"),SUBSTITUTE(VLOOKUP(A$2,convert!$A$1:$B$4,2,0),"@@@",A1108))</f>
        <v>'0917N01'</v>
      </c>
      <c r="Q1108" s="4" t="str">
        <f>IF(B1108="",IF(ISNUMBER(SEARCH("NOT NULL",UPPER(B$3))),"''","null"),SUBSTITUTE(VLOOKUP(B$2,convert!$A$1:$B$4,2,0),"@@@",B1108))</f>
        <v>'タマンチュラ'</v>
      </c>
      <c r="R1108" s="4" t="str">
        <f>IF(C1108="",IF(ISNUMBER(SEARCH("NOT NULL",UPPER(C$3))),"''","null"),SUBSTITUTE(VLOOKUP(C$2,convert!$A$1:$B$4,2,0),"@@@",C1108))</f>
        <v>35</v>
      </c>
      <c r="S1108" s="4" t="str">
        <f>IF(D1108="",IF(ISNUMBER(SEARCH("NOT NULL",UPPER(D$3))),"''","null"),SUBSTITUTE(VLOOKUP(D$2,convert!$A$1:$B$4,2,0),"@@@",D1108))</f>
        <v>41</v>
      </c>
      <c r="T1108" s="4" t="str">
        <f>IF(E1108="",IF(ISNUMBER(SEARCH("NOT NULL",UPPER(E$3))),"''","null"),SUBSTITUTE(VLOOKUP(E$2,convert!$A$1:$B$4,2,0),"@@@",E1108))</f>
        <v>45</v>
      </c>
      <c r="U1108" s="4" t="str">
        <f>IF(F1108="",IF(ISNUMBER(SEARCH("NOT NULL",UPPER(F$3))),"''","null"),SUBSTITUTE(VLOOKUP(F$2,convert!$A$1:$B$4,2,0),"@@@",F1108))</f>
        <v>29</v>
      </c>
      <c r="V1108" s="4" t="str">
        <f>IF(G1108="",IF(ISNUMBER(SEARCH("NOT NULL",UPPER(G$3))),"''","null"),SUBSTITUTE(VLOOKUP(G$2,convert!$A$1:$B$4,2,0),"@@@",G1108))</f>
        <v>40</v>
      </c>
      <c r="W1108" s="4" t="str">
        <f>IF(H1108="",IF(ISNUMBER(SEARCH("NOT NULL",UPPER(H$3))),"''","null"),SUBSTITUTE(VLOOKUP(H$2,convert!$A$1:$B$4,2,0),"@@@",H1108))</f>
        <v>20</v>
      </c>
      <c r="X1108" s="4" t="str">
        <f>IF(I1108="",IF(ISNUMBER(SEARCH("NOT NULL",UPPER(I$3))),"''","null"),SUBSTITUTE(VLOOKUP(I$2,convert!$A$1:$B$4,2,0),"@@@",I1108))</f>
        <v>''</v>
      </c>
      <c r="Y1108" s="4" t="str">
        <f>IF(J1108="",IF(ISNUMBER(SEARCH("NOT NULL",UPPER(J$3))),"''","null"),SUBSTITUTE(VLOOKUP(J$2,convert!$A$1:$B$4,2,0),"@@@",J1108))</f>
        <v>'bug'</v>
      </c>
      <c r="Z1108" s="4" t="str">
        <f>IF(K1108="",IF(ISNUMBER(SEARCH("NOT NULL",UPPER(K$3))),"''","null"),SUBSTITUTE(VLOOKUP(K$2,convert!$A$1:$B$4,2,0),"@@@",K1108))</f>
        <v>null</v>
      </c>
      <c r="AA1108" s="4" t="str">
        <f>IF(L1108="",IF(ISNUMBER(SEARCH("NOT NULL",UPPER(L$3))),"''","null"),SUBSTITUTE(VLOOKUP(L$2,convert!$A$1:$B$4,2,0),"@@@",L1108))</f>
        <v>'g9'</v>
      </c>
      <c r="AB1108" s="4" t="str">
        <f>IF(M1108="",IF(ISNUMBER(SEARCH("NOT NULL",UPPER(M$3))),"''","null"),SUBSTITUTE(VLOOKUP(M$2,convert!$A$1:$B$4,2,0),"@@@",M1108))</f>
        <v>null</v>
      </c>
      <c r="AC1108" s="4" t="str">
        <f>IF(N1108="",IF(ISNUMBER(SEARCH("NOT NULL",UPPER(N$3))),"''","null"),SUBSTITUTE(VLOOKUP(N$2,convert!$A$1:$B$4,2,0),"@@@",N1108))</f>
        <v>null</v>
      </c>
      <c r="AD1108" s="4" t="str">
        <f>IF(O1108="",IF(ISNUMBER(SEARCH("NOT NULL",UPPER(O$3))),"''","null"),SUBSTITUTE(VLOOKUP(O$2,convert!$A$1:$B$4,2,0),"@@@",O1108))</f>
        <v>FALSE</v>
      </c>
      <c r="AE1108" s="4" t="str">
        <f t="shared" si="17"/>
        <v>    ('0917N01', 'タマンチュラ', 35, 41, 45, 29, 40, 20, '', 'bug', null, 'g9', null, null, FALSE),</v>
      </c>
    </row>
    <row r="1109" spans="1:31">
      <c r="A1109" s="4" t="s">
        <v>2225</v>
      </c>
      <c r="B1109" s="4" t="s">
        <v>2226</v>
      </c>
      <c r="C1109" s="5">
        <v>60</v>
      </c>
      <c r="D1109" s="5">
        <v>79</v>
      </c>
      <c r="E1109" s="5">
        <v>92</v>
      </c>
      <c r="F1109" s="5">
        <v>52</v>
      </c>
      <c r="G1109" s="5">
        <v>86</v>
      </c>
      <c r="H1109" s="5">
        <v>35</v>
      </c>
      <c r="I1109" s="5"/>
      <c r="J1109" s="4" t="s">
        <v>64</v>
      </c>
      <c r="K1109" s="5"/>
      <c r="L1109" s="4" t="s">
        <v>368</v>
      </c>
      <c r="M1109" s="5"/>
      <c r="N1109" s="5"/>
      <c r="O1109" s="5" t="b">
        <v>0</v>
      </c>
      <c r="P1109" s="4" t="str">
        <f>IF(A1109="",IF(ISNUMBER(SEARCH("NOT NULL",UPPER(A$3))),"''","null"),SUBSTITUTE(VLOOKUP(A$2,convert!$A$1:$B$4,2,0),"@@@",A1109))</f>
        <v>'0918N01'</v>
      </c>
      <c r="Q1109" s="4" t="str">
        <f>IF(B1109="",IF(ISNUMBER(SEARCH("NOT NULL",UPPER(B$3))),"''","null"),SUBSTITUTE(VLOOKUP(B$2,convert!$A$1:$B$4,2,0),"@@@",B1109))</f>
        <v>'ワナイダー'</v>
      </c>
      <c r="R1109" s="4" t="str">
        <f>IF(C1109="",IF(ISNUMBER(SEARCH("NOT NULL",UPPER(C$3))),"''","null"),SUBSTITUTE(VLOOKUP(C$2,convert!$A$1:$B$4,2,0),"@@@",C1109))</f>
        <v>60</v>
      </c>
      <c r="S1109" s="4" t="str">
        <f>IF(D1109="",IF(ISNUMBER(SEARCH("NOT NULL",UPPER(D$3))),"''","null"),SUBSTITUTE(VLOOKUP(D$2,convert!$A$1:$B$4,2,0),"@@@",D1109))</f>
        <v>79</v>
      </c>
      <c r="T1109" s="4" t="str">
        <f>IF(E1109="",IF(ISNUMBER(SEARCH("NOT NULL",UPPER(E$3))),"''","null"),SUBSTITUTE(VLOOKUP(E$2,convert!$A$1:$B$4,2,0),"@@@",E1109))</f>
        <v>92</v>
      </c>
      <c r="U1109" s="4" t="str">
        <f>IF(F1109="",IF(ISNUMBER(SEARCH("NOT NULL",UPPER(F$3))),"''","null"),SUBSTITUTE(VLOOKUP(F$2,convert!$A$1:$B$4,2,0),"@@@",F1109))</f>
        <v>52</v>
      </c>
      <c r="V1109" s="4" t="str">
        <f>IF(G1109="",IF(ISNUMBER(SEARCH("NOT NULL",UPPER(G$3))),"''","null"),SUBSTITUTE(VLOOKUP(G$2,convert!$A$1:$B$4,2,0),"@@@",G1109))</f>
        <v>86</v>
      </c>
      <c r="W1109" s="4" t="str">
        <f>IF(H1109="",IF(ISNUMBER(SEARCH("NOT NULL",UPPER(H$3))),"''","null"),SUBSTITUTE(VLOOKUP(H$2,convert!$A$1:$B$4,2,0),"@@@",H1109))</f>
        <v>35</v>
      </c>
      <c r="X1109" s="4" t="str">
        <f>IF(I1109="",IF(ISNUMBER(SEARCH("NOT NULL",UPPER(I$3))),"''","null"),SUBSTITUTE(VLOOKUP(I$2,convert!$A$1:$B$4,2,0),"@@@",I1109))</f>
        <v>''</v>
      </c>
      <c r="Y1109" s="4" t="str">
        <f>IF(J1109="",IF(ISNUMBER(SEARCH("NOT NULL",UPPER(J$3))),"''","null"),SUBSTITUTE(VLOOKUP(J$2,convert!$A$1:$B$4,2,0),"@@@",J1109))</f>
        <v>'bug'</v>
      </c>
      <c r="Z1109" s="4" t="str">
        <f>IF(K1109="",IF(ISNUMBER(SEARCH("NOT NULL",UPPER(K$3))),"''","null"),SUBSTITUTE(VLOOKUP(K$2,convert!$A$1:$B$4,2,0),"@@@",K1109))</f>
        <v>null</v>
      </c>
      <c r="AA1109" s="4" t="str">
        <f>IF(L1109="",IF(ISNUMBER(SEARCH("NOT NULL",UPPER(L$3))),"''","null"),SUBSTITUTE(VLOOKUP(L$2,convert!$A$1:$B$4,2,0),"@@@",L1109))</f>
        <v>'g9'</v>
      </c>
      <c r="AB1109" s="4" t="str">
        <f>IF(M1109="",IF(ISNUMBER(SEARCH("NOT NULL",UPPER(M$3))),"''","null"),SUBSTITUTE(VLOOKUP(M$2,convert!$A$1:$B$4,2,0),"@@@",M1109))</f>
        <v>null</v>
      </c>
      <c r="AC1109" s="4" t="str">
        <f>IF(N1109="",IF(ISNUMBER(SEARCH("NOT NULL",UPPER(N$3))),"''","null"),SUBSTITUTE(VLOOKUP(N$2,convert!$A$1:$B$4,2,0),"@@@",N1109))</f>
        <v>null</v>
      </c>
      <c r="AD1109" s="4" t="str">
        <f>IF(O1109="",IF(ISNUMBER(SEARCH("NOT NULL",UPPER(O$3))),"''","null"),SUBSTITUTE(VLOOKUP(O$2,convert!$A$1:$B$4,2,0),"@@@",O1109))</f>
        <v>FALSE</v>
      </c>
      <c r="AE1109" s="4" t="str">
        <f t="shared" si="17"/>
        <v>    ('0918N01', 'ワナイダー', 60, 79, 92, 52, 86, 35, '', 'bug', null, 'g9', null, null, FALSE),</v>
      </c>
    </row>
    <row r="1110" spans="1:31">
      <c r="A1110" s="4" t="s">
        <v>2227</v>
      </c>
      <c r="B1110" s="4" t="s">
        <v>2228</v>
      </c>
      <c r="C1110" s="5">
        <v>33</v>
      </c>
      <c r="D1110" s="5">
        <v>46</v>
      </c>
      <c r="E1110" s="5">
        <v>40</v>
      </c>
      <c r="F1110" s="5">
        <v>21</v>
      </c>
      <c r="G1110" s="5">
        <v>25</v>
      </c>
      <c r="H1110" s="5">
        <v>45</v>
      </c>
      <c r="I1110" s="5"/>
      <c r="J1110" s="4" t="s">
        <v>64</v>
      </c>
      <c r="K1110" s="5"/>
      <c r="L1110" s="4" t="s">
        <v>368</v>
      </c>
      <c r="M1110" s="5"/>
      <c r="N1110" s="5"/>
      <c r="O1110" s="5" t="b">
        <v>1</v>
      </c>
      <c r="P1110" s="4" t="str">
        <f>IF(A1110="",IF(ISNUMBER(SEARCH("NOT NULL",UPPER(A$3))),"''","null"),SUBSTITUTE(VLOOKUP(A$2,convert!$A$1:$B$4,2,0),"@@@",A1110))</f>
        <v>'0919N01'</v>
      </c>
      <c r="Q1110" s="4" t="str">
        <f>IF(B1110="",IF(ISNUMBER(SEARCH("NOT NULL",UPPER(B$3))),"''","null"),SUBSTITUTE(VLOOKUP(B$2,convert!$A$1:$B$4,2,0),"@@@",B1110))</f>
        <v>'マメバッタ'</v>
      </c>
      <c r="R1110" s="4" t="str">
        <f>IF(C1110="",IF(ISNUMBER(SEARCH("NOT NULL",UPPER(C$3))),"''","null"),SUBSTITUTE(VLOOKUP(C$2,convert!$A$1:$B$4,2,0),"@@@",C1110))</f>
        <v>33</v>
      </c>
      <c r="S1110" s="4" t="str">
        <f>IF(D1110="",IF(ISNUMBER(SEARCH("NOT NULL",UPPER(D$3))),"''","null"),SUBSTITUTE(VLOOKUP(D$2,convert!$A$1:$B$4,2,0),"@@@",D1110))</f>
        <v>46</v>
      </c>
      <c r="T1110" s="4" t="str">
        <f>IF(E1110="",IF(ISNUMBER(SEARCH("NOT NULL",UPPER(E$3))),"''","null"),SUBSTITUTE(VLOOKUP(E$2,convert!$A$1:$B$4,2,0),"@@@",E1110))</f>
        <v>40</v>
      </c>
      <c r="U1110" s="4" t="str">
        <f>IF(F1110="",IF(ISNUMBER(SEARCH("NOT NULL",UPPER(F$3))),"''","null"),SUBSTITUTE(VLOOKUP(F$2,convert!$A$1:$B$4,2,0),"@@@",F1110))</f>
        <v>21</v>
      </c>
      <c r="V1110" s="4" t="str">
        <f>IF(G1110="",IF(ISNUMBER(SEARCH("NOT NULL",UPPER(G$3))),"''","null"),SUBSTITUTE(VLOOKUP(G$2,convert!$A$1:$B$4,2,0),"@@@",G1110))</f>
        <v>25</v>
      </c>
      <c r="W1110" s="4" t="str">
        <f>IF(H1110="",IF(ISNUMBER(SEARCH("NOT NULL",UPPER(H$3))),"''","null"),SUBSTITUTE(VLOOKUP(H$2,convert!$A$1:$B$4,2,0),"@@@",H1110))</f>
        <v>45</v>
      </c>
      <c r="X1110" s="4" t="str">
        <f>IF(I1110="",IF(ISNUMBER(SEARCH("NOT NULL",UPPER(I$3))),"''","null"),SUBSTITUTE(VLOOKUP(I$2,convert!$A$1:$B$4,2,0),"@@@",I1110))</f>
        <v>''</v>
      </c>
      <c r="Y1110" s="4" t="str">
        <f>IF(J1110="",IF(ISNUMBER(SEARCH("NOT NULL",UPPER(J$3))),"''","null"),SUBSTITUTE(VLOOKUP(J$2,convert!$A$1:$B$4,2,0),"@@@",J1110))</f>
        <v>'bug'</v>
      </c>
      <c r="Z1110" s="4" t="str">
        <f>IF(K1110="",IF(ISNUMBER(SEARCH("NOT NULL",UPPER(K$3))),"''","null"),SUBSTITUTE(VLOOKUP(K$2,convert!$A$1:$B$4,2,0),"@@@",K1110))</f>
        <v>null</v>
      </c>
      <c r="AA1110" s="4" t="str">
        <f>IF(L1110="",IF(ISNUMBER(SEARCH("NOT NULL",UPPER(L$3))),"''","null"),SUBSTITUTE(VLOOKUP(L$2,convert!$A$1:$B$4,2,0),"@@@",L1110))</f>
        <v>'g9'</v>
      </c>
      <c r="AB1110" s="4" t="str">
        <f>IF(M1110="",IF(ISNUMBER(SEARCH("NOT NULL",UPPER(M$3))),"''","null"),SUBSTITUTE(VLOOKUP(M$2,convert!$A$1:$B$4,2,0),"@@@",M1110))</f>
        <v>null</v>
      </c>
      <c r="AC1110" s="4" t="str">
        <f>IF(N1110="",IF(ISNUMBER(SEARCH("NOT NULL",UPPER(N$3))),"''","null"),SUBSTITUTE(VLOOKUP(N$2,convert!$A$1:$B$4,2,0),"@@@",N1110))</f>
        <v>null</v>
      </c>
      <c r="AD1110" s="4" t="str">
        <f>IF(O1110="",IF(ISNUMBER(SEARCH("NOT NULL",UPPER(O$3))),"''","null"),SUBSTITUTE(VLOOKUP(O$2,convert!$A$1:$B$4,2,0),"@@@",O1110))</f>
        <v>TRUE</v>
      </c>
      <c r="AE1110" s="4" t="str">
        <f t="shared" si="17"/>
        <v>    ('0919N01', 'マメバッタ', 33, 46, 40, 21, 25, 45, '', 'bug', null, 'g9', null, null, TRUE),</v>
      </c>
    </row>
    <row r="1111" spans="1:31">
      <c r="A1111" s="4" t="s">
        <v>2229</v>
      </c>
      <c r="B1111" s="4" t="s">
        <v>2230</v>
      </c>
      <c r="C1111" s="5">
        <v>71</v>
      </c>
      <c r="D1111" s="5">
        <v>102</v>
      </c>
      <c r="E1111" s="5">
        <v>78</v>
      </c>
      <c r="F1111" s="5">
        <v>52</v>
      </c>
      <c r="G1111" s="5">
        <v>55</v>
      </c>
      <c r="H1111" s="5">
        <v>92</v>
      </c>
      <c r="I1111" s="5"/>
      <c r="J1111" s="4" t="s">
        <v>64</v>
      </c>
      <c r="K1111" s="4" t="s">
        <v>91</v>
      </c>
      <c r="L1111" s="4" t="s">
        <v>368</v>
      </c>
      <c r="M1111" s="5"/>
      <c r="N1111" s="5"/>
      <c r="O1111" s="5" t="b">
        <v>1</v>
      </c>
      <c r="P1111" s="4" t="str">
        <f>IF(A1111="",IF(ISNUMBER(SEARCH("NOT NULL",UPPER(A$3))),"''","null"),SUBSTITUTE(VLOOKUP(A$2,convert!$A$1:$B$4,2,0),"@@@",A1111))</f>
        <v>'0920N01'</v>
      </c>
      <c r="Q1111" s="4" t="str">
        <f>IF(B1111="",IF(ISNUMBER(SEARCH("NOT NULL",UPPER(B$3))),"''","null"),SUBSTITUTE(VLOOKUP(B$2,convert!$A$1:$B$4,2,0),"@@@",B1111))</f>
        <v>'エクスレッグ'</v>
      </c>
      <c r="R1111" s="4" t="str">
        <f>IF(C1111="",IF(ISNUMBER(SEARCH("NOT NULL",UPPER(C$3))),"''","null"),SUBSTITUTE(VLOOKUP(C$2,convert!$A$1:$B$4,2,0),"@@@",C1111))</f>
        <v>71</v>
      </c>
      <c r="S1111" s="4" t="str">
        <f>IF(D1111="",IF(ISNUMBER(SEARCH("NOT NULL",UPPER(D$3))),"''","null"),SUBSTITUTE(VLOOKUP(D$2,convert!$A$1:$B$4,2,0),"@@@",D1111))</f>
        <v>102</v>
      </c>
      <c r="T1111" s="4" t="str">
        <f>IF(E1111="",IF(ISNUMBER(SEARCH("NOT NULL",UPPER(E$3))),"''","null"),SUBSTITUTE(VLOOKUP(E$2,convert!$A$1:$B$4,2,0),"@@@",E1111))</f>
        <v>78</v>
      </c>
      <c r="U1111" s="4" t="str">
        <f>IF(F1111="",IF(ISNUMBER(SEARCH("NOT NULL",UPPER(F$3))),"''","null"),SUBSTITUTE(VLOOKUP(F$2,convert!$A$1:$B$4,2,0),"@@@",F1111))</f>
        <v>52</v>
      </c>
      <c r="V1111" s="4" t="str">
        <f>IF(G1111="",IF(ISNUMBER(SEARCH("NOT NULL",UPPER(G$3))),"''","null"),SUBSTITUTE(VLOOKUP(G$2,convert!$A$1:$B$4,2,0),"@@@",G1111))</f>
        <v>55</v>
      </c>
      <c r="W1111" s="4" t="str">
        <f>IF(H1111="",IF(ISNUMBER(SEARCH("NOT NULL",UPPER(H$3))),"''","null"),SUBSTITUTE(VLOOKUP(H$2,convert!$A$1:$B$4,2,0),"@@@",H1111))</f>
        <v>92</v>
      </c>
      <c r="X1111" s="4" t="str">
        <f>IF(I1111="",IF(ISNUMBER(SEARCH("NOT NULL",UPPER(I$3))),"''","null"),SUBSTITUTE(VLOOKUP(I$2,convert!$A$1:$B$4,2,0),"@@@",I1111))</f>
        <v>''</v>
      </c>
      <c r="Y1111" s="4" t="str">
        <f>IF(J1111="",IF(ISNUMBER(SEARCH("NOT NULL",UPPER(J$3))),"''","null"),SUBSTITUTE(VLOOKUP(J$2,convert!$A$1:$B$4,2,0),"@@@",J1111))</f>
        <v>'bug'</v>
      </c>
      <c r="Z1111" s="4" t="str">
        <f>IF(K1111="",IF(ISNUMBER(SEARCH("NOT NULL",UPPER(K$3))),"''","null"),SUBSTITUTE(VLOOKUP(K$2,convert!$A$1:$B$4,2,0),"@@@",K1111))</f>
        <v>'dark'</v>
      </c>
      <c r="AA1111" s="4" t="str">
        <f>IF(L1111="",IF(ISNUMBER(SEARCH("NOT NULL",UPPER(L$3))),"''","null"),SUBSTITUTE(VLOOKUP(L$2,convert!$A$1:$B$4,2,0),"@@@",L1111))</f>
        <v>'g9'</v>
      </c>
      <c r="AB1111" s="4" t="str">
        <f>IF(M1111="",IF(ISNUMBER(SEARCH("NOT NULL",UPPER(M$3))),"''","null"),SUBSTITUTE(VLOOKUP(M$2,convert!$A$1:$B$4,2,0),"@@@",M1111))</f>
        <v>null</v>
      </c>
      <c r="AC1111" s="4" t="str">
        <f>IF(N1111="",IF(ISNUMBER(SEARCH("NOT NULL",UPPER(N$3))),"''","null"),SUBSTITUTE(VLOOKUP(N$2,convert!$A$1:$B$4,2,0),"@@@",N1111))</f>
        <v>null</v>
      </c>
      <c r="AD1111" s="4" t="str">
        <f>IF(O1111="",IF(ISNUMBER(SEARCH("NOT NULL",UPPER(O$3))),"''","null"),SUBSTITUTE(VLOOKUP(O$2,convert!$A$1:$B$4,2,0),"@@@",O1111))</f>
        <v>TRUE</v>
      </c>
      <c r="AE1111" s="4" t="str">
        <f t="shared" si="17"/>
        <v>    ('0920N01', 'エクスレッグ', 71, 102, 78, 52, 55, 92, '', 'bug', 'dark', 'g9', null, null, TRUE),</v>
      </c>
    </row>
    <row r="1112" spans="1:31">
      <c r="A1112" s="4" t="s">
        <v>2231</v>
      </c>
      <c r="B1112" s="4" t="s">
        <v>2232</v>
      </c>
      <c r="C1112" s="5">
        <v>45</v>
      </c>
      <c r="D1112" s="5">
        <v>50</v>
      </c>
      <c r="E1112" s="5">
        <v>20</v>
      </c>
      <c r="F1112" s="5">
        <v>40</v>
      </c>
      <c r="G1112" s="5">
        <v>25</v>
      </c>
      <c r="H1112" s="5">
        <v>60</v>
      </c>
      <c r="I1112" s="5"/>
      <c r="J1112" s="4" t="s">
        <v>106</v>
      </c>
      <c r="K1112" s="5"/>
      <c r="L1112" s="4" t="s">
        <v>368</v>
      </c>
      <c r="M1112" s="5"/>
      <c r="N1112" s="5"/>
      <c r="O1112" s="5" t="b">
        <v>1</v>
      </c>
      <c r="P1112" s="4" t="str">
        <f>IF(A1112="",IF(ISNUMBER(SEARCH("NOT NULL",UPPER(A$3))),"''","null"),SUBSTITUTE(VLOOKUP(A$2,convert!$A$1:$B$4,2,0),"@@@",A1112))</f>
        <v>'0921N01'</v>
      </c>
      <c r="Q1112" s="4" t="str">
        <f>IF(B1112="",IF(ISNUMBER(SEARCH("NOT NULL",UPPER(B$3))),"''","null"),SUBSTITUTE(VLOOKUP(B$2,convert!$A$1:$B$4,2,0),"@@@",B1112))</f>
        <v>'パモ'</v>
      </c>
      <c r="R1112" s="4" t="str">
        <f>IF(C1112="",IF(ISNUMBER(SEARCH("NOT NULL",UPPER(C$3))),"''","null"),SUBSTITUTE(VLOOKUP(C$2,convert!$A$1:$B$4,2,0),"@@@",C1112))</f>
        <v>45</v>
      </c>
      <c r="S1112" s="4" t="str">
        <f>IF(D1112="",IF(ISNUMBER(SEARCH("NOT NULL",UPPER(D$3))),"''","null"),SUBSTITUTE(VLOOKUP(D$2,convert!$A$1:$B$4,2,0),"@@@",D1112))</f>
        <v>50</v>
      </c>
      <c r="T1112" s="4" t="str">
        <f>IF(E1112="",IF(ISNUMBER(SEARCH("NOT NULL",UPPER(E$3))),"''","null"),SUBSTITUTE(VLOOKUP(E$2,convert!$A$1:$B$4,2,0),"@@@",E1112))</f>
        <v>20</v>
      </c>
      <c r="U1112" s="4" t="str">
        <f>IF(F1112="",IF(ISNUMBER(SEARCH("NOT NULL",UPPER(F$3))),"''","null"),SUBSTITUTE(VLOOKUP(F$2,convert!$A$1:$B$4,2,0),"@@@",F1112))</f>
        <v>40</v>
      </c>
      <c r="V1112" s="4" t="str">
        <f>IF(G1112="",IF(ISNUMBER(SEARCH("NOT NULL",UPPER(G$3))),"''","null"),SUBSTITUTE(VLOOKUP(G$2,convert!$A$1:$B$4,2,0),"@@@",G1112))</f>
        <v>25</v>
      </c>
      <c r="W1112" s="4" t="str">
        <f>IF(H1112="",IF(ISNUMBER(SEARCH("NOT NULL",UPPER(H$3))),"''","null"),SUBSTITUTE(VLOOKUP(H$2,convert!$A$1:$B$4,2,0),"@@@",H1112))</f>
        <v>60</v>
      </c>
      <c r="X1112" s="4" t="str">
        <f>IF(I1112="",IF(ISNUMBER(SEARCH("NOT NULL",UPPER(I$3))),"''","null"),SUBSTITUTE(VLOOKUP(I$2,convert!$A$1:$B$4,2,0),"@@@",I1112))</f>
        <v>''</v>
      </c>
      <c r="Y1112" s="4" t="str">
        <f>IF(J1112="",IF(ISNUMBER(SEARCH("NOT NULL",UPPER(J$3))),"''","null"),SUBSTITUTE(VLOOKUP(J$2,convert!$A$1:$B$4,2,0),"@@@",J1112))</f>
        <v>'electric'</v>
      </c>
      <c r="Z1112" s="4" t="str">
        <f>IF(K1112="",IF(ISNUMBER(SEARCH("NOT NULL",UPPER(K$3))),"''","null"),SUBSTITUTE(VLOOKUP(K$2,convert!$A$1:$B$4,2,0),"@@@",K1112))</f>
        <v>null</v>
      </c>
      <c r="AA1112" s="4" t="str">
        <f>IF(L1112="",IF(ISNUMBER(SEARCH("NOT NULL",UPPER(L$3))),"''","null"),SUBSTITUTE(VLOOKUP(L$2,convert!$A$1:$B$4,2,0),"@@@",L1112))</f>
        <v>'g9'</v>
      </c>
      <c r="AB1112" s="4" t="str">
        <f>IF(M1112="",IF(ISNUMBER(SEARCH("NOT NULL",UPPER(M$3))),"''","null"),SUBSTITUTE(VLOOKUP(M$2,convert!$A$1:$B$4,2,0),"@@@",M1112))</f>
        <v>null</v>
      </c>
      <c r="AC1112" s="4" t="str">
        <f>IF(N1112="",IF(ISNUMBER(SEARCH("NOT NULL",UPPER(N$3))),"''","null"),SUBSTITUTE(VLOOKUP(N$2,convert!$A$1:$B$4,2,0),"@@@",N1112))</f>
        <v>null</v>
      </c>
      <c r="AD1112" s="4" t="str">
        <f>IF(O1112="",IF(ISNUMBER(SEARCH("NOT NULL",UPPER(O$3))),"''","null"),SUBSTITUTE(VLOOKUP(O$2,convert!$A$1:$B$4,2,0),"@@@",O1112))</f>
        <v>TRUE</v>
      </c>
      <c r="AE1112" s="4" t="str">
        <f t="shared" si="17"/>
        <v>    ('0921N01', 'パモ', 45, 50, 20, 40, 25, 60, '', 'electric', null, 'g9', null, null, TRUE),</v>
      </c>
    </row>
    <row r="1113" spans="1:31">
      <c r="A1113" s="4" t="s">
        <v>2233</v>
      </c>
      <c r="B1113" s="4" t="s">
        <v>2234</v>
      </c>
      <c r="C1113" s="5">
        <v>60</v>
      </c>
      <c r="D1113" s="5">
        <v>75</v>
      </c>
      <c r="E1113" s="5">
        <v>40</v>
      </c>
      <c r="F1113" s="5">
        <v>50</v>
      </c>
      <c r="G1113" s="5">
        <v>40</v>
      </c>
      <c r="H1113" s="5">
        <v>85</v>
      </c>
      <c r="I1113" s="5"/>
      <c r="J1113" s="4" t="s">
        <v>106</v>
      </c>
      <c r="K1113" s="4" t="s">
        <v>189</v>
      </c>
      <c r="L1113" s="4" t="s">
        <v>368</v>
      </c>
      <c r="M1113" s="5"/>
      <c r="N1113" s="5"/>
      <c r="O1113" s="5" t="b">
        <v>1</v>
      </c>
      <c r="P1113" s="4" t="str">
        <f>IF(A1113="",IF(ISNUMBER(SEARCH("NOT NULL",UPPER(A$3))),"''","null"),SUBSTITUTE(VLOOKUP(A$2,convert!$A$1:$B$4,2,0),"@@@",A1113))</f>
        <v>'0922N01'</v>
      </c>
      <c r="Q1113" s="4" t="str">
        <f>IF(B1113="",IF(ISNUMBER(SEARCH("NOT NULL",UPPER(B$3))),"''","null"),SUBSTITUTE(VLOOKUP(B$2,convert!$A$1:$B$4,2,0),"@@@",B1113))</f>
        <v>'パモット'</v>
      </c>
      <c r="R1113" s="4" t="str">
        <f>IF(C1113="",IF(ISNUMBER(SEARCH("NOT NULL",UPPER(C$3))),"''","null"),SUBSTITUTE(VLOOKUP(C$2,convert!$A$1:$B$4,2,0),"@@@",C1113))</f>
        <v>60</v>
      </c>
      <c r="S1113" s="4" t="str">
        <f>IF(D1113="",IF(ISNUMBER(SEARCH("NOT NULL",UPPER(D$3))),"''","null"),SUBSTITUTE(VLOOKUP(D$2,convert!$A$1:$B$4,2,0),"@@@",D1113))</f>
        <v>75</v>
      </c>
      <c r="T1113" s="4" t="str">
        <f>IF(E1113="",IF(ISNUMBER(SEARCH("NOT NULL",UPPER(E$3))),"''","null"),SUBSTITUTE(VLOOKUP(E$2,convert!$A$1:$B$4,2,0),"@@@",E1113))</f>
        <v>40</v>
      </c>
      <c r="U1113" s="4" t="str">
        <f>IF(F1113="",IF(ISNUMBER(SEARCH("NOT NULL",UPPER(F$3))),"''","null"),SUBSTITUTE(VLOOKUP(F$2,convert!$A$1:$B$4,2,0),"@@@",F1113))</f>
        <v>50</v>
      </c>
      <c r="V1113" s="4" t="str">
        <f>IF(G1113="",IF(ISNUMBER(SEARCH("NOT NULL",UPPER(G$3))),"''","null"),SUBSTITUTE(VLOOKUP(G$2,convert!$A$1:$B$4,2,0),"@@@",G1113))</f>
        <v>40</v>
      </c>
      <c r="W1113" s="4" t="str">
        <f>IF(H1113="",IF(ISNUMBER(SEARCH("NOT NULL",UPPER(H$3))),"''","null"),SUBSTITUTE(VLOOKUP(H$2,convert!$A$1:$B$4,2,0),"@@@",H1113))</f>
        <v>85</v>
      </c>
      <c r="X1113" s="4" t="str">
        <f>IF(I1113="",IF(ISNUMBER(SEARCH("NOT NULL",UPPER(I$3))),"''","null"),SUBSTITUTE(VLOOKUP(I$2,convert!$A$1:$B$4,2,0),"@@@",I1113))</f>
        <v>''</v>
      </c>
      <c r="Y1113" s="4" t="str">
        <f>IF(J1113="",IF(ISNUMBER(SEARCH("NOT NULL",UPPER(J$3))),"''","null"),SUBSTITUTE(VLOOKUP(J$2,convert!$A$1:$B$4,2,0),"@@@",J1113))</f>
        <v>'electric'</v>
      </c>
      <c r="Z1113" s="4" t="str">
        <f>IF(K1113="",IF(ISNUMBER(SEARCH("NOT NULL",UPPER(K$3))),"''","null"),SUBSTITUTE(VLOOKUP(K$2,convert!$A$1:$B$4,2,0),"@@@",K1113))</f>
        <v>'fighting'</v>
      </c>
      <c r="AA1113" s="4" t="str">
        <f>IF(L1113="",IF(ISNUMBER(SEARCH("NOT NULL",UPPER(L$3))),"''","null"),SUBSTITUTE(VLOOKUP(L$2,convert!$A$1:$B$4,2,0),"@@@",L1113))</f>
        <v>'g9'</v>
      </c>
      <c r="AB1113" s="4" t="str">
        <f>IF(M1113="",IF(ISNUMBER(SEARCH("NOT NULL",UPPER(M$3))),"''","null"),SUBSTITUTE(VLOOKUP(M$2,convert!$A$1:$B$4,2,0),"@@@",M1113))</f>
        <v>null</v>
      </c>
      <c r="AC1113" s="4" t="str">
        <f>IF(N1113="",IF(ISNUMBER(SEARCH("NOT NULL",UPPER(N$3))),"''","null"),SUBSTITUTE(VLOOKUP(N$2,convert!$A$1:$B$4,2,0),"@@@",N1113))</f>
        <v>null</v>
      </c>
      <c r="AD1113" s="4" t="str">
        <f>IF(O1113="",IF(ISNUMBER(SEARCH("NOT NULL",UPPER(O$3))),"''","null"),SUBSTITUTE(VLOOKUP(O$2,convert!$A$1:$B$4,2,0),"@@@",O1113))</f>
        <v>TRUE</v>
      </c>
      <c r="AE1113" s="4" t="str">
        <f t="shared" si="17"/>
        <v>    ('0922N01', 'パモット', 60, 75, 40, 50, 40, 85, '', 'electric', 'fighting', 'g9', null, null, TRUE),</v>
      </c>
    </row>
    <row r="1114" spans="1:31">
      <c r="A1114" s="4" t="s">
        <v>2235</v>
      </c>
      <c r="B1114" s="4" t="s">
        <v>2236</v>
      </c>
      <c r="C1114" s="5">
        <v>70</v>
      </c>
      <c r="D1114" s="5">
        <v>115</v>
      </c>
      <c r="E1114" s="5">
        <v>70</v>
      </c>
      <c r="F1114" s="5">
        <v>70</v>
      </c>
      <c r="G1114" s="5">
        <v>60</v>
      </c>
      <c r="H1114" s="5">
        <v>105</v>
      </c>
      <c r="I1114" s="5"/>
      <c r="J1114" s="4" t="s">
        <v>106</v>
      </c>
      <c r="K1114" s="4" t="s">
        <v>189</v>
      </c>
      <c r="L1114" s="4" t="s">
        <v>368</v>
      </c>
      <c r="M1114" s="5"/>
      <c r="N1114" s="5"/>
      <c r="O1114" s="5" t="b">
        <v>1</v>
      </c>
      <c r="P1114" s="4" t="str">
        <f>IF(A1114="",IF(ISNUMBER(SEARCH("NOT NULL",UPPER(A$3))),"''","null"),SUBSTITUTE(VLOOKUP(A$2,convert!$A$1:$B$4,2,0),"@@@",A1114))</f>
        <v>'0923N01'</v>
      </c>
      <c r="Q1114" s="4" t="str">
        <f>IF(B1114="",IF(ISNUMBER(SEARCH("NOT NULL",UPPER(B$3))),"''","null"),SUBSTITUTE(VLOOKUP(B$2,convert!$A$1:$B$4,2,0),"@@@",B1114))</f>
        <v>'パーモット'</v>
      </c>
      <c r="R1114" s="4" t="str">
        <f>IF(C1114="",IF(ISNUMBER(SEARCH("NOT NULL",UPPER(C$3))),"''","null"),SUBSTITUTE(VLOOKUP(C$2,convert!$A$1:$B$4,2,0),"@@@",C1114))</f>
        <v>70</v>
      </c>
      <c r="S1114" s="4" t="str">
        <f>IF(D1114="",IF(ISNUMBER(SEARCH("NOT NULL",UPPER(D$3))),"''","null"),SUBSTITUTE(VLOOKUP(D$2,convert!$A$1:$B$4,2,0),"@@@",D1114))</f>
        <v>115</v>
      </c>
      <c r="T1114" s="4" t="str">
        <f>IF(E1114="",IF(ISNUMBER(SEARCH("NOT NULL",UPPER(E$3))),"''","null"),SUBSTITUTE(VLOOKUP(E$2,convert!$A$1:$B$4,2,0),"@@@",E1114))</f>
        <v>70</v>
      </c>
      <c r="U1114" s="4" t="str">
        <f>IF(F1114="",IF(ISNUMBER(SEARCH("NOT NULL",UPPER(F$3))),"''","null"),SUBSTITUTE(VLOOKUP(F$2,convert!$A$1:$B$4,2,0),"@@@",F1114))</f>
        <v>70</v>
      </c>
      <c r="V1114" s="4" t="str">
        <f>IF(G1114="",IF(ISNUMBER(SEARCH("NOT NULL",UPPER(G$3))),"''","null"),SUBSTITUTE(VLOOKUP(G$2,convert!$A$1:$B$4,2,0),"@@@",G1114))</f>
        <v>60</v>
      </c>
      <c r="W1114" s="4" t="str">
        <f>IF(H1114="",IF(ISNUMBER(SEARCH("NOT NULL",UPPER(H$3))),"''","null"),SUBSTITUTE(VLOOKUP(H$2,convert!$A$1:$B$4,2,0),"@@@",H1114))</f>
        <v>105</v>
      </c>
      <c r="X1114" s="4" t="str">
        <f>IF(I1114="",IF(ISNUMBER(SEARCH("NOT NULL",UPPER(I$3))),"''","null"),SUBSTITUTE(VLOOKUP(I$2,convert!$A$1:$B$4,2,0),"@@@",I1114))</f>
        <v>''</v>
      </c>
      <c r="Y1114" s="4" t="str">
        <f>IF(J1114="",IF(ISNUMBER(SEARCH("NOT NULL",UPPER(J$3))),"''","null"),SUBSTITUTE(VLOOKUP(J$2,convert!$A$1:$B$4,2,0),"@@@",J1114))</f>
        <v>'electric'</v>
      </c>
      <c r="Z1114" s="4" t="str">
        <f>IF(K1114="",IF(ISNUMBER(SEARCH("NOT NULL",UPPER(K$3))),"''","null"),SUBSTITUTE(VLOOKUP(K$2,convert!$A$1:$B$4,2,0),"@@@",K1114))</f>
        <v>'fighting'</v>
      </c>
      <c r="AA1114" s="4" t="str">
        <f>IF(L1114="",IF(ISNUMBER(SEARCH("NOT NULL",UPPER(L$3))),"''","null"),SUBSTITUTE(VLOOKUP(L$2,convert!$A$1:$B$4,2,0),"@@@",L1114))</f>
        <v>'g9'</v>
      </c>
      <c r="AB1114" s="4" t="str">
        <f>IF(M1114="",IF(ISNUMBER(SEARCH("NOT NULL",UPPER(M$3))),"''","null"),SUBSTITUTE(VLOOKUP(M$2,convert!$A$1:$B$4,2,0),"@@@",M1114))</f>
        <v>null</v>
      </c>
      <c r="AC1114" s="4" t="str">
        <f>IF(N1114="",IF(ISNUMBER(SEARCH("NOT NULL",UPPER(N$3))),"''","null"),SUBSTITUTE(VLOOKUP(N$2,convert!$A$1:$B$4,2,0),"@@@",N1114))</f>
        <v>null</v>
      </c>
      <c r="AD1114" s="4" t="str">
        <f>IF(O1114="",IF(ISNUMBER(SEARCH("NOT NULL",UPPER(O$3))),"''","null"),SUBSTITUTE(VLOOKUP(O$2,convert!$A$1:$B$4,2,0),"@@@",O1114))</f>
        <v>TRUE</v>
      </c>
      <c r="AE1114" s="4" t="str">
        <f t="shared" si="17"/>
        <v>    ('0923N01', 'パーモット', 70, 115, 70, 70, 60, 105, '', 'electric', 'fighting', 'g9', null, null, TRUE),</v>
      </c>
    </row>
    <row r="1115" spans="1:31">
      <c r="A1115" s="4" t="s">
        <v>2237</v>
      </c>
      <c r="B1115" s="4" t="s">
        <v>2238</v>
      </c>
      <c r="C1115" s="5">
        <v>50</v>
      </c>
      <c r="D1115" s="5">
        <v>50</v>
      </c>
      <c r="E1115" s="5">
        <v>45</v>
      </c>
      <c r="F1115" s="5">
        <v>40</v>
      </c>
      <c r="G1115" s="5">
        <v>45</v>
      </c>
      <c r="H1115" s="5">
        <v>75</v>
      </c>
      <c r="I1115" s="5"/>
      <c r="J1115" s="4" t="s">
        <v>80</v>
      </c>
      <c r="K1115" s="5"/>
      <c r="L1115" s="4" t="s">
        <v>368</v>
      </c>
      <c r="M1115" s="5"/>
      <c r="N1115" s="5"/>
      <c r="O1115" s="5" t="b">
        <v>0</v>
      </c>
      <c r="P1115" s="4" t="str">
        <f>IF(A1115="",IF(ISNUMBER(SEARCH("NOT NULL",UPPER(A$3))),"''","null"),SUBSTITUTE(VLOOKUP(A$2,convert!$A$1:$B$4,2,0),"@@@",A1115))</f>
        <v>'0924N01'</v>
      </c>
      <c r="Q1115" s="4" t="str">
        <f>IF(B1115="",IF(ISNUMBER(SEARCH("NOT NULL",UPPER(B$3))),"''","null"),SUBSTITUTE(VLOOKUP(B$2,convert!$A$1:$B$4,2,0),"@@@",B1115))</f>
        <v>'ワッカネズミ'</v>
      </c>
      <c r="R1115" s="4" t="str">
        <f>IF(C1115="",IF(ISNUMBER(SEARCH("NOT NULL",UPPER(C$3))),"''","null"),SUBSTITUTE(VLOOKUP(C$2,convert!$A$1:$B$4,2,0),"@@@",C1115))</f>
        <v>50</v>
      </c>
      <c r="S1115" s="4" t="str">
        <f>IF(D1115="",IF(ISNUMBER(SEARCH("NOT NULL",UPPER(D$3))),"''","null"),SUBSTITUTE(VLOOKUP(D$2,convert!$A$1:$B$4,2,0),"@@@",D1115))</f>
        <v>50</v>
      </c>
      <c r="T1115" s="4" t="str">
        <f>IF(E1115="",IF(ISNUMBER(SEARCH("NOT NULL",UPPER(E$3))),"''","null"),SUBSTITUTE(VLOOKUP(E$2,convert!$A$1:$B$4,2,0),"@@@",E1115))</f>
        <v>45</v>
      </c>
      <c r="U1115" s="4" t="str">
        <f>IF(F1115="",IF(ISNUMBER(SEARCH("NOT NULL",UPPER(F$3))),"''","null"),SUBSTITUTE(VLOOKUP(F$2,convert!$A$1:$B$4,2,0),"@@@",F1115))</f>
        <v>40</v>
      </c>
      <c r="V1115" s="4" t="str">
        <f>IF(G1115="",IF(ISNUMBER(SEARCH("NOT NULL",UPPER(G$3))),"''","null"),SUBSTITUTE(VLOOKUP(G$2,convert!$A$1:$B$4,2,0),"@@@",G1115))</f>
        <v>45</v>
      </c>
      <c r="W1115" s="4" t="str">
        <f>IF(H1115="",IF(ISNUMBER(SEARCH("NOT NULL",UPPER(H$3))),"''","null"),SUBSTITUTE(VLOOKUP(H$2,convert!$A$1:$B$4,2,0),"@@@",H1115))</f>
        <v>75</v>
      </c>
      <c r="X1115" s="4" t="str">
        <f>IF(I1115="",IF(ISNUMBER(SEARCH("NOT NULL",UPPER(I$3))),"''","null"),SUBSTITUTE(VLOOKUP(I$2,convert!$A$1:$B$4,2,0),"@@@",I1115))</f>
        <v>''</v>
      </c>
      <c r="Y1115" s="4" t="str">
        <f>IF(J1115="",IF(ISNUMBER(SEARCH("NOT NULL",UPPER(J$3))),"''","null"),SUBSTITUTE(VLOOKUP(J$2,convert!$A$1:$B$4,2,0),"@@@",J1115))</f>
        <v>'normal'</v>
      </c>
      <c r="Z1115" s="4" t="str">
        <f>IF(K1115="",IF(ISNUMBER(SEARCH("NOT NULL",UPPER(K$3))),"''","null"),SUBSTITUTE(VLOOKUP(K$2,convert!$A$1:$B$4,2,0),"@@@",K1115))</f>
        <v>null</v>
      </c>
      <c r="AA1115" s="4" t="str">
        <f>IF(L1115="",IF(ISNUMBER(SEARCH("NOT NULL",UPPER(L$3))),"''","null"),SUBSTITUTE(VLOOKUP(L$2,convert!$A$1:$B$4,2,0),"@@@",L1115))</f>
        <v>'g9'</v>
      </c>
      <c r="AB1115" s="4" t="str">
        <f>IF(M1115="",IF(ISNUMBER(SEARCH("NOT NULL",UPPER(M$3))),"''","null"),SUBSTITUTE(VLOOKUP(M$2,convert!$A$1:$B$4,2,0),"@@@",M1115))</f>
        <v>null</v>
      </c>
      <c r="AC1115" s="4" t="str">
        <f>IF(N1115="",IF(ISNUMBER(SEARCH("NOT NULL",UPPER(N$3))),"''","null"),SUBSTITUTE(VLOOKUP(N$2,convert!$A$1:$B$4,2,0),"@@@",N1115))</f>
        <v>null</v>
      </c>
      <c r="AD1115" s="4" t="str">
        <f>IF(O1115="",IF(ISNUMBER(SEARCH("NOT NULL",UPPER(O$3))),"''","null"),SUBSTITUTE(VLOOKUP(O$2,convert!$A$1:$B$4,2,0),"@@@",O1115))</f>
        <v>FALSE</v>
      </c>
      <c r="AE1115" s="4" t="str">
        <f t="shared" si="17"/>
        <v>    ('0924N01', 'ワッカネズミ', 50, 50, 45, 40, 45, 75, '', 'normal', null, 'g9', null, null, FALSE),</v>
      </c>
    </row>
    <row r="1116" spans="1:31">
      <c r="A1116" s="4" t="s">
        <v>2239</v>
      </c>
      <c r="B1116" s="4" t="s">
        <v>2240</v>
      </c>
      <c r="C1116" s="5">
        <v>74</v>
      </c>
      <c r="D1116" s="5">
        <v>75</v>
      </c>
      <c r="E1116" s="5">
        <v>70</v>
      </c>
      <c r="F1116" s="5">
        <v>65</v>
      </c>
      <c r="G1116" s="5">
        <v>75</v>
      </c>
      <c r="H1116" s="5">
        <v>111</v>
      </c>
      <c r="I1116" s="4" t="s">
        <v>2241</v>
      </c>
      <c r="J1116" s="4" t="s">
        <v>80</v>
      </c>
      <c r="K1116" s="5"/>
      <c r="L1116" s="4" t="s">
        <v>368</v>
      </c>
      <c r="M1116" s="5"/>
      <c r="N1116" s="5"/>
      <c r="O1116" s="5" t="b">
        <v>0</v>
      </c>
      <c r="P1116" s="4" t="str">
        <f>IF(A1116="",IF(ISNUMBER(SEARCH("NOT NULL",UPPER(A$3))),"''","null"),SUBSTITUTE(VLOOKUP(A$2,convert!$A$1:$B$4,2,0),"@@@",A1116))</f>
        <v>'0925N01'</v>
      </c>
      <c r="Q1116" s="4" t="str">
        <f>IF(B1116="",IF(ISNUMBER(SEARCH("NOT NULL",UPPER(B$3))),"''","null"),SUBSTITUTE(VLOOKUP(B$2,convert!$A$1:$B$4,2,0),"@@@",B1116))</f>
        <v>'イッカネズミ'</v>
      </c>
      <c r="R1116" s="4" t="str">
        <f>IF(C1116="",IF(ISNUMBER(SEARCH("NOT NULL",UPPER(C$3))),"''","null"),SUBSTITUTE(VLOOKUP(C$2,convert!$A$1:$B$4,2,0),"@@@",C1116))</f>
        <v>74</v>
      </c>
      <c r="S1116" s="4" t="str">
        <f>IF(D1116="",IF(ISNUMBER(SEARCH("NOT NULL",UPPER(D$3))),"''","null"),SUBSTITUTE(VLOOKUP(D$2,convert!$A$1:$B$4,2,0),"@@@",D1116))</f>
        <v>75</v>
      </c>
      <c r="T1116" s="4" t="str">
        <f>IF(E1116="",IF(ISNUMBER(SEARCH("NOT NULL",UPPER(E$3))),"''","null"),SUBSTITUTE(VLOOKUP(E$2,convert!$A$1:$B$4,2,0),"@@@",E1116))</f>
        <v>70</v>
      </c>
      <c r="U1116" s="4" t="str">
        <f>IF(F1116="",IF(ISNUMBER(SEARCH("NOT NULL",UPPER(F$3))),"''","null"),SUBSTITUTE(VLOOKUP(F$2,convert!$A$1:$B$4,2,0),"@@@",F1116))</f>
        <v>65</v>
      </c>
      <c r="V1116" s="4" t="str">
        <f>IF(G1116="",IF(ISNUMBER(SEARCH("NOT NULL",UPPER(G$3))),"''","null"),SUBSTITUTE(VLOOKUP(G$2,convert!$A$1:$B$4,2,0),"@@@",G1116))</f>
        <v>75</v>
      </c>
      <c r="W1116" s="4" t="str">
        <f>IF(H1116="",IF(ISNUMBER(SEARCH("NOT NULL",UPPER(H$3))),"''","null"),SUBSTITUTE(VLOOKUP(H$2,convert!$A$1:$B$4,2,0),"@@@",H1116))</f>
        <v>111</v>
      </c>
      <c r="X1116" s="4" t="str">
        <f>IF(I1116="",IF(ISNUMBER(SEARCH("NOT NULL",UPPER(I$3))),"''","null"),SUBSTITUTE(VLOOKUP(I$2,convert!$A$1:$B$4,2,0),"@@@",I1116))</f>
        <v>'３びきかぞく'</v>
      </c>
      <c r="Y1116" s="4" t="str">
        <f>IF(J1116="",IF(ISNUMBER(SEARCH("NOT NULL",UPPER(J$3))),"''","null"),SUBSTITUTE(VLOOKUP(J$2,convert!$A$1:$B$4,2,0),"@@@",J1116))</f>
        <v>'normal'</v>
      </c>
      <c r="Z1116" s="4" t="str">
        <f>IF(K1116="",IF(ISNUMBER(SEARCH("NOT NULL",UPPER(K$3))),"''","null"),SUBSTITUTE(VLOOKUP(K$2,convert!$A$1:$B$4,2,0),"@@@",K1116))</f>
        <v>null</v>
      </c>
      <c r="AA1116" s="4" t="str">
        <f>IF(L1116="",IF(ISNUMBER(SEARCH("NOT NULL",UPPER(L$3))),"''","null"),SUBSTITUTE(VLOOKUP(L$2,convert!$A$1:$B$4,2,0),"@@@",L1116))</f>
        <v>'g9'</v>
      </c>
      <c r="AB1116" s="4" t="str">
        <f>IF(M1116="",IF(ISNUMBER(SEARCH("NOT NULL",UPPER(M$3))),"''","null"),SUBSTITUTE(VLOOKUP(M$2,convert!$A$1:$B$4,2,0),"@@@",M1116))</f>
        <v>null</v>
      </c>
      <c r="AC1116" s="4" t="str">
        <f>IF(N1116="",IF(ISNUMBER(SEARCH("NOT NULL",UPPER(N$3))),"''","null"),SUBSTITUTE(VLOOKUP(N$2,convert!$A$1:$B$4,2,0),"@@@",N1116))</f>
        <v>null</v>
      </c>
      <c r="AD1116" s="4" t="str">
        <f>IF(O1116="",IF(ISNUMBER(SEARCH("NOT NULL",UPPER(O$3))),"''","null"),SUBSTITUTE(VLOOKUP(O$2,convert!$A$1:$B$4,2,0),"@@@",O1116))</f>
        <v>FALSE</v>
      </c>
      <c r="AE1116" s="4" t="str">
        <f t="shared" si="17"/>
        <v>    ('0925N01', 'イッカネズミ', 74, 75, 70, 65, 75, 111, '３びきかぞく', 'normal', null, 'g9', null, null, FALSE),</v>
      </c>
    </row>
    <row r="1117" spans="1:31">
      <c r="A1117" s="4" t="s">
        <v>2242</v>
      </c>
      <c r="B1117" s="4" t="s">
        <v>2240</v>
      </c>
      <c r="C1117" s="5">
        <v>74</v>
      </c>
      <c r="D1117" s="5">
        <v>75</v>
      </c>
      <c r="E1117" s="5">
        <v>70</v>
      </c>
      <c r="F1117" s="5">
        <v>65</v>
      </c>
      <c r="G1117" s="5">
        <v>75</v>
      </c>
      <c r="H1117" s="5">
        <v>111</v>
      </c>
      <c r="I1117" s="4" t="s">
        <v>2243</v>
      </c>
      <c r="J1117" s="4" t="s">
        <v>80</v>
      </c>
      <c r="K1117" s="5"/>
      <c r="L1117" s="4" t="s">
        <v>368</v>
      </c>
      <c r="M1117" s="5"/>
      <c r="N1117" s="5"/>
      <c r="O1117" s="5" t="b">
        <v>0</v>
      </c>
      <c r="P1117" s="4" t="str">
        <f>IF(A1117="",IF(ISNUMBER(SEARCH("NOT NULL",UPPER(A$3))),"''","null"),SUBSTITUTE(VLOOKUP(A$2,convert!$A$1:$B$4,2,0),"@@@",A1117))</f>
        <v>'0925N02'</v>
      </c>
      <c r="Q1117" s="4" t="str">
        <f>IF(B1117="",IF(ISNUMBER(SEARCH("NOT NULL",UPPER(B$3))),"''","null"),SUBSTITUTE(VLOOKUP(B$2,convert!$A$1:$B$4,2,0),"@@@",B1117))</f>
        <v>'イッカネズミ'</v>
      </c>
      <c r="R1117" s="4" t="str">
        <f>IF(C1117="",IF(ISNUMBER(SEARCH("NOT NULL",UPPER(C$3))),"''","null"),SUBSTITUTE(VLOOKUP(C$2,convert!$A$1:$B$4,2,0),"@@@",C1117))</f>
        <v>74</v>
      </c>
      <c r="S1117" s="4" t="str">
        <f>IF(D1117="",IF(ISNUMBER(SEARCH("NOT NULL",UPPER(D$3))),"''","null"),SUBSTITUTE(VLOOKUP(D$2,convert!$A$1:$B$4,2,0),"@@@",D1117))</f>
        <v>75</v>
      </c>
      <c r="T1117" s="4" t="str">
        <f>IF(E1117="",IF(ISNUMBER(SEARCH("NOT NULL",UPPER(E$3))),"''","null"),SUBSTITUTE(VLOOKUP(E$2,convert!$A$1:$B$4,2,0),"@@@",E1117))</f>
        <v>70</v>
      </c>
      <c r="U1117" s="4" t="str">
        <f>IF(F1117="",IF(ISNUMBER(SEARCH("NOT NULL",UPPER(F$3))),"''","null"),SUBSTITUTE(VLOOKUP(F$2,convert!$A$1:$B$4,2,0),"@@@",F1117))</f>
        <v>65</v>
      </c>
      <c r="V1117" s="4" t="str">
        <f>IF(G1117="",IF(ISNUMBER(SEARCH("NOT NULL",UPPER(G$3))),"''","null"),SUBSTITUTE(VLOOKUP(G$2,convert!$A$1:$B$4,2,0),"@@@",G1117))</f>
        <v>75</v>
      </c>
      <c r="W1117" s="4" t="str">
        <f>IF(H1117="",IF(ISNUMBER(SEARCH("NOT NULL",UPPER(H$3))),"''","null"),SUBSTITUTE(VLOOKUP(H$2,convert!$A$1:$B$4,2,0),"@@@",H1117))</f>
        <v>111</v>
      </c>
      <c r="X1117" s="4" t="str">
        <f>IF(I1117="",IF(ISNUMBER(SEARCH("NOT NULL",UPPER(I$3))),"''","null"),SUBSTITUTE(VLOOKUP(I$2,convert!$A$1:$B$4,2,0),"@@@",I1117))</f>
        <v>'４ひきかぞく'</v>
      </c>
      <c r="Y1117" s="4" t="str">
        <f>IF(J1117="",IF(ISNUMBER(SEARCH("NOT NULL",UPPER(J$3))),"''","null"),SUBSTITUTE(VLOOKUP(J$2,convert!$A$1:$B$4,2,0),"@@@",J1117))</f>
        <v>'normal'</v>
      </c>
      <c r="Z1117" s="4" t="str">
        <f>IF(K1117="",IF(ISNUMBER(SEARCH("NOT NULL",UPPER(K$3))),"''","null"),SUBSTITUTE(VLOOKUP(K$2,convert!$A$1:$B$4,2,0),"@@@",K1117))</f>
        <v>null</v>
      </c>
      <c r="AA1117" s="4" t="str">
        <f>IF(L1117="",IF(ISNUMBER(SEARCH("NOT NULL",UPPER(L$3))),"''","null"),SUBSTITUTE(VLOOKUP(L$2,convert!$A$1:$B$4,2,0),"@@@",L1117))</f>
        <v>'g9'</v>
      </c>
      <c r="AB1117" s="4" t="str">
        <f>IF(M1117="",IF(ISNUMBER(SEARCH("NOT NULL",UPPER(M$3))),"''","null"),SUBSTITUTE(VLOOKUP(M$2,convert!$A$1:$B$4,2,0),"@@@",M1117))</f>
        <v>null</v>
      </c>
      <c r="AC1117" s="4" t="str">
        <f>IF(N1117="",IF(ISNUMBER(SEARCH("NOT NULL",UPPER(N$3))),"''","null"),SUBSTITUTE(VLOOKUP(N$2,convert!$A$1:$B$4,2,0),"@@@",N1117))</f>
        <v>null</v>
      </c>
      <c r="AD1117" s="4" t="str">
        <f>IF(O1117="",IF(ISNUMBER(SEARCH("NOT NULL",UPPER(O$3))),"''","null"),SUBSTITUTE(VLOOKUP(O$2,convert!$A$1:$B$4,2,0),"@@@",O1117))</f>
        <v>FALSE</v>
      </c>
      <c r="AE1117" s="4" t="str">
        <f t="shared" si="17"/>
        <v>    ('0925N02', 'イッカネズミ', 74, 75, 70, 65, 75, 111, '４ひきかぞく', 'normal', null, 'g9', null, null, FALSE),</v>
      </c>
    </row>
    <row r="1118" spans="1:31">
      <c r="A1118" s="4" t="s">
        <v>2244</v>
      </c>
      <c r="B1118" s="4" t="s">
        <v>2245</v>
      </c>
      <c r="C1118" s="5">
        <v>37</v>
      </c>
      <c r="D1118" s="5">
        <v>55</v>
      </c>
      <c r="E1118" s="5">
        <v>70</v>
      </c>
      <c r="F1118" s="5">
        <v>30</v>
      </c>
      <c r="G1118" s="5">
        <v>55</v>
      </c>
      <c r="H1118" s="5">
        <v>65</v>
      </c>
      <c r="I1118" s="5"/>
      <c r="J1118" s="4" t="s">
        <v>137</v>
      </c>
      <c r="K1118" s="5"/>
      <c r="L1118" s="4" t="s">
        <v>368</v>
      </c>
      <c r="M1118" s="5"/>
      <c r="N1118" s="5"/>
      <c r="O1118" s="5" t="b">
        <v>0</v>
      </c>
      <c r="P1118" s="4" t="str">
        <f>IF(A1118="",IF(ISNUMBER(SEARCH("NOT NULL",UPPER(A$3))),"''","null"),SUBSTITUTE(VLOOKUP(A$2,convert!$A$1:$B$4,2,0),"@@@",A1118))</f>
        <v>'0926N01'</v>
      </c>
      <c r="Q1118" s="4" t="str">
        <f>IF(B1118="",IF(ISNUMBER(SEARCH("NOT NULL",UPPER(B$3))),"''","null"),SUBSTITUTE(VLOOKUP(B$2,convert!$A$1:$B$4,2,0),"@@@",B1118))</f>
        <v>'パピモッチ'</v>
      </c>
      <c r="R1118" s="4" t="str">
        <f>IF(C1118="",IF(ISNUMBER(SEARCH("NOT NULL",UPPER(C$3))),"''","null"),SUBSTITUTE(VLOOKUP(C$2,convert!$A$1:$B$4,2,0),"@@@",C1118))</f>
        <v>37</v>
      </c>
      <c r="S1118" s="4" t="str">
        <f>IF(D1118="",IF(ISNUMBER(SEARCH("NOT NULL",UPPER(D$3))),"''","null"),SUBSTITUTE(VLOOKUP(D$2,convert!$A$1:$B$4,2,0),"@@@",D1118))</f>
        <v>55</v>
      </c>
      <c r="T1118" s="4" t="str">
        <f>IF(E1118="",IF(ISNUMBER(SEARCH("NOT NULL",UPPER(E$3))),"''","null"),SUBSTITUTE(VLOOKUP(E$2,convert!$A$1:$B$4,2,0),"@@@",E1118))</f>
        <v>70</v>
      </c>
      <c r="U1118" s="4" t="str">
        <f>IF(F1118="",IF(ISNUMBER(SEARCH("NOT NULL",UPPER(F$3))),"''","null"),SUBSTITUTE(VLOOKUP(F$2,convert!$A$1:$B$4,2,0),"@@@",F1118))</f>
        <v>30</v>
      </c>
      <c r="V1118" s="4" t="str">
        <f>IF(G1118="",IF(ISNUMBER(SEARCH("NOT NULL",UPPER(G$3))),"''","null"),SUBSTITUTE(VLOOKUP(G$2,convert!$A$1:$B$4,2,0),"@@@",G1118))</f>
        <v>55</v>
      </c>
      <c r="W1118" s="4" t="str">
        <f>IF(H1118="",IF(ISNUMBER(SEARCH("NOT NULL",UPPER(H$3))),"''","null"),SUBSTITUTE(VLOOKUP(H$2,convert!$A$1:$B$4,2,0),"@@@",H1118))</f>
        <v>65</v>
      </c>
      <c r="X1118" s="4" t="str">
        <f>IF(I1118="",IF(ISNUMBER(SEARCH("NOT NULL",UPPER(I$3))),"''","null"),SUBSTITUTE(VLOOKUP(I$2,convert!$A$1:$B$4,2,0),"@@@",I1118))</f>
        <v>''</v>
      </c>
      <c r="Y1118" s="4" t="str">
        <f>IF(J1118="",IF(ISNUMBER(SEARCH("NOT NULL",UPPER(J$3))),"''","null"),SUBSTITUTE(VLOOKUP(J$2,convert!$A$1:$B$4,2,0),"@@@",J1118))</f>
        <v>'fairy'</v>
      </c>
      <c r="Z1118" s="4" t="str">
        <f>IF(K1118="",IF(ISNUMBER(SEARCH("NOT NULL",UPPER(K$3))),"''","null"),SUBSTITUTE(VLOOKUP(K$2,convert!$A$1:$B$4,2,0),"@@@",K1118))</f>
        <v>null</v>
      </c>
      <c r="AA1118" s="4" t="str">
        <f>IF(L1118="",IF(ISNUMBER(SEARCH("NOT NULL",UPPER(L$3))),"''","null"),SUBSTITUTE(VLOOKUP(L$2,convert!$A$1:$B$4,2,0),"@@@",L1118))</f>
        <v>'g9'</v>
      </c>
      <c r="AB1118" s="4" t="str">
        <f>IF(M1118="",IF(ISNUMBER(SEARCH("NOT NULL",UPPER(M$3))),"''","null"),SUBSTITUTE(VLOOKUP(M$2,convert!$A$1:$B$4,2,0),"@@@",M1118))</f>
        <v>null</v>
      </c>
      <c r="AC1118" s="4" t="str">
        <f>IF(N1118="",IF(ISNUMBER(SEARCH("NOT NULL",UPPER(N$3))),"''","null"),SUBSTITUTE(VLOOKUP(N$2,convert!$A$1:$B$4,2,0),"@@@",N1118))</f>
        <v>null</v>
      </c>
      <c r="AD1118" s="4" t="str">
        <f>IF(O1118="",IF(ISNUMBER(SEARCH("NOT NULL",UPPER(O$3))),"''","null"),SUBSTITUTE(VLOOKUP(O$2,convert!$A$1:$B$4,2,0),"@@@",O1118))</f>
        <v>FALSE</v>
      </c>
      <c r="AE1118" s="4" t="str">
        <f t="shared" si="17"/>
        <v>    ('0926N01', 'パピモッチ', 37, 55, 70, 30, 55, 65, '', 'fairy', null, 'g9', null, null, FALSE),</v>
      </c>
    </row>
    <row r="1119" spans="1:31">
      <c r="A1119" s="4" t="s">
        <v>2246</v>
      </c>
      <c r="B1119" s="4" t="s">
        <v>2247</v>
      </c>
      <c r="C1119" s="5">
        <v>57</v>
      </c>
      <c r="D1119" s="5">
        <v>80</v>
      </c>
      <c r="E1119" s="5">
        <v>115</v>
      </c>
      <c r="F1119" s="5">
        <v>50</v>
      </c>
      <c r="G1119" s="5">
        <v>80</v>
      </c>
      <c r="H1119" s="5">
        <v>95</v>
      </c>
      <c r="I1119" s="5"/>
      <c r="J1119" s="4" t="s">
        <v>137</v>
      </c>
      <c r="K1119" s="5"/>
      <c r="L1119" s="4" t="s">
        <v>368</v>
      </c>
      <c r="M1119" s="5"/>
      <c r="N1119" s="5"/>
      <c r="O1119" s="5" t="b">
        <v>0</v>
      </c>
      <c r="P1119" s="4" t="str">
        <f>IF(A1119="",IF(ISNUMBER(SEARCH("NOT NULL",UPPER(A$3))),"''","null"),SUBSTITUTE(VLOOKUP(A$2,convert!$A$1:$B$4,2,0),"@@@",A1119))</f>
        <v>'0927N01'</v>
      </c>
      <c r="Q1119" s="4" t="str">
        <f>IF(B1119="",IF(ISNUMBER(SEARCH("NOT NULL",UPPER(B$3))),"''","null"),SUBSTITUTE(VLOOKUP(B$2,convert!$A$1:$B$4,2,0),"@@@",B1119))</f>
        <v>'バウッツェル'</v>
      </c>
      <c r="R1119" s="4" t="str">
        <f>IF(C1119="",IF(ISNUMBER(SEARCH("NOT NULL",UPPER(C$3))),"''","null"),SUBSTITUTE(VLOOKUP(C$2,convert!$A$1:$B$4,2,0),"@@@",C1119))</f>
        <v>57</v>
      </c>
      <c r="S1119" s="4" t="str">
        <f>IF(D1119="",IF(ISNUMBER(SEARCH("NOT NULL",UPPER(D$3))),"''","null"),SUBSTITUTE(VLOOKUP(D$2,convert!$A$1:$B$4,2,0),"@@@",D1119))</f>
        <v>80</v>
      </c>
      <c r="T1119" s="4" t="str">
        <f>IF(E1119="",IF(ISNUMBER(SEARCH("NOT NULL",UPPER(E$3))),"''","null"),SUBSTITUTE(VLOOKUP(E$2,convert!$A$1:$B$4,2,0),"@@@",E1119))</f>
        <v>115</v>
      </c>
      <c r="U1119" s="4" t="str">
        <f>IF(F1119="",IF(ISNUMBER(SEARCH("NOT NULL",UPPER(F$3))),"''","null"),SUBSTITUTE(VLOOKUP(F$2,convert!$A$1:$B$4,2,0),"@@@",F1119))</f>
        <v>50</v>
      </c>
      <c r="V1119" s="4" t="str">
        <f>IF(G1119="",IF(ISNUMBER(SEARCH("NOT NULL",UPPER(G$3))),"''","null"),SUBSTITUTE(VLOOKUP(G$2,convert!$A$1:$B$4,2,0),"@@@",G1119))</f>
        <v>80</v>
      </c>
      <c r="W1119" s="4" t="str">
        <f>IF(H1119="",IF(ISNUMBER(SEARCH("NOT NULL",UPPER(H$3))),"''","null"),SUBSTITUTE(VLOOKUP(H$2,convert!$A$1:$B$4,2,0),"@@@",H1119))</f>
        <v>95</v>
      </c>
      <c r="X1119" s="4" t="str">
        <f>IF(I1119="",IF(ISNUMBER(SEARCH("NOT NULL",UPPER(I$3))),"''","null"),SUBSTITUTE(VLOOKUP(I$2,convert!$A$1:$B$4,2,0),"@@@",I1119))</f>
        <v>''</v>
      </c>
      <c r="Y1119" s="4" t="str">
        <f>IF(J1119="",IF(ISNUMBER(SEARCH("NOT NULL",UPPER(J$3))),"''","null"),SUBSTITUTE(VLOOKUP(J$2,convert!$A$1:$B$4,2,0),"@@@",J1119))</f>
        <v>'fairy'</v>
      </c>
      <c r="Z1119" s="4" t="str">
        <f>IF(K1119="",IF(ISNUMBER(SEARCH("NOT NULL",UPPER(K$3))),"''","null"),SUBSTITUTE(VLOOKUP(K$2,convert!$A$1:$B$4,2,0),"@@@",K1119))</f>
        <v>null</v>
      </c>
      <c r="AA1119" s="4" t="str">
        <f>IF(L1119="",IF(ISNUMBER(SEARCH("NOT NULL",UPPER(L$3))),"''","null"),SUBSTITUTE(VLOOKUP(L$2,convert!$A$1:$B$4,2,0),"@@@",L1119))</f>
        <v>'g9'</v>
      </c>
      <c r="AB1119" s="4" t="str">
        <f>IF(M1119="",IF(ISNUMBER(SEARCH("NOT NULL",UPPER(M$3))),"''","null"),SUBSTITUTE(VLOOKUP(M$2,convert!$A$1:$B$4,2,0),"@@@",M1119))</f>
        <v>null</v>
      </c>
      <c r="AC1119" s="4" t="str">
        <f>IF(N1119="",IF(ISNUMBER(SEARCH("NOT NULL",UPPER(N$3))),"''","null"),SUBSTITUTE(VLOOKUP(N$2,convert!$A$1:$B$4,2,0),"@@@",N1119))</f>
        <v>null</v>
      </c>
      <c r="AD1119" s="4" t="str">
        <f>IF(O1119="",IF(ISNUMBER(SEARCH("NOT NULL",UPPER(O$3))),"''","null"),SUBSTITUTE(VLOOKUP(O$2,convert!$A$1:$B$4,2,0),"@@@",O1119))</f>
        <v>FALSE</v>
      </c>
      <c r="AE1119" s="4" t="str">
        <f t="shared" si="17"/>
        <v>    ('0927N01', 'バウッツェル', 57, 80, 115, 50, 80, 95, '', 'fairy', null, 'g9', null, null, FALSE),</v>
      </c>
    </row>
    <row r="1120" spans="1:31">
      <c r="A1120" s="4" t="s">
        <v>2248</v>
      </c>
      <c r="B1120" s="4" t="s">
        <v>2249</v>
      </c>
      <c r="C1120" s="5">
        <v>41</v>
      </c>
      <c r="D1120" s="5">
        <v>35</v>
      </c>
      <c r="E1120" s="5">
        <v>45</v>
      </c>
      <c r="F1120" s="5">
        <v>58</v>
      </c>
      <c r="G1120" s="5">
        <v>51</v>
      </c>
      <c r="H1120" s="5">
        <v>30</v>
      </c>
      <c r="I1120" s="5"/>
      <c r="J1120" s="4" t="s">
        <v>30</v>
      </c>
      <c r="K1120" s="4" t="s">
        <v>80</v>
      </c>
      <c r="L1120" s="4" t="s">
        <v>368</v>
      </c>
      <c r="M1120" s="5"/>
      <c r="N1120" s="5"/>
      <c r="O1120" s="5" t="b">
        <v>1</v>
      </c>
      <c r="P1120" s="4" t="str">
        <f>IF(A1120="",IF(ISNUMBER(SEARCH("NOT NULL",UPPER(A$3))),"''","null"),SUBSTITUTE(VLOOKUP(A$2,convert!$A$1:$B$4,2,0),"@@@",A1120))</f>
        <v>'0928N01'</v>
      </c>
      <c r="Q1120" s="4" t="str">
        <f>IF(B1120="",IF(ISNUMBER(SEARCH("NOT NULL",UPPER(B$3))),"''","null"),SUBSTITUTE(VLOOKUP(B$2,convert!$A$1:$B$4,2,0),"@@@",B1120))</f>
        <v>'ミニーブ'</v>
      </c>
      <c r="R1120" s="4" t="str">
        <f>IF(C1120="",IF(ISNUMBER(SEARCH("NOT NULL",UPPER(C$3))),"''","null"),SUBSTITUTE(VLOOKUP(C$2,convert!$A$1:$B$4,2,0),"@@@",C1120))</f>
        <v>41</v>
      </c>
      <c r="S1120" s="4" t="str">
        <f>IF(D1120="",IF(ISNUMBER(SEARCH("NOT NULL",UPPER(D$3))),"''","null"),SUBSTITUTE(VLOOKUP(D$2,convert!$A$1:$B$4,2,0),"@@@",D1120))</f>
        <v>35</v>
      </c>
      <c r="T1120" s="4" t="str">
        <f>IF(E1120="",IF(ISNUMBER(SEARCH("NOT NULL",UPPER(E$3))),"''","null"),SUBSTITUTE(VLOOKUP(E$2,convert!$A$1:$B$4,2,0),"@@@",E1120))</f>
        <v>45</v>
      </c>
      <c r="U1120" s="4" t="str">
        <f>IF(F1120="",IF(ISNUMBER(SEARCH("NOT NULL",UPPER(F$3))),"''","null"),SUBSTITUTE(VLOOKUP(F$2,convert!$A$1:$B$4,2,0),"@@@",F1120))</f>
        <v>58</v>
      </c>
      <c r="V1120" s="4" t="str">
        <f>IF(G1120="",IF(ISNUMBER(SEARCH("NOT NULL",UPPER(G$3))),"''","null"),SUBSTITUTE(VLOOKUP(G$2,convert!$A$1:$B$4,2,0),"@@@",G1120))</f>
        <v>51</v>
      </c>
      <c r="W1120" s="4" t="str">
        <f>IF(H1120="",IF(ISNUMBER(SEARCH("NOT NULL",UPPER(H$3))),"''","null"),SUBSTITUTE(VLOOKUP(H$2,convert!$A$1:$B$4,2,0),"@@@",H1120))</f>
        <v>30</v>
      </c>
      <c r="X1120" s="4" t="str">
        <f>IF(I1120="",IF(ISNUMBER(SEARCH("NOT NULL",UPPER(I$3))),"''","null"),SUBSTITUTE(VLOOKUP(I$2,convert!$A$1:$B$4,2,0),"@@@",I1120))</f>
        <v>''</v>
      </c>
      <c r="Y1120" s="4" t="str">
        <f>IF(J1120="",IF(ISNUMBER(SEARCH("NOT NULL",UPPER(J$3))),"''","null"),SUBSTITUTE(VLOOKUP(J$2,convert!$A$1:$B$4,2,0),"@@@",J1120))</f>
        <v>'grass'</v>
      </c>
      <c r="Z1120" s="4" t="str">
        <f>IF(K1120="",IF(ISNUMBER(SEARCH("NOT NULL",UPPER(K$3))),"''","null"),SUBSTITUTE(VLOOKUP(K$2,convert!$A$1:$B$4,2,0),"@@@",K1120))</f>
        <v>'normal'</v>
      </c>
      <c r="AA1120" s="4" t="str">
        <f>IF(L1120="",IF(ISNUMBER(SEARCH("NOT NULL",UPPER(L$3))),"''","null"),SUBSTITUTE(VLOOKUP(L$2,convert!$A$1:$B$4,2,0),"@@@",L1120))</f>
        <v>'g9'</v>
      </c>
      <c r="AB1120" s="4" t="str">
        <f>IF(M1120="",IF(ISNUMBER(SEARCH("NOT NULL",UPPER(M$3))),"''","null"),SUBSTITUTE(VLOOKUP(M$2,convert!$A$1:$B$4,2,0),"@@@",M1120))</f>
        <v>null</v>
      </c>
      <c r="AC1120" s="4" t="str">
        <f>IF(N1120="",IF(ISNUMBER(SEARCH("NOT NULL",UPPER(N$3))),"''","null"),SUBSTITUTE(VLOOKUP(N$2,convert!$A$1:$B$4,2,0),"@@@",N1120))</f>
        <v>null</v>
      </c>
      <c r="AD1120" s="4" t="str">
        <f>IF(O1120="",IF(ISNUMBER(SEARCH("NOT NULL",UPPER(O$3))),"''","null"),SUBSTITUTE(VLOOKUP(O$2,convert!$A$1:$B$4,2,0),"@@@",O1120))</f>
        <v>TRUE</v>
      </c>
      <c r="AE1120" s="4" t="str">
        <f t="shared" si="17"/>
        <v>    ('0928N01', 'ミニーブ', 41, 35, 45, 58, 51, 30, '', 'grass', 'normal', 'g9', null, null, TRUE),</v>
      </c>
    </row>
    <row r="1121" spans="1:31">
      <c r="A1121" s="4" t="s">
        <v>2250</v>
      </c>
      <c r="B1121" s="4" t="s">
        <v>2251</v>
      </c>
      <c r="C1121" s="5">
        <v>52</v>
      </c>
      <c r="D1121" s="5">
        <v>53</v>
      </c>
      <c r="E1121" s="5">
        <v>60</v>
      </c>
      <c r="F1121" s="5">
        <v>78</v>
      </c>
      <c r="G1121" s="5">
        <v>78</v>
      </c>
      <c r="H1121" s="5">
        <v>33</v>
      </c>
      <c r="I1121" s="5"/>
      <c r="J1121" s="4" t="s">
        <v>30</v>
      </c>
      <c r="K1121" s="4" t="s">
        <v>80</v>
      </c>
      <c r="L1121" s="4" t="s">
        <v>368</v>
      </c>
      <c r="M1121" s="5"/>
      <c r="N1121" s="5"/>
      <c r="O1121" s="5" t="b">
        <v>1</v>
      </c>
      <c r="P1121" s="4" t="str">
        <f>IF(A1121="",IF(ISNUMBER(SEARCH("NOT NULL",UPPER(A$3))),"''","null"),SUBSTITUTE(VLOOKUP(A$2,convert!$A$1:$B$4,2,0),"@@@",A1121))</f>
        <v>'0929N01'</v>
      </c>
      <c r="Q1121" s="4" t="str">
        <f>IF(B1121="",IF(ISNUMBER(SEARCH("NOT NULL",UPPER(B$3))),"''","null"),SUBSTITUTE(VLOOKUP(B$2,convert!$A$1:$B$4,2,0),"@@@",B1121))</f>
        <v>'オリーニョ'</v>
      </c>
      <c r="R1121" s="4" t="str">
        <f>IF(C1121="",IF(ISNUMBER(SEARCH("NOT NULL",UPPER(C$3))),"''","null"),SUBSTITUTE(VLOOKUP(C$2,convert!$A$1:$B$4,2,0),"@@@",C1121))</f>
        <v>52</v>
      </c>
      <c r="S1121" s="4" t="str">
        <f>IF(D1121="",IF(ISNUMBER(SEARCH("NOT NULL",UPPER(D$3))),"''","null"),SUBSTITUTE(VLOOKUP(D$2,convert!$A$1:$B$4,2,0),"@@@",D1121))</f>
        <v>53</v>
      </c>
      <c r="T1121" s="4" t="str">
        <f>IF(E1121="",IF(ISNUMBER(SEARCH("NOT NULL",UPPER(E$3))),"''","null"),SUBSTITUTE(VLOOKUP(E$2,convert!$A$1:$B$4,2,0),"@@@",E1121))</f>
        <v>60</v>
      </c>
      <c r="U1121" s="4" t="str">
        <f>IF(F1121="",IF(ISNUMBER(SEARCH("NOT NULL",UPPER(F$3))),"''","null"),SUBSTITUTE(VLOOKUP(F$2,convert!$A$1:$B$4,2,0),"@@@",F1121))</f>
        <v>78</v>
      </c>
      <c r="V1121" s="4" t="str">
        <f>IF(G1121="",IF(ISNUMBER(SEARCH("NOT NULL",UPPER(G$3))),"''","null"),SUBSTITUTE(VLOOKUP(G$2,convert!$A$1:$B$4,2,0),"@@@",G1121))</f>
        <v>78</v>
      </c>
      <c r="W1121" s="4" t="str">
        <f>IF(H1121="",IF(ISNUMBER(SEARCH("NOT NULL",UPPER(H$3))),"''","null"),SUBSTITUTE(VLOOKUP(H$2,convert!$A$1:$B$4,2,0),"@@@",H1121))</f>
        <v>33</v>
      </c>
      <c r="X1121" s="4" t="str">
        <f>IF(I1121="",IF(ISNUMBER(SEARCH("NOT NULL",UPPER(I$3))),"''","null"),SUBSTITUTE(VLOOKUP(I$2,convert!$A$1:$B$4,2,0),"@@@",I1121))</f>
        <v>''</v>
      </c>
      <c r="Y1121" s="4" t="str">
        <f>IF(J1121="",IF(ISNUMBER(SEARCH("NOT NULL",UPPER(J$3))),"''","null"),SUBSTITUTE(VLOOKUP(J$2,convert!$A$1:$B$4,2,0),"@@@",J1121))</f>
        <v>'grass'</v>
      </c>
      <c r="Z1121" s="4" t="str">
        <f>IF(K1121="",IF(ISNUMBER(SEARCH("NOT NULL",UPPER(K$3))),"''","null"),SUBSTITUTE(VLOOKUP(K$2,convert!$A$1:$B$4,2,0),"@@@",K1121))</f>
        <v>'normal'</v>
      </c>
      <c r="AA1121" s="4" t="str">
        <f>IF(L1121="",IF(ISNUMBER(SEARCH("NOT NULL",UPPER(L$3))),"''","null"),SUBSTITUTE(VLOOKUP(L$2,convert!$A$1:$B$4,2,0),"@@@",L1121))</f>
        <v>'g9'</v>
      </c>
      <c r="AB1121" s="4" t="str">
        <f>IF(M1121="",IF(ISNUMBER(SEARCH("NOT NULL",UPPER(M$3))),"''","null"),SUBSTITUTE(VLOOKUP(M$2,convert!$A$1:$B$4,2,0),"@@@",M1121))</f>
        <v>null</v>
      </c>
      <c r="AC1121" s="4" t="str">
        <f>IF(N1121="",IF(ISNUMBER(SEARCH("NOT NULL",UPPER(N$3))),"''","null"),SUBSTITUTE(VLOOKUP(N$2,convert!$A$1:$B$4,2,0),"@@@",N1121))</f>
        <v>null</v>
      </c>
      <c r="AD1121" s="4" t="str">
        <f>IF(O1121="",IF(ISNUMBER(SEARCH("NOT NULL",UPPER(O$3))),"''","null"),SUBSTITUTE(VLOOKUP(O$2,convert!$A$1:$B$4,2,0),"@@@",O1121))</f>
        <v>TRUE</v>
      </c>
      <c r="AE1121" s="4" t="str">
        <f t="shared" si="17"/>
        <v>    ('0929N01', 'オリーニョ', 52, 53, 60, 78, 78, 33, '', 'grass', 'normal', 'g9', null, null, TRUE),</v>
      </c>
    </row>
    <row r="1122" spans="1:31">
      <c r="A1122" s="4" t="s">
        <v>2252</v>
      </c>
      <c r="B1122" s="4" t="s">
        <v>2253</v>
      </c>
      <c r="C1122" s="5">
        <v>78</v>
      </c>
      <c r="D1122" s="5">
        <v>69</v>
      </c>
      <c r="E1122" s="5">
        <v>90</v>
      </c>
      <c r="F1122" s="5">
        <v>125</v>
      </c>
      <c r="G1122" s="5">
        <v>109</v>
      </c>
      <c r="H1122" s="5">
        <v>39</v>
      </c>
      <c r="I1122" s="5"/>
      <c r="J1122" s="4" t="s">
        <v>30</v>
      </c>
      <c r="K1122" s="4" t="s">
        <v>80</v>
      </c>
      <c r="L1122" s="4" t="s">
        <v>368</v>
      </c>
      <c r="M1122" s="5"/>
      <c r="N1122" s="5"/>
      <c r="O1122" s="5" t="b">
        <v>1</v>
      </c>
      <c r="P1122" s="4" t="str">
        <f>IF(A1122="",IF(ISNUMBER(SEARCH("NOT NULL",UPPER(A$3))),"''","null"),SUBSTITUTE(VLOOKUP(A$2,convert!$A$1:$B$4,2,0),"@@@",A1122))</f>
        <v>'0930N01'</v>
      </c>
      <c r="Q1122" s="4" t="str">
        <f>IF(B1122="",IF(ISNUMBER(SEARCH("NOT NULL",UPPER(B$3))),"''","null"),SUBSTITUTE(VLOOKUP(B$2,convert!$A$1:$B$4,2,0),"@@@",B1122))</f>
        <v>'オリーヴァ'</v>
      </c>
      <c r="R1122" s="4" t="str">
        <f>IF(C1122="",IF(ISNUMBER(SEARCH("NOT NULL",UPPER(C$3))),"''","null"),SUBSTITUTE(VLOOKUP(C$2,convert!$A$1:$B$4,2,0),"@@@",C1122))</f>
        <v>78</v>
      </c>
      <c r="S1122" s="4" t="str">
        <f>IF(D1122="",IF(ISNUMBER(SEARCH("NOT NULL",UPPER(D$3))),"''","null"),SUBSTITUTE(VLOOKUP(D$2,convert!$A$1:$B$4,2,0),"@@@",D1122))</f>
        <v>69</v>
      </c>
      <c r="T1122" s="4" t="str">
        <f>IF(E1122="",IF(ISNUMBER(SEARCH("NOT NULL",UPPER(E$3))),"''","null"),SUBSTITUTE(VLOOKUP(E$2,convert!$A$1:$B$4,2,0),"@@@",E1122))</f>
        <v>90</v>
      </c>
      <c r="U1122" s="4" t="str">
        <f>IF(F1122="",IF(ISNUMBER(SEARCH("NOT NULL",UPPER(F$3))),"''","null"),SUBSTITUTE(VLOOKUP(F$2,convert!$A$1:$B$4,2,0),"@@@",F1122))</f>
        <v>125</v>
      </c>
      <c r="V1122" s="4" t="str">
        <f>IF(G1122="",IF(ISNUMBER(SEARCH("NOT NULL",UPPER(G$3))),"''","null"),SUBSTITUTE(VLOOKUP(G$2,convert!$A$1:$B$4,2,0),"@@@",G1122))</f>
        <v>109</v>
      </c>
      <c r="W1122" s="4" t="str">
        <f>IF(H1122="",IF(ISNUMBER(SEARCH("NOT NULL",UPPER(H$3))),"''","null"),SUBSTITUTE(VLOOKUP(H$2,convert!$A$1:$B$4,2,0),"@@@",H1122))</f>
        <v>39</v>
      </c>
      <c r="X1122" s="4" t="str">
        <f>IF(I1122="",IF(ISNUMBER(SEARCH("NOT NULL",UPPER(I$3))),"''","null"),SUBSTITUTE(VLOOKUP(I$2,convert!$A$1:$B$4,2,0),"@@@",I1122))</f>
        <v>''</v>
      </c>
      <c r="Y1122" s="4" t="str">
        <f>IF(J1122="",IF(ISNUMBER(SEARCH("NOT NULL",UPPER(J$3))),"''","null"),SUBSTITUTE(VLOOKUP(J$2,convert!$A$1:$B$4,2,0),"@@@",J1122))</f>
        <v>'grass'</v>
      </c>
      <c r="Z1122" s="4" t="str">
        <f>IF(K1122="",IF(ISNUMBER(SEARCH("NOT NULL",UPPER(K$3))),"''","null"),SUBSTITUTE(VLOOKUP(K$2,convert!$A$1:$B$4,2,0),"@@@",K1122))</f>
        <v>'normal'</v>
      </c>
      <c r="AA1122" s="4" t="str">
        <f>IF(L1122="",IF(ISNUMBER(SEARCH("NOT NULL",UPPER(L$3))),"''","null"),SUBSTITUTE(VLOOKUP(L$2,convert!$A$1:$B$4,2,0),"@@@",L1122))</f>
        <v>'g9'</v>
      </c>
      <c r="AB1122" s="4" t="str">
        <f>IF(M1122="",IF(ISNUMBER(SEARCH("NOT NULL",UPPER(M$3))),"''","null"),SUBSTITUTE(VLOOKUP(M$2,convert!$A$1:$B$4,2,0),"@@@",M1122))</f>
        <v>null</v>
      </c>
      <c r="AC1122" s="4" t="str">
        <f>IF(N1122="",IF(ISNUMBER(SEARCH("NOT NULL",UPPER(N$3))),"''","null"),SUBSTITUTE(VLOOKUP(N$2,convert!$A$1:$B$4,2,0),"@@@",N1122))</f>
        <v>null</v>
      </c>
      <c r="AD1122" s="4" t="str">
        <f>IF(O1122="",IF(ISNUMBER(SEARCH("NOT NULL",UPPER(O$3))),"''","null"),SUBSTITUTE(VLOOKUP(O$2,convert!$A$1:$B$4,2,0),"@@@",O1122))</f>
        <v>TRUE</v>
      </c>
      <c r="AE1122" s="4" t="str">
        <f t="shared" si="17"/>
        <v>    ('0930N01', 'オリーヴァ', 78, 69, 90, 125, 109, 39, '', 'grass', 'normal', 'g9', null, null, TRUE),</v>
      </c>
    </row>
    <row r="1123" spans="1:31">
      <c r="A1123" s="4" t="s">
        <v>2254</v>
      </c>
      <c r="B1123" s="4" t="s">
        <v>2255</v>
      </c>
      <c r="C1123" s="5">
        <v>82</v>
      </c>
      <c r="D1123" s="5">
        <v>96</v>
      </c>
      <c r="E1123" s="5">
        <v>51</v>
      </c>
      <c r="F1123" s="5">
        <v>45</v>
      </c>
      <c r="G1123" s="5">
        <v>51</v>
      </c>
      <c r="H1123" s="5">
        <v>92</v>
      </c>
      <c r="I1123" s="4" t="s">
        <v>2256</v>
      </c>
      <c r="J1123" s="4" t="s">
        <v>80</v>
      </c>
      <c r="K1123" s="4" t="s">
        <v>47</v>
      </c>
      <c r="L1123" s="4" t="s">
        <v>368</v>
      </c>
      <c r="M1123" s="5"/>
      <c r="N1123" s="5"/>
      <c r="O1123" s="5" t="b">
        <v>0</v>
      </c>
      <c r="P1123" s="4" t="str">
        <f>IF(A1123="",IF(ISNUMBER(SEARCH("NOT NULL",UPPER(A$3))),"''","null"),SUBSTITUTE(VLOOKUP(A$2,convert!$A$1:$B$4,2,0),"@@@",A1123))</f>
        <v>'0931N01'</v>
      </c>
      <c r="Q1123" s="4" t="str">
        <f>IF(B1123="",IF(ISNUMBER(SEARCH("NOT NULL",UPPER(B$3))),"''","null"),SUBSTITUTE(VLOOKUP(B$2,convert!$A$1:$B$4,2,0),"@@@",B1123))</f>
        <v>'イキリンコ'</v>
      </c>
      <c r="R1123" s="4" t="str">
        <f>IF(C1123="",IF(ISNUMBER(SEARCH("NOT NULL",UPPER(C$3))),"''","null"),SUBSTITUTE(VLOOKUP(C$2,convert!$A$1:$B$4,2,0),"@@@",C1123))</f>
        <v>82</v>
      </c>
      <c r="S1123" s="4" t="str">
        <f>IF(D1123="",IF(ISNUMBER(SEARCH("NOT NULL",UPPER(D$3))),"''","null"),SUBSTITUTE(VLOOKUP(D$2,convert!$A$1:$B$4,2,0),"@@@",D1123))</f>
        <v>96</v>
      </c>
      <c r="T1123" s="4" t="str">
        <f>IF(E1123="",IF(ISNUMBER(SEARCH("NOT NULL",UPPER(E$3))),"''","null"),SUBSTITUTE(VLOOKUP(E$2,convert!$A$1:$B$4,2,0),"@@@",E1123))</f>
        <v>51</v>
      </c>
      <c r="U1123" s="4" t="str">
        <f>IF(F1123="",IF(ISNUMBER(SEARCH("NOT NULL",UPPER(F$3))),"''","null"),SUBSTITUTE(VLOOKUP(F$2,convert!$A$1:$B$4,2,0),"@@@",F1123))</f>
        <v>45</v>
      </c>
      <c r="V1123" s="4" t="str">
        <f>IF(G1123="",IF(ISNUMBER(SEARCH("NOT NULL",UPPER(G$3))),"''","null"),SUBSTITUTE(VLOOKUP(G$2,convert!$A$1:$B$4,2,0),"@@@",G1123))</f>
        <v>51</v>
      </c>
      <c r="W1123" s="4" t="str">
        <f>IF(H1123="",IF(ISNUMBER(SEARCH("NOT NULL",UPPER(H$3))),"''","null"),SUBSTITUTE(VLOOKUP(H$2,convert!$A$1:$B$4,2,0),"@@@",H1123))</f>
        <v>92</v>
      </c>
      <c r="X1123" s="4" t="str">
        <f>IF(I1123="",IF(ISNUMBER(SEARCH("NOT NULL",UPPER(I$3))),"''","null"),SUBSTITUTE(VLOOKUP(I$2,convert!$A$1:$B$4,2,0),"@@@",I1123))</f>
        <v>'グリーンフェザー'</v>
      </c>
      <c r="Y1123" s="4" t="str">
        <f>IF(J1123="",IF(ISNUMBER(SEARCH("NOT NULL",UPPER(J$3))),"''","null"),SUBSTITUTE(VLOOKUP(J$2,convert!$A$1:$B$4,2,0),"@@@",J1123))</f>
        <v>'normal'</v>
      </c>
      <c r="Z1123" s="4" t="str">
        <f>IF(K1123="",IF(ISNUMBER(SEARCH("NOT NULL",UPPER(K$3))),"''","null"),SUBSTITUTE(VLOOKUP(K$2,convert!$A$1:$B$4,2,0),"@@@",K1123))</f>
        <v>'flying'</v>
      </c>
      <c r="AA1123" s="4" t="str">
        <f>IF(L1123="",IF(ISNUMBER(SEARCH("NOT NULL",UPPER(L$3))),"''","null"),SUBSTITUTE(VLOOKUP(L$2,convert!$A$1:$B$4,2,0),"@@@",L1123))</f>
        <v>'g9'</v>
      </c>
      <c r="AB1123" s="4" t="str">
        <f>IF(M1123="",IF(ISNUMBER(SEARCH("NOT NULL",UPPER(M$3))),"''","null"),SUBSTITUTE(VLOOKUP(M$2,convert!$A$1:$B$4,2,0),"@@@",M1123))</f>
        <v>null</v>
      </c>
      <c r="AC1123" s="4" t="str">
        <f>IF(N1123="",IF(ISNUMBER(SEARCH("NOT NULL",UPPER(N$3))),"''","null"),SUBSTITUTE(VLOOKUP(N$2,convert!$A$1:$B$4,2,0),"@@@",N1123))</f>
        <v>null</v>
      </c>
      <c r="AD1123" s="4" t="str">
        <f>IF(O1123="",IF(ISNUMBER(SEARCH("NOT NULL",UPPER(O$3))),"''","null"),SUBSTITUTE(VLOOKUP(O$2,convert!$A$1:$B$4,2,0),"@@@",O1123))</f>
        <v>FALSE</v>
      </c>
      <c r="AE1123" s="4" t="str">
        <f t="shared" si="17"/>
        <v>    ('0931N01', 'イキリンコ', 82, 96, 51, 45, 51, 92, 'グリーンフェザー', 'normal', 'flying', 'g9', null, null, FALSE),</v>
      </c>
    </row>
    <row r="1124" spans="1:31">
      <c r="A1124" s="4" t="s">
        <v>2257</v>
      </c>
      <c r="B1124" s="4" t="s">
        <v>2255</v>
      </c>
      <c r="C1124" s="5">
        <v>82</v>
      </c>
      <c r="D1124" s="5">
        <v>96</v>
      </c>
      <c r="E1124" s="5">
        <v>51</v>
      </c>
      <c r="F1124" s="5">
        <v>45</v>
      </c>
      <c r="G1124" s="5">
        <v>51</v>
      </c>
      <c r="H1124" s="5">
        <v>92</v>
      </c>
      <c r="I1124" s="4" t="s">
        <v>2258</v>
      </c>
      <c r="J1124" s="4" t="s">
        <v>80</v>
      </c>
      <c r="K1124" s="4" t="s">
        <v>47</v>
      </c>
      <c r="L1124" s="4" t="s">
        <v>368</v>
      </c>
      <c r="M1124" s="5"/>
      <c r="N1124" s="5"/>
      <c r="O1124" s="5" t="b">
        <v>0</v>
      </c>
      <c r="P1124" s="4" t="str">
        <f>IF(A1124="",IF(ISNUMBER(SEARCH("NOT NULL",UPPER(A$3))),"''","null"),SUBSTITUTE(VLOOKUP(A$2,convert!$A$1:$B$4,2,0),"@@@",A1124))</f>
        <v>'0931N02'</v>
      </c>
      <c r="Q1124" s="4" t="str">
        <f>IF(B1124="",IF(ISNUMBER(SEARCH("NOT NULL",UPPER(B$3))),"''","null"),SUBSTITUTE(VLOOKUP(B$2,convert!$A$1:$B$4,2,0),"@@@",B1124))</f>
        <v>'イキリンコ'</v>
      </c>
      <c r="R1124" s="4" t="str">
        <f>IF(C1124="",IF(ISNUMBER(SEARCH("NOT NULL",UPPER(C$3))),"''","null"),SUBSTITUTE(VLOOKUP(C$2,convert!$A$1:$B$4,2,0),"@@@",C1124))</f>
        <v>82</v>
      </c>
      <c r="S1124" s="4" t="str">
        <f>IF(D1124="",IF(ISNUMBER(SEARCH("NOT NULL",UPPER(D$3))),"''","null"),SUBSTITUTE(VLOOKUP(D$2,convert!$A$1:$B$4,2,0),"@@@",D1124))</f>
        <v>96</v>
      </c>
      <c r="T1124" s="4" t="str">
        <f>IF(E1124="",IF(ISNUMBER(SEARCH("NOT NULL",UPPER(E$3))),"''","null"),SUBSTITUTE(VLOOKUP(E$2,convert!$A$1:$B$4,2,0),"@@@",E1124))</f>
        <v>51</v>
      </c>
      <c r="U1124" s="4" t="str">
        <f>IF(F1124="",IF(ISNUMBER(SEARCH("NOT NULL",UPPER(F$3))),"''","null"),SUBSTITUTE(VLOOKUP(F$2,convert!$A$1:$B$4,2,0),"@@@",F1124))</f>
        <v>45</v>
      </c>
      <c r="V1124" s="4" t="str">
        <f>IF(G1124="",IF(ISNUMBER(SEARCH("NOT NULL",UPPER(G$3))),"''","null"),SUBSTITUTE(VLOOKUP(G$2,convert!$A$1:$B$4,2,0),"@@@",G1124))</f>
        <v>51</v>
      </c>
      <c r="W1124" s="4" t="str">
        <f>IF(H1124="",IF(ISNUMBER(SEARCH("NOT NULL",UPPER(H$3))),"''","null"),SUBSTITUTE(VLOOKUP(H$2,convert!$A$1:$B$4,2,0),"@@@",H1124))</f>
        <v>92</v>
      </c>
      <c r="X1124" s="4" t="str">
        <f>IF(I1124="",IF(ISNUMBER(SEARCH("NOT NULL",UPPER(I$3))),"''","null"),SUBSTITUTE(VLOOKUP(I$2,convert!$A$1:$B$4,2,0),"@@@",I1124))</f>
        <v>'ブルーフェザー'</v>
      </c>
      <c r="Y1124" s="4" t="str">
        <f>IF(J1124="",IF(ISNUMBER(SEARCH("NOT NULL",UPPER(J$3))),"''","null"),SUBSTITUTE(VLOOKUP(J$2,convert!$A$1:$B$4,2,0),"@@@",J1124))</f>
        <v>'normal'</v>
      </c>
      <c r="Z1124" s="4" t="str">
        <f>IF(K1124="",IF(ISNUMBER(SEARCH("NOT NULL",UPPER(K$3))),"''","null"),SUBSTITUTE(VLOOKUP(K$2,convert!$A$1:$B$4,2,0),"@@@",K1124))</f>
        <v>'flying'</v>
      </c>
      <c r="AA1124" s="4" t="str">
        <f>IF(L1124="",IF(ISNUMBER(SEARCH("NOT NULL",UPPER(L$3))),"''","null"),SUBSTITUTE(VLOOKUP(L$2,convert!$A$1:$B$4,2,0),"@@@",L1124))</f>
        <v>'g9'</v>
      </c>
      <c r="AB1124" s="4" t="str">
        <f>IF(M1124="",IF(ISNUMBER(SEARCH("NOT NULL",UPPER(M$3))),"''","null"),SUBSTITUTE(VLOOKUP(M$2,convert!$A$1:$B$4,2,0),"@@@",M1124))</f>
        <v>null</v>
      </c>
      <c r="AC1124" s="4" t="str">
        <f>IF(N1124="",IF(ISNUMBER(SEARCH("NOT NULL",UPPER(N$3))),"''","null"),SUBSTITUTE(VLOOKUP(N$2,convert!$A$1:$B$4,2,0),"@@@",N1124))</f>
        <v>null</v>
      </c>
      <c r="AD1124" s="4" t="str">
        <f>IF(O1124="",IF(ISNUMBER(SEARCH("NOT NULL",UPPER(O$3))),"''","null"),SUBSTITUTE(VLOOKUP(O$2,convert!$A$1:$B$4,2,0),"@@@",O1124))</f>
        <v>FALSE</v>
      </c>
      <c r="AE1124" s="4" t="str">
        <f t="shared" si="17"/>
        <v>    ('0931N02', 'イキリンコ', 82, 96, 51, 45, 51, 92, 'ブルーフェザー', 'normal', 'flying', 'g9', null, null, FALSE),</v>
      </c>
    </row>
    <row r="1125" spans="1:31">
      <c r="A1125" s="4" t="s">
        <v>2259</v>
      </c>
      <c r="B1125" s="4" t="s">
        <v>2255</v>
      </c>
      <c r="C1125" s="5">
        <v>82</v>
      </c>
      <c r="D1125" s="5">
        <v>96</v>
      </c>
      <c r="E1125" s="5">
        <v>51</v>
      </c>
      <c r="F1125" s="5">
        <v>45</v>
      </c>
      <c r="G1125" s="5">
        <v>51</v>
      </c>
      <c r="H1125" s="5">
        <v>92</v>
      </c>
      <c r="I1125" s="4" t="s">
        <v>2260</v>
      </c>
      <c r="J1125" s="4" t="s">
        <v>80</v>
      </c>
      <c r="K1125" s="4" t="s">
        <v>47</v>
      </c>
      <c r="L1125" s="4" t="s">
        <v>368</v>
      </c>
      <c r="M1125" s="5"/>
      <c r="N1125" s="5"/>
      <c r="O1125" s="5" t="b">
        <v>0</v>
      </c>
      <c r="P1125" s="4" t="str">
        <f>IF(A1125="",IF(ISNUMBER(SEARCH("NOT NULL",UPPER(A$3))),"''","null"),SUBSTITUTE(VLOOKUP(A$2,convert!$A$1:$B$4,2,0),"@@@",A1125))</f>
        <v>'0931N03'</v>
      </c>
      <c r="Q1125" s="4" t="str">
        <f>IF(B1125="",IF(ISNUMBER(SEARCH("NOT NULL",UPPER(B$3))),"''","null"),SUBSTITUTE(VLOOKUP(B$2,convert!$A$1:$B$4,2,0),"@@@",B1125))</f>
        <v>'イキリンコ'</v>
      </c>
      <c r="R1125" s="4" t="str">
        <f>IF(C1125="",IF(ISNUMBER(SEARCH("NOT NULL",UPPER(C$3))),"''","null"),SUBSTITUTE(VLOOKUP(C$2,convert!$A$1:$B$4,2,0),"@@@",C1125))</f>
        <v>82</v>
      </c>
      <c r="S1125" s="4" t="str">
        <f>IF(D1125="",IF(ISNUMBER(SEARCH("NOT NULL",UPPER(D$3))),"''","null"),SUBSTITUTE(VLOOKUP(D$2,convert!$A$1:$B$4,2,0),"@@@",D1125))</f>
        <v>96</v>
      </c>
      <c r="T1125" s="4" t="str">
        <f>IF(E1125="",IF(ISNUMBER(SEARCH("NOT NULL",UPPER(E$3))),"''","null"),SUBSTITUTE(VLOOKUP(E$2,convert!$A$1:$B$4,2,0),"@@@",E1125))</f>
        <v>51</v>
      </c>
      <c r="U1125" s="4" t="str">
        <f>IF(F1125="",IF(ISNUMBER(SEARCH("NOT NULL",UPPER(F$3))),"''","null"),SUBSTITUTE(VLOOKUP(F$2,convert!$A$1:$B$4,2,0),"@@@",F1125))</f>
        <v>45</v>
      </c>
      <c r="V1125" s="4" t="str">
        <f>IF(G1125="",IF(ISNUMBER(SEARCH("NOT NULL",UPPER(G$3))),"''","null"),SUBSTITUTE(VLOOKUP(G$2,convert!$A$1:$B$4,2,0),"@@@",G1125))</f>
        <v>51</v>
      </c>
      <c r="W1125" s="4" t="str">
        <f>IF(H1125="",IF(ISNUMBER(SEARCH("NOT NULL",UPPER(H$3))),"''","null"),SUBSTITUTE(VLOOKUP(H$2,convert!$A$1:$B$4,2,0),"@@@",H1125))</f>
        <v>92</v>
      </c>
      <c r="X1125" s="4" t="str">
        <f>IF(I1125="",IF(ISNUMBER(SEARCH("NOT NULL",UPPER(I$3))),"''","null"),SUBSTITUTE(VLOOKUP(I$2,convert!$A$1:$B$4,2,0),"@@@",I1125))</f>
        <v>'イエローフェザー'</v>
      </c>
      <c r="Y1125" s="4" t="str">
        <f>IF(J1125="",IF(ISNUMBER(SEARCH("NOT NULL",UPPER(J$3))),"''","null"),SUBSTITUTE(VLOOKUP(J$2,convert!$A$1:$B$4,2,0),"@@@",J1125))</f>
        <v>'normal'</v>
      </c>
      <c r="Z1125" s="4" t="str">
        <f>IF(K1125="",IF(ISNUMBER(SEARCH("NOT NULL",UPPER(K$3))),"''","null"),SUBSTITUTE(VLOOKUP(K$2,convert!$A$1:$B$4,2,0),"@@@",K1125))</f>
        <v>'flying'</v>
      </c>
      <c r="AA1125" s="4" t="str">
        <f>IF(L1125="",IF(ISNUMBER(SEARCH("NOT NULL",UPPER(L$3))),"''","null"),SUBSTITUTE(VLOOKUP(L$2,convert!$A$1:$B$4,2,0),"@@@",L1125))</f>
        <v>'g9'</v>
      </c>
      <c r="AB1125" s="4" t="str">
        <f>IF(M1125="",IF(ISNUMBER(SEARCH("NOT NULL",UPPER(M$3))),"''","null"),SUBSTITUTE(VLOOKUP(M$2,convert!$A$1:$B$4,2,0),"@@@",M1125))</f>
        <v>null</v>
      </c>
      <c r="AC1125" s="4" t="str">
        <f>IF(N1125="",IF(ISNUMBER(SEARCH("NOT NULL",UPPER(N$3))),"''","null"),SUBSTITUTE(VLOOKUP(N$2,convert!$A$1:$B$4,2,0),"@@@",N1125))</f>
        <v>null</v>
      </c>
      <c r="AD1125" s="4" t="str">
        <f>IF(O1125="",IF(ISNUMBER(SEARCH("NOT NULL",UPPER(O$3))),"''","null"),SUBSTITUTE(VLOOKUP(O$2,convert!$A$1:$B$4,2,0),"@@@",O1125))</f>
        <v>FALSE</v>
      </c>
      <c r="AE1125" s="4" t="str">
        <f t="shared" si="17"/>
        <v>    ('0931N03', 'イキリンコ', 82, 96, 51, 45, 51, 92, 'イエローフェザー', 'normal', 'flying', 'g9', null, null, FALSE),</v>
      </c>
    </row>
    <row r="1126" spans="1:31">
      <c r="A1126" s="4" t="s">
        <v>2261</v>
      </c>
      <c r="B1126" s="4" t="s">
        <v>2255</v>
      </c>
      <c r="C1126" s="5">
        <v>82</v>
      </c>
      <c r="D1126" s="5">
        <v>96</v>
      </c>
      <c r="E1126" s="5">
        <v>51</v>
      </c>
      <c r="F1126" s="5">
        <v>45</v>
      </c>
      <c r="G1126" s="5">
        <v>51</v>
      </c>
      <c r="H1126" s="5">
        <v>92</v>
      </c>
      <c r="I1126" s="4" t="s">
        <v>2262</v>
      </c>
      <c r="J1126" s="4" t="s">
        <v>80</v>
      </c>
      <c r="K1126" s="4" t="s">
        <v>47</v>
      </c>
      <c r="L1126" s="4" t="s">
        <v>368</v>
      </c>
      <c r="M1126" s="5"/>
      <c r="N1126" s="5"/>
      <c r="O1126" s="5" t="b">
        <v>0</v>
      </c>
      <c r="P1126" s="4" t="str">
        <f>IF(A1126="",IF(ISNUMBER(SEARCH("NOT NULL",UPPER(A$3))),"''","null"),SUBSTITUTE(VLOOKUP(A$2,convert!$A$1:$B$4,2,0),"@@@",A1126))</f>
        <v>'0931N04'</v>
      </c>
      <c r="Q1126" s="4" t="str">
        <f>IF(B1126="",IF(ISNUMBER(SEARCH("NOT NULL",UPPER(B$3))),"''","null"),SUBSTITUTE(VLOOKUP(B$2,convert!$A$1:$B$4,2,0),"@@@",B1126))</f>
        <v>'イキリンコ'</v>
      </c>
      <c r="R1126" s="4" t="str">
        <f>IF(C1126="",IF(ISNUMBER(SEARCH("NOT NULL",UPPER(C$3))),"''","null"),SUBSTITUTE(VLOOKUP(C$2,convert!$A$1:$B$4,2,0),"@@@",C1126))</f>
        <v>82</v>
      </c>
      <c r="S1126" s="4" t="str">
        <f>IF(D1126="",IF(ISNUMBER(SEARCH("NOT NULL",UPPER(D$3))),"''","null"),SUBSTITUTE(VLOOKUP(D$2,convert!$A$1:$B$4,2,0),"@@@",D1126))</f>
        <v>96</v>
      </c>
      <c r="T1126" s="4" t="str">
        <f>IF(E1126="",IF(ISNUMBER(SEARCH("NOT NULL",UPPER(E$3))),"''","null"),SUBSTITUTE(VLOOKUP(E$2,convert!$A$1:$B$4,2,0),"@@@",E1126))</f>
        <v>51</v>
      </c>
      <c r="U1126" s="4" t="str">
        <f>IF(F1126="",IF(ISNUMBER(SEARCH("NOT NULL",UPPER(F$3))),"''","null"),SUBSTITUTE(VLOOKUP(F$2,convert!$A$1:$B$4,2,0),"@@@",F1126))</f>
        <v>45</v>
      </c>
      <c r="V1126" s="4" t="str">
        <f>IF(G1126="",IF(ISNUMBER(SEARCH("NOT NULL",UPPER(G$3))),"''","null"),SUBSTITUTE(VLOOKUP(G$2,convert!$A$1:$B$4,2,0),"@@@",G1126))</f>
        <v>51</v>
      </c>
      <c r="W1126" s="4" t="str">
        <f>IF(H1126="",IF(ISNUMBER(SEARCH("NOT NULL",UPPER(H$3))),"''","null"),SUBSTITUTE(VLOOKUP(H$2,convert!$A$1:$B$4,2,0),"@@@",H1126))</f>
        <v>92</v>
      </c>
      <c r="X1126" s="4" t="str">
        <f>IF(I1126="",IF(ISNUMBER(SEARCH("NOT NULL",UPPER(I$3))),"''","null"),SUBSTITUTE(VLOOKUP(I$2,convert!$A$1:$B$4,2,0),"@@@",I1126))</f>
        <v>'ホワイトフェザー'</v>
      </c>
      <c r="Y1126" s="4" t="str">
        <f>IF(J1126="",IF(ISNUMBER(SEARCH("NOT NULL",UPPER(J$3))),"''","null"),SUBSTITUTE(VLOOKUP(J$2,convert!$A$1:$B$4,2,0),"@@@",J1126))</f>
        <v>'normal'</v>
      </c>
      <c r="Z1126" s="4" t="str">
        <f>IF(K1126="",IF(ISNUMBER(SEARCH("NOT NULL",UPPER(K$3))),"''","null"),SUBSTITUTE(VLOOKUP(K$2,convert!$A$1:$B$4,2,0),"@@@",K1126))</f>
        <v>'flying'</v>
      </c>
      <c r="AA1126" s="4" t="str">
        <f>IF(L1126="",IF(ISNUMBER(SEARCH("NOT NULL",UPPER(L$3))),"''","null"),SUBSTITUTE(VLOOKUP(L$2,convert!$A$1:$B$4,2,0),"@@@",L1126))</f>
        <v>'g9'</v>
      </c>
      <c r="AB1126" s="4" t="str">
        <f>IF(M1126="",IF(ISNUMBER(SEARCH("NOT NULL",UPPER(M$3))),"''","null"),SUBSTITUTE(VLOOKUP(M$2,convert!$A$1:$B$4,2,0),"@@@",M1126))</f>
        <v>null</v>
      </c>
      <c r="AC1126" s="4" t="str">
        <f>IF(N1126="",IF(ISNUMBER(SEARCH("NOT NULL",UPPER(N$3))),"''","null"),SUBSTITUTE(VLOOKUP(N$2,convert!$A$1:$B$4,2,0),"@@@",N1126))</f>
        <v>null</v>
      </c>
      <c r="AD1126" s="4" t="str">
        <f>IF(O1126="",IF(ISNUMBER(SEARCH("NOT NULL",UPPER(O$3))),"''","null"),SUBSTITUTE(VLOOKUP(O$2,convert!$A$1:$B$4,2,0),"@@@",O1126))</f>
        <v>FALSE</v>
      </c>
      <c r="AE1126" s="4" t="str">
        <f t="shared" si="17"/>
        <v>    ('0931N04', 'イキリンコ', 82, 96, 51, 45, 51, 92, 'ホワイトフェザー', 'normal', 'flying', 'g9', null, null, FALSE),</v>
      </c>
    </row>
    <row r="1127" spans="1:31">
      <c r="A1127" s="4" t="s">
        <v>2263</v>
      </c>
      <c r="B1127" s="4" t="s">
        <v>2264</v>
      </c>
      <c r="C1127" s="5">
        <v>55</v>
      </c>
      <c r="D1127" s="5">
        <v>55</v>
      </c>
      <c r="E1127" s="5">
        <v>75</v>
      </c>
      <c r="F1127" s="5">
        <v>35</v>
      </c>
      <c r="G1127" s="5">
        <v>35</v>
      </c>
      <c r="H1127" s="5">
        <v>25</v>
      </c>
      <c r="I1127" s="5"/>
      <c r="J1127" s="4" t="s">
        <v>196</v>
      </c>
      <c r="K1127" s="5"/>
      <c r="L1127" s="4" t="s">
        <v>368</v>
      </c>
      <c r="M1127" s="5"/>
      <c r="N1127" s="5"/>
      <c r="O1127" s="5" t="b">
        <v>0</v>
      </c>
      <c r="P1127" s="4" t="str">
        <f>IF(A1127="",IF(ISNUMBER(SEARCH("NOT NULL",UPPER(A$3))),"''","null"),SUBSTITUTE(VLOOKUP(A$2,convert!$A$1:$B$4,2,0),"@@@",A1127))</f>
        <v>'0932N01'</v>
      </c>
      <c r="Q1127" s="4" t="str">
        <f>IF(B1127="",IF(ISNUMBER(SEARCH("NOT NULL",UPPER(B$3))),"''","null"),SUBSTITUTE(VLOOKUP(B$2,convert!$A$1:$B$4,2,0),"@@@",B1127))</f>
        <v>'コジオ'</v>
      </c>
      <c r="R1127" s="4" t="str">
        <f>IF(C1127="",IF(ISNUMBER(SEARCH("NOT NULL",UPPER(C$3))),"''","null"),SUBSTITUTE(VLOOKUP(C$2,convert!$A$1:$B$4,2,0),"@@@",C1127))</f>
        <v>55</v>
      </c>
      <c r="S1127" s="4" t="str">
        <f>IF(D1127="",IF(ISNUMBER(SEARCH("NOT NULL",UPPER(D$3))),"''","null"),SUBSTITUTE(VLOOKUP(D$2,convert!$A$1:$B$4,2,0),"@@@",D1127))</f>
        <v>55</v>
      </c>
      <c r="T1127" s="4" t="str">
        <f>IF(E1127="",IF(ISNUMBER(SEARCH("NOT NULL",UPPER(E$3))),"''","null"),SUBSTITUTE(VLOOKUP(E$2,convert!$A$1:$B$4,2,0),"@@@",E1127))</f>
        <v>75</v>
      </c>
      <c r="U1127" s="4" t="str">
        <f>IF(F1127="",IF(ISNUMBER(SEARCH("NOT NULL",UPPER(F$3))),"''","null"),SUBSTITUTE(VLOOKUP(F$2,convert!$A$1:$B$4,2,0),"@@@",F1127))</f>
        <v>35</v>
      </c>
      <c r="V1127" s="4" t="str">
        <f>IF(G1127="",IF(ISNUMBER(SEARCH("NOT NULL",UPPER(G$3))),"''","null"),SUBSTITUTE(VLOOKUP(G$2,convert!$A$1:$B$4,2,0),"@@@",G1127))</f>
        <v>35</v>
      </c>
      <c r="W1127" s="4" t="str">
        <f>IF(H1127="",IF(ISNUMBER(SEARCH("NOT NULL",UPPER(H$3))),"''","null"),SUBSTITUTE(VLOOKUP(H$2,convert!$A$1:$B$4,2,0),"@@@",H1127))</f>
        <v>25</v>
      </c>
      <c r="X1127" s="4" t="str">
        <f>IF(I1127="",IF(ISNUMBER(SEARCH("NOT NULL",UPPER(I$3))),"''","null"),SUBSTITUTE(VLOOKUP(I$2,convert!$A$1:$B$4,2,0),"@@@",I1127))</f>
        <v>''</v>
      </c>
      <c r="Y1127" s="4" t="str">
        <f>IF(J1127="",IF(ISNUMBER(SEARCH("NOT NULL",UPPER(J$3))),"''","null"),SUBSTITUTE(VLOOKUP(J$2,convert!$A$1:$B$4,2,0),"@@@",J1127))</f>
        <v>'rock'</v>
      </c>
      <c r="Z1127" s="4" t="str">
        <f>IF(K1127="",IF(ISNUMBER(SEARCH("NOT NULL",UPPER(K$3))),"''","null"),SUBSTITUTE(VLOOKUP(K$2,convert!$A$1:$B$4,2,0),"@@@",K1127))</f>
        <v>null</v>
      </c>
      <c r="AA1127" s="4" t="str">
        <f>IF(L1127="",IF(ISNUMBER(SEARCH("NOT NULL",UPPER(L$3))),"''","null"),SUBSTITUTE(VLOOKUP(L$2,convert!$A$1:$B$4,2,0),"@@@",L1127))</f>
        <v>'g9'</v>
      </c>
      <c r="AB1127" s="4" t="str">
        <f>IF(M1127="",IF(ISNUMBER(SEARCH("NOT NULL",UPPER(M$3))),"''","null"),SUBSTITUTE(VLOOKUP(M$2,convert!$A$1:$B$4,2,0),"@@@",M1127))</f>
        <v>null</v>
      </c>
      <c r="AC1127" s="4" t="str">
        <f>IF(N1127="",IF(ISNUMBER(SEARCH("NOT NULL",UPPER(N$3))),"''","null"),SUBSTITUTE(VLOOKUP(N$2,convert!$A$1:$B$4,2,0),"@@@",N1127))</f>
        <v>null</v>
      </c>
      <c r="AD1127" s="4" t="str">
        <f>IF(O1127="",IF(ISNUMBER(SEARCH("NOT NULL",UPPER(O$3))),"''","null"),SUBSTITUTE(VLOOKUP(O$2,convert!$A$1:$B$4,2,0),"@@@",O1127))</f>
        <v>FALSE</v>
      </c>
      <c r="AE1127" s="4" t="str">
        <f t="shared" si="17"/>
        <v>    ('0932N01', 'コジオ', 55, 55, 75, 35, 35, 25, '', 'rock', null, 'g9', null, null, FALSE),</v>
      </c>
    </row>
    <row r="1128" spans="1:31">
      <c r="A1128" s="4" t="s">
        <v>2265</v>
      </c>
      <c r="B1128" s="4" t="s">
        <v>2266</v>
      </c>
      <c r="C1128" s="5">
        <v>60</v>
      </c>
      <c r="D1128" s="5">
        <v>60</v>
      </c>
      <c r="E1128" s="5">
        <v>100</v>
      </c>
      <c r="F1128" s="5">
        <v>35</v>
      </c>
      <c r="G1128" s="5">
        <v>65</v>
      </c>
      <c r="H1128" s="5">
        <v>35</v>
      </c>
      <c r="I1128" s="5"/>
      <c r="J1128" s="4" t="s">
        <v>196</v>
      </c>
      <c r="K1128" s="5"/>
      <c r="L1128" s="4" t="s">
        <v>368</v>
      </c>
      <c r="M1128" s="5"/>
      <c r="N1128" s="5"/>
      <c r="O1128" s="5" t="b">
        <v>0</v>
      </c>
      <c r="P1128" s="4" t="str">
        <f>IF(A1128="",IF(ISNUMBER(SEARCH("NOT NULL",UPPER(A$3))),"''","null"),SUBSTITUTE(VLOOKUP(A$2,convert!$A$1:$B$4,2,0),"@@@",A1128))</f>
        <v>'0933N01'</v>
      </c>
      <c r="Q1128" s="4" t="str">
        <f>IF(B1128="",IF(ISNUMBER(SEARCH("NOT NULL",UPPER(B$3))),"''","null"),SUBSTITUTE(VLOOKUP(B$2,convert!$A$1:$B$4,2,0),"@@@",B1128))</f>
        <v>'ジオヅム'</v>
      </c>
      <c r="R1128" s="4" t="str">
        <f>IF(C1128="",IF(ISNUMBER(SEARCH("NOT NULL",UPPER(C$3))),"''","null"),SUBSTITUTE(VLOOKUP(C$2,convert!$A$1:$B$4,2,0),"@@@",C1128))</f>
        <v>60</v>
      </c>
      <c r="S1128" s="4" t="str">
        <f>IF(D1128="",IF(ISNUMBER(SEARCH("NOT NULL",UPPER(D$3))),"''","null"),SUBSTITUTE(VLOOKUP(D$2,convert!$A$1:$B$4,2,0),"@@@",D1128))</f>
        <v>60</v>
      </c>
      <c r="T1128" s="4" t="str">
        <f>IF(E1128="",IF(ISNUMBER(SEARCH("NOT NULL",UPPER(E$3))),"''","null"),SUBSTITUTE(VLOOKUP(E$2,convert!$A$1:$B$4,2,0),"@@@",E1128))</f>
        <v>100</v>
      </c>
      <c r="U1128" s="4" t="str">
        <f>IF(F1128="",IF(ISNUMBER(SEARCH("NOT NULL",UPPER(F$3))),"''","null"),SUBSTITUTE(VLOOKUP(F$2,convert!$A$1:$B$4,2,0),"@@@",F1128))</f>
        <v>35</v>
      </c>
      <c r="V1128" s="4" t="str">
        <f>IF(G1128="",IF(ISNUMBER(SEARCH("NOT NULL",UPPER(G$3))),"''","null"),SUBSTITUTE(VLOOKUP(G$2,convert!$A$1:$B$4,2,0),"@@@",G1128))</f>
        <v>65</v>
      </c>
      <c r="W1128" s="4" t="str">
        <f>IF(H1128="",IF(ISNUMBER(SEARCH("NOT NULL",UPPER(H$3))),"''","null"),SUBSTITUTE(VLOOKUP(H$2,convert!$A$1:$B$4,2,0),"@@@",H1128))</f>
        <v>35</v>
      </c>
      <c r="X1128" s="4" t="str">
        <f>IF(I1128="",IF(ISNUMBER(SEARCH("NOT NULL",UPPER(I$3))),"''","null"),SUBSTITUTE(VLOOKUP(I$2,convert!$A$1:$B$4,2,0),"@@@",I1128))</f>
        <v>''</v>
      </c>
      <c r="Y1128" s="4" t="str">
        <f>IF(J1128="",IF(ISNUMBER(SEARCH("NOT NULL",UPPER(J$3))),"''","null"),SUBSTITUTE(VLOOKUP(J$2,convert!$A$1:$B$4,2,0),"@@@",J1128))</f>
        <v>'rock'</v>
      </c>
      <c r="Z1128" s="4" t="str">
        <f>IF(K1128="",IF(ISNUMBER(SEARCH("NOT NULL",UPPER(K$3))),"''","null"),SUBSTITUTE(VLOOKUP(K$2,convert!$A$1:$B$4,2,0),"@@@",K1128))</f>
        <v>null</v>
      </c>
      <c r="AA1128" s="4" t="str">
        <f>IF(L1128="",IF(ISNUMBER(SEARCH("NOT NULL",UPPER(L$3))),"''","null"),SUBSTITUTE(VLOOKUP(L$2,convert!$A$1:$B$4,2,0),"@@@",L1128))</f>
        <v>'g9'</v>
      </c>
      <c r="AB1128" s="4" t="str">
        <f>IF(M1128="",IF(ISNUMBER(SEARCH("NOT NULL",UPPER(M$3))),"''","null"),SUBSTITUTE(VLOOKUP(M$2,convert!$A$1:$B$4,2,0),"@@@",M1128))</f>
        <v>null</v>
      </c>
      <c r="AC1128" s="4" t="str">
        <f>IF(N1128="",IF(ISNUMBER(SEARCH("NOT NULL",UPPER(N$3))),"''","null"),SUBSTITUTE(VLOOKUP(N$2,convert!$A$1:$B$4,2,0),"@@@",N1128))</f>
        <v>null</v>
      </c>
      <c r="AD1128" s="4" t="str">
        <f>IF(O1128="",IF(ISNUMBER(SEARCH("NOT NULL",UPPER(O$3))),"''","null"),SUBSTITUTE(VLOOKUP(O$2,convert!$A$1:$B$4,2,0),"@@@",O1128))</f>
        <v>FALSE</v>
      </c>
      <c r="AE1128" s="4" t="str">
        <f t="shared" si="17"/>
        <v>    ('0933N01', 'ジオヅム', 60, 60, 100, 35, 65, 35, '', 'rock', null, 'g9', null, null, FALSE),</v>
      </c>
    </row>
    <row r="1129" spans="1:31">
      <c r="A1129" s="4" t="s">
        <v>2267</v>
      </c>
      <c r="B1129" s="4" t="s">
        <v>2268</v>
      </c>
      <c r="C1129" s="5">
        <v>100</v>
      </c>
      <c r="D1129" s="5">
        <v>100</v>
      </c>
      <c r="E1129" s="5">
        <v>130</v>
      </c>
      <c r="F1129" s="5">
        <v>45</v>
      </c>
      <c r="G1129" s="5">
        <v>90</v>
      </c>
      <c r="H1129" s="5">
        <v>35</v>
      </c>
      <c r="I1129" s="5"/>
      <c r="J1129" s="4" t="s">
        <v>196</v>
      </c>
      <c r="K1129" s="5"/>
      <c r="L1129" s="4" t="s">
        <v>368</v>
      </c>
      <c r="M1129" s="5"/>
      <c r="N1129" s="5"/>
      <c r="O1129" s="5" t="b">
        <v>0</v>
      </c>
      <c r="P1129" s="4" t="str">
        <f>IF(A1129="",IF(ISNUMBER(SEARCH("NOT NULL",UPPER(A$3))),"''","null"),SUBSTITUTE(VLOOKUP(A$2,convert!$A$1:$B$4,2,0),"@@@",A1129))</f>
        <v>'0934N01'</v>
      </c>
      <c r="Q1129" s="4" t="str">
        <f>IF(B1129="",IF(ISNUMBER(SEARCH("NOT NULL",UPPER(B$3))),"''","null"),SUBSTITUTE(VLOOKUP(B$2,convert!$A$1:$B$4,2,0),"@@@",B1129))</f>
        <v>'キョジオーン'</v>
      </c>
      <c r="R1129" s="4" t="str">
        <f>IF(C1129="",IF(ISNUMBER(SEARCH("NOT NULL",UPPER(C$3))),"''","null"),SUBSTITUTE(VLOOKUP(C$2,convert!$A$1:$B$4,2,0),"@@@",C1129))</f>
        <v>100</v>
      </c>
      <c r="S1129" s="4" t="str">
        <f>IF(D1129="",IF(ISNUMBER(SEARCH("NOT NULL",UPPER(D$3))),"''","null"),SUBSTITUTE(VLOOKUP(D$2,convert!$A$1:$B$4,2,0),"@@@",D1129))</f>
        <v>100</v>
      </c>
      <c r="T1129" s="4" t="str">
        <f>IF(E1129="",IF(ISNUMBER(SEARCH("NOT NULL",UPPER(E$3))),"''","null"),SUBSTITUTE(VLOOKUP(E$2,convert!$A$1:$B$4,2,0),"@@@",E1129))</f>
        <v>130</v>
      </c>
      <c r="U1129" s="4" t="str">
        <f>IF(F1129="",IF(ISNUMBER(SEARCH("NOT NULL",UPPER(F$3))),"''","null"),SUBSTITUTE(VLOOKUP(F$2,convert!$A$1:$B$4,2,0),"@@@",F1129))</f>
        <v>45</v>
      </c>
      <c r="V1129" s="4" t="str">
        <f>IF(G1129="",IF(ISNUMBER(SEARCH("NOT NULL",UPPER(G$3))),"''","null"),SUBSTITUTE(VLOOKUP(G$2,convert!$A$1:$B$4,2,0),"@@@",G1129))</f>
        <v>90</v>
      </c>
      <c r="W1129" s="4" t="str">
        <f>IF(H1129="",IF(ISNUMBER(SEARCH("NOT NULL",UPPER(H$3))),"''","null"),SUBSTITUTE(VLOOKUP(H$2,convert!$A$1:$B$4,2,0),"@@@",H1129))</f>
        <v>35</v>
      </c>
      <c r="X1129" s="4" t="str">
        <f>IF(I1129="",IF(ISNUMBER(SEARCH("NOT NULL",UPPER(I$3))),"''","null"),SUBSTITUTE(VLOOKUP(I$2,convert!$A$1:$B$4,2,0),"@@@",I1129))</f>
        <v>''</v>
      </c>
      <c r="Y1129" s="4" t="str">
        <f>IF(J1129="",IF(ISNUMBER(SEARCH("NOT NULL",UPPER(J$3))),"''","null"),SUBSTITUTE(VLOOKUP(J$2,convert!$A$1:$B$4,2,0),"@@@",J1129))</f>
        <v>'rock'</v>
      </c>
      <c r="Z1129" s="4" t="str">
        <f>IF(K1129="",IF(ISNUMBER(SEARCH("NOT NULL",UPPER(K$3))),"''","null"),SUBSTITUTE(VLOOKUP(K$2,convert!$A$1:$B$4,2,0),"@@@",K1129))</f>
        <v>null</v>
      </c>
      <c r="AA1129" s="4" t="str">
        <f>IF(L1129="",IF(ISNUMBER(SEARCH("NOT NULL",UPPER(L$3))),"''","null"),SUBSTITUTE(VLOOKUP(L$2,convert!$A$1:$B$4,2,0),"@@@",L1129))</f>
        <v>'g9'</v>
      </c>
      <c r="AB1129" s="4" t="str">
        <f>IF(M1129="",IF(ISNUMBER(SEARCH("NOT NULL",UPPER(M$3))),"''","null"),SUBSTITUTE(VLOOKUP(M$2,convert!$A$1:$B$4,2,0),"@@@",M1129))</f>
        <v>null</v>
      </c>
      <c r="AC1129" s="4" t="str">
        <f>IF(N1129="",IF(ISNUMBER(SEARCH("NOT NULL",UPPER(N$3))),"''","null"),SUBSTITUTE(VLOOKUP(N$2,convert!$A$1:$B$4,2,0),"@@@",N1129))</f>
        <v>null</v>
      </c>
      <c r="AD1129" s="4" t="str">
        <f>IF(O1129="",IF(ISNUMBER(SEARCH("NOT NULL",UPPER(O$3))),"''","null"),SUBSTITUTE(VLOOKUP(O$2,convert!$A$1:$B$4,2,0),"@@@",O1129))</f>
        <v>FALSE</v>
      </c>
      <c r="AE1129" s="4" t="str">
        <f t="shared" si="17"/>
        <v>    ('0934N01', 'キョジオーン', 100, 100, 130, 45, 90, 35, '', 'rock', null, 'g9', null, null, FALSE),</v>
      </c>
    </row>
    <row r="1130" spans="1:31">
      <c r="A1130" s="4" t="s">
        <v>2269</v>
      </c>
      <c r="B1130" s="4" t="s">
        <v>2270</v>
      </c>
      <c r="C1130" s="5">
        <v>40</v>
      </c>
      <c r="D1130" s="5">
        <v>50</v>
      </c>
      <c r="E1130" s="5">
        <v>40</v>
      </c>
      <c r="F1130" s="5">
        <v>50</v>
      </c>
      <c r="G1130" s="5">
        <v>40</v>
      </c>
      <c r="H1130" s="5">
        <v>35</v>
      </c>
      <c r="I1130" s="5"/>
      <c r="J1130" s="4" t="s">
        <v>42</v>
      </c>
      <c r="K1130" s="5"/>
      <c r="L1130" s="4" t="s">
        <v>368</v>
      </c>
      <c r="M1130" s="5"/>
      <c r="N1130" s="5"/>
      <c r="O1130" s="5" t="b">
        <v>0</v>
      </c>
      <c r="P1130" s="4" t="str">
        <f>IF(A1130="",IF(ISNUMBER(SEARCH("NOT NULL",UPPER(A$3))),"''","null"),SUBSTITUTE(VLOOKUP(A$2,convert!$A$1:$B$4,2,0),"@@@",A1130))</f>
        <v>'0935N01'</v>
      </c>
      <c r="Q1130" s="4" t="str">
        <f>IF(B1130="",IF(ISNUMBER(SEARCH("NOT NULL",UPPER(B$3))),"''","null"),SUBSTITUTE(VLOOKUP(B$2,convert!$A$1:$B$4,2,0),"@@@",B1130))</f>
        <v>'カルボウ'</v>
      </c>
      <c r="R1130" s="4" t="str">
        <f>IF(C1130="",IF(ISNUMBER(SEARCH("NOT NULL",UPPER(C$3))),"''","null"),SUBSTITUTE(VLOOKUP(C$2,convert!$A$1:$B$4,2,0),"@@@",C1130))</f>
        <v>40</v>
      </c>
      <c r="S1130" s="4" t="str">
        <f>IF(D1130="",IF(ISNUMBER(SEARCH("NOT NULL",UPPER(D$3))),"''","null"),SUBSTITUTE(VLOOKUP(D$2,convert!$A$1:$B$4,2,0),"@@@",D1130))</f>
        <v>50</v>
      </c>
      <c r="T1130" s="4" t="str">
        <f>IF(E1130="",IF(ISNUMBER(SEARCH("NOT NULL",UPPER(E$3))),"''","null"),SUBSTITUTE(VLOOKUP(E$2,convert!$A$1:$B$4,2,0),"@@@",E1130))</f>
        <v>40</v>
      </c>
      <c r="U1130" s="4" t="str">
        <f>IF(F1130="",IF(ISNUMBER(SEARCH("NOT NULL",UPPER(F$3))),"''","null"),SUBSTITUTE(VLOOKUP(F$2,convert!$A$1:$B$4,2,0),"@@@",F1130))</f>
        <v>50</v>
      </c>
      <c r="V1130" s="4" t="str">
        <f>IF(G1130="",IF(ISNUMBER(SEARCH("NOT NULL",UPPER(G$3))),"''","null"),SUBSTITUTE(VLOOKUP(G$2,convert!$A$1:$B$4,2,0),"@@@",G1130))</f>
        <v>40</v>
      </c>
      <c r="W1130" s="4" t="str">
        <f>IF(H1130="",IF(ISNUMBER(SEARCH("NOT NULL",UPPER(H$3))),"''","null"),SUBSTITUTE(VLOOKUP(H$2,convert!$A$1:$B$4,2,0),"@@@",H1130))</f>
        <v>35</v>
      </c>
      <c r="X1130" s="4" t="str">
        <f>IF(I1130="",IF(ISNUMBER(SEARCH("NOT NULL",UPPER(I$3))),"''","null"),SUBSTITUTE(VLOOKUP(I$2,convert!$A$1:$B$4,2,0),"@@@",I1130))</f>
        <v>''</v>
      </c>
      <c r="Y1130" s="4" t="str">
        <f>IF(J1130="",IF(ISNUMBER(SEARCH("NOT NULL",UPPER(J$3))),"''","null"),SUBSTITUTE(VLOOKUP(J$2,convert!$A$1:$B$4,2,0),"@@@",J1130))</f>
        <v>'fire'</v>
      </c>
      <c r="Z1130" s="4" t="str">
        <f>IF(K1130="",IF(ISNUMBER(SEARCH("NOT NULL",UPPER(K$3))),"''","null"),SUBSTITUTE(VLOOKUP(K$2,convert!$A$1:$B$4,2,0),"@@@",K1130))</f>
        <v>null</v>
      </c>
      <c r="AA1130" s="4" t="str">
        <f>IF(L1130="",IF(ISNUMBER(SEARCH("NOT NULL",UPPER(L$3))),"''","null"),SUBSTITUTE(VLOOKUP(L$2,convert!$A$1:$B$4,2,0),"@@@",L1130))</f>
        <v>'g9'</v>
      </c>
      <c r="AB1130" s="4" t="str">
        <f>IF(M1130="",IF(ISNUMBER(SEARCH("NOT NULL",UPPER(M$3))),"''","null"),SUBSTITUTE(VLOOKUP(M$2,convert!$A$1:$B$4,2,0),"@@@",M1130))</f>
        <v>null</v>
      </c>
      <c r="AC1130" s="4" t="str">
        <f>IF(N1130="",IF(ISNUMBER(SEARCH("NOT NULL",UPPER(N$3))),"''","null"),SUBSTITUTE(VLOOKUP(N$2,convert!$A$1:$B$4,2,0),"@@@",N1130))</f>
        <v>null</v>
      </c>
      <c r="AD1130" s="4" t="str">
        <f>IF(O1130="",IF(ISNUMBER(SEARCH("NOT NULL",UPPER(O$3))),"''","null"),SUBSTITUTE(VLOOKUP(O$2,convert!$A$1:$B$4,2,0),"@@@",O1130))</f>
        <v>FALSE</v>
      </c>
      <c r="AE1130" s="4" t="str">
        <f t="shared" si="17"/>
        <v>    ('0935N01', 'カルボウ', 40, 50, 40, 50, 40, 35, '', 'fire', null, 'g9', null, null, FALSE),</v>
      </c>
    </row>
    <row r="1131" spans="1:31">
      <c r="A1131" s="4" t="s">
        <v>2271</v>
      </c>
      <c r="B1131" s="4" t="s">
        <v>2272</v>
      </c>
      <c r="C1131" s="5">
        <v>85</v>
      </c>
      <c r="D1131" s="5">
        <v>60</v>
      </c>
      <c r="E1131" s="5">
        <v>100</v>
      </c>
      <c r="F1131" s="5">
        <v>125</v>
      </c>
      <c r="G1131" s="5">
        <v>80</v>
      </c>
      <c r="H1131" s="5">
        <v>75</v>
      </c>
      <c r="I1131" s="5"/>
      <c r="J1131" s="4" t="s">
        <v>42</v>
      </c>
      <c r="K1131" s="4" t="s">
        <v>113</v>
      </c>
      <c r="L1131" s="4" t="s">
        <v>368</v>
      </c>
      <c r="M1131" s="5"/>
      <c r="N1131" s="5"/>
      <c r="O1131" s="5" t="b">
        <v>0</v>
      </c>
      <c r="P1131" s="4" t="str">
        <f>IF(A1131="",IF(ISNUMBER(SEARCH("NOT NULL",UPPER(A$3))),"''","null"),SUBSTITUTE(VLOOKUP(A$2,convert!$A$1:$B$4,2,0),"@@@",A1131))</f>
        <v>'0936N01'</v>
      </c>
      <c r="Q1131" s="4" t="str">
        <f>IF(B1131="",IF(ISNUMBER(SEARCH("NOT NULL",UPPER(B$3))),"''","null"),SUBSTITUTE(VLOOKUP(B$2,convert!$A$1:$B$4,2,0),"@@@",B1131))</f>
        <v>'グレンアルマ'</v>
      </c>
      <c r="R1131" s="4" t="str">
        <f>IF(C1131="",IF(ISNUMBER(SEARCH("NOT NULL",UPPER(C$3))),"''","null"),SUBSTITUTE(VLOOKUP(C$2,convert!$A$1:$B$4,2,0),"@@@",C1131))</f>
        <v>85</v>
      </c>
      <c r="S1131" s="4" t="str">
        <f>IF(D1131="",IF(ISNUMBER(SEARCH("NOT NULL",UPPER(D$3))),"''","null"),SUBSTITUTE(VLOOKUP(D$2,convert!$A$1:$B$4,2,0),"@@@",D1131))</f>
        <v>60</v>
      </c>
      <c r="T1131" s="4" t="str">
        <f>IF(E1131="",IF(ISNUMBER(SEARCH("NOT NULL",UPPER(E$3))),"''","null"),SUBSTITUTE(VLOOKUP(E$2,convert!$A$1:$B$4,2,0),"@@@",E1131))</f>
        <v>100</v>
      </c>
      <c r="U1131" s="4" t="str">
        <f>IF(F1131="",IF(ISNUMBER(SEARCH("NOT NULL",UPPER(F$3))),"''","null"),SUBSTITUTE(VLOOKUP(F$2,convert!$A$1:$B$4,2,0),"@@@",F1131))</f>
        <v>125</v>
      </c>
      <c r="V1131" s="4" t="str">
        <f>IF(G1131="",IF(ISNUMBER(SEARCH("NOT NULL",UPPER(G$3))),"''","null"),SUBSTITUTE(VLOOKUP(G$2,convert!$A$1:$B$4,2,0),"@@@",G1131))</f>
        <v>80</v>
      </c>
      <c r="W1131" s="4" t="str">
        <f>IF(H1131="",IF(ISNUMBER(SEARCH("NOT NULL",UPPER(H$3))),"''","null"),SUBSTITUTE(VLOOKUP(H$2,convert!$A$1:$B$4,2,0),"@@@",H1131))</f>
        <v>75</v>
      </c>
      <c r="X1131" s="4" t="str">
        <f>IF(I1131="",IF(ISNUMBER(SEARCH("NOT NULL",UPPER(I$3))),"''","null"),SUBSTITUTE(VLOOKUP(I$2,convert!$A$1:$B$4,2,0),"@@@",I1131))</f>
        <v>''</v>
      </c>
      <c r="Y1131" s="4" t="str">
        <f>IF(J1131="",IF(ISNUMBER(SEARCH("NOT NULL",UPPER(J$3))),"''","null"),SUBSTITUTE(VLOOKUP(J$2,convert!$A$1:$B$4,2,0),"@@@",J1131))</f>
        <v>'fire'</v>
      </c>
      <c r="Z1131" s="4" t="str">
        <f>IF(K1131="",IF(ISNUMBER(SEARCH("NOT NULL",UPPER(K$3))),"''","null"),SUBSTITUTE(VLOOKUP(K$2,convert!$A$1:$B$4,2,0),"@@@",K1131))</f>
        <v>'psychic'</v>
      </c>
      <c r="AA1131" s="4" t="str">
        <f>IF(L1131="",IF(ISNUMBER(SEARCH("NOT NULL",UPPER(L$3))),"''","null"),SUBSTITUTE(VLOOKUP(L$2,convert!$A$1:$B$4,2,0),"@@@",L1131))</f>
        <v>'g9'</v>
      </c>
      <c r="AB1131" s="4" t="str">
        <f>IF(M1131="",IF(ISNUMBER(SEARCH("NOT NULL",UPPER(M$3))),"''","null"),SUBSTITUTE(VLOOKUP(M$2,convert!$A$1:$B$4,2,0),"@@@",M1131))</f>
        <v>null</v>
      </c>
      <c r="AC1131" s="4" t="str">
        <f>IF(N1131="",IF(ISNUMBER(SEARCH("NOT NULL",UPPER(N$3))),"''","null"),SUBSTITUTE(VLOOKUP(N$2,convert!$A$1:$B$4,2,0),"@@@",N1131))</f>
        <v>null</v>
      </c>
      <c r="AD1131" s="4" t="str">
        <f>IF(O1131="",IF(ISNUMBER(SEARCH("NOT NULL",UPPER(O$3))),"''","null"),SUBSTITUTE(VLOOKUP(O$2,convert!$A$1:$B$4,2,0),"@@@",O1131))</f>
        <v>FALSE</v>
      </c>
      <c r="AE1131" s="4" t="str">
        <f t="shared" si="17"/>
        <v>    ('0936N01', 'グレンアルマ', 85, 60, 100, 125, 80, 75, '', 'fire', 'psychic', 'g9', null, null, FALSE),</v>
      </c>
    </row>
    <row r="1132" spans="1:31">
      <c r="A1132" s="4" t="s">
        <v>2273</v>
      </c>
      <c r="B1132" s="4" t="s">
        <v>2274</v>
      </c>
      <c r="C1132" s="5">
        <v>75</v>
      </c>
      <c r="D1132" s="5">
        <v>125</v>
      </c>
      <c r="E1132" s="5">
        <v>80</v>
      </c>
      <c r="F1132" s="5">
        <v>60</v>
      </c>
      <c r="G1132" s="5">
        <v>100</v>
      </c>
      <c r="H1132" s="5">
        <v>85</v>
      </c>
      <c r="I1132" s="5"/>
      <c r="J1132" s="4" t="s">
        <v>42</v>
      </c>
      <c r="K1132" s="4" t="s">
        <v>281</v>
      </c>
      <c r="L1132" s="4" t="s">
        <v>368</v>
      </c>
      <c r="M1132" s="5"/>
      <c r="N1132" s="5"/>
      <c r="O1132" s="5" t="b">
        <v>0</v>
      </c>
      <c r="P1132" s="4" t="str">
        <f>IF(A1132="",IF(ISNUMBER(SEARCH("NOT NULL",UPPER(A$3))),"''","null"),SUBSTITUTE(VLOOKUP(A$2,convert!$A$1:$B$4,2,0),"@@@",A1132))</f>
        <v>'0937N01'</v>
      </c>
      <c r="Q1132" s="4" t="str">
        <f>IF(B1132="",IF(ISNUMBER(SEARCH("NOT NULL",UPPER(B$3))),"''","null"),SUBSTITUTE(VLOOKUP(B$2,convert!$A$1:$B$4,2,0),"@@@",B1132))</f>
        <v>'ソウブレイズ'</v>
      </c>
      <c r="R1132" s="4" t="str">
        <f>IF(C1132="",IF(ISNUMBER(SEARCH("NOT NULL",UPPER(C$3))),"''","null"),SUBSTITUTE(VLOOKUP(C$2,convert!$A$1:$B$4,2,0),"@@@",C1132))</f>
        <v>75</v>
      </c>
      <c r="S1132" s="4" t="str">
        <f>IF(D1132="",IF(ISNUMBER(SEARCH("NOT NULL",UPPER(D$3))),"''","null"),SUBSTITUTE(VLOOKUP(D$2,convert!$A$1:$B$4,2,0),"@@@",D1132))</f>
        <v>125</v>
      </c>
      <c r="T1132" s="4" t="str">
        <f>IF(E1132="",IF(ISNUMBER(SEARCH("NOT NULL",UPPER(E$3))),"''","null"),SUBSTITUTE(VLOOKUP(E$2,convert!$A$1:$B$4,2,0),"@@@",E1132))</f>
        <v>80</v>
      </c>
      <c r="U1132" s="4" t="str">
        <f>IF(F1132="",IF(ISNUMBER(SEARCH("NOT NULL",UPPER(F$3))),"''","null"),SUBSTITUTE(VLOOKUP(F$2,convert!$A$1:$B$4,2,0),"@@@",F1132))</f>
        <v>60</v>
      </c>
      <c r="V1132" s="4" t="str">
        <f>IF(G1132="",IF(ISNUMBER(SEARCH("NOT NULL",UPPER(G$3))),"''","null"),SUBSTITUTE(VLOOKUP(G$2,convert!$A$1:$B$4,2,0),"@@@",G1132))</f>
        <v>100</v>
      </c>
      <c r="W1132" s="4" t="str">
        <f>IF(H1132="",IF(ISNUMBER(SEARCH("NOT NULL",UPPER(H$3))),"''","null"),SUBSTITUTE(VLOOKUP(H$2,convert!$A$1:$B$4,2,0),"@@@",H1132))</f>
        <v>85</v>
      </c>
      <c r="X1132" s="4" t="str">
        <f>IF(I1132="",IF(ISNUMBER(SEARCH("NOT NULL",UPPER(I$3))),"''","null"),SUBSTITUTE(VLOOKUP(I$2,convert!$A$1:$B$4,2,0),"@@@",I1132))</f>
        <v>''</v>
      </c>
      <c r="Y1132" s="4" t="str">
        <f>IF(J1132="",IF(ISNUMBER(SEARCH("NOT NULL",UPPER(J$3))),"''","null"),SUBSTITUTE(VLOOKUP(J$2,convert!$A$1:$B$4,2,0),"@@@",J1132))</f>
        <v>'fire'</v>
      </c>
      <c r="Z1132" s="4" t="str">
        <f>IF(K1132="",IF(ISNUMBER(SEARCH("NOT NULL",UPPER(K$3))),"''","null"),SUBSTITUTE(VLOOKUP(K$2,convert!$A$1:$B$4,2,0),"@@@",K1132))</f>
        <v>'ghost'</v>
      </c>
      <c r="AA1132" s="4" t="str">
        <f>IF(L1132="",IF(ISNUMBER(SEARCH("NOT NULL",UPPER(L$3))),"''","null"),SUBSTITUTE(VLOOKUP(L$2,convert!$A$1:$B$4,2,0),"@@@",L1132))</f>
        <v>'g9'</v>
      </c>
      <c r="AB1132" s="4" t="str">
        <f>IF(M1132="",IF(ISNUMBER(SEARCH("NOT NULL",UPPER(M$3))),"''","null"),SUBSTITUTE(VLOOKUP(M$2,convert!$A$1:$B$4,2,0),"@@@",M1132))</f>
        <v>null</v>
      </c>
      <c r="AC1132" s="4" t="str">
        <f>IF(N1132="",IF(ISNUMBER(SEARCH("NOT NULL",UPPER(N$3))),"''","null"),SUBSTITUTE(VLOOKUP(N$2,convert!$A$1:$B$4,2,0),"@@@",N1132))</f>
        <v>null</v>
      </c>
      <c r="AD1132" s="4" t="str">
        <f>IF(O1132="",IF(ISNUMBER(SEARCH("NOT NULL",UPPER(O$3))),"''","null"),SUBSTITUTE(VLOOKUP(O$2,convert!$A$1:$B$4,2,0),"@@@",O1132))</f>
        <v>FALSE</v>
      </c>
      <c r="AE1132" s="4" t="str">
        <f t="shared" si="17"/>
        <v>    ('0937N01', 'ソウブレイズ', 75, 125, 80, 60, 100, 85, '', 'fire', 'ghost', 'g9', null, null, FALSE),</v>
      </c>
    </row>
    <row r="1133" spans="1:31">
      <c r="A1133" s="4" t="s">
        <v>2275</v>
      </c>
      <c r="B1133" s="4" t="s">
        <v>2276</v>
      </c>
      <c r="C1133" s="5">
        <v>61</v>
      </c>
      <c r="D1133" s="5">
        <v>31</v>
      </c>
      <c r="E1133" s="5">
        <v>41</v>
      </c>
      <c r="F1133" s="5">
        <v>59</v>
      </c>
      <c r="G1133" s="5">
        <v>35</v>
      </c>
      <c r="H1133" s="5">
        <v>45</v>
      </c>
      <c r="I1133" s="5"/>
      <c r="J1133" s="4" t="s">
        <v>106</v>
      </c>
      <c r="K1133" s="5"/>
      <c r="L1133" s="4" t="s">
        <v>368</v>
      </c>
      <c r="M1133" s="5"/>
      <c r="N1133" s="5"/>
      <c r="O1133" s="5" t="b">
        <v>1</v>
      </c>
      <c r="P1133" s="4" t="str">
        <f>IF(A1133="",IF(ISNUMBER(SEARCH("NOT NULL",UPPER(A$3))),"''","null"),SUBSTITUTE(VLOOKUP(A$2,convert!$A$1:$B$4,2,0),"@@@",A1133))</f>
        <v>'0938N01'</v>
      </c>
      <c r="Q1133" s="4" t="str">
        <f>IF(B1133="",IF(ISNUMBER(SEARCH("NOT NULL",UPPER(B$3))),"''","null"),SUBSTITUTE(VLOOKUP(B$2,convert!$A$1:$B$4,2,0),"@@@",B1133))</f>
        <v>'ズピカ'</v>
      </c>
      <c r="R1133" s="4" t="str">
        <f>IF(C1133="",IF(ISNUMBER(SEARCH("NOT NULL",UPPER(C$3))),"''","null"),SUBSTITUTE(VLOOKUP(C$2,convert!$A$1:$B$4,2,0),"@@@",C1133))</f>
        <v>61</v>
      </c>
      <c r="S1133" s="4" t="str">
        <f>IF(D1133="",IF(ISNUMBER(SEARCH("NOT NULL",UPPER(D$3))),"''","null"),SUBSTITUTE(VLOOKUP(D$2,convert!$A$1:$B$4,2,0),"@@@",D1133))</f>
        <v>31</v>
      </c>
      <c r="T1133" s="4" t="str">
        <f>IF(E1133="",IF(ISNUMBER(SEARCH("NOT NULL",UPPER(E$3))),"''","null"),SUBSTITUTE(VLOOKUP(E$2,convert!$A$1:$B$4,2,0),"@@@",E1133))</f>
        <v>41</v>
      </c>
      <c r="U1133" s="4" t="str">
        <f>IF(F1133="",IF(ISNUMBER(SEARCH("NOT NULL",UPPER(F$3))),"''","null"),SUBSTITUTE(VLOOKUP(F$2,convert!$A$1:$B$4,2,0),"@@@",F1133))</f>
        <v>59</v>
      </c>
      <c r="V1133" s="4" t="str">
        <f>IF(G1133="",IF(ISNUMBER(SEARCH("NOT NULL",UPPER(G$3))),"''","null"),SUBSTITUTE(VLOOKUP(G$2,convert!$A$1:$B$4,2,0),"@@@",G1133))</f>
        <v>35</v>
      </c>
      <c r="W1133" s="4" t="str">
        <f>IF(H1133="",IF(ISNUMBER(SEARCH("NOT NULL",UPPER(H$3))),"''","null"),SUBSTITUTE(VLOOKUP(H$2,convert!$A$1:$B$4,2,0),"@@@",H1133))</f>
        <v>45</v>
      </c>
      <c r="X1133" s="4" t="str">
        <f>IF(I1133="",IF(ISNUMBER(SEARCH("NOT NULL",UPPER(I$3))),"''","null"),SUBSTITUTE(VLOOKUP(I$2,convert!$A$1:$B$4,2,0),"@@@",I1133))</f>
        <v>''</v>
      </c>
      <c r="Y1133" s="4" t="str">
        <f>IF(J1133="",IF(ISNUMBER(SEARCH("NOT NULL",UPPER(J$3))),"''","null"),SUBSTITUTE(VLOOKUP(J$2,convert!$A$1:$B$4,2,0),"@@@",J1133))</f>
        <v>'electric'</v>
      </c>
      <c r="Z1133" s="4" t="str">
        <f>IF(K1133="",IF(ISNUMBER(SEARCH("NOT NULL",UPPER(K$3))),"''","null"),SUBSTITUTE(VLOOKUP(K$2,convert!$A$1:$B$4,2,0),"@@@",K1133))</f>
        <v>null</v>
      </c>
      <c r="AA1133" s="4" t="str">
        <f>IF(L1133="",IF(ISNUMBER(SEARCH("NOT NULL",UPPER(L$3))),"''","null"),SUBSTITUTE(VLOOKUP(L$2,convert!$A$1:$B$4,2,0),"@@@",L1133))</f>
        <v>'g9'</v>
      </c>
      <c r="AB1133" s="4" t="str">
        <f>IF(M1133="",IF(ISNUMBER(SEARCH("NOT NULL",UPPER(M$3))),"''","null"),SUBSTITUTE(VLOOKUP(M$2,convert!$A$1:$B$4,2,0),"@@@",M1133))</f>
        <v>null</v>
      </c>
      <c r="AC1133" s="4" t="str">
        <f>IF(N1133="",IF(ISNUMBER(SEARCH("NOT NULL",UPPER(N$3))),"''","null"),SUBSTITUTE(VLOOKUP(N$2,convert!$A$1:$B$4,2,0),"@@@",N1133))</f>
        <v>null</v>
      </c>
      <c r="AD1133" s="4" t="str">
        <f>IF(O1133="",IF(ISNUMBER(SEARCH("NOT NULL",UPPER(O$3))),"''","null"),SUBSTITUTE(VLOOKUP(O$2,convert!$A$1:$B$4,2,0),"@@@",O1133))</f>
        <v>TRUE</v>
      </c>
      <c r="AE1133" s="4" t="str">
        <f t="shared" si="17"/>
        <v>    ('0938N01', 'ズピカ', 61, 31, 41, 59, 35, 45, '', 'electric', null, 'g9', null, null, TRUE),</v>
      </c>
    </row>
    <row r="1134" spans="1:31">
      <c r="A1134" s="4" t="s">
        <v>2277</v>
      </c>
      <c r="B1134" s="4" t="s">
        <v>2278</v>
      </c>
      <c r="C1134" s="5">
        <v>109</v>
      </c>
      <c r="D1134" s="5">
        <v>64</v>
      </c>
      <c r="E1134" s="5">
        <v>91</v>
      </c>
      <c r="F1134" s="5">
        <v>103</v>
      </c>
      <c r="G1134" s="5">
        <v>83</v>
      </c>
      <c r="H1134" s="5">
        <v>45</v>
      </c>
      <c r="I1134" s="5"/>
      <c r="J1134" s="4" t="s">
        <v>106</v>
      </c>
      <c r="K1134" s="5"/>
      <c r="L1134" s="4" t="s">
        <v>368</v>
      </c>
      <c r="M1134" s="5"/>
      <c r="N1134" s="5"/>
      <c r="O1134" s="5" t="b">
        <v>1</v>
      </c>
      <c r="P1134" s="4" t="str">
        <f>IF(A1134="",IF(ISNUMBER(SEARCH("NOT NULL",UPPER(A$3))),"''","null"),SUBSTITUTE(VLOOKUP(A$2,convert!$A$1:$B$4,2,0),"@@@",A1134))</f>
        <v>'0939N01'</v>
      </c>
      <c r="Q1134" s="4" t="str">
        <f>IF(B1134="",IF(ISNUMBER(SEARCH("NOT NULL",UPPER(B$3))),"''","null"),SUBSTITUTE(VLOOKUP(B$2,convert!$A$1:$B$4,2,0),"@@@",B1134))</f>
        <v>'ハラバリー'</v>
      </c>
      <c r="R1134" s="4" t="str">
        <f>IF(C1134="",IF(ISNUMBER(SEARCH("NOT NULL",UPPER(C$3))),"''","null"),SUBSTITUTE(VLOOKUP(C$2,convert!$A$1:$B$4,2,0),"@@@",C1134))</f>
        <v>109</v>
      </c>
      <c r="S1134" s="4" t="str">
        <f>IF(D1134="",IF(ISNUMBER(SEARCH("NOT NULL",UPPER(D$3))),"''","null"),SUBSTITUTE(VLOOKUP(D$2,convert!$A$1:$B$4,2,0),"@@@",D1134))</f>
        <v>64</v>
      </c>
      <c r="T1134" s="4" t="str">
        <f>IF(E1134="",IF(ISNUMBER(SEARCH("NOT NULL",UPPER(E$3))),"''","null"),SUBSTITUTE(VLOOKUP(E$2,convert!$A$1:$B$4,2,0),"@@@",E1134))</f>
        <v>91</v>
      </c>
      <c r="U1134" s="4" t="str">
        <f>IF(F1134="",IF(ISNUMBER(SEARCH("NOT NULL",UPPER(F$3))),"''","null"),SUBSTITUTE(VLOOKUP(F$2,convert!$A$1:$B$4,2,0),"@@@",F1134))</f>
        <v>103</v>
      </c>
      <c r="V1134" s="4" t="str">
        <f>IF(G1134="",IF(ISNUMBER(SEARCH("NOT NULL",UPPER(G$3))),"''","null"),SUBSTITUTE(VLOOKUP(G$2,convert!$A$1:$B$4,2,0),"@@@",G1134))</f>
        <v>83</v>
      </c>
      <c r="W1134" s="4" t="str">
        <f>IF(H1134="",IF(ISNUMBER(SEARCH("NOT NULL",UPPER(H$3))),"''","null"),SUBSTITUTE(VLOOKUP(H$2,convert!$A$1:$B$4,2,0),"@@@",H1134))</f>
        <v>45</v>
      </c>
      <c r="X1134" s="4" t="str">
        <f>IF(I1134="",IF(ISNUMBER(SEARCH("NOT NULL",UPPER(I$3))),"''","null"),SUBSTITUTE(VLOOKUP(I$2,convert!$A$1:$B$4,2,0),"@@@",I1134))</f>
        <v>''</v>
      </c>
      <c r="Y1134" s="4" t="str">
        <f>IF(J1134="",IF(ISNUMBER(SEARCH("NOT NULL",UPPER(J$3))),"''","null"),SUBSTITUTE(VLOOKUP(J$2,convert!$A$1:$B$4,2,0),"@@@",J1134))</f>
        <v>'electric'</v>
      </c>
      <c r="Z1134" s="4" t="str">
        <f>IF(K1134="",IF(ISNUMBER(SEARCH("NOT NULL",UPPER(K$3))),"''","null"),SUBSTITUTE(VLOOKUP(K$2,convert!$A$1:$B$4,2,0),"@@@",K1134))</f>
        <v>null</v>
      </c>
      <c r="AA1134" s="4" t="str">
        <f>IF(L1134="",IF(ISNUMBER(SEARCH("NOT NULL",UPPER(L$3))),"''","null"),SUBSTITUTE(VLOOKUP(L$2,convert!$A$1:$B$4,2,0),"@@@",L1134))</f>
        <v>'g9'</v>
      </c>
      <c r="AB1134" s="4" t="str">
        <f>IF(M1134="",IF(ISNUMBER(SEARCH("NOT NULL",UPPER(M$3))),"''","null"),SUBSTITUTE(VLOOKUP(M$2,convert!$A$1:$B$4,2,0),"@@@",M1134))</f>
        <v>null</v>
      </c>
      <c r="AC1134" s="4" t="str">
        <f>IF(N1134="",IF(ISNUMBER(SEARCH("NOT NULL",UPPER(N$3))),"''","null"),SUBSTITUTE(VLOOKUP(N$2,convert!$A$1:$B$4,2,0),"@@@",N1134))</f>
        <v>null</v>
      </c>
      <c r="AD1134" s="4" t="str">
        <f>IF(O1134="",IF(ISNUMBER(SEARCH("NOT NULL",UPPER(O$3))),"''","null"),SUBSTITUTE(VLOOKUP(O$2,convert!$A$1:$B$4,2,0),"@@@",O1134))</f>
        <v>TRUE</v>
      </c>
      <c r="AE1134" s="4" t="str">
        <f t="shared" si="17"/>
        <v>    ('0939N01', 'ハラバリー', 109, 64, 91, 103, 83, 45, '', 'electric', null, 'g9', null, null, TRUE),</v>
      </c>
    </row>
    <row r="1135" spans="1:31">
      <c r="A1135" s="4" t="s">
        <v>2279</v>
      </c>
      <c r="B1135" s="4" t="s">
        <v>2280</v>
      </c>
      <c r="C1135" s="5">
        <v>40</v>
      </c>
      <c r="D1135" s="5">
        <v>40</v>
      </c>
      <c r="E1135" s="5">
        <v>35</v>
      </c>
      <c r="F1135" s="5">
        <v>55</v>
      </c>
      <c r="G1135" s="5">
        <v>40</v>
      </c>
      <c r="H1135" s="5">
        <v>70</v>
      </c>
      <c r="I1135" s="5"/>
      <c r="J1135" s="4" t="s">
        <v>106</v>
      </c>
      <c r="K1135" s="4" t="s">
        <v>47</v>
      </c>
      <c r="L1135" s="4" t="s">
        <v>368</v>
      </c>
      <c r="M1135" s="5"/>
      <c r="N1135" s="5"/>
      <c r="O1135" s="5" t="b">
        <v>0</v>
      </c>
      <c r="P1135" s="4" t="str">
        <f>IF(A1135="",IF(ISNUMBER(SEARCH("NOT NULL",UPPER(A$3))),"''","null"),SUBSTITUTE(VLOOKUP(A$2,convert!$A$1:$B$4,2,0),"@@@",A1135))</f>
        <v>'0940N01'</v>
      </c>
      <c r="Q1135" s="4" t="str">
        <f>IF(B1135="",IF(ISNUMBER(SEARCH("NOT NULL",UPPER(B$3))),"''","null"),SUBSTITUTE(VLOOKUP(B$2,convert!$A$1:$B$4,2,0),"@@@",B1135))</f>
        <v>'カイデン'</v>
      </c>
      <c r="R1135" s="4" t="str">
        <f>IF(C1135="",IF(ISNUMBER(SEARCH("NOT NULL",UPPER(C$3))),"''","null"),SUBSTITUTE(VLOOKUP(C$2,convert!$A$1:$B$4,2,0),"@@@",C1135))</f>
        <v>40</v>
      </c>
      <c r="S1135" s="4" t="str">
        <f>IF(D1135="",IF(ISNUMBER(SEARCH("NOT NULL",UPPER(D$3))),"''","null"),SUBSTITUTE(VLOOKUP(D$2,convert!$A$1:$B$4,2,0),"@@@",D1135))</f>
        <v>40</v>
      </c>
      <c r="T1135" s="4" t="str">
        <f>IF(E1135="",IF(ISNUMBER(SEARCH("NOT NULL",UPPER(E$3))),"''","null"),SUBSTITUTE(VLOOKUP(E$2,convert!$A$1:$B$4,2,0),"@@@",E1135))</f>
        <v>35</v>
      </c>
      <c r="U1135" s="4" t="str">
        <f>IF(F1135="",IF(ISNUMBER(SEARCH("NOT NULL",UPPER(F$3))),"''","null"),SUBSTITUTE(VLOOKUP(F$2,convert!$A$1:$B$4,2,0),"@@@",F1135))</f>
        <v>55</v>
      </c>
      <c r="V1135" s="4" t="str">
        <f>IF(G1135="",IF(ISNUMBER(SEARCH("NOT NULL",UPPER(G$3))),"''","null"),SUBSTITUTE(VLOOKUP(G$2,convert!$A$1:$B$4,2,0),"@@@",G1135))</f>
        <v>40</v>
      </c>
      <c r="W1135" s="4" t="str">
        <f>IF(H1135="",IF(ISNUMBER(SEARCH("NOT NULL",UPPER(H$3))),"''","null"),SUBSTITUTE(VLOOKUP(H$2,convert!$A$1:$B$4,2,0),"@@@",H1135))</f>
        <v>70</v>
      </c>
      <c r="X1135" s="4" t="str">
        <f>IF(I1135="",IF(ISNUMBER(SEARCH("NOT NULL",UPPER(I$3))),"''","null"),SUBSTITUTE(VLOOKUP(I$2,convert!$A$1:$B$4,2,0),"@@@",I1135))</f>
        <v>''</v>
      </c>
      <c r="Y1135" s="4" t="str">
        <f>IF(J1135="",IF(ISNUMBER(SEARCH("NOT NULL",UPPER(J$3))),"''","null"),SUBSTITUTE(VLOOKUP(J$2,convert!$A$1:$B$4,2,0),"@@@",J1135))</f>
        <v>'electric'</v>
      </c>
      <c r="Z1135" s="4" t="str">
        <f>IF(K1135="",IF(ISNUMBER(SEARCH("NOT NULL",UPPER(K$3))),"''","null"),SUBSTITUTE(VLOOKUP(K$2,convert!$A$1:$B$4,2,0),"@@@",K1135))</f>
        <v>'flying'</v>
      </c>
      <c r="AA1135" s="4" t="str">
        <f>IF(L1135="",IF(ISNUMBER(SEARCH("NOT NULL",UPPER(L$3))),"''","null"),SUBSTITUTE(VLOOKUP(L$2,convert!$A$1:$B$4,2,0),"@@@",L1135))</f>
        <v>'g9'</v>
      </c>
      <c r="AB1135" s="4" t="str">
        <f>IF(M1135="",IF(ISNUMBER(SEARCH("NOT NULL",UPPER(M$3))),"''","null"),SUBSTITUTE(VLOOKUP(M$2,convert!$A$1:$B$4,2,0),"@@@",M1135))</f>
        <v>null</v>
      </c>
      <c r="AC1135" s="4" t="str">
        <f>IF(N1135="",IF(ISNUMBER(SEARCH("NOT NULL",UPPER(N$3))),"''","null"),SUBSTITUTE(VLOOKUP(N$2,convert!$A$1:$B$4,2,0),"@@@",N1135))</f>
        <v>null</v>
      </c>
      <c r="AD1135" s="4" t="str">
        <f>IF(O1135="",IF(ISNUMBER(SEARCH("NOT NULL",UPPER(O$3))),"''","null"),SUBSTITUTE(VLOOKUP(O$2,convert!$A$1:$B$4,2,0),"@@@",O1135))</f>
        <v>FALSE</v>
      </c>
      <c r="AE1135" s="4" t="str">
        <f t="shared" si="17"/>
        <v>    ('0940N01', 'カイデン', 40, 40, 35, 55, 40, 70, '', 'electric', 'flying', 'g9', null, null, FALSE),</v>
      </c>
    </row>
    <row r="1136" spans="1:31">
      <c r="A1136" s="4" t="s">
        <v>2281</v>
      </c>
      <c r="B1136" s="4" t="s">
        <v>2282</v>
      </c>
      <c r="C1136" s="5">
        <v>70</v>
      </c>
      <c r="D1136" s="5">
        <v>70</v>
      </c>
      <c r="E1136" s="5">
        <v>60</v>
      </c>
      <c r="F1136" s="5">
        <v>105</v>
      </c>
      <c r="G1136" s="5">
        <v>60</v>
      </c>
      <c r="H1136" s="5">
        <v>125</v>
      </c>
      <c r="I1136" s="5"/>
      <c r="J1136" s="4" t="s">
        <v>106</v>
      </c>
      <c r="K1136" s="4" t="s">
        <v>47</v>
      </c>
      <c r="L1136" s="4" t="s">
        <v>368</v>
      </c>
      <c r="M1136" s="5"/>
      <c r="N1136" s="5"/>
      <c r="O1136" s="5" t="b">
        <v>0</v>
      </c>
      <c r="P1136" s="4" t="str">
        <f>IF(A1136="",IF(ISNUMBER(SEARCH("NOT NULL",UPPER(A$3))),"''","null"),SUBSTITUTE(VLOOKUP(A$2,convert!$A$1:$B$4,2,0),"@@@",A1136))</f>
        <v>'0941N01'</v>
      </c>
      <c r="Q1136" s="4" t="str">
        <f>IF(B1136="",IF(ISNUMBER(SEARCH("NOT NULL",UPPER(B$3))),"''","null"),SUBSTITUTE(VLOOKUP(B$2,convert!$A$1:$B$4,2,0),"@@@",B1136))</f>
        <v>'タイカイデン'</v>
      </c>
      <c r="R1136" s="4" t="str">
        <f>IF(C1136="",IF(ISNUMBER(SEARCH("NOT NULL",UPPER(C$3))),"''","null"),SUBSTITUTE(VLOOKUP(C$2,convert!$A$1:$B$4,2,0),"@@@",C1136))</f>
        <v>70</v>
      </c>
      <c r="S1136" s="4" t="str">
        <f>IF(D1136="",IF(ISNUMBER(SEARCH("NOT NULL",UPPER(D$3))),"''","null"),SUBSTITUTE(VLOOKUP(D$2,convert!$A$1:$B$4,2,0),"@@@",D1136))</f>
        <v>70</v>
      </c>
      <c r="T1136" s="4" t="str">
        <f>IF(E1136="",IF(ISNUMBER(SEARCH("NOT NULL",UPPER(E$3))),"''","null"),SUBSTITUTE(VLOOKUP(E$2,convert!$A$1:$B$4,2,0),"@@@",E1136))</f>
        <v>60</v>
      </c>
      <c r="U1136" s="4" t="str">
        <f>IF(F1136="",IF(ISNUMBER(SEARCH("NOT NULL",UPPER(F$3))),"''","null"),SUBSTITUTE(VLOOKUP(F$2,convert!$A$1:$B$4,2,0),"@@@",F1136))</f>
        <v>105</v>
      </c>
      <c r="V1136" s="4" t="str">
        <f>IF(G1136="",IF(ISNUMBER(SEARCH("NOT NULL",UPPER(G$3))),"''","null"),SUBSTITUTE(VLOOKUP(G$2,convert!$A$1:$B$4,2,0),"@@@",G1136))</f>
        <v>60</v>
      </c>
      <c r="W1136" s="4" t="str">
        <f>IF(H1136="",IF(ISNUMBER(SEARCH("NOT NULL",UPPER(H$3))),"''","null"),SUBSTITUTE(VLOOKUP(H$2,convert!$A$1:$B$4,2,0),"@@@",H1136))</f>
        <v>125</v>
      </c>
      <c r="X1136" s="4" t="str">
        <f>IF(I1136="",IF(ISNUMBER(SEARCH("NOT NULL",UPPER(I$3))),"''","null"),SUBSTITUTE(VLOOKUP(I$2,convert!$A$1:$B$4,2,0),"@@@",I1136))</f>
        <v>''</v>
      </c>
      <c r="Y1136" s="4" t="str">
        <f>IF(J1136="",IF(ISNUMBER(SEARCH("NOT NULL",UPPER(J$3))),"''","null"),SUBSTITUTE(VLOOKUP(J$2,convert!$A$1:$B$4,2,0),"@@@",J1136))</f>
        <v>'electric'</v>
      </c>
      <c r="Z1136" s="4" t="str">
        <f>IF(K1136="",IF(ISNUMBER(SEARCH("NOT NULL",UPPER(K$3))),"''","null"),SUBSTITUTE(VLOOKUP(K$2,convert!$A$1:$B$4,2,0),"@@@",K1136))</f>
        <v>'flying'</v>
      </c>
      <c r="AA1136" s="4" t="str">
        <f>IF(L1136="",IF(ISNUMBER(SEARCH("NOT NULL",UPPER(L$3))),"''","null"),SUBSTITUTE(VLOOKUP(L$2,convert!$A$1:$B$4,2,0),"@@@",L1136))</f>
        <v>'g9'</v>
      </c>
      <c r="AB1136" s="4" t="str">
        <f>IF(M1136="",IF(ISNUMBER(SEARCH("NOT NULL",UPPER(M$3))),"''","null"),SUBSTITUTE(VLOOKUP(M$2,convert!$A$1:$B$4,2,0),"@@@",M1136))</f>
        <v>null</v>
      </c>
      <c r="AC1136" s="4" t="str">
        <f>IF(N1136="",IF(ISNUMBER(SEARCH("NOT NULL",UPPER(N$3))),"''","null"),SUBSTITUTE(VLOOKUP(N$2,convert!$A$1:$B$4,2,0),"@@@",N1136))</f>
        <v>null</v>
      </c>
      <c r="AD1136" s="4" t="str">
        <f>IF(O1136="",IF(ISNUMBER(SEARCH("NOT NULL",UPPER(O$3))),"''","null"),SUBSTITUTE(VLOOKUP(O$2,convert!$A$1:$B$4,2,0),"@@@",O1136))</f>
        <v>FALSE</v>
      </c>
      <c r="AE1136" s="4" t="str">
        <f t="shared" si="17"/>
        <v>    ('0941N01', 'タイカイデン', 70, 70, 60, 105, 60, 125, '', 'electric', 'flying', 'g9', null, null, FALSE),</v>
      </c>
    </row>
    <row r="1137" spans="1:31">
      <c r="A1137" s="4" t="s">
        <v>2283</v>
      </c>
      <c r="B1137" s="4" t="s">
        <v>2284</v>
      </c>
      <c r="C1137" s="5">
        <v>60</v>
      </c>
      <c r="D1137" s="5">
        <v>78</v>
      </c>
      <c r="E1137" s="5">
        <v>60</v>
      </c>
      <c r="F1137" s="5">
        <v>40</v>
      </c>
      <c r="G1137" s="5">
        <v>51</v>
      </c>
      <c r="H1137" s="5">
        <v>51</v>
      </c>
      <c r="I1137" s="5"/>
      <c r="J1137" s="4" t="s">
        <v>91</v>
      </c>
      <c r="K1137" s="5"/>
      <c r="L1137" s="4" t="s">
        <v>368</v>
      </c>
      <c r="M1137" s="5"/>
      <c r="N1137" s="5"/>
      <c r="O1137" s="5" t="b">
        <v>0</v>
      </c>
      <c r="P1137" s="4" t="str">
        <f>IF(A1137="",IF(ISNUMBER(SEARCH("NOT NULL",UPPER(A$3))),"''","null"),SUBSTITUTE(VLOOKUP(A$2,convert!$A$1:$B$4,2,0),"@@@",A1137))</f>
        <v>'0942N01'</v>
      </c>
      <c r="Q1137" s="4" t="str">
        <f>IF(B1137="",IF(ISNUMBER(SEARCH("NOT NULL",UPPER(B$3))),"''","null"),SUBSTITUTE(VLOOKUP(B$2,convert!$A$1:$B$4,2,0),"@@@",B1137))</f>
        <v>'オラチフ'</v>
      </c>
      <c r="R1137" s="4" t="str">
        <f>IF(C1137="",IF(ISNUMBER(SEARCH("NOT NULL",UPPER(C$3))),"''","null"),SUBSTITUTE(VLOOKUP(C$2,convert!$A$1:$B$4,2,0),"@@@",C1137))</f>
        <v>60</v>
      </c>
      <c r="S1137" s="4" t="str">
        <f>IF(D1137="",IF(ISNUMBER(SEARCH("NOT NULL",UPPER(D$3))),"''","null"),SUBSTITUTE(VLOOKUP(D$2,convert!$A$1:$B$4,2,0),"@@@",D1137))</f>
        <v>78</v>
      </c>
      <c r="T1137" s="4" t="str">
        <f>IF(E1137="",IF(ISNUMBER(SEARCH("NOT NULL",UPPER(E$3))),"''","null"),SUBSTITUTE(VLOOKUP(E$2,convert!$A$1:$B$4,2,0),"@@@",E1137))</f>
        <v>60</v>
      </c>
      <c r="U1137" s="4" t="str">
        <f>IF(F1137="",IF(ISNUMBER(SEARCH("NOT NULL",UPPER(F$3))),"''","null"),SUBSTITUTE(VLOOKUP(F$2,convert!$A$1:$B$4,2,0),"@@@",F1137))</f>
        <v>40</v>
      </c>
      <c r="V1137" s="4" t="str">
        <f>IF(G1137="",IF(ISNUMBER(SEARCH("NOT NULL",UPPER(G$3))),"''","null"),SUBSTITUTE(VLOOKUP(G$2,convert!$A$1:$B$4,2,0),"@@@",G1137))</f>
        <v>51</v>
      </c>
      <c r="W1137" s="4" t="str">
        <f>IF(H1137="",IF(ISNUMBER(SEARCH("NOT NULL",UPPER(H$3))),"''","null"),SUBSTITUTE(VLOOKUP(H$2,convert!$A$1:$B$4,2,0),"@@@",H1137))</f>
        <v>51</v>
      </c>
      <c r="X1137" s="4" t="str">
        <f>IF(I1137="",IF(ISNUMBER(SEARCH("NOT NULL",UPPER(I$3))),"''","null"),SUBSTITUTE(VLOOKUP(I$2,convert!$A$1:$B$4,2,0),"@@@",I1137))</f>
        <v>''</v>
      </c>
      <c r="Y1137" s="4" t="str">
        <f>IF(J1137="",IF(ISNUMBER(SEARCH("NOT NULL",UPPER(J$3))),"''","null"),SUBSTITUTE(VLOOKUP(J$2,convert!$A$1:$B$4,2,0),"@@@",J1137))</f>
        <v>'dark'</v>
      </c>
      <c r="Z1137" s="4" t="str">
        <f>IF(K1137="",IF(ISNUMBER(SEARCH("NOT NULL",UPPER(K$3))),"''","null"),SUBSTITUTE(VLOOKUP(K$2,convert!$A$1:$B$4,2,0),"@@@",K1137))</f>
        <v>null</v>
      </c>
      <c r="AA1137" s="4" t="str">
        <f>IF(L1137="",IF(ISNUMBER(SEARCH("NOT NULL",UPPER(L$3))),"''","null"),SUBSTITUTE(VLOOKUP(L$2,convert!$A$1:$B$4,2,0),"@@@",L1137))</f>
        <v>'g9'</v>
      </c>
      <c r="AB1137" s="4" t="str">
        <f>IF(M1137="",IF(ISNUMBER(SEARCH("NOT NULL",UPPER(M$3))),"''","null"),SUBSTITUTE(VLOOKUP(M$2,convert!$A$1:$B$4,2,0),"@@@",M1137))</f>
        <v>null</v>
      </c>
      <c r="AC1137" s="4" t="str">
        <f>IF(N1137="",IF(ISNUMBER(SEARCH("NOT NULL",UPPER(N$3))),"''","null"),SUBSTITUTE(VLOOKUP(N$2,convert!$A$1:$B$4,2,0),"@@@",N1137))</f>
        <v>null</v>
      </c>
      <c r="AD1137" s="4" t="str">
        <f>IF(O1137="",IF(ISNUMBER(SEARCH("NOT NULL",UPPER(O$3))),"''","null"),SUBSTITUTE(VLOOKUP(O$2,convert!$A$1:$B$4,2,0),"@@@",O1137))</f>
        <v>FALSE</v>
      </c>
      <c r="AE1137" s="4" t="str">
        <f t="shared" si="17"/>
        <v>    ('0942N01', 'オラチフ', 60, 78, 60, 40, 51, 51, '', 'dark', null, 'g9', null, null, FALSE),</v>
      </c>
    </row>
    <row r="1138" spans="1:31">
      <c r="A1138" s="4" t="s">
        <v>2285</v>
      </c>
      <c r="B1138" s="4" t="s">
        <v>2286</v>
      </c>
      <c r="C1138" s="5">
        <v>80</v>
      </c>
      <c r="D1138" s="5">
        <v>120</v>
      </c>
      <c r="E1138" s="5">
        <v>90</v>
      </c>
      <c r="F1138" s="5">
        <v>60</v>
      </c>
      <c r="G1138" s="5">
        <v>70</v>
      </c>
      <c r="H1138" s="5">
        <v>85</v>
      </c>
      <c r="I1138" s="5"/>
      <c r="J1138" s="4" t="s">
        <v>91</v>
      </c>
      <c r="K1138" s="5"/>
      <c r="L1138" s="4" t="s">
        <v>368</v>
      </c>
      <c r="M1138" s="5"/>
      <c r="N1138" s="5"/>
      <c r="O1138" s="5" t="b">
        <v>0</v>
      </c>
      <c r="P1138" s="4" t="str">
        <f>IF(A1138="",IF(ISNUMBER(SEARCH("NOT NULL",UPPER(A$3))),"''","null"),SUBSTITUTE(VLOOKUP(A$2,convert!$A$1:$B$4,2,0),"@@@",A1138))</f>
        <v>'0943N01'</v>
      </c>
      <c r="Q1138" s="4" t="str">
        <f>IF(B1138="",IF(ISNUMBER(SEARCH("NOT NULL",UPPER(B$3))),"''","null"),SUBSTITUTE(VLOOKUP(B$2,convert!$A$1:$B$4,2,0),"@@@",B1138))</f>
        <v>'マフィティフ'</v>
      </c>
      <c r="R1138" s="4" t="str">
        <f>IF(C1138="",IF(ISNUMBER(SEARCH("NOT NULL",UPPER(C$3))),"''","null"),SUBSTITUTE(VLOOKUP(C$2,convert!$A$1:$B$4,2,0),"@@@",C1138))</f>
        <v>80</v>
      </c>
      <c r="S1138" s="4" t="str">
        <f>IF(D1138="",IF(ISNUMBER(SEARCH("NOT NULL",UPPER(D$3))),"''","null"),SUBSTITUTE(VLOOKUP(D$2,convert!$A$1:$B$4,2,0),"@@@",D1138))</f>
        <v>120</v>
      </c>
      <c r="T1138" s="4" t="str">
        <f>IF(E1138="",IF(ISNUMBER(SEARCH("NOT NULL",UPPER(E$3))),"''","null"),SUBSTITUTE(VLOOKUP(E$2,convert!$A$1:$B$4,2,0),"@@@",E1138))</f>
        <v>90</v>
      </c>
      <c r="U1138" s="4" t="str">
        <f>IF(F1138="",IF(ISNUMBER(SEARCH("NOT NULL",UPPER(F$3))),"''","null"),SUBSTITUTE(VLOOKUP(F$2,convert!$A$1:$B$4,2,0),"@@@",F1138))</f>
        <v>60</v>
      </c>
      <c r="V1138" s="4" t="str">
        <f>IF(G1138="",IF(ISNUMBER(SEARCH("NOT NULL",UPPER(G$3))),"''","null"),SUBSTITUTE(VLOOKUP(G$2,convert!$A$1:$B$4,2,0),"@@@",G1138))</f>
        <v>70</v>
      </c>
      <c r="W1138" s="4" t="str">
        <f>IF(H1138="",IF(ISNUMBER(SEARCH("NOT NULL",UPPER(H$3))),"''","null"),SUBSTITUTE(VLOOKUP(H$2,convert!$A$1:$B$4,2,0),"@@@",H1138))</f>
        <v>85</v>
      </c>
      <c r="X1138" s="4" t="str">
        <f>IF(I1138="",IF(ISNUMBER(SEARCH("NOT NULL",UPPER(I$3))),"''","null"),SUBSTITUTE(VLOOKUP(I$2,convert!$A$1:$B$4,2,0),"@@@",I1138))</f>
        <v>''</v>
      </c>
      <c r="Y1138" s="4" t="str">
        <f>IF(J1138="",IF(ISNUMBER(SEARCH("NOT NULL",UPPER(J$3))),"''","null"),SUBSTITUTE(VLOOKUP(J$2,convert!$A$1:$B$4,2,0),"@@@",J1138))</f>
        <v>'dark'</v>
      </c>
      <c r="Z1138" s="4" t="str">
        <f>IF(K1138="",IF(ISNUMBER(SEARCH("NOT NULL",UPPER(K$3))),"''","null"),SUBSTITUTE(VLOOKUP(K$2,convert!$A$1:$B$4,2,0),"@@@",K1138))</f>
        <v>null</v>
      </c>
      <c r="AA1138" s="4" t="str">
        <f>IF(L1138="",IF(ISNUMBER(SEARCH("NOT NULL",UPPER(L$3))),"''","null"),SUBSTITUTE(VLOOKUP(L$2,convert!$A$1:$B$4,2,0),"@@@",L1138))</f>
        <v>'g9'</v>
      </c>
      <c r="AB1138" s="4" t="str">
        <f>IF(M1138="",IF(ISNUMBER(SEARCH("NOT NULL",UPPER(M$3))),"''","null"),SUBSTITUTE(VLOOKUP(M$2,convert!$A$1:$B$4,2,0),"@@@",M1138))</f>
        <v>null</v>
      </c>
      <c r="AC1138" s="4" t="str">
        <f>IF(N1138="",IF(ISNUMBER(SEARCH("NOT NULL",UPPER(N$3))),"''","null"),SUBSTITUTE(VLOOKUP(N$2,convert!$A$1:$B$4,2,0),"@@@",N1138))</f>
        <v>null</v>
      </c>
      <c r="AD1138" s="4" t="str">
        <f>IF(O1138="",IF(ISNUMBER(SEARCH("NOT NULL",UPPER(O$3))),"''","null"),SUBSTITUTE(VLOOKUP(O$2,convert!$A$1:$B$4,2,0),"@@@",O1138))</f>
        <v>FALSE</v>
      </c>
      <c r="AE1138" s="4" t="str">
        <f t="shared" si="17"/>
        <v>    ('0943N01', 'マフィティフ', 80, 120, 90, 60, 70, 85, '', 'dark', null, 'g9', null, null, FALSE),</v>
      </c>
    </row>
    <row r="1139" spans="1:31">
      <c r="A1139" s="4" t="s">
        <v>2287</v>
      </c>
      <c r="B1139" s="4" t="s">
        <v>2288</v>
      </c>
      <c r="C1139" s="5">
        <v>40</v>
      </c>
      <c r="D1139" s="5">
        <v>65</v>
      </c>
      <c r="E1139" s="5">
        <v>35</v>
      </c>
      <c r="F1139" s="5">
        <v>40</v>
      </c>
      <c r="G1139" s="5">
        <v>35</v>
      </c>
      <c r="H1139" s="5">
        <v>75</v>
      </c>
      <c r="I1139" s="5"/>
      <c r="J1139" s="4" t="s">
        <v>31</v>
      </c>
      <c r="K1139" s="4" t="s">
        <v>80</v>
      </c>
      <c r="L1139" s="4" t="s">
        <v>368</v>
      </c>
      <c r="M1139" s="5"/>
      <c r="N1139" s="5"/>
      <c r="O1139" s="5" t="b">
        <v>0</v>
      </c>
      <c r="P1139" s="4" t="str">
        <f>IF(A1139="",IF(ISNUMBER(SEARCH("NOT NULL",UPPER(A$3))),"''","null"),SUBSTITUTE(VLOOKUP(A$2,convert!$A$1:$B$4,2,0),"@@@",A1139))</f>
        <v>'0944N01'</v>
      </c>
      <c r="Q1139" s="4" t="str">
        <f>IF(B1139="",IF(ISNUMBER(SEARCH("NOT NULL",UPPER(B$3))),"''","null"),SUBSTITUTE(VLOOKUP(B$2,convert!$A$1:$B$4,2,0),"@@@",B1139))</f>
        <v>'シルシュルー'</v>
      </c>
      <c r="R1139" s="4" t="str">
        <f>IF(C1139="",IF(ISNUMBER(SEARCH("NOT NULL",UPPER(C$3))),"''","null"),SUBSTITUTE(VLOOKUP(C$2,convert!$A$1:$B$4,2,0),"@@@",C1139))</f>
        <v>40</v>
      </c>
      <c r="S1139" s="4" t="str">
        <f>IF(D1139="",IF(ISNUMBER(SEARCH("NOT NULL",UPPER(D$3))),"''","null"),SUBSTITUTE(VLOOKUP(D$2,convert!$A$1:$B$4,2,0),"@@@",D1139))</f>
        <v>65</v>
      </c>
      <c r="T1139" s="4" t="str">
        <f>IF(E1139="",IF(ISNUMBER(SEARCH("NOT NULL",UPPER(E$3))),"''","null"),SUBSTITUTE(VLOOKUP(E$2,convert!$A$1:$B$4,2,0),"@@@",E1139))</f>
        <v>35</v>
      </c>
      <c r="U1139" s="4" t="str">
        <f>IF(F1139="",IF(ISNUMBER(SEARCH("NOT NULL",UPPER(F$3))),"''","null"),SUBSTITUTE(VLOOKUP(F$2,convert!$A$1:$B$4,2,0),"@@@",F1139))</f>
        <v>40</v>
      </c>
      <c r="V1139" s="4" t="str">
        <f>IF(G1139="",IF(ISNUMBER(SEARCH("NOT NULL",UPPER(G$3))),"''","null"),SUBSTITUTE(VLOOKUP(G$2,convert!$A$1:$B$4,2,0),"@@@",G1139))</f>
        <v>35</v>
      </c>
      <c r="W1139" s="4" t="str">
        <f>IF(H1139="",IF(ISNUMBER(SEARCH("NOT NULL",UPPER(H$3))),"''","null"),SUBSTITUTE(VLOOKUP(H$2,convert!$A$1:$B$4,2,0),"@@@",H1139))</f>
        <v>75</v>
      </c>
      <c r="X1139" s="4" t="str">
        <f>IF(I1139="",IF(ISNUMBER(SEARCH("NOT NULL",UPPER(I$3))),"''","null"),SUBSTITUTE(VLOOKUP(I$2,convert!$A$1:$B$4,2,0),"@@@",I1139))</f>
        <v>''</v>
      </c>
      <c r="Y1139" s="4" t="str">
        <f>IF(J1139="",IF(ISNUMBER(SEARCH("NOT NULL",UPPER(J$3))),"''","null"),SUBSTITUTE(VLOOKUP(J$2,convert!$A$1:$B$4,2,0),"@@@",J1139))</f>
        <v>'poison'</v>
      </c>
      <c r="Z1139" s="4" t="str">
        <f>IF(K1139="",IF(ISNUMBER(SEARCH("NOT NULL",UPPER(K$3))),"''","null"),SUBSTITUTE(VLOOKUP(K$2,convert!$A$1:$B$4,2,0),"@@@",K1139))</f>
        <v>'normal'</v>
      </c>
      <c r="AA1139" s="4" t="str">
        <f>IF(L1139="",IF(ISNUMBER(SEARCH("NOT NULL",UPPER(L$3))),"''","null"),SUBSTITUTE(VLOOKUP(L$2,convert!$A$1:$B$4,2,0),"@@@",L1139))</f>
        <v>'g9'</v>
      </c>
      <c r="AB1139" s="4" t="str">
        <f>IF(M1139="",IF(ISNUMBER(SEARCH("NOT NULL",UPPER(M$3))),"''","null"),SUBSTITUTE(VLOOKUP(M$2,convert!$A$1:$B$4,2,0),"@@@",M1139))</f>
        <v>null</v>
      </c>
      <c r="AC1139" s="4" t="str">
        <f>IF(N1139="",IF(ISNUMBER(SEARCH("NOT NULL",UPPER(N$3))),"''","null"),SUBSTITUTE(VLOOKUP(N$2,convert!$A$1:$B$4,2,0),"@@@",N1139))</f>
        <v>null</v>
      </c>
      <c r="AD1139" s="4" t="str">
        <f>IF(O1139="",IF(ISNUMBER(SEARCH("NOT NULL",UPPER(O$3))),"''","null"),SUBSTITUTE(VLOOKUP(O$2,convert!$A$1:$B$4,2,0),"@@@",O1139))</f>
        <v>FALSE</v>
      </c>
      <c r="AE1139" s="4" t="str">
        <f t="shared" si="17"/>
        <v>    ('0944N01', 'シルシュルー', 40, 65, 35, 40, 35, 75, '', 'poison', 'normal', 'g9', null, null, FALSE),</v>
      </c>
    </row>
    <row r="1140" spans="1:31">
      <c r="A1140" s="4" t="s">
        <v>2289</v>
      </c>
      <c r="B1140" s="4" t="s">
        <v>2290</v>
      </c>
      <c r="C1140" s="5">
        <v>63</v>
      </c>
      <c r="D1140" s="5">
        <v>95</v>
      </c>
      <c r="E1140" s="5">
        <v>65</v>
      </c>
      <c r="F1140" s="5">
        <v>80</v>
      </c>
      <c r="G1140" s="5">
        <v>72</v>
      </c>
      <c r="H1140" s="5">
        <v>110</v>
      </c>
      <c r="I1140" s="5"/>
      <c r="J1140" s="4" t="s">
        <v>31</v>
      </c>
      <c r="K1140" s="4" t="s">
        <v>80</v>
      </c>
      <c r="L1140" s="4" t="s">
        <v>368</v>
      </c>
      <c r="M1140" s="5"/>
      <c r="N1140" s="5"/>
      <c r="O1140" s="5" t="b">
        <v>0</v>
      </c>
      <c r="P1140" s="4" t="str">
        <f>IF(A1140="",IF(ISNUMBER(SEARCH("NOT NULL",UPPER(A$3))),"''","null"),SUBSTITUTE(VLOOKUP(A$2,convert!$A$1:$B$4,2,0),"@@@",A1140))</f>
        <v>'0945N01'</v>
      </c>
      <c r="Q1140" s="4" t="str">
        <f>IF(B1140="",IF(ISNUMBER(SEARCH("NOT NULL",UPPER(B$3))),"''","null"),SUBSTITUTE(VLOOKUP(B$2,convert!$A$1:$B$4,2,0),"@@@",B1140))</f>
        <v>'タギングル'</v>
      </c>
      <c r="R1140" s="4" t="str">
        <f>IF(C1140="",IF(ISNUMBER(SEARCH("NOT NULL",UPPER(C$3))),"''","null"),SUBSTITUTE(VLOOKUP(C$2,convert!$A$1:$B$4,2,0),"@@@",C1140))</f>
        <v>63</v>
      </c>
      <c r="S1140" s="4" t="str">
        <f>IF(D1140="",IF(ISNUMBER(SEARCH("NOT NULL",UPPER(D$3))),"''","null"),SUBSTITUTE(VLOOKUP(D$2,convert!$A$1:$B$4,2,0),"@@@",D1140))</f>
        <v>95</v>
      </c>
      <c r="T1140" s="4" t="str">
        <f>IF(E1140="",IF(ISNUMBER(SEARCH("NOT NULL",UPPER(E$3))),"''","null"),SUBSTITUTE(VLOOKUP(E$2,convert!$A$1:$B$4,2,0),"@@@",E1140))</f>
        <v>65</v>
      </c>
      <c r="U1140" s="4" t="str">
        <f>IF(F1140="",IF(ISNUMBER(SEARCH("NOT NULL",UPPER(F$3))),"''","null"),SUBSTITUTE(VLOOKUP(F$2,convert!$A$1:$B$4,2,0),"@@@",F1140))</f>
        <v>80</v>
      </c>
      <c r="V1140" s="4" t="str">
        <f>IF(G1140="",IF(ISNUMBER(SEARCH("NOT NULL",UPPER(G$3))),"''","null"),SUBSTITUTE(VLOOKUP(G$2,convert!$A$1:$B$4,2,0),"@@@",G1140))</f>
        <v>72</v>
      </c>
      <c r="W1140" s="4" t="str">
        <f>IF(H1140="",IF(ISNUMBER(SEARCH("NOT NULL",UPPER(H$3))),"''","null"),SUBSTITUTE(VLOOKUP(H$2,convert!$A$1:$B$4,2,0),"@@@",H1140))</f>
        <v>110</v>
      </c>
      <c r="X1140" s="4" t="str">
        <f>IF(I1140="",IF(ISNUMBER(SEARCH("NOT NULL",UPPER(I$3))),"''","null"),SUBSTITUTE(VLOOKUP(I$2,convert!$A$1:$B$4,2,0),"@@@",I1140))</f>
        <v>''</v>
      </c>
      <c r="Y1140" s="4" t="str">
        <f>IF(J1140="",IF(ISNUMBER(SEARCH("NOT NULL",UPPER(J$3))),"''","null"),SUBSTITUTE(VLOOKUP(J$2,convert!$A$1:$B$4,2,0),"@@@",J1140))</f>
        <v>'poison'</v>
      </c>
      <c r="Z1140" s="4" t="str">
        <f>IF(K1140="",IF(ISNUMBER(SEARCH("NOT NULL",UPPER(K$3))),"''","null"),SUBSTITUTE(VLOOKUP(K$2,convert!$A$1:$B$4,2,0),"@@@",K1140))</f>
        <v>'normal'</v>
      </c>
      <c r="AA1140" s="4" t="str">
        <f>IF(L1140="",IF(ISNUMBER(SEARCH("NOT NULL",UPPER(L$3))),"''","null"),SUBSTITUTE(VLOOKUP(L$2,convert!$A$1:$B$4,2,0),"@@@",L1140))</f>
        <v>'g9'</v>
      </c>
      <c r="AB1140" s="4" t="str">
        <f>IF(M1140="",IF(ISNUMBER(SEARCH("NOT NULL",UPPER(M$3))),"''","null"),SUBSTITUTE(VLOOKUP(M$2,convert!$A$1:$B$4,2,0),"@@@",M1140))</f>
        <v>null</v>
      </c>
      <c r="AC1140" s="4" t="str">
        <f>IF(N1140="",IF(ISNUMBER(SEARCH("NOT NULL",UPPER(N$3))),"''","null"),SUBSTITUTE(VLOOKUP(N$2,convert!$A$1:$B$4,2,0),"@@@",N1140))</f>
        <v>null</v>
      </c>
      <c r="AD1140" s="4" t="str">
        <f>IF(O1140="",IF(ISNUMBER(SEARCH("NOT NULL",UPPER(O$3))),"''","null"),SUBSTITUTE(VLOOKUP(O$2,convert!$A$1:$B$4,2,0),"@@@",O1140))</f>
        <v>FALSE</v>
      </c>
      <c r="AE1140" s="4" t="str">
        <f t="shared" si="17"/>
        <v>    ('0945N01', 'タギングル', 63, 95, 65, 80, 72, 110, '', 'poison', 'normal', 'g9', null, null, FALSE),</v>
      </c>
    </row>
    <row r="1141" spans="1:31">
      <c r="A1141" s="4" t="s">
        <v>2291</v>
      </c>
      <c r="B1141" s="4" t="s">
        <v>2292</v>
      </c>
      <c r="C1141" s="5">
        <v>40</v>
      </c>
      <c r="D1141" s="5">
        <v>65</v>
      </c>
      <c r="E1141" s="5">
        <v>30</v>
      </c>
      <c r="F1141" s="5">
        <v>45</v>
      </c>
      <c r="G1141" s="5">
        <v>35</v>
      </c>
      <c r="H1141" s="5">
        <v>60</v>
      </c>
      <c r="I1141" s="5"/>
      <c r="J1141" s="4" t="s">
        <v>30</v>
      </c>
      <c r="K1141" s="4" t="s">
        <v>281</v>
      </c>
      <c r="L1141" s="4" t="s">
        <v>368</v>
      </c>
      <c r="M1141" s="5"/>
      <c r="N1141" s="5"/>
      <c r="O1141" s="5" t="b">
        <v>0</v>
      </c>
      <c r="P1141" s="4" t="str">
        <f>IF(A1141="",IF(ISNUMBER(SEARCH("NOT NULL",UPPER(A$3))),"''","null"),SUBSTITUTE(VLOOKUP(A$2,convert!$A$1:$B$4,2,0),"@@@",A1141))</f>
        <v>'0946N01'</v>
      </c>
      <c r="Q1141" s="4" t="str">
        <f>IF(B1141="",IF(ISNUMBER(SEARCH("NOT NULL",UPPER(B$3))),"''","null"),SUBSTITUTE(VLOOKUP(B$2,convert!$A$1:$B$4,2,0),"@@@",B1141))</f>
        <v>'アノクサ'</v>
      </c>
      <c r="R1141" s="4" t="str">
        <f>IF(C1141="",IF(ISNUMBER(SEARCH("NOT NULL",UPPER(C$3))),"''","null"),SUBSTITUTE(VLOOKUP(C$2,convert!$A$1:$B$4,2,0),"@@@",C1141))</f>
        <v>40</v>
      </c>
      <c r="S1141" s="4" t="str">
        <f>IF(D1141="",IF(ISNUMBER(SEARCH("NOT NULL",UPPER(D$3))),"''","null"),SUBSTITUTE(VLOOKUP(D$2,convert!$A$1:$B$4,2,0),"@@@",D1141))</f>
        <v>65</v>
      </c>
      <c r="T1141" s="4" t="str">
        <f>IF(E1141="",IF(ISNUMBER(SEARCH("NOT NULL",UPPER(E$3))),"''","null"),SUBSTITUTE(VLOOKUP(E$2,convert!$A$1:$B$4,2,0),"@@@",E1141))</f>
        <v>30</v>
      </c>
      <c r="U1141" s="4" t="str">
        <f>IF(F1141="",IF(ISNUMBER(SEARCH("NOT NULL",UPPER(F$3))),"''","null"),SUBSTITUTE(VLOOKUP(F$2,convert!$A$1:$B$4,2,0),"@@@",F1141))</f>
        <v>45</v>
      </c>
      <c r="V1141" s="4" t="str">
        <f>IF(G1141="",IF(ISNUMBER(SEARCH("NOT NULL",UPPER(G$3))),"''","null"),SUBSTITUTE(VLOOKUP(G$2,convert!$A$1:$B$4,2,0),"@@@",G1141))</f>
        <v>35</v>
      </c>
      <c r="W1141" s="4" t="str">
        <f>IF(H1141="",IF(ISNUMBER(SEARCH("NOT NULL",UPPER(H$3))),"''","null"),SUBSTITUTE(VLOOKUP(H$2,convert!$A$1:$B$4,2,0),"@@@",H1141))</f>
        <v>60</v>
      </c>
      <c r="X1141" s="4" t="str">
        <f>IF(I1141="",IF(ISNUMBER(SEARCH("NOT NULL",UPPER(I$3))),"''","null"),SUBSTITUTE(VLOOKUP(I$2,convert!$A$1:$B$4,2,0),"@@@",I1141))</f>
        <v>''</v>
      </c>
      <c r="Y1141" s="4" t="str">
        <f>IF(J1141="",IF(ISNUMBER(SEARCH("NOT NULL",UPPER(J$3))),"''","null"),SUBSTITUTE(VLOOKUP(J$2,convert!$A$1:$B$4,2,0),"@@@",J1141))</f>
        <v>'grass'</v>
      </c>
      <c r="Z1141" s="4" t="str">
        <f>IF(K1141="",IF(ISNUMBER(SEARCH("NOT NULL",UPPER(K$3))),"''","null"),SUBSTITUTE(VLOOKUP(K$2,convert!$A$1:$B$4,2,0),"@@@",K1141))</f>
        <v>'ghost'</v>
      </c>
      <c r="AA1141" s="4" t="str">
        <f>IF(L1141="",IF(ISNUMBER(SEARCH("NOT NULL",UPPER(L$3))),"''","null"),SUBSTITUTE(VLOOKUP(L$2,convert!$A$1:$B$4,2,0),"@@@",L1141))</f>
        <v>'g9'</v>
      </c>
      <c r="AB1141" s="4" t="str">
        <f>IF(M1141="",IF(ISNUMBER(SEARCH("NOT NULL",UPPER(M$3))),"''","null"),SUBSTITUTE(VLOOKUP(M$2,convert!$A$1:$B$4,2,0),"@@@",M1141))</f>
        <v>null</v>
      </c>
      <c r="AC1141" s="4" t="str">
        <f>IF(N1141="",IF(ISNUMBER(SEARCH("NOT NULL",UPPER(N$3))),"''","null"),SUBSTITUTE(VLOOKUP(N$2,convert!$A$1:$B$4,2,0),"@@@",N1141))</f>
        <v>null</v>
      </c>
      <c r="AD1141" s="4" t="str">
        <f>IF(O1141="",IF(ISNUMBER(SEARCH("NOT NULL",UPPER(O$3))),"''","null"),SUBSTITUTE(VLOOKUP(O$2,convert!$A$1:$B$4,2,0),"@@@",O1141))</f>
        <v>FALSE</v>
      </c>
      <c r="AE1141" s="4" t="str">
        <f t="shared" si="17"/>
        <v>    ('0946N01', 'アノクサ', 40, 65, 30, 45, 35, 60, '', 'grass', 'ghost', 'g9', null, null, FALSE),</v>
      </c>
    </row>
    <row r="1142" spans="1:31">
      <c r="A1142" s="4" t="s">
        <v>2293</v>
      </c>
      <c r="B1142" s="4" t="s">
        <v>2294</v>
      </c>
      <c r="C1142" s="5">
        <v>55</v>
      </c>
      <c r="D1142" s="5">
        <v>115</v>
      </c>
      <c r="E1142" s="5">
        <v>70</v>
      </c>
      <c r="F1142" s="5">
        <v>80</v>
      </c>
      <c r="G1142" s="5">
        <v>70</v>
      </c>
      <c r="H1142" s="5">
        <v>90</v>
      </c>
      <c r="I1142" s="5"/>
      <c r="J1142" s="4" t="s">
        <v>30</v>
      </c>
      <c r="K1142" s="4" t="s">
        <v>281</v>
      </c>
      <c r="L1142" s="4" t="s">
        <v>368</v>
      </c>
      <c r="M1142" s="5"/>
      <c r="N1142" s="5"/>
      <c r="O1142" s="5" t="b">
        <v>0</v>
      </c>
      <c r="P1142" s="4" t="str">
        <f>IF(A1142="",IF(ISNUMBER(SEARCH("NOT NULL",UPPER(A$3))),"''","null"),SUBSTITUTE(VLOOKUP(A$2,convert!$A$1:$B$4,2,0),"@@@",A1142))</f>
        <v>'0947N01'</v>
      </c>
      <c r="Q1142" s="4" t="str">
        <f>IF(B1142="",IF(ISNUMBER(SEARCH("NOT NULL",UPPER(B$3))),"''","null"),SUBSTITUTE(VLOOKUP(B$2,convert!$A$1:$B$4,2,0),"@@@",B1142))</f>
        <v>'アノホラグサ'</v>
      </c>
      <c r="R1142" s="4" t="str">
        <f>IF(C1142="",IF(ISNUMBER(SEARCH("NOT NULL",UPPER(C$3))),"''","null"),SUBSTITUTE(VLOOKUP(C$2,convert!$A$1:$B$4,2,0),"@@@",C1142))</f>
        <v>55</v>
      </c>
      <c r="S1142" s="4" t="str">
        <f>IF(D1142="",IF(ISNUMBER(SEARCH("NOT NULL",UPPER(D$3))),"''","null"),SUBSTITUTE(VLOOKUP(D$2,convert!$A$1:$B$4,2,0),"@@@",D1142))</f>
        <v>115</v>
      </c>
      <c r="T1142" s="4" t="str">
        <f>IF(E1142="",IF(ISNUMBER(SEARCH("NOT NULL",UPPER(E$3))),"''","null"),SUBSTITUTE(VLOOKUP(E$2,convert!$A$1:$B$4,2,0),"@@@",E1142))</f>
        <v>70</v>
      </c>
      <c r="U1142" s="4" t="str">
        <f>IF(F1142="",IF(ISNUMBER(SEARCH("NOT NULL",UPPER(F$3))),"''","null"),SUBSTITUTE(VLOOKUP(F$2,convert!$A$1:$B$4,2,0),"@@@",F1142))</f>
        <v>80</v>
      </c>
      <c r="V1142" s="4" t="str">
        <f>IF(G1142="",IF(ISNUMBER(SEARCH("NOT NULL",UPPER(G$3))),"''","null"),SUBSTITUTE(VLOOKUP(G$2,convert!$A$1:$B$4,2,0),"@@@",G1142))</f>
        <v>70</v>
      </c>
      <c r="W1142" s="4" t="str">
        <f>IF(H1142="",IF(ISNUMBER(SEARCH("NOT NULL",UPPER(H$3))),"''","null"),SUBSTITUTE(VLOOKUP(H$2,convert!$A$1:$B$4,2,0),"@@@",H1142))</f>
        <v>90</v>
      </c>
      <c r="X1142" s="4" t="str">
        <f>IF(I1142="",IF(ISNUMBER(SEARCH("NOT NULL",UPPER(I$3))),"''","null"),SUBSTITUTE(VLOOKUP(I$2,convert!$A$1:$B$4,2,0),"@@@",I1142))</f>
        <v>''</v>
      </c>
      <c r="Y1142" s="4" t="str">
        <f>IF(J1142="",IF(ISNUMBER(SEARCH("NOT NULL",UPPER(J$3))),"''","null"),SUBSTITUTE(VLOOKUP(J$2,convert!$A$1:$B$4,2,0),"@@@",J1142))</f>
        <v>'grass'</v>
      </c>
      <c r="Z1142" s="4" t="str">
        <f>IF(K1142="",IF(ISNUMBER(SEARCH("NOT NULL",UPPER(K$3))),"''","null"),SUBSTITUTE(VLOOKUP(K$2,convert!$A$1:$B$4,2,0),"@@@",K1142))</f>
        <v>'ghost'</v>
      </c>
      <c r="AA1142" s="4" t="str">
        <f>IF(L1142="",IF(ISNUMBER(SEARCH("NOT NULL",UPPER(L$3))),"''","null"),SUBSTITUTE(VLOOKUP(L$2,convert!$A$1:$B$4,2,0),"@@@",L1142))</f>
        <v>'g9'</v>
      </c>
      <c r="AB1142" s="4" t="str">
        <f>IF(M1142="",IF(ISNUMBER(SEARCH("NOT NULL",UPPER(M$3))),"''","null"),SUBSTITUTE(VLOOKUP(M$2,convert!$A$1:$B$4,2,0),"@@@",M1142))</f>
        <v>null</v>
      </c>
      <c r="AC1142" s="4" t="str">
        <f>IF(N1142="",IF(ISNUMBER(SEARCH("NOT NULL",UPPER(N$3))),"''","null"),SUBSTITUTE(VLOOKUP(N$2,convert!$A$1:$B$4,2,0),"@@@",N1142))</f>
        <v>null</v>
      </c>
      <c r="AD1142" s="4" t="str">
        <f>IF(O1142="",IF(ISNUMBER(SEARCH("NOT NULL",UPPER(O$3))),"''","null"),SUBSTITUTE(VLOOKUP(O$2,convert!$A$1:$B$4,2,0),"@@@",O1142))</f>
        <v>FALSE</v>
      </c>
      <c r="AE1142" s="4" t="str">
        <f t="shared" si="17"/>
        <v>    ('0947N01', 'アノホラグサ', 55, 115, 70, 80, 70, 90, '', 'grass', 'ghost', 'g9', null, null, FALSE),</v>
      </c>
    </row>
    <row r="1143" spans="1:31">
      <c r="A1143" s="4" t="s">
        <v>2295</v>
      </c>
      <c r="B1143" s="4" t="s">
        <v>2296</v>
      </c>
      <c r="C1143" s="5">
        <v>40</v>
      </c>
      <c r="D1143" s="5">
        <v>40</v>
      </c>
      <c r="E1143" s="5">
        <v>35</v>
      </c>
      <c r="F1143" s="5">
        <v>50</v>
      </c>
      <c r="G1143" s="5">
        <v>100</v>
      </c>
      <c r="H1143" s="5">
        <v>70</v>
      </c>
      <c r="I1143" s="5"/>
      <c r="J1143" s="4" t="s">
        <v>116</v>
      </c>
      <c r="K1143" s="4" t="s">
        <v>30</v>
      </c>
      <c r="L1143" s="4" t="s">
        <v>368</v>
      </c>
      <c r="M1143" s="5"/>
      <c r="N1143" s="5"/>
      <c r="O1143" s="5" t="b">
        <v>0</v>
      </c>
      <c r="P1143" s="4" t="str">
        <f>IF(A1143="",IF(ISNUMBER(SEARCH("NOT NULL",UPPER(A$3))),"''","null"),SUBSTITUTE(VLOOKUP(A$2,convert!$A$1:$B$4,2,0),"@@@",A1143))</f>
        <v>'0948N01'</v>
      </c>
      <c r="Q1143" s="4" t="str">
        <f>IF(B1143="",IF(ISNUMBER(SEARCH("NOT NULL",UPPER(B$3))),"''","null"),SUBSTITUTE(VLOOKUP(B$2,convert!$A$1:$B$4,2,0),"@@@",B1143))</f>
        <v>'ノノクラゲ'</v>
      </c>
      <c r="R1143" s="4" t="str">
        <f>IF(C1143="",IF(ISNUMBER(SEARCH("NOT NULL",UPPER(C$3))),"''","null"),SUBSTITUTE(VLOOKUP(C$2,convert!$A$1:$B$4,2,0),"@@@",C1143))</f>
        <v>40</v>
      </c>
      <c r="S1143" s="4" t="str">
        <f>IF(D1143="",IF(ISNUMBER(SEARCH("NOT NULL",UPPER(D$3))),"''","null"),SUBSTITUTE(VLOOKUP(D$2,convert!$A$1:$B$4,2,0),"@@@",D1143))</f>
        <v>40</v>
      </c>
      <c r="T1143" s="4" t="str">
        <f>IF(E1143="",IF(ISNUMBER(SEARCH("NOT NULL",UPPER(E$3))),"''","null"),SUBSTITUTE(VLOOKUP(E$2,convert!$A$1:$B$4,2,0),"@@@",E1143))</f>
        <v>35</v>
      </c>
      <c r="U1143" s="4" t="str">
        <f>IF(F1143="",IF(ISNUMBER(SEARCH("NOT NULL",UPPER(F$3))),"''","null"),SUBSTITUTE(VLOOKUP(F$2,convert!$A$1:$B$4,2,0),"@@@",F1143))</f>
        <v>50</v>
      </c>
      <c r="V1143" s="4" t="str">
        <f>IF(G1143="",IF(ISNUMBER(SEARCH("NOT NULL",UPPER(G$3))),"''","null"),SUBSTITUTE(VLOOKUP(G$2,convert!$A$1:$B$4,2,0),"@@@",G1143))</f>
        <v>100</v>
      </c>
      <c r="W1143" s="4" t="str">
        <f>IF(H1143="",IF(ISNUMBER(SEARCH("NOT NULL",UPPER(H$3))),"''","null"),SUBSTITUTE(VLOOKUP(H$2,convert!$A$1:$B$4,2,0),"@@@",H1143))</f>
        <v>70</v>
      </c>
      <c r="X1143" s="4" t="str">
        <f>IF(I1143="",IF(ISNUMBER(SEARCH("NOT NULL",UPPER(I$3))),"''","null"),SUBSTITUTE(VLOOKUP(I$2,convert!$A$1:$B$4,2,0),"@@@",I1143))</f>
        <v>''</v>
      </c>
      <c r="Y1143" s="4" t="str">
        <f>IF(J1143="",IF(ISNUMBER(SEARCH("NOT NULL",UPPER(J$3))),"''","null"),SUBSTITUTE(VLOOKUP(J$2,convert!$A$1:$B$4,2,0),"@@@",J1143))</f>
        <v>'ground'</v>
      </c>
      <c r="Z1143" s="4" t="str">
        <f>IF(K1143="",IF(ISNUMBER(SEARCH("NOT NULL",UPPER(K$3))),"''","null"),SUBSTITUTE(VLOOKUP(K$2,convert!$A$1:$B$4,2,0),"@@@",K1143))</f>
        <v>'grass'</v>
      </c>
      <c r="AA1143" s="4" t="str">
        <f>IF(L1143="",IF(ISNUMBER(SEARCH("NOT NULL",UPPER(L$3))),"''","null"),SUBSTITUTE(VLOOKUP(L$2,convert!$A$1:$B$4,2,0),"@@@",L1143))</f>
        <v>'g9'</v>
      </c>
      <c r="AB1143" s="4" t="str">
        <f>IF(M1143="",IF(ISNUMBER(SEARCH("NOT NULL",UPPER(M$3))),"''","null"),SUBSTITUTE(VLOOKUP(M$2,convert!$A$1:$B$4,2,0),"@@@",M1143))</f>
        <v>null</v>
      </c>
      <c r="AC1143" s="4" t="str">
        <f>IF(N1143="",IF(ISNUMBER(SEARCH("NOT NULL",UPPER(N$3))),"''","null"),SUBSTITUTE(VLOOKUP(N$2,convert!$A$1:$B$4,2,0),"@@@",N1143))</f>
        <v>null</v>
      </c>
      <c r="AD1143" s="4" t="str">
        <f>IF(O1143="",IF(ISNUMBER(SEARCH("NOT NULL",UPPER(O$3))),"''","null"),SUBSTITUTE(VLOOKUP(O$2,convert!$A$1:$B$4,2,0),"@@@",O1143))</f>
        <v>FALSE</v>
      </c>
      <c r="AE1143" s="4" t="str">
        <f t="shared" si="17"/>
        <v>    ('0948N01', 'ノノクラゲ', 40, 40, 35, 50, 100, 70, '', 'ground', 'grass', 'g9', null, null, FALSE),</v>
      </c>
    </row>
    <row r="1144" spans="1:31">
      <c r="A1144" s="4" t="s">
        <v>2297</v>
      </c>
      <c r="B1144" s="4" t="s">
        <v>2298</v>
      </c>
      <c r="C1144" s="5">
        <v>80</v>
      </c>
      <c r="D1144" s="5">
        <v>70</v>
      </c>
      <c r="E1144" s="5">
        <v>65</v>
      </c>
      <c r="F1144" s="5">
        <v>80</v>
      </c>
      <c r="G1144" s="5">
        <v>120</v>
      </c>
      <c r="H1144" s="5">
        <v>100</v>
      </c>
      <c r="I1144" s="5"/>
      <c r="J1144" s="4" t="s">
        <v>116</v>
      </c>
      <c r="K1144" s="4" t="s">
        <v>30</v>
      </c>
      <c r="L1144" s="4" t="s">
        <v>368</v>
      </c>
      <c r="M1144" s="5"/>
      <c r="N1144" s="5"/>
      <c r="O1144" s="5" t="b">
        <v>0</v>
      </c>
      <c r="P1144" s="4" t="str">
        <f>IF(A1144="",IF(ISNUMBER(SEARCH("NOT NULL",UPPER(A$3))),"''","null"),SUBSTITUTE(VLOOKUP(A$2,convert!$A$1:$B$4,2,0),"@@@",A1144))</f>
        <v>'0949N01'</v>
      </c>
      <c r="Q1144" s="4" t="str">
        <f>IF(B1144="",IF(ISNUMBER(SEARCH("NOT NULL",UPPER(B$3))),"''","null"),SUBSTITUTE(VLOOKUP(B$2,convert!$A$1:$B$4,2,0),"@@@",B1144))</f>
        <v>'リククラゲ'</v>
      </c>
      <c r="R1144" s="4" t="str">
        <f>IF(C1144="",IF(ISNUMBER(SEARCH("NOT NULL",UPPER(C$3))),"''","null"),SUBSTITUTE(VLOOKUP(C$2,convert!$A$1:$B$4,2,0),"@@@",C1144))</f>
        <v>80</v>
      </c>
      <c r="S1144" s="4" t="str">
        <f>IF(D1144="",IF(ISNUMBER(SEARCH("NOT NULL",UPPER(D$3))),"''","null"),SUBSTITUTE(VLOOKUP(D$2,convert!$A$1:$B$4,2,0),"@@@",D1144))</f>
        <v>70</v>
      </c>
      <c r="T1144" s="4" t="str">
        <f>IF(E1144="",IF(ISNUMBER(SEARCH("NOT NULL",UPPER(E$3))),"''","null"),SUBSTITUTE(VLOOKUP(E$2,convert!$A$1:$B$4,2,0),"@@@",E1144))</f>
        <v>65</v>
      </c>
      <c r="U1144" s="4" t="str">
        <f>IF(F1144="",IF(ISNUMBER(SEARCH("NOT NULL",UPPER(F$3))),"''","null"),SUBSTITUTE(VLOOKUP(F$2,convert!$A$1:$B$4,2,0),"@@@",F1144))</f>
        <v>80</v>
      </c>
      <c r="V1144" s="4" t="str">
        <f>IF(G1144="",IF(ISNUMBER(SEARCH("NOT NULL",UPPER(G$3))),"''","null"),SUBSTITUTE(VLOOKUP(G$2,convert!$A$1:$B$4,2,0),"@@@",G1144))</f>
        <v>120</v>
      </c>
      <c r="W1144" s="4" t="str">
        <f>IF(H1144="",IF(ISNUMBER(SEARCH("NOT NULL",UPPER(H$3))),"''","null"),SUBSTITUTE(VLOOKUP(H$2,convert!$A$1:$B$4,2,0),"@@@",H1144))</f>
        <v>100</v>
      </c>
      <c r="X1144" s="4" t="str">
        <f>IF(I1144="",IF(ISNUMBER(SEARCH("NOT NULL",UPPER(I$3))),"''","null"),SUBSTITUTE(VLOOKUP(I$2,convert!$A$1:$B$4,2,0),"@@@",I1144))</f>
        <v>''</v>
      </c>
      <c r="Y1144" s="4" t="str">
        <f>IF(J1144="",IF(ISNUMBER(SEARCH("NOT NULL",UPPER(J$3))),"''","null"),SUBSTITUTE(VLOOKUP(J$2,convert!$A$1:$B$4,2,0),"@@@",J1144))</f>
        <v>'ground'</v>
      </c>
      <c r="Z1144" s="4" t="str">
        <f>IF(K1144="",IF(ISNUMBER(SEARCH("NOT NULL",UPPER(K$3))),"''","null"),SUBSTITUTE(VLOOKUP(K$2,convert!$A$1:$B$4,2,0),"@@@",K1144))</f>
        <v>'grass'</v>
      </c>
      <c r="AA1144" s="4" t="str">
        <f>IF(L1144="",IF(ISNUMBER(SEARCH("NOT NULL",UPPER(L$3))),"''","null"),SUBSTITUTE(VLOOKUP(L$2,convert!$A$1:$B$4,2,0),"@@@",L1144))</f>
        <v>'g9'</v>
      </c>
      <c r="AB1144" s="4" t="str">
        <f>IF(M1144="",IF(ISNUMBER(SEARCH("NOT NULL",UPPER(M$3))),"''","null"),SUBSTITUTE(VLOOKUP(M$2,convert!$A$1:$B$4,2,0),"@@@",M1144))</f>
        <v>null</v>
      </c>
      <c r="AC1144" s="4" t="str">
        <f>IF(N1144="",IF(ISNUMBER(SEARCH("NOT NULL",UPPER(N$3))),"''","null"),SUBSTITUTE(VLOOKUP(N$2,convert!$A$1:$B$4,2,0),"@@@",N1144))</f>
        <v>null</v>
      </c>
      <c r="AD1144" s="4" t="str">
        <f>IF(O1144="",IF(ISNUMBER(SEARCH("NOT NULL",UPPER(O$3))),"''","null"),SUBSTITUTE(VLOOKUP(O$2,convert!$A$1:$B$4,2,0),"@@@",O1144))</f>
        <v>FALSE</v>
      </c>
      <c r="AE1144" s="4" t="str">
        <f t="shared" si="17"/>
        <v>    ('0949N01', 'リククラゲ', 80, 70, 65, 80, 120, 100, '', 'ground', 'grass', 'g9', null, null, FALSE),</v>
      </c>
    </row>
    <row r="1145" spans="1:31">
      <c r="A1145" s="4" t="s">
        <v>2299</v>
      </c>
      <c r="B1145" s="4" t="s">
        <v>2300</v>
      </c>
      <c r="C1145" s="5">
        <v>70</v>
      </c>
      <c r="D1145" s="5">
        <v>100</v>
      </c>
      <c r="E1145" s="5">
        <v>115</v>
      </c>
      <c r="F1145" s="5">
        <v>35</v>
      </c>
      <c r="G1145" s="5">
        <v>55</v>
      </c>
      <c r="H1145" s="5">
        <v>75</v>
      </c>
      <c r="I1145" s="5"/>
      <c r="J1145" s="4" t="s">
        <v>196</v>
      </c>
      <c r="K1145" s="5"/>
      <c r="L1145" s="4" t="s">
        <v>368</v>
      </c>
      <c r="M1145" s="5"/>
      <c r="N1145" s="5"/>
      <c r="O1145" s="5" t="b">
        <v>0</v>
      </c>
      <c r="P1145" s="4" t="str">
        <f>IF(A1145="",IF(ISNUMBER(SEARCH("NOT NULL",UPPER(A$3))),"''","null"),SUBSTITUTE(VLOOKUP(A$2,convert!$A$1:$B$4,2,0),"@@@",A1145))</f>
        <v>'0950N01'</v>
      </c>
      <c r="Q1145" s="4" t="str">
        <f>IF(B1145="",IF(ISNUMBER(SEARCH("NOT NULL",UPPER(B$3))),"''","null"),SUBSTITUTE(VLOOKUP(B$2,convert!$A$1:$B$4,2,0),"@@@",B1145))</f>
        <v>'ガケガニ'</v>
      </c>
      <c r="R1145" s="4" t="str">
        <f>IF(C1145="",IF(ISNUMBER(SEARCH("NOT NULL",UPPER(C$3))),"''","null"),SUBSTITUTE(VLOOKUP(C$2,convert!$A$1:$B$4,2,0),"@@@",C1145))</f>
        <v>70</v>
      </c>
      <c r="S1145" s="4" t="str">
        <f>IF(D1145="",IF(ISNUMBER(SEARCH("NOT NULL",UPPER(D$3))),"''","null"),SUBSTITUTE(VLOOKUP(D$2,convert!$A$1:$B$4,2,0),"@@@",D1145))</f>
        <v>100</v>
      </c>
      <c r="T1145" s="4" t="str">
        <f>IF(E1145="",IF(ISNUMBER(SEARCH("NOT NULL",UPPER(E$3))),"''","null"),SUBSTITUTE(VLOOKUP(E$2,convert!$A$1:$B$4,2,0),"@@@",E1145))</f>
        <v>115</v>
      </c>
      <c r="U1145" s="4" t="str">
        <f>IF(F1145="",IF(ISNUMBER(SEARCH("NOT NULL",UPPER(F$3))),"''","null"),SUBSTITUTE(VLOOKUP(F$2,convert!$A$1:$B$4,2,0),"@@@",F1145))</f>
        <v>35</v>
      </c>
      <c r="V1145" s="4" t="str">
        <f>IF(G1145="",IF(ISNUMBER(SEARCH("NOT NULL",UPPER(G$3))),"''","null"),SUBSTITUTE(VLOOKUP(G$2,convert!$A$1:$B$4,2,0),"@@@",G1145))</f>
        <v>55</v>
      </c>
      <c r="W1145" s="4" t="str">
        <f>IF(H1145="",IF(ISNUMBER(SEARCH("NOT NULL",UPPER(H$3))),"''","null"),SUBSTITUTE(VLOOKUP(H$2,convert!$A$1:$B$4,2,0),"@@@",H1145))</f>
        <v>75</v>
      </c>
      <c r="X1145" s="4" t="str">
        <f>IF(I1145="",IF(ISNUMBER(SEARCH("NOT NULL",UPPER(I$3))),"''","null"),SUBSTITUTE(VLOOKUP(I$2,convert!$A$1:$B$4,2,0),"@@@",I1145))</f>
        <v>''</v>
      </c>
      <c r="Y1145" s="4" t="str">
        <f>IF(J1145="",IF(ISNUMBER(SEARCH("NOT NULL",UPPER(J$3))),"''","null"),SUBSTITUTE(VLOOKUP(J$2,convert!$A$1:$B$4,2,0),"@@@",J1145))</f>
        <v>'rock'</v>
      </c>
      <c r="Z1145" s="4" t="str">
        <f>IF(K1145="",IF(ISNUMBER(SEARCH("NOT NULL",UPPER(K$3))),"''","null"),SUBSTITUTE(VLOOKUP(K$2,convert!$A$1:$B$4,2,0),"@@@",K1145))</f>
        <v>null</v>
      </c>
      <c r="AA1145" s="4" t="str">
        <f>IF(L1145="",IF(ISNUMBER(SEARCH("NOT NULL",UPPER(L$3))),"''","null"),SUBSTITUTE(VLOOKUP(L$2,convert!$A$1:$B$4,2,0),"@@@",L1145))</f>
        <v>'g9'</v>
      </c>
      <c r="AB1145" s="4" t="str">
        <f>IF(M1145="",IF(ISNUMBER(SEARCH("NOT NULL",UPPER(M$3))),"''","null"),SUBSTITUTE(VLOOKUP(M$2,convert!$A$1:$B$4,2,0),"@@@",M1145))</f>
        <v>null</v>
      </c>
      <c r="AC1145" s="4" t="str">
        <f>IF(N1145="",IF(ISNUMBER(SEARCH("NOT NULL",UPPER(N$3))),"''","null"),SUBSTITUTE(VLOOKUP(N$2,convert!$A$1:$B$4,2,0),"@@@",N1145))</f>
        <v>null</v>
      </c>
      <c r="AD1145" s="4" t="str">
        <f>IF(O1145="",IF(ISNUMBER(SEARCH("NOT NULL",UPPER(O$3))),"''","null"),SUBSTITUTE(VLOOKUP(O$2,convert!$A$1:$B$4,2,0),"@@@",O1145))</f>
        <v>FALSE</v>
      </c>
      <c r="AE1145" s="4" t="str">
        <f t="shared" si="17"/>
        <v>    ('0950N01', 'ガケガニ', 70, 100, 115, 35, 55, 75, '', 'rock', null, 'g9', null, null, FALSE),</v>
      </c>
    </row>
    <row r="1146" spans="1:31">
      <c r="A1146" s="4" t="s">
        <v>2301</v>
      </c>
      <c r="B1146" s="4" t="s">
        <v>2302</v>
      </c>
      <c r="C1146" s="5">
        <v>50</v>
      </c>
      <c r="D1146" s="5">
        <v>62</v>
      </c>
      <c r="E1146" s="5">
        <v>40</v>
      </c>
      <c r="F1146" s="5">
        <v>62</v>
      </c>
      <c r="G1146" s="5">
        <v>40</v>
      </c>
      <c r="H1146" s="5">
        <v>50</v>
      </c>
      <c r="I1146" s="5"/>
      <c r="J1146" s="4" t="s">
        <v>30</v>
      </c>
      <c r="K1146" s="5"/>
      <c r="L1146" s="4" t="s">
        <v>368</v>
      </c>
      <c r="M1146" s="5"/>
      <c r="N1146" s="5"/>
      <c r="O1146" s="5" t="b">
        <v>0</v>
      </c>
      <c r="P1146" s="4" t="str">
        <f>IF(A1146="",IF(ISNUMBER(SEARCH("NOT NULL",UPPER(A$3))),"''","null"),SUBSTITUTE(VLOOKUP(A$2,convert!$A$1:$B$4,2,0),"@@@",A1146))</f>
        <v>'0951N01'</v>
      </c>
      <c r="Q1146" s="4" t="str">
        <f>IF(B1146="",IF(ISNUMBER(SEARCH("NOT NULL",UPPER(B$3))),"''","null"),SUBSTITUTE(VLOOKUP(B$2,convert!$A$1:$B$4,2,0),"@@@",B1146))</f>
        <v>'カプサイジ'</v>
      </c>
      <c r="R1146" s="4" t="str">
        <f>IF(C1146="",IF(ISNUMBER(SEARCH("NOT NULL",UPPER(C$3))),"''","null"),SUBSTITUTE(VLOOKUP(C$2,convert!$A$1:$B$4,2,0),"@@@",C1146))</f>
        <v>50</v>
      </c>
      <c r="S1146" s="4" t="str">
        <f>IF(D1146="",IF(ISNUMBER(SEARCH("NOT NULL",UPPER(D$3))),"''","null"),SUBSTITUTE(VLOOKUP(D$2,convert!$A$1:$B$4,2,0),"@@@",D1146))</f>
        <v>62</v>
      </c>
      <c r="T1146" s="4" t="str">
        <f>IF(E1146="",IF(ISNUMBER(SEARCH("NOT NULL",UPPER(E$3))),"''","null"),SUBSTITUTE(VLOOKUP(E$2,convert!$A$1:$B$4,2,0),"@@@",E1146))</f>
        <v>40</v>
      </c>
      <c r="U1146" s="4" t="str">
        <f>IF(F1146="",IF(ISNUMBER(SEARCH("NOT NULL",UPPER(F$3))),"''","null"),SUBSTITUTE(VLOOKUP(F$2,convert!$A$1:$B$4,2,0),"@@@",F1146))</f>
        <v>62</v>
      </c>
      <c r="V1146" s="4" t="str">
        <f>IF(G1146="",IF(ISNUMBER(SEARCH("NOT NULL",UPPER(G$3))),"''","null"),SUBSTITUTE(VLOOKUP(G$2,convert!$A$1:$B$4,2,0),"@@@",G1146))</f>
        <v>40</v>
      </c>
      <c r="W1146" s="4" t="str">
        <f>IF(H1146="",IF(ISNUMBER(SEARCH("NOT NULL",UPPER(H$3))),"''","null"),SUBSTITUTE(VLOOKUP(H$2,convert!$A$1:$B$4,2,0),"@@@",H1146))</f>
        <v>50</v>
      </c>
      <c r="X1146" s="4" t="str">
        <f>IF(I1146="",IF(ISNUMBER(SEARCH("NOT NULL",UPPER(I$3))),"''","null"),SUBSTITUTE(VLOOKUP(I$2,convert!$A$1:$B$4,2,0),"@@@",I1146))</f>
        <v>''</v>
      </c>
      <c r="Y1146" s="4" t="str">
        <f>IF(J1146="",IF(ISNUMBER(SEARCH("NOT NULL",UPPER(J$3))),"''","null"),SUBSTITUTE(VLOOKUP(J$2,convert!$A$1:$B$4,2,0),"@@@",J1146))</f>
        <v>'grass'</v>
      </c>
      <c r="Z1146" s="4" t="str">
        <f>IF(K1146="",IF(ISNUMBER(SEARCH("NOT NULL",UPPER(K$3))),"''","null"),SUBSTITUTE(VLOOKUP(K$2,convert!$A$1:$B$4,2,0),"@@@",K1146))</f>
        <v>null</v>
      </c>
      <c r="AA1146" s="4" t="str">
        <f>IF(L1146="",IF(ISNUMBER(SEARCH("NOT NULL",UPPER(L$3))),"''","null"),SUBSTITUTE(VLOOKUP(L$2,convert!$A$1:$B$4,2,0),"@@@",L1146))</f>
        <v>'g9'</v>
      </c>
      <c r="AB1146" s="4" t="str">
        <f>IF(M1146="",IF(ISNUMBER(SEARCH("NOT NULL",UPPER(M$3))),"''","null"),SUBSTITUTE(VLOOKUP(M$2,convert!$A$1:$B$4,2,0),"@@@",M1146))</f>
        <v>null</v>
      </c>
      <c r="AC1146" s="4" t="str">
        <f>IF(N1146="",IF(ISNUMBER(SEARCH("NOT NULL",UPPER(N$3))),"''","null"),SUBSTITUTE(VLOOKUP(N$2,convert!$A$1:$B$4,2,0),"@@@",N1146))</f>
        <v>null</v>
      </c>
      <c r="AD1146" s="4" t="str">
        <f>IF(O1146="",IF(ISNUMBER(SEARCH("NOT NULL",UPPER(O$3))),"''","null"),SUBSTITUTE(VLOOKUP(O$2,convert!$A$1:$B$4,2,0),"@@@",O1146))</f>
        <v>FALSE</v>
      </c>
      <c r="AE1146" s="4" t="str">
        <f t="shared" si="17"/>
        <v>    ('0951N01', 'カプサイジ', 50, 62, 40, 62, 40, 50, '', 'grass', null, 'g9', null, null, FALSE),</v>
      </c>
    </row>
    <row r="1147" spans="1:31">
      <c r="A1147" s="4" t="s">
        <v>2303</v>
      </c>
      <c r="B1147" s="4" t="s">
        <v>2304</v>
      </c>
      <c r="C1147" s="5">
        <v>65</v>
      </c>
      <c r="D1147" s="5">
        <v>108</v>
      </c>
      <c r="E1147" s="5">
        <v>65</v>
      </c>
      <c r="F1147" s="5">
        <v>108</v>
      </c>
      <c r="G1147" s="5">
        <v>65</v>
      </c>
      <c r="H1147" s="5">
        <v>75</v>
      </c>
      <c r="I1147" s="5"/>
      <c r="J1147" s="4" t="s">
        <v>30</v>
      </c>
      <c r="K1147" s="4" t="s">
        <v>42</v>
      </c>
      <c r="L1147" s="4" t="s">
        <v>368</v>
      </c>
      <c r="M1147" s="5"/>
      <c r="N1147" s="5"/>
      <c r="O1147" s="5" t="b">
        <v>0</v>
      </c>
      <c r="P1147" s="4" t="str">
        <f>IF(A1147="",IF(ISNUMBER(SEARCH("NOT NULL",UPPER(A$3))),"''","null"),SUBSTITUTE(VLOOKUP(A$2,convert!$A$1:$B$4,2,0),"@@@",A1147))</f>
        <v>'0952N01'</v>
      </c>
      <c r="Q1147" s="4" t="str">
        <f>IF(B1147="",IF(ISNUMBER(SEARCH("NOT NULL",UPPER(B$3))),"''","null"),SUBSTITUTE(VLOOKUP(B$2,convert!$A$1:$B$4,2,0),"@@@",B1147))</f>
        <v>'スコヴィラン'</v>
      </c>
      <c r="R1147" s="4" t="str">
        <f>IF(C1147="",IF(ISNUMBER(SEARCH("NOT NULL",UPPER(C$3))),"''","null"),SUBSTITUTE(VLOOKUP(C$2,convert!$A$1:$B$4,2,0),"@@@",C1147))</f>
        <v>65</v>
      </c>
      <c r="S1147" s="4" t="str">
        <f>IF(D1147="",IF(ISNUMBER(SEARCH("NOT NULL",UPPER(D$3))),"''","null"),SUBSTITUTE(VLOOKUP(D$2,convert!$A$1:$B$4,2,0),"@@@",D1147))</f>
        <v>108</v>
      </c>
      <c r="T1147" s="4" t="str">
        <f>IF(E1147="",IF(ISNUMBER(SEARCH("NOT NULL",UPPER(E$3))),"''","null"),SUBSTITUTE(VLOOKUP(E$2,convert!$A$1:$B$4,2,0),"@@@",E1147))</f>
        <v>65</v>
      </c>
      <c r="U1147" s="4" t="str">
        <f>IF(F1147="",IF(ISNUMBER(SEARCH("NOT NULL",UPPER(F$3))),"''","null"),SUBSTITUTE(VLOOKUP(F$2,convert!$A$1:$B$4,2,0),"@@@",F1147))</f>
        <v>108</v>
      </c>
      <c r="V1147" s="4" t="str">
        <f>IF(G1147="",IF(ISNUMBER(SEARCH("NOT NULL",UPPER(G$3))),"''","null"),SUBSTITUTE(VLOOKUP(G$2,convert!$A$1:$B$4,2,0),"@@@",G1147))</f>
        <v>65</v>
      </c>
      <c r="W1147" s="4" t="str">
        <f>IF(H1147="",IF(ISNUMBER(SEARCH("NOT NULL",UPPER(H$3))),"''","null"),SUBSTITUTE(VLOOKUP(H$2,convert!$A$1:$B$4,2,0),"@@@",H1147))</f>
        <v>75</v>
      </c>
      <c r="X1147" s="4" t="str">
        <f>IF(I1147="",IF(ISNUMBER(SEARCH("NOT NULL",UPPER(I$3))),"''","null"),SUBSTITUTE(VLOOKUP(I$2,convert!$A$1:$B$4,2,0),"@@@",I1147))</f>
        <v>''</v>
      </c>
      <c r="Y1147" s="4" t="str">
        <f>IF(J1147="",IF(ISNUMBER(SEARCH("NOT NULL",UPPER(J$3))),"''","null"),SUBSTITUTE(VLOOKUP(J$2,convert!$A$1:$B$4,2,0),"@@@",J1147))</f>
        <v>'grass'</v>
      </c>
      <c r="Z1147" s="4" t="str">
        <f>IF(K1147="",IF(ISNUMBER(SEARCH("NOT NULL",UPPER(K$3))),"''","null"),SUBSTITUTE(VLOOKUP(K$2,convert!$A$1:$B$4,2,0),"@@@",K1147))</f>
        <v>'fire'</v>
      </c>
      <c r="AA1147" s="4" t="str">
        <f>IF(L1147="",IF(ISNUMBER(SEARCH("NOT NULL",UPPER(L$3))),"''","null"),SUBSTITUTE(VLOOKUP(L$2,convert!$A$1:$B$4,2,0),"@@@",L1147))</f>
        <v>'g9'</v>
      </c>
      <c r="AB1147" s="4" t="str">
        <f>IF(M1147="",IF(ISNUMBER(SEARCH("NOT NULL",UPPER(M$3))),"''","null"),SUBSTITUTE(VLOOKUP(M$2,convert!$A$1:$B$4,2,0),"@@@",M1147))</f>
        <v>null</v>
      </c>
      <c r="AC1147" s="4" t="str">
        <f>IF(N1147="",IF(ISNUMBER(SEARCH("NOT NULL",UPPER(N$3))),"''","null"),SUBSTITUTE(VLOOKUP(N$2,convert!$A$1:$B$4,2,0),"@@@",N1147))</f>
        <v>null</v>
      </c>
      <c r="AD1147" s="4" t="str">
        <f>IF(O1147="",IF(ISNUMBER(SEARCH("NOT NULL",UPPER(O$3))),"''","null"),SUBSTITUTE(VLOOKUP(O$2,convert!$A$1:$B$4,2,0),"@@@",O1147))</f>
        <v>FALSE</v>
      </c>
      <c r="AE1147" s="4" t="str">
        <f t="shared" si="17"/>
        <v>    ('0952N01', 'スコヴィラン', 65, 108, 65, 108, 65, 75, '', 'grass', 'fire', 'g9', null, null, FALSE),</v>
      </c>
    </row>
    <row r="1148" spans="1:31">
      <c r="A1148" s="4" t="s">
        <v>2305</v>
      </c>
      <c r="B1148" s="4" t="s">
        <v>2306</v>
      </c>
      <c r="C1148" s="5">
        <v>41</v>
      </c>
      <c r="D1148" s="5">
        <v>50</v>
      </c>
      <c r="E1148" s="5">
        <v>60</v>
      </c>
      <c r="F1148" s="5">
        <v>31</v>
      </c>
      <c r="G1148" s="5">
        <v>58</v>
      </c>
      <c r="H1148" s="5">
        <v>30</v>
      </c>
      <c r="I1148" s="5"/>
      <c r="J1148" s="4" t="s">
        <v>64</v>
      </c>
      <c r="K1148" s="5"/>
      <c r="L1148" s="4" t="s">
        <v>368</v>
      </c>
      <c r="M1148" s="5"/>
      <c r="N1148" s="5"/>
      <c r="O1148" s="5" t="b">
        <v>0</v>
      </c>
      <c r="P1148" s="4" t="str">
        <f>IF(A1148="",IF(ISNUMBER(SEARCH("NOT NULL",UPPER(A$3))),"''","null"),SUBSTITUTE(VLOOKUP(A$2,convert!$A$1:$B$4,2,0),"@@@",A1148))</f>
        <v>'0953N01'</v>
      </c>
      <c r="Q1148" s="4" t="str">
        <f>IF(B1148="",IF(ISNUMBER(SEARCH("NOT NULL",UPPER(B$3))),"''","null"),SUBSTITUTE(VLOOKUP(B$2,convert!$A$1:$B$4,2,0),"@@@",B1148))</f>
        <v>'シガロコ'</v>
      </c>
      <c r="R1148" s="4" t="str">
        <f>IF(C1148="",IF(ISNUMBER(SEARCH("NOT NULL",UPPER(C$3))),"''","null"),SUBSTITUTE(VLOOKUP(C$2,convert!$A$1:$B$4,2,0),"@@@",C1148))</f>
        <v>41</v>
      </c>
      <c r="S1148" s="4" t="str">
        <f>IF(D1148="",IF(ISNUMBER(SEARCH("NOT NULL",UPPER(D$3))),"''","null"),SUBSTITUTE(VLOOKUP(D$2,convert!$A$1:$B$4,2,0),"@@@",D1148))</f>
        <v>50</v>
      </c>
      <c r="T1148" s="4" t="str">
        <f>IF(E1148="",IF(ISNUMBER(SEARCH("NOT NULL",UPPER(E$3))),"''","null"),SUBSTITUTE(VLOOKUP(E$2,convert!$A$1:$B$4,2,0),"@@@",E1148))</f>
        <v>60</v>
      </c>
      <c r="U1148" s="4" t="str">
        <f>IF(F1148="",IF(ISNUMBER(SEARCH("NOT NULL",UPPER(F$3))),"''","null"),SUBSTITUTE(VLOOKUP(F$2,convert!$A$1:$B$4,2,0),"@@@",F1148))</f>
        <v>31</v>
      </c>
      <c r="V1148" s="4" t="str">
        <f>IF(G1148="",IF(ISNUMBER(SEARCH("NOT NULL",UPPER(G$3))),"''","null"),SUBSTITUTE(VLOOKUP(G$2,convert!$A$1:$B$4,2,0),"@@@",G1148))</f>
        <v>58</v>
      </c>
      <c r="W1148" s="4" t="str">
        <f>IF(H1148="",IF(ISNUMBER(SEARCH("NOT NULL",UPPER(H$3))),"''","null"),SUBSTITUTE(VLOOKUP(H$2,convert!$A$1:$B$4,2,0),"@@@",H1148))</f>
        <v>30</v>
      </c>
      <c r="X1148" s="4" t="str">
        <f>IF(I1148="",IF(ISNUMBER(SEARCH("NOT NULL",UPPER(I$3))),"''","null"),SUBSTITUTE(VLOOKUP(I$2,convert!$A$1:$B$4,2,0),"@@@",I1148))</f>
        <v>''</v>
      </c>
      <c r="Y1148" s="4" t="str">
        <f>IF(J1148="",IF(ISNUMBER(SEARCH("NOT NULL",UPPER(J$3))),"''","null"),SUBSTITUTE(VLOOKUP(J$2,convert!$A$1:$B$4,2,0),"@@@",J1148))</f>
        <v>'bug'</v>
      </c>
      <c r="Z1148" s="4" t="str">
        <f>IF(K1148="",IF(ISNUMBER(SEARCH("NOT NULL",UPPER(K$3))),"''","null"),SUBSTITUTE(VLOOKUP(K$2,convert!$A$1:$B$4,2,0),"@@@",K1148))</f>
        <v>null</v>
      </c>
      <c r="AA1148" s="4" t="str">
        <f>IF(L1148="",IF(ISNUMBER(SEARCH("NOT NULL",UPPER(L$3))),"''","null"),SUBSTITUTE(VLOOKUP(L$2,convert!$A$1:$B$4,2,0),"@@@",L1148))</f>
        <v>'g9'</v>
      </c>
      <c r="AB1148" s="4" t="str">
        <f>IF(M1148="",IF(ISNUMBER(SEARCH("NOT NULL",UPPER(M$3))),"''","null"),SUBSTITUTE(VLOOKUP(M$2,convert!$A$1:$B$4,2,0),"@@@",M1148))</f>
        <v>null</v>
      </c>
      <c r="AC1148" s="4" t="str">
        <f>IF(N1148="",IF(ISNUMBER(SEARCH("NOT NULL",UPPER(N$3))),"''","null"),SUBSTITUTE(VLOOKUP(N$2,convert!$A$1:$B$4,2,0),"@@@",N1148))</f>
        <v>null</v>
      </c>
      <c r="AD1148" s="4" t="str">
        <f>IF(O1148="",IF(ISNUMBER(SEARCH("NOT NULL",UPPER(O$3))),"''","null"),SUBSTITUTE(VLOOKUP(O$2,convert!$A$1:$B$4,2,0),"@@@",O1148))</f>
        <v>FALSE</v>
      </c>
      <c r="AE1148" s="4" t="str">
        <f t="shared" si="17"/>
        <v>    ('0953N01', 'シガロコ', 41, 50, 60, 31, 58, 30, '', 'bug', null, 'g9', null, null, FALSE),</v>
      </c>
    </row>
    <row r="1149" spans="1:31">
      <c r="A1149" s="4" t="s">
        <v>2307</v>
      </c>
      <c r="B1149" s="4" t="s">
        <v>2308</v>
      </c>
      <c r="C1149" s="5">
        <v>75</v>
      </c>
      <c r="D1149" s="5">
        <v>50</v>
      </c>
      <c r="E1149" s="5">
        <v>85</v>
      </c>
      <c r="F1149" s="5">
        <v>115</v>
      </c>
      <c r="G1149" s="5">
        <v>100</v>
      </c>
      <c r="H1149" s="5">
        <v>45</v>
      </c>
      <c r="I1149" s="5"/>
      <c r="J1149" s="4" t="s">
        <v>64</v>
      </c>
      <c r="K1149" s="4" t="s">
        <v>113</v>
      </c>
      <c r="L1149" s="4" t="s">
        <v>368</v>
      </c>
      <c r="M1149" s="5"/>
      <c r="N1149" s="5"/>
      <c r="O1149" s="5" t="b">
        <v>0</v>
      </c>
      <c r="P1149" s="4" t="str">
        <f>IF(A1149="",IF(ISNUMBER(SEARCH("NOT NULL",UPPER(A$3))),"''","null"),SUBSTITUTE(VLOOKUP(A$2,convert!$A$1:$B$4,2,0),"@@@",A1149))</f>
        <v>'0954N01'</v>
      </c>
      <c r="Q1149" s="4" t="str">
        <f>IF(B1149="",IF(ISNUMBER(SEARCH("NOT NULL",UPPER(B$3))),"''","null"),SUBSTITUTE(VLOOKUP(B$2,convert!$A$1:$B$4,2,0),"@@@",B1149))</f>
        <v>'ベラカス'</v>
      </c>
      <c r="R1149" s="4" t="str">
        <f>IF(C1149="",IF(ISNUMBER(SEARCH("NOT NULL",UPPER(C$3))),"''","null"),SUBSTITUTE(VLOOKUP(C$2,convert!$A$1:$B$4,2,0),"@@@",C1149))</f>
        <v>75</v>
      </c>
      <c r="S1149" s="4" t="str">
        <f>IF(D1149="",IF(ISNUMBER(SEARCH("NOT NULL",UPPER(D$3))),"''","null"),SUBSTITUTE(VLOOKUP(D$2,convert!$A$1:$B$4,2,0),"@@@",D1149))</f>
        <v>50</v>
      </c>
      <c r="T1149" s="4" t="str">
        <f>IF(E1149="",IF(ISNUMBER(SEARCH("NOT NULL",UPPER(E$3))),"''","null"),SUBSTITUTE(VLOOKUP(E$2,convert!$A$1:$B$4,2,0),"@@@",E1149))</f>
        <v>85</v>
      </c>
      <c r="U1149" s="4" t="str">
        <f>IF(F1149="",IF(ISNUMBER(SEARCH("NOT NULL",UPPER(F$3))),"''","null"),SUBSTITUTE(VLOOKUP(F$2,convert!$A$1:$B$4,2,0),"@@@",F1149))</f>
        <v>115</v>
      </c>
      <c r="V1149" s="4" t="str">
        <f>IF(G1149="",IF(ISNUMBER(SEARCH("NOT NULL",UPPER(G$3))),"''","null"),SUBSTITUTE(VLOOKUP(G$2,convert!$A$1:$B$4,2,0),"@@@",G1149))</f>
        <v>100</v>
      </c>
      <c r="W1149" s="4" t="str">
        <f>IF(H1149="",IF(ISNUMBER(SEARCH("NOT NULL",UPPER(H$3))),"''","null"),SUBSTITUTE(VLOOKUP(H$2,convert!$A$1:$B$4,2,0),"@@@",H1149))</f>
        <v>45</v>
      </c>
      <c r="X1149" s="4" t="str">
        <f>IF(I1149="",IF(ISNUMBER(SEARCH("NOT NULL",UPPER(I$3))),"''","null"),SUBSTITUTE(VLOOKUP(I$2,convert!$A$1:$B$4,2,0),"@@@",I1149))</f>
        <v>''</v>
      </c>
      <c r="Y1149" s="4" t="str">
        <f>IF(J1149="",IF(ISNUMBER(SEARCH("NOT NULL",UPPER(J$3))),"''","null"),SUBSTITUTE(VLOOKUP(J$2,convert!$A$1:$B$4,2,0),"@@@",J1149))</f>
        <v>'bug'</v>
      </c>
      <c r="Z1149" s="4" t="str">
        <f>IF(K1149="",IF(ISNUMBER(SEARCH("NOT NULL",UPPER(K$3))),"''","null"),SUBSTITUTE(VLOOKUP(K$2,convert!$A$1:$B$4,2,0),"@@@",K1149))</f>
        <v>'psychic'</v>
      </c>
      <c r="AA1149" s="4" t="str">
        <f>IF(L1149="",IF(ISNUMBER(SEARCH("NOT NULL",UPPER(L$3))),"''","null"),SUBSTITUTE(VLOOKUP(L$2,convert!$A$1:$B$4,2,0),"@@@",L1149))</f>
        <v>'g9'</v>
      </c>
      <c r="AB1149" s="4" t="str">
        <f>IF(M1149="",IF(ISNUMBER(SEARCH("NOT NULL",UPPER(M$3))),"''","null"),SUBSTITUTE(VLOOKUP(M$2,convert!$A$1:$B$4,2,0),"@@@",M1149))</f>
        <v>null</v>
      </c>
      <c r="AC1149" s="4" t="str">
        <f>IF(N1149="",IF(ISNUMBER(SEARCH("NOT NULL",UPPER(N$3))),"''","null"),SUBSTITUTE(VLOOKUP(N$2,convert!$A$1:$B$4,2,0),"@@@",N1149))</f>
        <v>null</v>
      </c>
      <c r="AD1149" s="4" t="str">
        <f>IF(O1149="",IF(ISNUMBER(SEARCH("NOT NULL",UPPER(O$3))),"''","null"),SUBSTITUTE(VLOOKUP(O$2,convert!$A$1:$B$4,2,0),"@@@",O1149))</f>
        <v>FALSE</v>
      </c>
      <c r="AE1149" s="4" t="str">
        <f t="shared" si="17"/>
        <v>    ('0954N01', 'ベラカス', 75, 50, 85, 115, 100, 45, '', 'bug', 'psychic', 'g9', null, null, FALSE),</v>
      </c>
    </row>
    <row r="1150" spans="1:31">
      <c r="A1150" s="4" t="s">
        <v>2309</v>
      </c>
      <c r="B1150" s="4" t="s">
        <v>2310</v>
      </c>
      <c r="C1150" s="5">
        <v>30</v>
      </c>
      <c r="D1150" s="5">
        <v>35</v>
      </c>
      <c r="E1150" s="5">
        <v>30</v>
      </c>
      <c r="F1150" s="5">
        <v>55</v>
      </c>
      <c r="G1150" s="5">
        <v>30</v>
      </c>
      <c r="H1150" s="5">
        <v>75</v>
      </c>
      <c r="I1150" s="5"/>
      <c r="J1150" s="4" t="s">
        <v>113</v>
      </c>
      <c r="K1150" s="5"/>
      <c r="L1150" s="4" t="s">
        <v>368</v>
      </c>
      <c r="M1150" s="5"/>
      <c r="N1150" s="5"/>
      <c r="O1150" s="5" t="b">
        <v>0</v>
      </c>
      <c r="P1150" s="4" t="str">
        <f>IF(A1150="",IF(ISNUMBER(SEARCH("NOT NULL",UPPER(A$3))),"''","null"),SUBSTITUTE(VLOOKUP(A$2,convert!$A$1:$B$4,2,0),"@@@",A1150))</f>
        <v>'0955N01'</v>
      </c>
      <c r="Q1150" s="4" t="str">
        <f>IF(B1150="",IF(ISNUMBER(SEARCH("NOT NULL",UPPER(B$3))),"''","null"),SUBSTITUTE(VLOOKUP(B$2,convert!$A$1:$B$4,2,0),"@@@",B1150))</f>
        <v>'ヒラヒナ'</v>
      </c>
      <c r="R1150" s="4" t="str">
        <f>IF(C1150="",IF(ISNUMBER(SEARCH("NOT NULL",UPPER(C$3))),"''","null"),SUBSTITUTE(VLOOKUP(C$2,convert!$A$1:$B$4,2,0),"@@@",C1150))</f>
        <v>30</v>
      </c>
      <c r="S1150" s="4" t="str">
        <f>IF(D1150="",IF(ISNUMBER(SEARCH("NOT NULL",UPPER(D$3))),"''","null"),SUBSTITUTE(VLOOKUP(D$2,convert!$A$1:$B$4,2,0),"@@@",D1150))</f>
        <v>35</v>
      </c>
      <c r="T1150" s="4" t="str">
        <f>IF(E1150="",IF(ISNUMBER(SEARCH("NOT NULL",UPPER(E$3))),"''","null"),SUBSTITUTE(VLOOKUP(E$2,convert!$A$1:$B$4,2,0),"@@@",E1150))</f>
        <v>30</v>
      </c>
      <c r="U1150" s="4" t="str">
        <f>IF(F1150="",IF(ISNUMBER(SEARCH("NOT NULL",UPPER(F$3))),"''","null"),SUBSTITUTE(VLOOKUP(F$2,convert!$A$1:$B$4,2,0),"@@@",F1150))</f>
        <v>55</v>
      </c>
      <c r="V1150" s="4" t="str">
        <f>IF(G1150="",IF(ISNUMBER(SEARCH("NOT NULL",UPPER(G$3))),"''","null"),SUBSTITUTE(VLOOKUP(G$2,convert!$A$1:$B$4,2,0),"@@@",G1150))</f>
        <v>30</v>
      </c>
      <c r="W1150" s="4" t="str">
        <f>IF(H1150="",IF(ISNUMBER(SEARCH("NOT NULL",UPPER(H$3))),"''","null"),SUBSTITUTE(VLOOKUP(H$2,convert!$A$1:$B$4,2,0),"@@@",H1150))</f>
        <v>75</v>
      </c>
      <c r="X1150" s="4" t="str">
        <f>IF(I1150="",IF(ISNUMBER(SEARCH("NOT NULL",UPPER(I$3))),"''","null"),SUBSTITUTE(VLOOKUP(I$2,convert!$A$1:$B$4,2,0),"@@@",I1150))</f>
        <v>''</v>
      </c>
      <c r="Y1150" s="4" t="str">
        <f>IF(J1150="",IF(ISNUMBER(SEARCH("NOT NULL",UPPER(J$3))),"''","null"),SUBSTITUTE(VLOOKUP(J$2,convert!$A$1:$B$4,2,0),"@@@",J1150))</f>
        <v>'psychic'</v>
      </c>
      <c r="Z1150" s="4" t="str">
        <f>IF(K1150="",IF(ISNUMBER(SEARCH("NOT NULL",UPPER(K$3))),"''","null"),SUBSTITUTE(VLOOKUP(K$2,convert!$A$1:$B$4,2,0),"@@@",K1150))</f>
        <v>null</v>
      </c>
      <c r="AA1150" s="4" t="str">
        <f>IF(L1150="",IF(ISNUMBER(SEARCH("NOT NULL",UPPER(L$3))),"''","null"),SUBSTITUTE(VLOOKUP(L$2,convert!$A$1:$B$4,2,0),"@@@",L1150))</f>
        <v>'g9'</v>
      </c>
      <c r="AB1150" s="4" t="str">
        <f>IF(M1150="",IF(ISNUMBER(SEARCH("NOT NULL",UPPER(M$3))),"''","null"),SUBSTITUTE(VLOOKUP(M$2,convert!$A$1:$B$4,2,0),"@@@",M1150))</f>
        <v>null</v>
      </c>
      <c r="AC1150" s="4" t="str">
        <f>IF(N1150="",IF(ISNUMBER(SEARCH("NOT NULL",UPPER(N$3))),"''","null"),SUBSTITUTE(VLOOKUP(N$2,convert!$A$1:$B$4,2,0),"@@@",N1150))</f>
        <v>null</v>
      </c>
      <c r="AD1150" s="4" t="str">
        <f>IF(O1150="",IF(ISNUMBER(SEARCH("NOT NULL",UPPER(O$3))),"''","null"),SUBSTITUTE(VLOOKUP(O$2,convert!$A$1:$B$4,2,0),"@@@",O1150))</f>
        <v>FALSE</v>
      </c>
      <c r="AE1150" s="4" t="str">
        <f t="shared" si="17"/>
        <v>    ('0955N01', 'ヒラヒナ', 30, 35, 30, 55, 30, 75, '', 'psychic', null, 'g9', null, null, FALSE),</v>
      </c>
    </row>
    <row r="1151" spans="1:31">
      <c r="A1151" s="4" t="s">
        <v>2311</v>
      </c>
      <c r="B1151" s="4" t="s">
        <v>2312</v>
      </c>
      <c r="C1151" s="5">
        <v>95</v>
      </c>
      <c r="D1151" s="5">
        <v>60</v>
      </c>
      <c r="E1151" s="5">
        <v>60</v>
      </c>
      <c r="F1151" s="5">
        <v>101</v>
      </c>
      <c r="G1151" s="5">
        <v>60</v>
      </c>
      <c r="H1151" s="5">
        <v>105</v>
      </c>
      <c r="I1151" s="5"/>
      <c r="J1151" s="4" t="s">
        <v>113</v>
      </c>
      <c r="K1151" s="5"/>
      <c r="L1151" s="4" t="s">
        <v>368</v>
      </c>
      <c r="M1151" s="5"/>
      <c r="N1151" s="5"/>
      <c r="O1151" s="5" t="b">
        <v>0</v>
      </c>
      <c r="P1151" s="4" t="str">
        <f>IF(A1151="",IF(ISNUMBER(SEARCH("NOT NULL",UPPER(A$3))),"''","null"),SUBSTITUTE(VLOOKUP(A$2,convert!$A$1:$B$4,2,0),"@@@",A1151))</f>
        <v>'0956N01'</v>
      </c>
      <c r="Q1151" s="4" t="str">
        <f>IF(B1151="",IF(ISNUMBER(SEARCH("NOT NULL",UPPER(B$3))),"''","null"),SUBSTITUTE(VLOOKUP(B$2,convert!$A$1:$B$4,2,0),"@@@",B1151))</f>
        <v>'クエスパトラ'</v>
      </c>
      <c r="R1151" s="4" t="str">
        <f>IF(C1151="",IF(ISNUMBER(SEARCH("NOT NULL",UPPER(C$3))),"''","null"),SUBSTITUTE(VLOOKUP(C$2,convert!$A$1:$B$4,2,0),"@@@",C1151))</f>
        <v>95</v>
      </c>
      <c r="S1151" s="4" t="str">
        <f>IF(D1151="",IF(ISNUMBER(SEARCH("NOT NULL",UPPER(D$3))),"''","null"),SUBSTITUTE(VLOOKUP(D$2,convert!$A$1:$B$4,2,0),"@@@",D1151))</f>
        <v>60</v>
      </c>
      <c r="T1151" s="4" t="str">
        <f>IF(E1151="",IF(ISNUMBER(SEARCH("NOT NULL",UPPER(E$3))),"''","null"),SUBSTITUTE(VLOOKUP(E$2,convert!$A$1:$B$4,2,0),"@@@",E1151))</f>
        <v>60</v>
      </c>
      <c r="U1151" s="4" t="str">
        <f>IF(F1151="",IF(ISNUMBER(SEARCH("NOT NULL",UPPER(F$3))),"''","null"),SUBSTITUTE(VLOOKUP(F$2,convert!$A$1:$B$4,2,0),"@@@",F1151))</f>
        <v>101</v>
      </c>
      <c r="V1151" s="4" t="str">
        <f>IF(G1151="",IF(ISNUMBER(SEARCH("NOT NULL",UPPER(G$3))),"''","null"),SUBSTITUTE(VLOOKUP(G$2,convert!$A$1:$B$4,2,0),"@@@",G1151))</f>
        <v>60</v>
      </c>
      <c r="W1151" s="4" t="str">
        <f>IF(H1151="",IF(ISNUMBER(SEARCH("NOT NULL",UPPER(H$3))),"''","null"),SUBSTITUTE(VLOOKUP(H$2,convert!$A$1:$B$4,2,0),"@@@",H1151))</f>
        <v>105</v>
      </c>
      <c r="X1151" s="4" t="str">
        <f>IF(I1151="",IF(ISNUMBER(SEARCH("NOT NULL",UPPER(I$3))),"''","null"),SUBSTITUTE(VLOOKUP(I$2,convert!$A$1:$B$4,2,0),"@@@",I1151))</f>
        <v>''</v>
      </c>
      <c r="Y1151" s="4" t="str">
        <f>IF(J1151="",IF(ISNUMBER(SEARCH("NOT NULL",UPPER(J$3))),"''","null"),SUBSTITUTE(VLOOKUP(J$2,convert!$A$1:$B$4,2,0),"@@@",J1151))</f>
        <v>'psychic'</v>
      </c>
      <c r="Z1151" s="4" t="str">
        <f>IF(K1151="",IF(ISNUMBER(SEARCH("NOT NULL",UPPER(K$3))),"''","null"),SUBSTITUTE(VLOOKUP(K$2,convert!$A$1:$B$4,2,0),"@@@",K1151))</f>
        <v>null</v>
      </c>
      <c r="AA1151" s="4" t="str">
        <f>IF(L1151="",IF(ISNUMBER(SEARCH("NOT NULL",UPPER(L$3))),"''","null"),SUBSTITUTE(VLOOKUP(L$2,convert!$A$1:$B$4,2,0),"@@@",L1151))</f>
        <v>'g9'</v>
      </c>
      <c r="AB1151" s="4" t="str">
        <f>IF(M1151="",IF(ISNUMBER(SEARCH("NOT NULL",UPPER(M$3))),"''","null"),SUBSTITUTE(VLOOKUP(M$2,convert!$A$1:$B$4,2,0),"@@@",M1151))</f>
        <v>null</v>
      </c>
      <c r="AC1151" s="4" t="str">
        <f>IF(N1151="",IF(ISNUMBER(SEARCH("NOT NULL",UPPER(N$3))),"''","null"),SUBSTITUTE(VLOOKUP(N$2,convert!$A$1:$B$4,2,0),"@@@",N1151))</f>
        <v>null</v>
      </c>
      <c r="AD1151" s="4" t="str">
        <f>IF(O1151="",IF(ISNUMBER(SEARCH("NOT NULL",UPPER(O$3))),"''","null"),SUBSTITUTE(VLOOKUP(O$2,convert!$A$1:$B$4,2,0),"@@@",O1151))</f>
        <v>FALSE</v>
      </c>
      <c r="AE1151" s="4" t="str">
        <f t="shared" si="17"/>
        <v>    ('0956N01', 'クエスパトラ', 95, 60, 60, 101, 60, 105, '', 'psychic', null, 'g9', null, null, FALSE),</v>
      </c>
    </row>
    <row r="1152" spans="1:31">
      <c r="A1152" s="4" t="s">
        <v>2313</v>
      </c>
      <c r="B1152" s="4" t="s">
        <v>2314</v>
      </c>
      <c r="C1152" s="5">
        <v>50</v>
      </c>
      <c r="D1152" s="5">
        <v>45</v>
      </c>
      <c r="E1152" s="5">
        <v>45</v>
      </c>
      <c r="F1152" s="5">
        <v>35</v>
      </c>
      <c r="G1152" s="5">
        <v>64</v>
      </c>
      <c r="H1152" s="5">
        <v>58</v>
      </c>
      <c r="I1152" s="5"/>
      <c r="J1152" s="4" t="s">
        <v>137</v>
      </c>
      <c r="K1152" s="4" t="s">
        <v>119</v>
      </c>
      <c r="L1152" s="4" t="s">
        <v>368</v>
      </c>
      <c r="M1152" s="5"/>
      <c r="N1152" s="5"/>
      <c r="O1152" s="5" t="b">
        <v>0</v>
      </c>
      <c r="P1152" s="4" t="str">
        <f>IF(A1152="",IF(ISNUMBER(SEARCH("NOT NULL",UPPER(A$3))),"''","null"),SUBSTITUTE(VLOOKUP(A$2,convert!$A$1:$B$4,2,0),"@@@",A1152))</f>
        <v>'0957N01'</v>
      </c>
      <c r="Q1152" s="4" t="str">
        <f>IF(B1152="",IF(ISNUMBER(SEARCH("NOT NULL",UPPER(B$3))),"''","null"),SUBSTITUTE(VLOOKUP(B$2,convert!$A$1:$B$4,2,0),"@@@",B1152))</f>
        <v>'カヌチャン'</v>
      </c>
      <c r="R1152" s="4" t="str">
        <f>IF(C1152="",IF(ISNUMBER(SEARCH("NOT NULL",UPPER(C$3))),"''","null"),SUBSTITUTE(VLOOKUP(C$2,convert!$A$1:$B$4,2,0),"@@@",C1152))</f>
        <v>50</v>
      </c>
      <c r="S1152" s="4" t="str">
        <f>IF(D1152="",IF(ISNUMBER(SEARCH("NOT NULL",UPPER(D$3))),"''","null"),SUBSTITUTE(VLOOKUP(D$2,convert!$A$1:$B$4,2,0),"@@@",D1152))</f>
        <v>45</v>
      </c>
      <c r="T1152" s="4" t="str">
        <f>IF(E1152="",IF(ISNUMBER(SEARCH("NOT NULL",UPPER(E$3))),"''","null"),SUBSTITUTE(VLOOKUP(E$2,convert!$A$1:$B$4,2,0),"@@@",E1152))</f>
        <v>45</v>
      </c>
      <c r="U1152" s="4" t="str">
        <f>IF(F1152="",IF(ISNUMBER(SEARCH("NOT NULL",UPPER(F$3))),"''","null"),SUBSTITUTE(VLOOKUP(F$2,convert!$A$1:$B$4,2,0),"@@@",F1152))</f>
        <v>35</v>
      </c>
      <c r="V1152" s="4" t="str">
        <f>IF(G1152="",IF(ISNUMBER(SEARCH("NOT NULL",UPPER(G$3))),"''","null"),SUBSTITUTE(VLOOKUP(G$2,convert!$A$1:$B$4,2,0),"@@@",G1152))</f>
        <v>64</v>
      </c>
      <c r="W1152" s="4" t="str">
        <f>IF(H1152="",IF(ISNUMBER(SEARCH("NOT NULL",UPPER(H$3))),"''","null"),SUBSTITUTE(VLOOKUP(H$2,convert!$A$1:$B$4,2,0),"@@@",H1152))</f>
        <v>58</v>
      </c>
      <c r="X1152" s="4" t="str">
        <f>IF(I1152="",IF(ISNUMBER(SEARCH("NOT NULL",UPPER(I$3))),"''","null"),SUBSTITUTE(VLOOKUP(I$2,convert!$A$1:$B$4,2,0),"@@@",I1152))</f>
        <v>''</v>
      </c>
      <c r="Y1152" s="4" t="str">
        <f>IF(J1152="",IF(ISNUMBER(SEARCH("NOT NULL",UPPER(J$3))),"''","null"),SUBSTITUTE(VLOOKUP(J$2,convert!$A$1:$B$4,2,0),"@@@",J1152))</f>
        <v>'fairy'</v>
      </c>
      <c r="Z1152" s="4" t="str">
        <f>IF(K1152="",IF(ISNUMBER(SEARCH("NOT NULL",UPPER(K$3))),"''","null"),SUBSTITUTE(VLOOKUP(K$2,convert!$A$1:$B$4,2,0),"@@@",K1152))</f>
        <v>'steel'</v>
      </c>
      <c r="AA1152" s="4" t="str">
        <f>IF(L1152="",IF(ISNUMBER(SEARCH("NOT NULL",UPPER(L$3))),"''","null"),SUBSTITUTE(VLOOKUP(L$2,convert!$A$1:$B$4,2,0),"@@@",L1152))</f>
        <v>'g9'</v>
      </c>
      <c r="AB1152" s="4" t="str">
        <f>IF(M1152="",IF(ISNUMBER(SEARCH("NOT NULL",UPPER(M$3))),"''","null"),SUBSTITUTE(VLOOKUP(M$2,convert!$A$1:$B$4,2,0),"@@@",M1152))</f>
        <v>null</v>
      </c>
      <c r="AC1152" s="4" t="str">
        <f>IF(N1152="",IF(ISNUMBER(SEARCH("NOT NULL",UPPER(N$3))),"''","null"),SUBSTITUTE(VLOOKUP(N$2,convert!$A$1:$B$4,2,0),"@@@",N1152))</f>
        <v>null</v>
      </c>
      <c r="AD1152" s="4" t="str">
        <f>IF(O1152="",IF(ISNUMBER(SEARCH("NOT NULL",UPPER(O$3))),"''","null"),SUBSTITUTE(VLOOKUP(O$2,convert!$A$1:$B$4,2,0),"@@@",O1152))</f>
        <v>FALSE</v>
      </c>
      <c r="AE1152" s="4" t="str">
        <f t="shared" si="17"/>
        <v>    ('0957N01', 'カヌチャン', 50, 45, 45, 35, 64, 58, '', 'fairy', 'steel', 'g9', null, null, FALSE),</v>
      </c>
    </row>
    <row r="1153" spans="1:31">
      <c r="A1153" s="4" t="s">
        <v>2315</v>
      </c>
      <c r="B1153" s="4" t="s">
        <v>2316</v>
      </c>
      <c r="C1153" s="5">
        <v>65</v>
      </c>
      <c r="D1153" s="5">
        <v>55</v>
      </c>
      <c r="E1153" s="5">
        <v>55</v>
      </c>
      <c r="F1153" s="5">
        <v>45</v>
      </c>
      <c r="G1153" s="5">
        <v>82</v>
      </c>
      <c r="H1153" s="5">
        <v>78</v>
      </c>
      <c r="I1153" s="5"/>
      <c r="J1153" s="4" t="s">
        <v>137</v>
      </c>
      <c r="K1153" s="4" t="s">
        <v>119</v>
      </c>
      <c r="L1153" s="4" t="s">
        <v>368</v>
      </c>
      <c r="M1153" s="5"/>
      <c r="N1153" s="5"/>
      <c r="O1153" s="5" t="b">
        <v>0</v>
      </c>
      <c r="P1153" s="4" t="str">
        <f>IF(A1153="",IF(ISNUMBER(SEARCH("NOT NULL",UPPER(A$3))),"''","null"),SUBSTITUTE(VLOOKUP(A$2,convert!$A$1:$B$4,2,0),"@@@",A1153))</f>
        <v>'0958N01'</v>
      </c>
      <c r="Q1153" s="4" t="str">
        <f>IF(B1153="",IF(ISNUMBER(SEARCH("NOT NULL",UPPER(B$3))),"''","null"),SUBSTITUTE(VLOOKUP(B$2,convert!$A$1:$B$4,2,0),"@@@",B1153))</f>
        <v>'ナカヌチャン'</v>
      </c>
      <c r="R1153" s="4" t="str">
        <f>IF(C1153="",IF(ISNUMBER(SEARCH("NOT NULL",UPPER(C$3))),"''","null"),SUBSTITUTE(VLOOKUP(C$2,convert!$A$1:$B$4,2,0),"@@@",C1153))</f>
        <v>65</v>
      </c>
      <c r="S1153" s="4" t="str">
        <f>IF(D1153="",IF(ISNUMBER(SEARCH("NOT NULL",UPPER(D$3))),"''","null"),SUBSTITUTE(VLOOKUP(D$2,convert!$A$1:$B$4,2,0),"@@@",D1153))</f>
        <v>55</v>
      </c>
      <c r="T1153" s="4" t="str">
        <f>IF(E1153="",IF(ISNUMBER(SEARCH("NOT NULL",UPPER(E$3))),"''","null"),SUBSTITUTE(VLOOKUP(E$2,convert!$A$1:$B$4,2,0),"@@@",E1153))</f>
        <v>55</v>
      </c>
      <c r="U1153" s="4" t="str">
        <f>IF(F1153="",IF(ISNUMBER(SEARCH("NOT NULL",UPPER(F$3))),"''","null"),SUBSTITUTE(VLOOKUP(F$2,convert!$A$1:$B$4,2,0),"@@@",F1153))</f>
        <v>45</v>
      </c>
      <c r="V1153" s="4" t="str">
        <f>IF(G1153="",IF(ISNUMBER(SEARCH("NOT NULL",UPPER(G$3))),"''","null"),SUBSTITUTE(VLOOKUP(G$2,convert!$A$1:$B$4,2,0),"@@@",G1153))</f>
        <v>82</v>
      </c>
      <c r="W1153" s="4" t="str">
        <f>IF(H1153="",IF(ISNUMBER(SEARCH("NOT NULL",UPPER(H$3))),"''","null"),SUBSTITUTE(VLOOKUP(H$2,convert!$A$1:$B$4,2,0),"@@@",H1153))</f>
        <v>78</v>
      </c>
      <c r="X1153" s="4" t="str">
        <f>IF(I1153="",IF(ISNUMBER(SEARCH("NOT NULL",UPPER(I$3))),"''","null"),SUBSTITUTE(VLOOKUP(I$2,convert!$A$1:$B$4,2,0),"@@@",I1153))</f>
        <v>''</v>
      </c>
      <c r="Y1153" s="4" t="str">
        <f>IF(J1153="",IF(ISNUMBER(SEARCH("NOT NULL",UPPER(J$3))),"''","null"),SUBSTITUTE(VLOOKUP(J$2,convert!$A$1:$B$4,2,0),"@@@",J1153))</f>
        <v>'fairy'</v>
      </c>
      <c r="Z1153" s="4" t="str">
        <f>IF(K1153="",IF(ISNUMBER(SEARCH("NOT NULL",UPPER(K$3))),"''","null"),SUBSTITUTE(VLOOKUP(K$2,convert!$A$1:$B$4,2,0),"@@@",K1153))</f>
        <v>'steel'</v>
      </c>
      <c r="AA1153" s="4" t="str">
        <f>IF(L1153="",IF(ISNUMBER(SEARCH("NOT NULL",UPPER(L$3))),"''","null"),SUBSTITUTE(VLOOKUP(L$2,convert!$A$1:$B$4,2,0),"@@@",L1153))</f>
        <v>'g9'</v>
      </c>
      <c r="AB1153" s="4" t="str">
        <f>IF(M1153="",IF(ISNUMBER(SEARCH("NOT NULL",UPPER(M$3))),"''","null"),SUBSTITUTE(VLOOKUP(M$2,convert!$A$1:$B$4,2,0),"@@@",M1153))</f>
        <v>null</v>
      </c>
      <c r="AC1153" s="4" t="str">
        <f>IF(N1153="",IF(ISNUMBER(SEARCH("NOT NULL",UPPER(N$3))),"''","null"),SUBSTITUTE(VLOOKUP(N$2,convert!$A$1:$B$4,2,0),"@@@",N1153))</f>
        <v>null</v>
      </c>
      <c r="AD1153" s="4" t="str">
        <f>IF(O1153="",IF(ISNUMBER(SEARCH("NOT NULL",UPPER(O$3))),"''","null"),SUBSTITUTE(VLOOKUP(O$2,convert!$A$1:$B$4,2,0),"@@@",O1153))</f>
        <v>FALSE</v>
      </c>
      <c r="AE1153" s="4" t="str">
        <f t="shared" si="17"/>
        <v>    ('0958N01', 'ナカヌチャン', 65, 55, 55, 45, 82, 78, '', 'fairy', 'steel', 'g9', null, null, FALSE),</v>
      </c>
    </row>
    <row r="1154" spans="1:31">
      <c r="A1154" s="4" t="s">
        <v>2317</v>
      </c>
      <c r="B1154" s="4" t="s">
        <v>2318</v>
      </c>
      <c r="C1154" s="5">
        <v>85</v>
      </c>
      <c r="D1154" s="5">
        <v>75</v>
      </c>
      <c r="E1154" s="5">
        <v>77</v>
      </c>
      <c r="F1154" s="5">
        <v>70</v>
      </c>
      <c r="G1154" s="5">
        <v>105</v>
      </c>
      <c r="H1154" s="5">
        <v>94</v>
      </c>
      <c r="I1154" s="5"/>
      <c r="J1154" s="4" t="s">
        <v>137</v>
      </c>
      <c r="K1154" s="4" t="s">
        <v>119</v>
      </c>
      <c r="L1154" s="4" t="s">
        <v>368</v>
      </c>
      <c r="M1154" s="5"/>
      <c r="N1154" s="5"/>
      <c r="O1154" s="5" t="b">
        <v>0</v>
      </c>
      <c r="P1154" s="4" t="str">
        <f>IF(A1154="",IF(ISNUMBER(SEARCH("NOT NULL",UPPER(A$3))),"''","null"),SUBSTITUTE(VLOOKUP(A$2,convert!$A$1:$B$4,2,0),"@@@",A1154))</f>
        <v>'0959N01'</v>
      </c>
      <c r="Q1154" s="4" t="str">
        <f>IF(B1154="",IF(ISNUMBER(SEARCH("NOT NULL",UPPER(B$3))),"''","null"),SUBSTITUTE(VLOOKUP(B$2,convert!$A$1:$B$4,2,0),"@@@",B1154))</f>
        <v>'デカヌチャン'</v>
      </c>
      <c r="R1154" s="4" t="str">
        <f>IF(C1154="",IF(ISNUMBER(SEARCH("NOT NULL",UPPER(C$3))),"''","null"),SUBSTITUTE(VLOOKUP(C$2,convert!$A$1:$B$4,2,0),"@@@",C1154))</f>
        <v>85</v>
      </c>
      <c r="S1154" s="4" t="str">
        <f>IF(D1154="",IF(ISNUMBER(SEARCH("NOT NULL",UPPER(D$3))),"''","null"),SUBSTITUTE(VLOOKUP(D$2,convert!$A$1:$B$4,2,0),"@@@",D1154))</f>
        <v>75</v>
      </c>
      <c r="T1154" s="4" t="str">
        <f>IF(E1154="",IF(ISNUMBER(SEARCH("NOT NULL",UPPER(E$3))),"''","null"),SUBSTITUTE(VLOOKUP(E$2,convert!$A$1:$B$4,2,0),"@@@",E1154))</f>
        <v>77</v>
      </c>
      <c r="U1154" s="4" t="str">
        <f>IF(F1154="",IF(ISNUMBER(SEARCH("NOT NULL",UPPER(F$3))),"''","null"),SUBSTITUTE(VLOOKUP(F$2,convert!$A$1:$B$4,2,0),"@@@",F1154))</f>
        <v>70</v>
      </c>
      <c r="V1154" s="4" t="str">
        <f>IF(G1154="",IF(ISNUMBER(SEARCH("NOT NULL",UPPER(G$3))),"''","null"),SUBSTITUTE(VLOOKUP(G$2,convert!$A$1:$B$4,2,0),"@@@",G1154))</f>
        <v>105</v>
      </c>
      <c r="W1154" s="4" t="str">
        <f>IF(H1154="",IF(ISNUMBER(SEARCH("NOT NULL",UPPER(H$3))),"''","null"),SUBSTITUTE(VLOOKUP(H$2,convert!$A$1:$B$4,2,0),"@@@",H1154))</f>
        <v>94</v>
      </c>
      <c r="X1154" s="4" t="str">
        <f>IF(I1154="",IF(ISNUMBER(SEARCH("NOT NULL",UPPER(I$3))),"''","null"),SUBSTITUTE(VLOOKUP(I$2,convert!$A$1:$B$4,2,0),"@@@",I1154))</f>
        <v>''</v>
      </c>
      <c r="Y1154" s="4" t="str">
        <f>IF(J1154="",IF(ISNUMBER(SEARCH("NOT NULL",UPPER(J$3))),"''","null"),SUBSTITUTE(VLOOKUP(J$2,convert!$A$1:$B$4,2,0),"@@@",J1154))</f>
        <v>'fairy'</v>
      </c>
      <c r="Z1154" s="4" t="str">
        <f>IF(K1154="",IF(ISNUMBER(SEARCH("NOT NULL",UPPER(K$3))),"''","null"),SUBSTITUTE(VLOOKUP(K$2,convert!$A$1:$B$4,2,0),"@@@",K1154))</f>
        <v>'steel'</v>
      </c>
      <c r="AA1154" s="4" t="str">
        <f>IF(L1154="",IF(ISNUMBER(SEARCH("NOT NULL",UPPER(L$3))),"''","null"),SUBSTITUTE(VLOOKUP(L$2,convert!$A$1:$B$4,2,0),"@@@",L1154))</f>
        <v>'g9'</v>
      </c>
      <c r="AB1154" s="4" t="str">
        <f>IF(M1154="",IF(ISNUMBER(SEARCH("NOT NULL",UPPER(M$3))),"''","null"),SUBSTITUTE(VLOOKUP(M$2,convert!$A$1:$B$4,2,0),"@@@",M1154))</f>
        <v>null</v>
      </c>
      <c r="AC1154" s="4" t="str">
        <f>IF(N1154="",IF(ISNUMBER(SEARCH("NOT NULL",UPPER(N$3))),"''","null"),SUBSTITUTE(VLOOKUP(N$2,convert!$A$1:$B$4,2,0),"@@@",N1154))</f>
        <v>null</v>
      </c>
      <c r="AD1154" s="4" t="str">
        <f>IF(O1154="",IF(ISNUMBER(SEARCH("NOT NULL",UPPER(O$3))),"''","null"),SUBSTITUTE(VLOOKUP(O$2,convert!$A$1:$B$4,2,0),"@@@",O1154))</f>
        <v>FALSE</v>
      </c>
      <c r="AE1154" s="4" t="str">
        <f t="shared" si="17"/>
        <v>    ('0959N01', 'デカヌチャン', 85, 75, 77, 70, 105, 94, '', 'fairy', 'steel', 'g9', null, null, FALSE),</v>
      </c>
    </row>
    <row r="1155" spans="1:31">
      <c r="A1155" s="4" t="s">
        <v>2319</v>
      </c>
      <c r="B1155" s="4" t="s">
        <v>2320</v>
      </c>
      <c r="C1155" s="5">
        <v>10</v>
      </c>
      <c r="D1155" s="5">
        <v>55</v>
      </c>
      <c r="E1155" s="5">
        <v>25</v>
      </c>
      <c r="F1155" s="5">
        <v>35</v>
      </c>
      <c r="G1155" s="5">
        <v>25</v>
      </c>
      <c r="H1155" s="5">
        <v>95</v>
      </c>
      <c r="I1155" s="5"/>
      <c r="J1155" s="4" t="s">
        <v>55</v>
      </c>
      <c r="K1155" s="5"/>
      <c r="L1155" s="4" t="s">
        <v>368</v>
      </c>
      <c r="M1155" s="5"/>
      <c r="N1155" s="5"/>
      <c r="O1155" s="5" t="b">
        <v>0</v>
      </c>
      <c r="P1155" s="4" t="str">
        <f>IF(A1155="",IF(ISNUMBER(SEARCH("NOT NULL",UPPER(A$3))),"''","null"),SUBSTITUTE(VLOOKUP(A$2,convert!$A$1:$B$4,2,0),"@@@",A1155))</f>
        <v>'0960N01'</v>
      </c>
      <c r="Q1155" s="4" t="str">
        <f>IF(B1155="",IF(ISNUMBER(SEARCH("NOT NULL",UPPER(B$3))),"''","null"),SUBSTITUTE(VLOOKUP(B$2,convert!$A$1:$B$4,2,0),"@@@",B1155))</f>
        <v>'ウミディグダ'</v>
      </c>
      <c r="R1155" s="4" t="str">
        <f>IF(C1155="",IF(ISNUMBER(SEARCH("NOT NULL",UPPER(C$3))),"''","null"),SUBSTITUTE(VLOOKUP(C$2,convert!$A$1:$B$4,2,0),"@@@",C1155))</f>
        <v>10</v>
      </c>
      <c r="S1155" s="4" t="str">
        <f>IF(D1155="",IF(ISNUMBER(SEARCH("NOT NULL",UPPER(D$3))),"''","null"),SUBSTITUTE(VLOOKUP(D$2,convert!$A$1:$B$4,2,0),"@@@",D1155))</f>
        <v>55</v>
      </c>
      <c r="T1155" s="4" t="str">
        <f>IF(E1155="",IF(ISNUMBER(SEARCH("NOT NULL",UPPER(E$3))),"''","null"),SUBSTITUTE(VLOOKUP(E$2,convert!$A$1:$B$4,2,0),"@@@",E1155))</f>
        <v>25</v>
      </c>
      <c r="U1155" s="4" t="str">
        <f>IF(F1155="",IF(ISNUMBER(SEARCH("NOT NULL",UPPER(F$3))),"''","null"),SUBSTITUTE(VLOOKUP(F$2,convert!$A$1:$B$4,2,0),"@@@",F1155))</f>
        <v>35</v>
      </c>
      <c r="V1155" s="4" t="str">
        <f>IF(G1155="",IF(ISNUMBER(SEARCH("NOT NULL",UPPER(G$3))),"''","null"),SUBSTITUTE(VLOOKUP(G$2,convert!$A$1:$B$4,2,0),"@@@",G1155))</f>
        <v>25</v>
      </c>
      <c r="W1155" s="4" t="str">
        <f>IF(H1155="",IF(ISNUMBER(SEARCH("NOT NULL",UPPER(H$3))),"''","null"),SUBSTITUTE(VLOOKUP(H$2,convert!$A$1:$B$4,2,0),"@@@",H1155))</f>
        <v>95</v>
      </c>
      <c r="X1155" s="4" t="str">
        <f>IF(I1155="",IF(ISNUMBER(SEARCH("NOT NULL",UPPER(I$3))),"''","null"),SUBSTITUTE(VLOOKUP(I$2,convert!$A$1:$B$4,2,0),"@@@",I1155))</f>
        <v>''</v>
      </c>
      <c r="Y1155" s="4" t="str">
        <f>IF(J1155="",IF(ISNUMBER(SEARCH("NOT NULL",UPPER(J$3))),"''","null"),SUBSTITUTE(VLOOKUP(J$2,convert!$A$1:$B$4,2,0),"@@@",J1155))</f>
        <v>'water'</v>
      </c>
      <c r="Z1155" s="4" t="str">
        <f>IF(K1155="",IF(ISNUMBER(SEARCH("NOT NULL",UPPER(K$3))),"''","null"),SUBSTITUTE(VLOOKUP(K$2,convert!$A$1:$B$4,2,0),"@@@",K1155))</f>
        <v>null</v>
      </c>
      <c r="AA1155" s="4" t="str">
        <f>IF(L1155="",IF(ISNUMBER(SEARCH("NOT NULL",UPPER(L$3))),"''","null"),SUBSTITUTE(VLOOKUP(L$2,convert!$A$1:$B$4,2,0),"@@@",L1155))</f>
        <v>'g9'</v>
      </c>
      <c r="AB1155" s="4" t="str">
        <f>IF(M1155="",IF(ISNUMBER(SEARCH("NOT NULL",UPPER(M$3))),"''","null"),SUBSTITUTE(VLOOKUP(M$2,convert!$A$1:$B$4,2,0),"@@@",M1155))</f>
        <v>null</v>
      </c>
      <c r="AC1155" s="4" t="str">
        <f>IF(N1155="",IF(ISNUMBER(SEARCH("NOT NULL",UPPER(N$3))),"''","null"),SUBSTITUTE(VLOOKUP(N$2,convert!$A$1:$B$4,2,0),"@@@",N1155))</f>
        <v>null</v>
      </c>
      <c r="AD1155" s="4" t="str">
        <f>IF(O1155="",IF(ISNUMBER(SEARCH("NOT NULL",UPPER(O$3))),"''","null"),SUBSTITUTE(VLOOKUP(O$2,convert!$A$1:$B$4,2,0),"@@@",O1155))</f>
        <v>FALSE</v>
      </c>
      <c r="AE1155" s="4" t="str">
        <f t="shared" si="17"/>
        <v>    ('0960N01', 'ウミディグダ', 10, 55, 25, 35, 25, 95, '', 'water', null, 'g9', null, null, FALSE),</v>
      </c>
    </row>
    <row r="1156" spans="1:31">
      <c r="A1156" s="4" t="s">
        <v>2321</v>
      </c>
      <c r="B1156" s="4" t="s">
        <v>2322</v>
      </c>
      <c r="C1156" s="5">
        <v>35</v>
      </c>
      <c r="D1156" s="5">
        <v>100</v>
      </c>
      <c r="E1156" s="5">
        <v>50</v>
      </c>
      <c r="F1156" s="5">
        <v>50</v>
      </c>
      <c r="G1156" s="5">
        <v>70</v>
      </c>
      <c r="H1156" s="5">
        <v>120</v>
      </c>
      <c r="I1156" s="5"/>
      <c r="J1156" s="4" t="s">
        <v>55</v>
      </c>
      <c r="K1156" s="5"/>
      <c r="L1156" s="4" t="s">
        <v>368</v>
      </c>
      <c r="M1156" s="5"/>
      <c r="N1156" s="5"/>
      <c r="O1156" s="5" t="b">
        <v>0</v>
      </c>
      <c r="P1156" s="4" t="str">
        <f>IF(A1156="",IF(ISNUMBER(SEARCH("NOT NULL",UPPER(A$3))),"''","null"),SUBSTITUTE(VLOOKUP(A$2,convert!$A$1:$B$4,2,0),"@@@",A1156))</f>
        <v>'0961N01'</v>
      </c>
      <c r="Q1156" s="4" t="str">
        <f>IF(B1156="",IF(ISNUMBER(SEARCH("NOT NULL",UPPER(B$3))),"''","null"),SUBSTITUTE(VLOOKUP(B$2,convert!$A$1:$B$4,2,0),"@@@",B1156))</f>
        <v>'ウミトリオ'</v>
      </c>
      <c r="R1156" s="4" t="str">
        <f>IF(C1156="",IF(ISNUMBER(SEARCH("NOT NULL",UPPER(C$3))),"''","null"),SUBSTITUTE(VLOOKUP(C$2,convert!$A$1:$B$4,2,0),"@@@",C1156))</f>
        <v>35</v>
      </c>
      <c r="S1156" s="4" t="str">
        <f>IF(D1156="",IF(ISNUMBER(SEARCH("NOT NULL",UPPER(D$3))),"''","null"),SUBSTITUTE(VLOOKUP(D$2,convert!$A$1:$B$4,2,0),"@@@",D1156))</f>
        <v>100</v>
      </c>
      <c r="T1156" s="4" t="str">
        <f>IF(E1156="",IF(ISNUMBER(SEARCH("NOT NULL",UPPER(E$3))),"''","null"),SUBSTITUTE(VLOOKUP(E$2,convert!$A$1:$B$4,2,0),"@@@",E1156))</f>
        <v>50</v>
      </c>
      <c r="U1156" s="4" t="str">
        <f>IF(F1156="",IF(ISNUMBER(SEARCH("NOT NULL",UPPER(F$3))),"''","null"),SUBSTITUTE(VLOOKUP(F$2,convert!$A$1:$B$4,2,0),"@@@",F1156))</f>
        <v>50</v>
      </c>
      <c r="V1156" s="4" t="str">
        <f>IF(G1156="",IF(ISNUMBER(SEARCH("NOT NULL",UPPER(G$3))),"''","null"),SUBSTITUTE(VLOOKUP(G$2,convert!$A$1:$B$4,2,0),"@@@",G1156))</f>
        <v>70</v>
      </c>
      <c r="W1156" s="4" t="str">
        <f>IF(H1156="",IF(ISNUMBER(SEARCH("NOT NULL",UPPER(H$3))),"''","null"),SUBSTITUTE(VLOOKUP(H$2,convert!$A$1:$B$4,2,0),"@@@",H1156))</f>
        <v>120</v>
      </c>
      <c r="X1156" s="4" t="str">
        <f>IF(I1156="",IF(ISNUMBER(SEARCH("NOT NULL",UPPER(I$3))),"''","null"),SUBSTITUTE(VLOOKUP(I$2,convert!$A$1:$B$4,2,0),"@@@",I1156))</f>
        <v>''</v>
      </c>
      <c r="Y1156" s="4" t="str">
        <f>IF(J1156="",IF(ISNUMBER(SEARCH("NOT NULL",UPPER(J$3))),"''","null"),SUBSTITUTE(VLOOKUP(J$2,convert!$A$1:$B$4,2,0),"@@@",J1156))</f>
        <v>'water'</v>
      </c>
      <c r="Z1156" s="4" t="str">
        <f>IF(K1156="",IF(ISNUMBER(SEARCH("NOT NULL",UPPER(K$3))),"''","null"),SUBSTITUTE(VLOOKUP(K$2,convert!$A$1:$B$4,2,0),"@@@",K1156))</f>
        <v>null</v>
      </c>
      <c r="AA1156" s="4" t="str">
        <f>IF(L1156="",IF(ISNUMBER(SEARCH("NOT NULL",UPPER(L$3))),"''","null"),SUBSTITUTE(VLOOKUP(L$2,convert!$A$1:$B$4,2,0),"@@@",L1156))</f>
        <v>'g9'</v>
      </c>
      <c r="AB1156" s="4" t="str">
        <f>IF(M1156="",IF(ISNUMBER(SEARCH("NOT NULL",UPPER(M$3))),"''","null"),SUBSTITUTE(VLOOKUP(M$2,convert!$A$1:$B$4,2,0),"@@@",M1156))</f>
        <v>null</v>
      </c>
      <c r="AC1156" s="4" t="str">
        <f>IF(N1156="",IF(ISNUMBER(SEARCH("NOT NULL",UPPER(N$3))),"''","null"),SUBSTITUTE(VLOOKUP(N$2,convert!$A$1:$B$4,2,0),"@@@",N1156))</f>
        <v>null</v>
      </c>
      <c r="AD1156" s="4" t="str">
        <f>IF(O1156="",IF(ISNUMBER(SEARCH("NOT NULL",UPPER(O$3))),"''","null"),SUBSTITUTE(VLOOKUP(O$2,convert!$A$1:$B$4,2,0),"@@@",O1156))</f>
        <v>FALSE</v>
      </c>
      <c r="AE1156" s="4" t="str">
        <f t="shared" si="17"/>
        <v>    ('0961N01', 'ウミトリオ', 35, 100, 50, 50, 70, 120, '', 'water', null, 'g9', null, null, FALSE),</v>
      </c>
    </row>
    <row r="1157" spans="1:31">
      <c r="A1157" s="4" t="s">
        <v>2323</v>
      </c>
      <c r="B1157" s="4" t="s">
        <v>2324</v>
      </c>
      <c r="C1157" s="5">
        <v>70</v>
      </c>
      <c r="D1157" s="5">
        <v>103</v>
      </c>
      <c r="E1157" s="5">
        <v>85</v>
      </c>
      <c r="F1157" s="5">
        <v>60</v>
      </c>
      <c r="G1157" s="5">
        <v>85</v>
      </c>
      <c r="H1157" s="5">
        <v>82</v>
      </c>
      <c r="I1157" s="5"/>
      <c r="J1157" s="4" t="s">
        <v>47</v>
      </c>
      <c r="K1157" s="4" t="s">
        <v>91</v>
      </c>
      <c r="L1157" s="4" t="s">
        <v>368</v>
      </c>
      <c r="M1157" s="5"/>
      <c r="N1157" s="5"/>
      <c r="O1157" s="5" t="b">
        <v>1</v>
      </c>
      <c r="P1157" s="4" t="str">
        <f>IF(A1157="",IF(ISNUMBER(SEARCH("NOT NULL",UPPER(A$3))),"''","null"),SUBSTITUTE(VLOOKUP(A$2,convert!$A$1:$B$4,2,0),"@@@",A1157))</f>
        <v>'0962N01'</v>
      </c>
      <c r="Q1157" s="4" t="str">
        <f>IF(B1157="",IF(ISNUMBER(SEARCH("NOT NULL",UPPER(B$3))),"''","null"),SUBSTITUTE(VLOOKUP(B$2,convert!$A$1:$B$4,2,0),"@@@",B1157))</f>
        <v>'オトシドリ'</v>
      </c>
      <c r="R1157" s="4" t="str">
        <f>IF(C1157="",IF(ISNUMBER(SEARCH("NOT NULL",UPPER(C$3))),"''","null"),SUBSTITUTE(VLOOKUP(C$2,convert!$A$1:$B$4,2,0),"@@@",C1157))</f>
        <v>70</v>
      </c>
      <c r="S1157" s="4" t="str">
        <f>IF(D1157="",IF(ISNUMBER(SEARCH("NOT NULL",UPPER(D$3))),"''","null"),SUBSTITUTE(VLOOKUP(D$2,convert!$A$1:$B$4,2,0),"@@@",D1157))</f>
        <v>103</v>
      </c>
      <c r="T1157" s="4" t="str">
        <f>IF(E1157="",IF(ISNUMBER(SEARCH("NOT NULL",UPPER(E$3))),"''","null"),SUBSTITUTE(VLOOKUP(E$2,convert!$A$1:$B$4,2,0),"@@@",E1157))</f>
        <v>85</v>
      </c>
      <c r="U1157" s="4" t="str">
        <f>IF(F1157="",IF(ISNUMBER(SEARCH("NOT NULL",UPPER(F$3))),"''","null"),SUBSTITUTE(VLOOKUP(F$2,convert!$A$1:$B$4,2,0),"@@@",F1157))</f>
        <v>60</v>
      </c>
      <c r="V1157" s="4" t="str">
        <f>IF(G1157="",IF(ISNUMBER(SEARCH("NOT NULL",UPPER(G$3))),"''","null"),SUBSTITUTE(VLOOKUP(G$2,convert!$A$1:$B$4,2,0),"@@@",G1157))</f>
        <v>85</v>
      </c>
      <c r="W1157" s="4" t="str">
        <f>IF(H1157="",IF(ISNUMBER(SEARCH("NOT NULL",UPPER(H$3))),"''","null"),SUBSTITUTE(VLOOKUP(H$2,convert!$A$1:$B$4,2,0),"@@@",H1157))</f>
        <v>82</v>
      </c>
      <c r="X1157" s="4" t="str">
        <f>IF(I1157="",IF(ISNUMBER(SEARCH("NOT NULL",UPPER(I$3))),"''","null"),SUBSTITUTE(VLOOKUP(I$2,convert!$A$1:$B$4,2,0),"@@@",I1157))</f>
        <v>''</v>
      </c>
      <c r="Y1157" s="4" t="str">
        <f>IF(J1157="",IF(ISNUMBER(SEARCH("NOT NULL",UPPER(J$3))),"''","null"),SUBSTITUTE(VLOOKUP(J$2,convert!$A$1:$B$4,2,0),"@@@",J1157))</f>
        <v>'flying'</v>
      </c>
      <c r="Z1157" s="4" t="str">
        <f>IF(K1157="",IF(ISNUMBER(SEARCH("NOT NULL",UPPER(K$3))),"''","null"),SUBSTITUTE(VLOOKUP(K$2,convert!$A$1:$B$4,2,0),"@@@",K1157))</f>
        <v>'dark'</v>
      </c>
      <c r="AA1157" s="4" t="str">
        <f>IF(L1157="",IF(ISNUMBER(SEARCH("NOT NULL",UPPER(L$3))),"''","null"),SUBSTITUTE(VLOOKUP(L$2,convert!$A$1:$B$4,2,0),"@@@",L1157))</f>
        <v>'g9'</v>
      </c>
      <c r="AB1157" s="4" t="str">
        <f>IF(M1157="",IF(ISNUMBER(SEARCH("NOT NULL",UPPER(M$3))),"''","null"),SUBSTITUTE(VLOOKUP(M$2,convert!$A$1:$B$4,2,0),"@@@",M1157))</f>
        <v>null</v>
      </c>
      <c r="AC1157" s="4" t="str">
        <f>IF(N1157="",IF(ISNUMBER(SEARCH("NOT NULL",UPPER(N$3))),"''","null"),SUBSTITUTE(VLOOKUP(N$2,convert!$A$1:$B$4,2,0),"@@@",N1157))</f>
        <v>null</v>
      </c>
      <c r="AD1157" s="4" t="str">
        <f>IF(O1157="",IF(ISNUMBER(SEARCH("NOT NULL",UPPER(O$3))),"''","null"),SUBSTITUTE(VLOOKUP(O$2,convert!$A$1:$B$4,2,0),"@@@",O1157))</f>
        <v>TRUE</v>
      </c>
      <c r="AE1157" s="4" t="str">
        <f t="shared" ref="AE1157:AE1210" si="18">"    ("&amp;_xlfn.TEXTJOIN(", ",FALSE,P1157:AD1157)&amp;"),"</f>
        <v>    ('0962N01', 'オトシドリ', 70, 103, 85, 60, 85, 82, '', 'flying', 'dark', 'g9', null, null, TRUE),</v>
      </c>
    </row>
    <row r="1158" spans="1:31">
      <c r="A1158" s="4" t="s">
        <v>2325</v>
      </c>
      <c r="B1158" s="4" t="s">
        <v>2326</v>
      </c>
      <c r="C1158" s="5">
        <v>70</v>
      </c>
      <c r="D1158" s="5">
        <v>45</v>
      </c>
      <c r="E1158" s="5">
        <v>40</v>
      </c>
      <c r="F1158" s="5">
        <v>45</v>
      </c>
      <c r="G1158" s="5">
        <v>40</v>
      </c>
      <c r="H1158" s="5">
        <v>75</v>
      </c>
      <c r="I1158" s="5"/>
      <c r="J1158" s="4" t="s">
        <v>55</v>
      </c>
      <c r="K1158" s="5"/>
      <c r="L1158" s="4" t="s">
        <v>368</v>
      </c>
      <c r="M1158" s="5"/>
      <c r="N1158" s="5"/>
      <c r="O1158" s="5" t="b">
        <v>0</v>
      </c>
      <c r="P1158" s="4" t="str">
        <f>IF(A1158="",IF(ISNUMBER(SEARCH("NOT NULL",UPPER(A$3))),"''","null"),SUBSTITUTE(VLOOKUP(A$2,convert!$A$1:$B$4,2,0),"@@@",A1158))</f>
        <v>'0963N01'</v>
      </c>
      <c r="Q1158" s="4" t="str">
        <f>IF(B1158="",IF(ISNUMBER(SEARCH("NOT NULL",UPPER(B$3))),"''","null"),SUBSTITUTE(VLOOKUP(B$2,convert!$A$1:$B$4,2,0),"@@@",B1158))</f>
        <v>'ナミイルカ'</v>
      </c>
      <c r="R1158" s="4" t="str">
        <f>IF(C1158="",IF(ISNUMBER(SEARCH("NOT NULL",UPPER(C$3))),"''","null"),SUBSTITUTE(VLOOKUP(C$2,convert!$A$1:$B$4,2,0),"@@@",C1158))</f>
        <v>70</v>
      </c>
      <c r="S1158" s="4" t="str">
        <f>IF(D1158="",IF(ISNUMBER(SEARCH("NOT NULL",UPPER(D$3))),"''","null"),SUBSTITUTE(VLOOKUP(D$2,convert!$A$1:$B$4,2,0),"@@@",D1158))</f>
        <v>45</v>
      </c>
      <c r="T1158" s="4" t="str">
        <f>IF(E1158="",IF(ISNUMBER(SEARCH("NOT NULL",UPPER(E$3))),"''","null"),SUBSTITUTE(VLOOKUP(E$2,convert!$A$1:$B$4,2,0),"@@@",E1158))</f>
        <v>40</v>
      </c>
      <c r="U1158" s="4" t="str">
        <f>IF(F1158="",IF(ISNUMBER(SEARCH("NOT NULL",UPPER(F$3))),"''","null"),SUBSTITUTE(VLOOKUP(F$2,convert!$A$1:$B$4,2,0),"@@@",F1158))</f>
        <v>45</v>
      </c>
      <c r="V1158" s="4" t="str">
        <f>IF(G1158="",IF(ISNUMBER(SEARCH("NOT NULL",UPPER(G$3))),"''","null"),SUBSTITUTE(VLOOKUP(G$2,convert!$A$1:$B$4,2,0),"@@@",G1158))</f>
        <v>40</v>
      </c>
      <c r="W1158" s="4" t="str">
        <f>IF(H1158="",IF(ISNUMBER(SEARCH("NOT NULL",UPPER(H$3))),"''","null"),SUBSTITUTE(VLOOKUP(H$2,convert!$A$1:$B$4,2,0),"@@@",H1158))</f>
        <v>75</v>
      </c>
      <c r="X1158" s="4" t="str">
        <f>IF(I1158="",IF(ISNUMBER(SEARCH("NOT NULL",UPPER(I$3))),"''","null"),SUBSTITUTE(VLOOKUP(I$2,convert!$A$1:$B$4,2,0),"@@@",I1158))</f>
        <v>''</v>
      </c>
      <c r="Y1158" s="4" t="str">
        <f>IF(J1158="",IF(ISNUMBER(SEARCH("NOT NULL",UPPER(J$3))),"''","null"),SUBSTITUTE(VLOOKUP(J$2,convert!$A$1:$B$4,2,0),"@@@",J1158))</f>
        <v>'water'</v>
      </c>
      <c r="Z1158" s="4" t="str">
        <f>IF(K1158="",IF(ISNUMBER(SEARCH("NOT NULL",UPPER(K$3))),"''","null"),SUBSTITUTE(VLOOKUP(K$2,convert!$A$1:$B$4,2,0),"@@@",K1158))</f>
        <v>null</v>
      </c>
      <c r="AA1158" s="4" t="str">
        <f>IF(L1158="",IF(ISNUMBER(SEARCH("NOT NULL",UPPER(L$3))),"''","null"),SUBSTITUTE(VLOOKUP(L$2,convert!$A$1:$B$4,2,0),"@@@",L1158))</f>
        <v>'g9'</v>
      </c>
      <c r="AB1158" s="4" t="str">
        <f>IF(M1158="",IF(ISNUMBER(SEARCH("NOT NULL",UPPER(M$3))),"''","null"),SUBSTITUTE(VLOOKUP(M$2,convert!$A$1:$B$4,2,0),"@@@",M1158))</f>
        <v>null</v>
      </c>
      <c r="AC1158" s="4" t="str">
        <f>IF(N1158="",IF(ISNUMBER(SEARCH("NOT NULL",UPPER(N$3))),"''","null"),SUBSTITUTE(VLOOKUP(N$2,convert!$A$1:$B$4,2,0),"@@@",N1158))</f>
        <v>null</v>
      </c>
      <c r="AD1158" s="4" t="str">
        <f>IF(O1158="",IF(ISNUMBER(SEARCH("NOT NULL",UPPER(O$3))),"''","null"),SUBSTITUTE(VLOOKUP(O$2,convert!$A$1:$B$4,2,0),"@@@",O1158))</f>
        <v>FALSE</v>
      </c>
      <c r="AE1158" s="4" t="str">
        <f t="shared" si="18"/>
        <v>    ('0963N01', 'ナミイルカ', 70, 45, 40, 45, 40, 75, '', 'water', null, 'g9', null, null, FALSE),</v>
      </c>
    </row>
    <row r="1159" spans="1:31">
      <c r="A1159" s="4" t="s">
        <v>2327</v>
      </c>
      <c r="B1159" s="4" t="s">
        <v>2328</v>
      </c>
      <c r="C1159" s="5">
        <v>100</v>
      </c>
      <c r="D1159" s="5">
        <v>70</v>
      </c>
      <c r="E1159" s="5">
        <v>72</v>
      </c>
      <c r="F1159" s="5">
        <v>53</v>
      </c>
      <c r="G1159" s="5">
        <v>62</v>
      </c>
      <c r="H1159" s="5">
        <v>100</v>
      </c>
      <c r="I1159" s="4" t="s">
        <v>2329</v>
      </c>
      <c r="J1159" s="4" t="s">
        <v>55</v>
      </c>
      <c r="K1159" s="5"/>
      <c r="L1159" s="4" t="s">
        <v>368</v>
      </c>
      <c r="M1159" s="5"/>
      <c r="N1159" s="5"/>
      <c r="O1159" s="5" t="b">
        <v>0</v>
      </c>
      <c r="P1159" s="4" t="str">
        <f>IF(A1159="",IF(ISNUMBER(SEARCH("NOT NULL",UPPER(A$3))),"''","null"),SUBSTITUTE(VLOOKUP(A$2,convert!$A$1:$B$4,2,0),"@@@",A1159))</f>
        <v>'0964N01'</v>
      </c>
      <c r="Q1159" s="4" t="str">
        <f>IF(B1159="",IF(ISNUMBER(SEARCH("NOT NULL",UPPER(B$3))),"''","null"),SUBSTITUTE(VLOOKUP(B$2,convert!$A$1:$B$4,2,0),"@@@",B1159))</f>
        <v>'イルカマン'</v>
      </c>
      <c r="R1159" s="4" t="str">
        <f>IF(C1159="",IF(ISNUMBER(SEARCH("NOT NULL",UPPER(C$3))),"''","null"),SUBSTITUTE(VLOOKUP(C$2,convert!$A$1:$B$4,2,0),"@@@",C1159))</f>
        <v>100</v>
      </c>
      <c r="S1159" s="4" t="str">
        <f>IF(D1159="",IF(ISNUMBER(SEARCH("NOT NULL",UPPER(D$3))),"''","null"),SUBSTITUTE(VLOOKUP(D$2,convert!$A$1:$B$4,2,0),"@@@",D1159))</f>
        <v>70</v>
      </c>
      <c r="T1159" s="4" t="str">
        <f>IF(E1159="",IF(ISNUMBER(SEARCH("NOT NULL",UPPER(E$3))),"''","null"),SUBSTITUTE(VLOOKUP(E$2,convert!$A$1:$B$4,2,0),"@@@",E1159))</f>
        <v>72</v>
      </c>
      <c r="U1159" s="4" t="str">
        <f>IF(F1159="",IF(ISNUMBER(SEARCH("NOT NULL",UPPER(F$3))),"''","null"),SUBSTITUTE(VLOOKUP(F$2,convert!$A$1:$B$4,2,0),"@@@",F1159))</f>
        <v>53</v>
      </c>
      <c r="V1159" s="4" t="str">
        <f>IF(G1159="",IF(ISNUMBER(SEARCH("NOT NULL",UPPER(G$3))),"''","null"),SUBSTITUTE(VLOOKUP(G$2,convert!$A$1:$B$4,2,0),"@@@",G1159))</f>
        <v>62</v>
      </c>
      <c r="W1159" s="4" t="str">
        <f>IF(H1159="",IF(ISNUMBER(SEARCH("NOT NULL",UPPER(H$3))),"''","null"),SUBSTITUTE(VLOOKUP(H$2,convert!$A$1:$B$4,2,0),"@@@",H1159))</f>
        <v>100</v>
      </c>
      <c r="X1159" s="4" t="str">
        <f>IF(I1159="",IF(ISNUMBER(SEARCH("NOT NULL",UPPER(I$3))),"''","null"),SUBSTITUTE(VLOOKUP(I$2,convert!$A$1:$B$4,2,0),"@@@",I1159))</f>
        <v>'ナイーブ'</v>
      </c>
      <c r="Y1159" s="4" t="str">
        <f>IF(J1159="",IF(ISNUMBER(SEARCH("NOT NULL",UPPER(J$3))),"''","null"),SUBSTITUTE(VLOOKUP(J$2,convert!$A$1:$B$4,2,0),"@@@",J1159))</f>
        <v>'water'</v>
      </c>
      <c r="Z1159" s="4" t="str">
        <f>IF(K1159="",IF(ISNUMBER(SEARCH("NOT NULL",UPPER(K$3))),"''","null"),SUBSTITUTE(VLOOKUP(K$2,convert!$A$1:$B$4,2,0),"@@@",K1159))</f>
        <v>null</v>
      </c>
      <c r="AA1159" s="4" t="str">
        <f>IF(L1159="",IF(ISNUMBER(SEARCH("NOT NULL",UPPER(L$3))),"''","null"),SUBSTITUTE(VLOOKUP(L$2,convert!$A$1:$B$4,2,0),"@@@",L1159))</f>
        <v>'g9'</v>
      </c>
      <c r="AB1159" s="4" t="str">
        <f>IF(M1159="",IF(ISNUMBER(SEARCH("NOT NULL",UPPER(M$3))),"''","null"),SUBSTITUTE(VLOOKUP(M$2,convert!$A$1:$B$4,2,0),"@@@",M1159))</f>
        <v>null</v>
      </c>
      <c r="AC1159" s="4" t="str">
        <f>IF(N1159="",IF(ISNUMBER(SEARCH("NOT NULL",UPPER(N$3))),"''","null"),SUBSTITUTE(VLOOKUP(N$2,convert!$A$1:$B$4,2,0),"@@@",N1159))</f>
        <v>null</v>
      </c>
      <c r="AD1159" s="4" t="str">
        <f>IF(O1159="",IF(ISNUMBER(SEARCH("NOT NULL",UPPER(O$3))),"''","null"),SUBSTITUTE(VLOOKUP(O$2,convert!$A$1:$B$4,2,0),"@@@",O1159))</f>
        <v>FALSE</v>
      </c>
      <c r="AE1159" s="4" t="str">
        <f t="shared" si="18"/>
        <v>    ('0964N01', 'イルカマン', 100, 70, 72, 53, 62, 100, 'ナイーブ', 'water', null, 'g9', null, null, FALSE),</v>
      </c>
    </row>
    <row r="1160" spans="1:31">
      <c r="A1160" s="4" t="s">
        <v>2330</v>
      </c>
      <c r="B1160" s="4" t="s">
        <v>2328</v>
      </c>
      <c r="C1160" s="5">
        <v>100</v>
      </c>
      <c r="D1160" s="5">
        <v>160</v>
      </c>
      <c r="E1160" s="5">
        <v>97</v>
      </c>
      <c r="F1160" s="5">
        <v>106</v>
      </c>
      <c r="G1160" s="5">
        <v>87</v>
      </c>
      <c r="H1160" s="5">
        <v>100</v>
      </c>
      <c r="I1160" s="4" t="s">
        <v>2331</v>
      </c>
      <c r="J1160" s="4" t="s">
        <v>55</v>
      </c>
      <c r="K1160" s="5"/>
      <c r="L1160" s="4" t="s">
        <v>368</v>
      </c>
      <c r="M1160" s="5"/>
      <c r="N1160" s="5"/>
      <c r="O1160" s="5" t="b">
        <v>0</v>
      </c>
      <c r="P1160" s="4" t="str">
        <f>IF(A1160="",IF(ISNUMBER(SEARCH("NOT NULL",UPPER(A$3))),"''","null"),SUBSTITUTE(VLOOKUP(A$2,convert!$A$1:$B$4,2,0),"@@@",A1160))</f>
        <v>'0964N02'</v>
      </c>
      <c r="Q1160" s="4" t="str">
        <f>IF(B1160="",IF(ISNUMBER(SEARCH("NOT NULL",UPPER(B$3))),"''","null"),SUBSTITUTE(VLOOKUP(B$2,convert!$A$1:$B$4,2,0),"@@@",B1160))</f>
        <v>'イルカマン'</v>
      </c>
      <c r="R1160" s="4" t="str">
        <f>IF(C1160="",IF(ISNUMBER(SEARCH("NOT NULL",UPPER(C$3))),"''","null"),SUBSTITUTE(VLOOKUP(C$2,convert!$A$1:$B$4,2,0),"@@@",C1160))</f>
        <v>100</v>
      </c>
      <c r="S1160" s="4" t="str">
        <f>IF(D1160="",IF(ISNUMBER(SEARCH("NOT NULL",UPPER(D$3))),"''","null"),SUBSTITUTE(VLOOKUP(D$2,convert!$A$1:$B$4,2,0),"@@@",D1160))</f>
        <v>160</v>
      </c>
      <c r="T1160" s="4" t="str">
        <f>IF(E1160="",IF(ISNUMBER(SEARCH("NOT NULL",UPPER(E$3))),"''","null"),SUBSTITUTE(VLOOKUP(E$2,convert!$A$1:$B$4,2,0),"@@@",E1160))</f>
        <v>97</v>
      </c>
      <c r="U1160" s="4" t="str">
        <f>IF(F1160="",IF(ISNUMBER(SEARCH("NOT NULL",UPPER(F$3))),"''","null"),SUBSTITUTE(VLOOKUP(F$2,convert!$A$1:$B$4,2,0),"@@@",F1160))</f>
        <v>106</v>
      </c>
      <c r="V1160" s="4" t="str">
        <f>IF(G1160="",IF(ISNUMBER(SEARCH("NOT NULL",UPPER(G$3))),"''","null"),SUBSTITUTE(VLOOKUP(G$2,convert!$A$1:$B$4,2,0),"@@@",G1160))</f>
        <v>87</v>
      </c>
      <c r="W1160" s="4" t="str">
        <f>IF(H1160="",IF(ISNUMBER(SEARCH("NOT NULL",UPPER(H$3))),"''","null"),SUBSTITUTE(VLOOKUP(H$2,convert!$A$1:$B$4,2,0),"@@@",H1160))</f>
        <v>100</v>
      </c>
      <c r="X1160" s="4" t="str">
        <f>IF(I1160="",IF(ISNUMBER(SEARCH("NOT NULL",UPPER(I$3))),"''","null"),SUBSTITUTE(VLOOKUP(I$2,convert!$A$1:$B$4,2,0),"@@@",I1160))</f>
        <v>'マイティ'</v>
      </c>
      <c r="Y1160" s="4" t="str">
        <f>IF(J1160="",IF(ISNUMBER(SEARCH("NOT NULL",UPPER(J$3))),"''","null"),SUBSTITUTE(VLOOKUP(J$2,convert!$A$1:$B$4,2,0),"@@@",J1160))</f>
        <v>'water'</v>
      </c>
      <c r="Z1160" s="4" t="str">
        <f>IF(K1160="",IF(ISNUMBER(SEARCH("NOT NULL",UPPER(K$3))),"''","null"),SUBSTITUTE(VLOOKUP(K$2,convert!$A$1:$B$4,2,0),"@@@",K1160))</f>
        <v>null</v>
      </c>
      <c r="AA1160" s="4" t="str">
        <f>IF(L1160="",IF(ISNUMBER(SEARCH("NOT NULL",UPPER(L$3))),"''","null"),SUBSTITUTE(VLOOKUP(L$2,convert!$A$1:$B$4,2,0),"@@@",L1160))</f>
        <v>'g9'</v>
      </c>
      <c r="AB1160" s="4" t="str">
        <f>IF(M1160="",IF(ISNUMBER(SEARCH("NOT NULL",UPPER(M$3))),"''","null"),SUBSTITUTE(VLOOKUP(M$2,convert!$A$1:$B$4,2,0),"@@@",M1160))</f>
        <v>null</v>
      </c>
      <c r="AC1160" s="4" t="str">
        <f>IF(N1160="",IF(ISNUMBER(SEARCH("NOT NULL",UPPER(N$3))),"''","null"),SUBSTITUTE(VLOOKUP(N$2,convert!$A$1:$B$4,2,0),"@@@",N1160))</f>
        <v>null</v>
      </c>
      <c r="AD1160" s="4" t="str">
        <f>IF(O1160="",IF(ISNUMBER(SEARCH("NOT NULL",UPPER(O$3))),"''","null"),SUBSTITUTE(VLOOKUP(O$2,convert!$A$1:$B$4,2,0),"@@@",O1160))</f>
        <v>FALSE</v>
      </c>
      <c r="AE1160" s="4" t="str">
        <f t="shared" si="18"/>
        <v>    ('0964N02', 'イルカマン', 100, 160, 97, 106, 87, 100, 'マイティ', 'water', null, 'g9', null, null, FALSE),</v>
      </c>
    </row>
    <row r="1161" spans="1:31">
      <c r="A1161" s="4" t="s">
        <v>2332</v>
      </c>
      <c r="B1161" s="4" t="s">
        <v>2333</v>
      </c>
      <c r="C1161" s="5">
        <v>45</v>
      </c>
      <c r="D1161" s="5">
        <v>70</v>
      </c>
      <c r="E1161" s="5">
        <v>63</v>
      </c>
      <c r="F1161" s="5">
        <v>30</v>
      </c>
      <c r="G1161" s="5">
        <v>45</v>
      </c>
      <c r="H1161" s="5">
        <v>47</v>
      </c>
      <c r="I1161" s="5"/>
      <c r="J1161" s="4" t="s">
        <v>119</v>
      </c>
      <c r="K1161" s="4" t="s">
        <v>31</v>
      </c>
      <c r="L1161" s="4" t="s">
        <v>368</v>
      </c>
      <c r="M1161" s="5"/>
      <c r="N1161" s="5"/>
      <c r="O1161" s="5" t="b">
        <v>1</v>
      </c>
      <c r="P1161" s="4" t="str">
        <f>IF(A1161="",IF(ISNUMBER(SEARCH("NOT NULL",UPPER(A$3))),"''","null"),SUBSTITUTE(VLOOKUP(A$2,convert!$A$1:$B$4,2,0),"@@@",A1161))</f>
        <v>'0965N01'</v>
      </c>
      <c r="Q1161" s="4" t="str">
        <f>IF(B1161="",IF(ISNUMBER(SEARCH("NOT NULL",UPPER(B$3))),"''","null"),SUBSTITUTE(VLOOKUP(B$2,convert!$A$1:$B$4,2,0),"@@@",B1161))</f>
        <v>'ブロロン'</v>
      </c>
      <c r="R1161" s="4" t="str">
        <f>IF(C1161="",IF(ISNUMBER(SEARCH("NOT NULL",UPPER(C$3))),"''","null"),SUBSTITUTE(VLOOKUP(C$2,convert!$A$1:$B$4,2,0),"@@@",C1161))</f>
        <v>45</v>
      </c>
      <c r="S1161" s="4" t="str">
        <f>IF(D1161="",IF(ISNUMBER(SEARCH("NOT NULL",UPPER(D$3))),"''","null"),SUBSTITUTE(VLOOKUP(D$2,convert!$A$1:$B$4,2,0),"@@@",D1161))</f>
        <v>70</v>
      </c>
      <c r="T1161" s="4" t="str">
        <f>IF(E1161="",IF(ISNUMBER(SEARCH("NOT NULL",UPPER(E$3))),"''","null"),SUBSTITUTE(VLOOKUP(E$2,convert!$A$1:$B$4,2,0),"@@@",E1161))</f>
        <v>63</v>
      </c>
      <c r="U1161" s="4" t="str">
        <f>IF(F1161="",IF(ISNUMBER(SEARCH("NOT NULL",UPPER(F$3))),"''","null"),SUBSTITUTE(VLOOKUP(F$2,convert!$A$1:$B$4,2,0),"@@@",F1161))</f>
        <v>30</v>
      </c>
      <c r="V1161" s="4" t="str">
        <f>IF(G1161="",IF(ISNUMBER(SEARCH("NOT NULL",UPPER(G$3))),"''","null"),SUBSTITUTE(VLOOKUP(G$2,convert!$A$1:$B$4,2,0),"@@@",G1161))</f>
        <v>45</v>
      </c>
      <c r="W1161" s="4" t="str">
        <f>IF(H1161="",IF(ISNUMBER(SEARCH("NOT NULL",UPPER(H$3))),"''","null"),SUBSTITUTE(VLOOKUP(H$2,convert!$A$1:$B$4,2,0),"@@@",H1161))</f>
        <v>47</v>
      </c>
      <c r="X1161" s="4" t="str">
        <f>IF(I1161="",IF(ISNUMBER(SEARCH("NOT NULL",UPPER(I$3))),"''","null"),SUBSTITUTE(VLOOKUP(I$2,convert!$A$1:$B$4,2,0),"@@@",I1161))</f>
        <v>''</v>
      </c>
      <c r="Y1161" s="4" t="str">
        <f>IF(J1161="",IF(ISNUMBER(SEARCH("NOT NULL",UPPER(J$3))),"''","null"),SUBSTITUTE(VLOOKUP(J$2,convert!$A$1:$B$4,2,0),"@@@",J1161))</f>
        <v>'steel'</v>
      </c>
      <c r="Z1161" s="4" t="str">
        <f>IF(K1161="",IF(ISNUMBER(SEARCH("NOT NULL",UPPER(K$3))),"''","null"),SUBSTITUTE(VLOOKUP(K$2,convert!$A$1:$B$4,2,0),"@@@",K1161))</f>
        <v>'poison'</v>
      </c>
      <c r="AA1161" s="4" t="str">
        <f>IF(L1161="",IF(ISNUMBER(SEARCH("NOT NULL",UPPER(L$3))),"''","null"),SUBSTITUTE(VLOOKUP(L$2,convert!$A$1:$B$4,2,0),"@@@",L1161))</f>
        <v>'g9'</v>
      </c>
      <c r="AB1161" s="4" t="str">
        <f>IF(M1161="",IF(ISNUMBER(SEARCH("NOT NULL",UPPER(M$3))),"''","null"),SUBSTITUTE(VLOOKUP(M$2,convert!$A$1:$B$4,2,0),"@@@",M1161))</f>
        <v>null</v>
      </c>
      <c r="AC1161" s="4" t="str">
        <f>IF(N1161="",IF(ISNUMBER(SEARCH("NOT NULL",UPPER(N$3))),"''","null"),SUBSTITUTE(VLOOKUP(N$2,convert!$A$1:$B$4,2,0),"@@@",N1161))</f>
        <v>null</v>
      </c>
      <c r="AD1161" s="4" t="str">
        <f>IF(O1161="",IF(ISNUMBER(SEARCH("NOT NULL",UPPER(O$3))),"''","null"),SUBSTITUTE(VLOOKUP(O$2,convert!$A$1:$B$4,2,0),"@@@",O1161))</f>
        <v>TRUE</v>
      </c>
      <c r="AE1161" s="4" t="str">
        <f t="shared" si="18"/>
        <v>    ('0965N01', 'ブロロン', 45, 70, 63, 30, 45, 47, '', 'steel', 'poison', 'g9', null, null, TRUE),</v>
      </c>
    </row>
    <row r="1162" spans="1:31">
      <c r="A1162" s="4" t="s">
        <v>2334</v>
      </c>
      <c r="B1162" s="4" t="s">
        <v>2335</v>
      </c>
      <c r="C1162" s="5">
        <v>80</v>
      </c>
      <c r="D1162" s="5">
        <v>119</v>
      </c>
      <c r="E1162" s="5">
        <v>90</v>
      </c>
      <c r="F1162" s="5">
        <v>54</v>
      </c>
      <c r="G1162" s="5">
        <v>67</v>
      </c>
      <c r="H1162" s="5">
        <v>90</v>
      </c>
      <c r="I1162" s="5"/>
      <c r="J1162" s="4" t="s">
        <v>119</v>
      </c>
      <c r="K1162" s="4" t="s">
        <v>31</v>
      </c>
      <c r="L1162" s="4" t="s">
        <v>368</v>
      </c>
      <c r="M1162" s="5"/>
      <c r="N1162" s="5"/>
      <c r="O1162" s="5" t="b">
        <v>1</v>
      </c>
      <c r="P1162" s="4" t="str">
        <f>IF(A1162="",IF(ISNUMBER(SEARCH("NOT NULL",UPPER(A$3))),"''","null"),SUBSTITUTE(VLOOKUP(A$2,convert!$A$1:$B$4,2,0),"@@@",A1162))</f>
        <v>'0966N01'</v>
      </c>
      <c r="Q1162" s="4" t="str">
        <f>IF(B1162="",IF(ISNUMBER(SEARCH("NOT NULL",UPPER(B$3))),"''","null"),SUBSTITUTE(VLOOKUP(B$2,convert!$A$1:$B$4,2,0),"@@@",B1162))</f>
        <v>'ブロロローム'</v>
      </c>
      <c r="R1162" s="4" t="str">
        <f>IF(C1162="",IF(ISNUMBER(SEARCH("NOT NULL",UPPER(C$3))),"''","null"),SUBSTITUTE(VLOOKUP(C$2,convert!$A$1:$B$4,2,0),"@@@",C1162))</f>
        <v>80</v>
      </c>
      <c r="S1162" s="4" t="str">
        <f>IF(D1162="",IF(ISNUMBER(SEARCH("NOT NULL",UPPER(D$3))),"''","null"),SUBSTITUTE(VLOOKUP(D$2,convert!$A$1:$B$4,2,0),"@@@",D1162))</f>
        <v>119</v>
      </c>
      <c r="T1162" s="4" t="str">
        <f>IF(E1162="",IF(ISNUMBER(SEARCH("NOT NULL",UPPER(E$3))),"''","null"),SUBSTITUTE(VLOOKUP(E$2,convert!$A$1:$B$4,2,0),"@@@",E1162))</f>
        <v>90</v>
      </c>
      <c r="U1162" s="4" t="str">
        <f>IF(F1162="",IF(ISNUMBER(SEARCH("NOT NULL",UPPER(F$3))),"''","null"),SUBSTITUTE(VLOOKUP(F$2,convert!$A$1:$B$4,2,0),"@@@",F1162))</f>
        <v>54</v>
      </c>
      <c r="V1162" s="4" t="str">
        <f>IF(G1162="",IF(ISNUMBER(SEARCH("NOT NULL",UPPER(G$3))),"''","null"),SUBSTITUTE(VLOOKUP(G$2,convert!$A$1:$B$4,2,0),"@@@",G1162))</f>
        <v>67</v>
      </c>
      <c r="W1162" s="4" t="str">
        <f>IF(H1162="",IF(ISNUMBER(SEARCH("NOT NULL",UPPER(H$3))),"''","null"),SUBSTITUTE(VLOOKUP(H$2,convert!$A$1:$B$4,2,0),"@@@",H1162))</f>
        <v>90</v>
      </c>
      <c r="X1162" s="4" t="str">
        <f>IF(I1162="",IF(ISNUMBER(SEARCH("NOT NULL",UPPER(I$3))),"''","null"),SUBSTITUTE(VLOOKUP(I$2,convert!$A$1:$B$4,2,0),"@@@",I1162))</f>
        <v>''</v>
      </c>
      <c r="Y1162" s="4" t="str">
        <f>IF(J1162="",IF(ISNUMBER(SEARCH("NOT NULL",UPPER(J$3))),"''","null"),SUBSTITUTE(VLOOKUP(J$2,convert!$A$1:$B$4,2,0),"@@@",J1162))</f>
        <v>'steel'</v>
      </c>
      <c r="Z1162" s="4" t="str">
        <f>IF(K1162="",IF(ISNUMBER(SEARCH("NOT NULL",UPPER(K$3))),"''","null"),SUBSTITUTE(VLOOKUP(K$2,convert!$A$1:$B$4,2,0),"@@@",K1162))</f>
        <v>'poison'</v>
      </c>
      <c r="AA1162" s="4" t="str">
        <f>IF(L1162="",IF(ISNUMBER(SEARCH("NOT NULL",UPPER(L$3))),"''","null"),SUBSTITUTE(VLOOKUP(L$2,convert!$A$1:$B$4,2,0),"@@@",L1162))</f>
        <v>'g9'</v>
      </c>
      <c r="AB1162" s="4" t="str">
        <f>IF(M1162="",IF(ISNUMBER(SEARCH("NOT NULL",UPPER(M$3))),"''","null"),SUBSTITUTE(VLOOKUP(M$2,convert!$A$1:$B$4,2,0),"@@@",M1162))</f>
        <v>null</v>
      </c>
      <c r="AC1162" s="4" t="str">
        <f>IF(N1162="",IF(ISNUMBER(SEARCH("NOT NULL",UPPER(N$3))),"''","null"),SUBSTITUTE(VLOOKUP(N$2,convert!$A$1:$B$4,2,0),"@@@",N1162))</f>
        <v>null</v>
      </c>
      <c r="AD1162" s="4" t="str">
        <f>IF(O1162="",IF(ISNUMBER(SEARCH("NOT NULL",UPPER(O$3))),"''","null"),SUBSTITUTE(VLOOKUP(O$2,convert!$A$1:$B$4,2,0),"@@@",O1162))</f>
        <v>TRUE</v>
      </c>
      <c r="AE1162" s="4" t="str">
        <f t="shared" si="18"/>
        <v>    ('0966N01', 'ブロロローム', 80, 119, 90, 54, 67, 90, '', 'steel', 'poison', 'g9', null, null, TRUE),</v>
      </c>
    </row>
    <row r="1163" spans="1:31">
      <c r="A1163" s="4" t="s">
        <v>2336</v>
      </c>
      <c r="B1163" s="4" t="s">
        <v>2337</v>
      </c>
      <c r="C1163" s="5">
        <v>70</v>
      </c>
      <c r="D1163" s="5">
        <v>95</v>
      </c>
      <c r="E1163" s="5">
        <v>65</v>
      </c>
      <c r="F1163" s="5">
        <v>85</v>
      </c>
      <c r="G1163" s="5">
        <v>65</v>
      </c>
      <c r="H1163" s="5">
        <v>121</v>
      </c>
      <c r="I1163" s="5"/>
      <c r="J1163" s="4" t="s">
        <v>50</v>
      </c>
      <c r="K1163" s="4" t="s">
        <v>80</v>
      </c>
      <c r="L1163" s="4" t="s">
        <v>368</v>
      </c>
      <c r="M1163" s="5"/>
      <c r="N1163" s="5"/>
      <c r="O1163" s="5" t="b">
        <v>0</v>
      </c>
      <c r="P1163" s="4" t="str">
        <f>IF(A1163="",IF(ISNUMBER(SEARCH("NOT NULL",UPPER(A$3))),"''","null"),SUBSTITUTE(VLOOKUP(A$2,convert!$A$1:$B$4,2,0),"@@@",A1163))</f>
        <v>'0967N01'</v>
      </c>
      <c r="Q1163" s="4" t="str">
        <f>IF(B1163="",IF(ISNUMBER(SEARCH("NOT NULL",UPPER(B$3))),"''","null"),SUBSTITUTE(VLOOKUP(B$2,convert!$A$1:$B$4,2,0),"@@@",B1163))</f>
        <v>'モトトカゲ'</v>
      </c>
      <c r="R1163" s="4" t="str">
        <f>IF(C1163="",IF(ISNUMBER(SEARCH("NOT NULL",UPPER(C$3))),"''","null"),SUBSTITUTE(VLOOKUP(C$2,convert!$A$1:$B$4,2,0),"@@@",C1163))</f>
        <v>70</v>
      </c>
      <c r="S1163" s="4" t="str">
        <f>IF(D1163="",IF(ISNUMBER(SEARCH("NOT NULL",UPPER(D$3))),"''","null"),SUBSTITUTE(VLOOKUP(D$2,convert!$A$1:$B$4,2,0),"@@@",D1163))</f>
        <v>95</v>
      </c>
      <c r="T1163" s="4" t="str">
        <f>IF(E1163="",IF(ISNUMBER(SEARCH("NOT NULL",UPPER(E$3))),"''","null"),SUBSTITUTE(VLOOKUP(E$2,convert!$A$1:$B$4,2,0),"@@@",E1163))</f>
        <v>65</v>
      </c>
      <c r="U1163" s="4" t="str">
        <f>IF(F1163="",IF(ISNUMBER(SEARCH("NOT NULL",UPPER(F$3))),"''","null"),SUBSTITUTE(VLOOKUP(F$2,convert!$A$1:$B$4,2,0),"@@@",F1163))</f>
        <v>85</v>
      </c>
      <c r="V1163" s="4" t="str">
        <f>IF(G1163="",IF(ISNUMBER(SEARCH("NOT NULL",UPPER(G$3))),"''","null"),SUBSTITUTE(VLOOKUP(G$2,convert!$A$1:$B$4,2,0),"@@@",G1163))</f>
        <v>65</v>
      </c>
      <c r="W1163" s="4" t="str">
        <f>IF(H1163="",IF(ISNUMBER(SEARCH("NOT NULL",UPPER(H$3))),"''","null"),SUBSTITUTE(VLOOKUP(H$2,convert!$A$1:$B$4,2,0),"@@@",H1163))</f>
        <v>121</v>
      </c>
      <c r="X1163" s="4" t="str">
        <f>IF(I1163="",IF(ISNUMBER(SEARCH("NOT NULL",UPPER(I$3))),"''","null"),SUBSTITUTE(VLOOKUP(I$2,convert!$A$1:$B$4,2,0),"@@@",I1163))</f>
        <v>''</v>
      </c>
      <c r="Y1163" s="4" t="str">
        <f>IF(J1163="",IF(ISNUMBER(SEARCH("NOT NULL",UPPER(J$3))),"''","null"),SUBSTITUTE(VLOOKUP(J$2,convert!$A$1:$B$4,2,0),"@@@",J1163))</f>
        <v>'dragon'</v>
      </c>
      <c r="Z1163" s="4" t="str">
        <f>IF(K1163="",IF(ISNUMBER(SEARCH("NOT NULL",UPPER(K$3))),"''","null"),SUBSTITUTE(VLOOKUP(K$2,convert!$A$1:$B$4,2,0),"@@@",K1163))</f>
        <v>'normal'</v>
      </c>
      <c r="AA1163" s="4" t="str">
        <f>IF(L1163="",IF(ISNUMBER(SEARCH("NOT NULL",UPPER(L$3))),"''","null"),SUBSTITUTE(VLOOKUP(L$2,convert!$A$1:$B$4,2,0),"@@@",L1163))</f>
        <v>'g9'</v>
      </c>
      <c r="AB1163" s="4" t="str">
        <f>IF(M1163="",IF(ISNUMBER(SEARCH("NOT NULL",UPPER(M$3))),"''","null"),SUBSTITUTE(VLOOKUP(M$2,convert!$A$1:$B$4,2,0),"@@@",M1163))</f>
        <v>null</v>
      </c>
      <c r="AC1163" s="4" t="str">
        <f>IF(N1163="",IF(ISNUMBER(SEARCH("NOT NULL",UPPER(N$3))),"''","null"),SUBSTITUTE(VLOOKUP(N$2,convert!$A$1:$B$4,2,0),"@@@",N1163))</f>
        <v>null</v>
      </c>
      <c r="AD1163" s="4" t="str">
        <f>IF(O1163="",IF(ISNUMBER(SEARCH("NOT NULL",UPPER(O$3))),"''","null"),SUBSTITUTE(VLOOKUP(O$2,convert!$A$1:$B$4,2,0),"@@@",O1163))</f>
        <v>FALSE</v>
      </c>
      <c r="AE1163" s="4" t="str">
        <f t="shared" si="18"/>
        <v>    ('0967N01', 'モトトカゲ', 70, 95, 65, 85, 65, 121, '', 'dragon', 'normal', 'g9', null, null, FALSE),</v>
      </c>
    </row>
    <row r="1164" spans="1:31">
      <c r="A1164" s="4" t="s">
        <v>2338</v>
      </c>
      <c r="B1164" s="4" t="s">
        <v>2339</v>
      </c>
      <c r="C1164" s="5">
        <v>70</v>
      </c>
      <c r="D1164" s="5">
        <v>85</v>
      </c>
      <c r="E1164" s="5">
        <v>145</v>
      </c>
      <c r="F1164" s="5">
        <v>60</v>
      </c>
      <c r="G1164" s="5">
        <v>55</v>
      </c>
      <c r="H1164" s="5">
        <v>65</v>
      </c>
      <c r="I1164" s="5"/>
      <c r="J1164" s="4" t="s">
        <v>119</v>
      </c>
      <c r="K1164" s="5"/>
      <c r="L1164" s="4" t="s">
        <v>368</v>
      </c>
      <c r="M1164" s="5"/>
      <c r="N1164" s="5"/>
      <c r="O1164" s="5" t="b">
        <v>0</v>
      </c>
      <c r="P1164" s="4" t="str">
        <f>IF(A1164="",IF(ISNUMBER(SEARCH("NOT NULL",UPPER(A$3))),"''","null"),SUBSTITUTE(VLOOKUP(A$2,convert!$A$1:$B$4,2,0),"@@@",A1164))</f>
        <v>'0968N01'</v>
      </c>
      <c r="Q1164" s="4" t="str">
        <f>IF(B1164="",IF(ISNUMBER(SEARCH("NOT NULL",UPPER(B$3))),"''","null"),SUBSTITUTE(VLOOKUP(B$2,convert!$A$1:$B$4,2,0),"@@@",B1164))</f>
        <v>'ミミズズ'</v>
      </c>
      <c r="R1164" s="4" t="str">
        <f>IF(C1164="",IF(ISNUMBER(SEARCH("NOT NULL",UPPER(C$3))),"''","null"),SUBSTITUTE(VLOOKUP(C$2,convert!$A$1:$B$4,2,0),"@@@",C1164))</f>
        <v>70</v>
      </c>
      <c r="S1164" s="4" t="str">
        <f>IF(D1164="",IF(ISNUMBER(SEARCH("NOT NULL",UPPER(D$3))),"''","null"),SUBSTITUTE(VLOOKUP(D$2,convert!$A$1:$B$4,2,0),"@@@",D1164))</f>
        <v>85</v>
      </c>
      <c r="T1164" s="4" t="str">
        <f>IF(E1164="",IF(ISNUMBER(SEARCH("NOT NULL",UPPER(E$3))),"''","null"),SUBSTITUTE(VLOOKUP(E$2,convert!$A$1:$B$4,2,0),"@@@",E1164))</f>
        <v>145</v>
      </c>
      <c r="U1164" s="4" t="str">
        <f>IF(F1164="",IF(ISNUMBER(SEARCH("NOT NULL",UPPER(F$3))),"''","null"),SUBSTITUTE(VLOOKUP(F$2,convert!$A$1:$B$4,2,0),"@@@",F1164))</f>
        <v>60</v>
      </c>
      <c r="V1164" s="4" t="str">
        <f>IF(G1164="",IF(ISNUMBER(SEARCH("NOT NULL",UPPER(G$3))),"''","null"),SUBSTITUTE(VLOOKUP(G$2,convert!$A$1:$B$4,2,0),"@@@",G1164))</f>
        <v>55</v>
      </c>
      <c r="W1164" s="4" t="str">
        <f>IF(H1164="",IF(ISNUMBER(SEARCH("NOT NULL",UPPER(H$3))),"''","null"),SUBSTITUTE(VLOOKUP(H$2,convert!$A$1:$B$4,2,0),"@@@",H1164))</f>
        <v>65</v>
      </c>
      <c r="X1164" s="4" t="str">
        <f>IF(I1164="",IF(ISNUMBER(SEARCH("NOT NULL",UPPER(I$3))),"''","null"),SUBSTITUTE(VLOOKUP(I$2,convert!$A$1:$B$4,2,0),"@@@",I1164))</f>
        <v>''</v>
      </c>
      <c r="Y1164" s="4" t="str">
        <f>IF(J1164="",IF(ISNUMBER(SEARCH("NOT NULL",UPPER(J$3))),"''","null"),SUBSTITUTE(VLOOKUP(J$2,convert!$A$1:$B$4,2,0),"@@@",J1164))</f>
        <v>'steel'</v>
      </c>
      <c r="Z1164" s="4" t="str">
        <f>IF(K1164="",IF(ISNUMBER(SEARCH("NOT NULL",UPPER(K$3))),"''","null"),SUBSTITUTE(VLOOKUP(K$2,convert!$A$1:$B$4,2,0),"@@@",K1164))</f>
        <v>null</v>
      </c>
      <c r="AA1164" s="4" t="str">
        <f>IF(L1164="",IF(ISNUMBER(SEARCH("NOT NULL",UPPER(L$3))),"''","null"),SUBSTITUTE(VLOOKUP(L$2,convert!$A$1:$B$4,2,0),"@@@",L1164))</f>
        <v>'g9'</v>
      </c>
      <c r="AB1164" s="4" t="str">
        <f>IF(M1164="",IF(ISNUMBER(SEARCH("NOT NULL",UPPER(M$3))),"''","null"),SUBSTITUTE(VLOOKUP(M$2,convert!$A$1:$B$4,2,0),"@@@",M1164))</f>
        <v>null</v>
      </c>
      <c r="AC1164" s="4" t="str">
        <f>IF(N1164="",IF(ISNUMBER(SEARCH("NOT NULL",UPPER(N$3))),"''","null"),SUBSTITUTE(VLOOKUP(N$2,convert!$A$1:$B$4,2,0),"@@@",N1164))</f>
        <v>null</v>
      </c>
      <c r="AD1164" s="4" t="str">
        <f>IF(O1164="",IF(ISNUMBER(SEARCH("NOT NULL",UPPER(O$3))),"''","null"),SUBSTITUTE(VLOOKUP(O$2,convert!$A$1:$B$4,2,0),"@@@",O1164))</f>
        <v>FALSE</v>
      </c>
      <c r="AE1164" s="4" t="str">
        <f t="shared" si="18"/>
        <v>    ('0968N01', 'ミミズズ', 70, 85, 145, 60, 55, 65, '', 'steel', null, 'g9', null, null, FALSE),</v>
      </c>
    </row>
    <row r="1165" spans="1:31">
      <c r="A1165" s="4" t="s">
        <v>2340</v>
      </c>
      <c r="B1165" s="4" t="s">
        <v>2341</v>
      </c>
      <c r="C1165" s="5">
        <v>48</v>
      </c>
      <c r="D1165" s="5">
        <v>35</v>
      </c>
      <c r="E1165" s="5">
        <v>42</v>
      </c>
      <c r="F1165" s="5">
        <v>105</v>
      </c>
      <c r="G1165" s="5">
        <v>60</v>
      </c>
      <c r="H1165" s="5">
        <v>60</v>
      </c>
      <c r="I1165" s="5"/>
      <c r="J1165" s="4" t="s">
        <v>196</v>
      </c>
      <c r="K1165" s="4" t="s">
        <v>31</v>
      </c>
      <c r="L1165" s="4" t="s">
        <v>368</v>
      </c>
      <c r="M1165" s="5"/>
      <c r="N1165" s="5"/>
      <c r="O1165" s="5" t="b">
        <v>0</v>
      </c>
      <c r="P1165" s="4" t="str">
        <f>IF(A1165="",IF(ISNUMBER(SEARCH("NOT NULL",UPPER(A$3))),"''","null"),SUBSTITUTE(VLOOKUP(A$2,convert!$A$1:$B$4,2,0),"@@@",A1165))</f>
        <v>'0969N01'</v>
      </c>
      <c r="Q1165" s="4" t="str">
        <f>IF(B1165="",IF(ISNUMBER(SEARCH("NOT NULL",UPPER(B$3))),"''","null"),SUBSTITUTE(VLOOKUP(B$2,convert!$A$1:$B$4,2,0),"@@@",B1165))</f>
        <v>'キラーメ'</v>
      </c>
      <c r="R1165" s="4" t="str">
        <f>IF(C1165="",IF(ISNUMBER(SEARCH("NOT NULL",UPPER(C$3))),"''","null"),SUBSTITUTE(VLOOKUP(C$2,convert!$A$1:$B$4,2,0),"@@@",C1165))</f>
        <v>48</v>
      </c>
      <c r="S1165" s="4" t="str">
        <f>IF(D1165="",IF(ISNUMBER(SEARCH("NOT NULL",UPPER(D$3))),"''","null"),SUBSTITUTE(VLOOKUP(D$2,convert!$A$1:$B$4,2,0),"@@@",D1165))</f>
        <v>35</v>
      </c>
      <c r="T1165" s="4" t="str">
        <f>IF(E1165="",IF(ISNUMBER(SEARCH("NOT NULL",UPPER(E$3))),"''","null"),SUBSTITUTE(VLOOKUP(E$2,convert!$A$1:$B$4,2,0),"@@@",E1165))</f>
        <v>42</v>
      </c>
      <c r="U1165" s="4" t="str">
        <f>IF(F1165="",IF(ISNUMBER(SEARCH("NOT NULL",UPPER(F$3))),"''","null"),SUBSTITUTE(VLOOKUP(F$2,convert!$A$1:$B$4,2,0),"@@@",F1165))</f>
        <v>105</v>
      </c>
      <c r="V1165" s="4" t="str">
        <f>IF(G1165="",IF(ISNUMBER(SEARCH("NOT NULL",UPPER(G$3))),"''","null"),SUBSTITUTE(VLOOKUP(G$2,convert!$A$1:$B$4,2,0),"@@@",G1165))</f>
        <v>60</v>
      </c>
      <c r="W1165" s="4" t="str">
        <f>IF(H1165="",IF(ISNUMBER(SEARCH("NOT NULL",UPPER(H$3))),"''","null"),SUBSTITUTE(VLOOKUP(H$2,convert!$A$1:$B$4,2,0),"@@@",H1165))</f>
        <v>60</v>
      </c>
      <c r="X1165" s="4" t="str">
        <f>IF(I1165="",IF(ISNUMBER(SEARCH("NOT NULL",UPPER(I$3))),"''","null"),SUBSTITUTE(VLOOKUP(I$2,convert!$A$1:$B$4,2,0),"@@@",I1165))</f>
        <v>''</v>
      </c>
      <c r="Y1165" s="4" t="str">
        <f>IF(J1165="",IF(ISNUMBER(SEARCH("NOT NULL",UPPER(J$3))),"''","null"),SUBSTITUTE(VLOOKUP(J$2,convert!$A$1:$B$4,2,0),"@@@",J1165))</f>
        <v>'rock'</v>
      </c>
      <c r="Z1165" s="4" t="str">
        <f>IF(K1165="",IF(ISNUMBER(SEARCH("NOT NULL",UPPER(K$3))),"''","null"),SUBSTITUTE(VLOOKUP(K$2,convert!$A$1:$B$4,2,0),"@@@",K1165))</f>
        <v>'poison'</v>
      </c>
      <c r="AA1165" s="4" t="str">
        <f>IF(L1165="",IF(ISNUMBER(SEARCH("NOT NULL",UPPER(L$3))),"''","null"),SUBSTITUTE(VLOOKUP(L$2,convert!$A$1:$B$4,2,0),"@@@",L1165))</f>
        <v>'g9'</v>
      </c>
      <c r="AB1165" s="4" t="str">
        <f>IF(M1165="",IF(ISNUMBER(SEARCH("NOT NULL",UPPER(M$3))),"''","null"),SUBSTITUTE(VLOOKUP(M$2,convert!$A$1:$B$4,2,0),"@@@",M1165))</f>
        <v>null</v>
      </c>
      <c r="AC1165" s="4" t="str">
        <f>IF(N1165="",IF(ISNUMBER(SEARCH("NOT NULL",UPPER(N$3))),"''","null"),SUBSTITUTE(VLOOKUP(N$2,convert!$A$1:$B$4,2,0),"@@@",N1165))</f>
        <v>null</v>
      </c>
      <c r="AD1165" s="4" t="str">
        <f>IF(O1165="",IF(ISNUMBER(SEARCH("NOT NULL",UPPER(O$3))),"''","null"),SUBSTITUTE(VLOOKUP(O$2,convert!$A$1:$B$4,2,0),"@@@",O1165))</f>
        <v>FALSE</v>
      </c>
      <c r="AE1165" s="4" t="str">
        <f t="shared" si="18"/>
        <v>    ('0969N01', 'キラーメ', 48, 35, 42, 105, 60, 60, '', 'rock', 'poison', 'g9', null, null, FALSE),</v>
      </c>
    </row>
    <row r="1166" spans="1:31">
      <c r="A1166" s="4" t="s">
        <v>2342</v>
      </c>
      <c r="B1166" s="4" t="s">
        <v>2343</v>
      </c>
      <c r="C1166" s="5">
        <v>83</v>
      </c>
      <c r="D1166" s="5">
        <v>55</v>
      </c>
      <c r="E1166" s="5">
        <v>90</v>
      </c>
      <c r="F1166" s="5">
        <v>130</v>
      </c>
      <c r="G1166" s="5">
        <v>81</v>
      </c>
      <c r="H1166" s="5">
        <v>86</v>
      </c>
      <c r="I1166" s="5"/>
      <c r="J1166" s="4" t="s">
        <v>196</v>
      </c>
      <c r="K1166" s="4" t="s">
        <v>31</v>
      </c>
      <c r="L1166" s="4" t="s">
        <v>368</v>
      </c>
      <c r="M1166" s="5"/>
      <c r="N1166" s="5"/>
      <c r="O1166" s="5" t="b">
        <v>0</v>
      </c>
      <c r="P1166" s="4" t="str">
        <f>IF(A1166="",IF(ISNUMBER(SEARCH("NOT NULL",UPPER(A$3))),"''","null"),SUBSTITUTE(VLOOKUP(A$2,convert!$A$1:$B$4,2,0),"@@@",A1166))</f>
        <v>'0970N01'</v>
      </c>
      <c r="Q1166" s="4" t="str">
        <f>IF(B1166="",IF(ISNUMBER(SEARCH("NOT NULL",UPPER(B$3))),"''","null"),SUBSTITUTE(VLOOKUP(B$2,convert!$A$1:$B$4,2,0),"@@@",B1166))</f>
        <v>'キラフロル'</v>
      </c>
      <c r="R1166" s="4" t="str">
        <f>IF(C1166="",IF(ISNUMBER(SEARCH("NOT NULL",UPPER(C$3))),"''","null"),SUBSTITUTE(VLOOKUP(C$2,convert!$A$1:$B$4,2,0),"@@@",C1166))</f>
        <v>83</v>
      </c>
      <c r="S1166" s="4" t="str">
        <f>IF(D1166="",IF(ISNUMBER(SEARCH("NOT NULL",UPPER(D$3))),"''","null"),SUBSTITUTE(VLOOKUP(D$2,convert!$A$1:$B$4,2,0),"@@@",D1166))</f>
        <v>55</v>
      </c>
      <c r="T1166" s="4" t="str">
        <f>IF(E1166="",IF(ISNUMBER(SEARCH("NOT NULL",UPPER(E$3))),"''","null"),SUBSTITUTE(VLOOKUP(E$2,convert!$A$1:$B$4,2,0),"@@@",E1166))</f>
        <v>90</v>
      </c>
      <c r="U1166" s="4" t="str">
        <f>IF(F1166="",IF(ISNUMBER(SEARCH("NOT NULL",UPPER(F$3))),"''","null"),SUBSTITUTE(VLOOKUP(F$2,convert!$A$1:$B$4,2,0),"@@@",F1166))</f>
        <v>130</v>
      </c>
      <c r="V1166" s="4" t="str">
        <f>IF(G1166="",IF(ISNUMBER(SEARCH("NOT NULL",UPPER(G$3))),"''","null"),SUBSTITUTE(VLOOKUP(G$2,convert!$A$1:$B$4,2,0),"@@@",G1166))</f>
        <v>81</v>
      </c>
      <c r="W1166" s="4" t="str">
        <f>IF(H1166="",IF(ISNUMBER(SEARCH("NOT NULL",UPPER(H$3))),"''","null"),SUBSTITUTE(VLOOKUP(H$2,convert!$A$1:$B$4,2,0),"@@@",H1166))</f>
        <v>86</v>
      </c>
      <c r="X1166" s="4" t="str">
        <f>IF(I1166="",IF(ISNUMBER(SEARCH("NOT NULL",UPPER(I$3))),"''","null"),SUBSTITUTE(VLOOKUP(I$2,convert!$A$1:$B$4,2,0),"@@@",I1166))</f>
        <v>''</v>
      </c>
      <c r="Y1166" s="4" t="str">
        <f>IF(J1166="",IF(ISNUMBER(SEARCH("NOT NULL",UPPER(J$3))),"''","null"),SUBSTITUTE(VLOOKUP(J$2,convert!$A$1:$B$4,2,0),"@@@",J1166))</f>
        <v>'rock'</v>
      </c>
      <c r="Z1166" s="4" t="str">
        <f>IF(K1166="",IF(ISNUMBER(SEARCH("NOT NULL",UPPER(K$3))),"''","null"),SUBSTITUTE(VLOOKUP(K$2,convert!$A$1:$B$4,2,0),"@@@",K1166))</f>
        <v>'poison'</v>
      </c>
      <c r="AA1166" s="4" t="str">
        <f>IF(L1166="",IF(ISNUMBER(SEARCH("NOT NULL",UPPER(L$3))),"''","null"),SUBSTITUTE(VLOOKUP(L$2,convert!$A$1:$B$4,2,0),"@@@",L1166))</f>
        <v>'g9'</v>
      </c>
      <c r="AB1166" s="4" t="str">
        <f>IF(M1166="",IF(ISNUMBER(SEARCH("NOT NULL",UPPER(M$3))),"''","null"),SUBSTITUTE(VLOOKUP(M$2,convert!$A$1:$B$4,2,0),"@@@",M1166))</f>
        <v>null</v>
      </c>
      <c r="AC1166" s="4" t="str">
        <f>IF(N1166="",IF(ISNUMBER(SEARCH("NOT NULL",UPPER(N$3))),"''","null"),SUBSTITUTE(VLOOKUP(N$2,convert!$A$1:$B$4,2,0),"@@@",N1166))</f>
        <v>null</v>
      </c>
      <c r="AD1166" s="4" t="str">
        <f>IF(O1166="",IF(ISNUMBER(SEARCH("NOT NULL",UPPER(O$3))),"''","null"),SUBSTITUTE(VLOOKUP(O$2,convert!$A$1:$B$4,2,0),"@@@",O1166))</f>
        <v>FALSE</v>
      </c>
      <c r="AE1166" s="4" t="str">
        <f t="shared" si="18"/>
        <v>    ('0970N01', 'キラフロル', 83, 55, 90, 130, 81, 86, '', 'rock', 'poison', 'g9', null, null, FALSE),</v>
      </c>
    </row>
    <row r="1167" spans="1:31">
      <c r="A1167" s="4" t="s">
        <v>2344</v>
      </c>
      <c r="B1167" s="4" t="s">
        <v>2345</v>
      </c>
      <c r="C1167" s="5">
        <v>50</v>
      </c>
      <c r="D1167" s="5">
        <v>61</v>
      </c>
      <c r="E1167" s="5">
        <v>60</v>
      </c>
      <c r="F1167" s="5">
        <v>30</v>
      </c>
      <c r="G1167" s="5">
        <v>55</v>
      </c>
      <c r="H1167" s="5">
        <v>34</v>
      </c>
      <c r="I1167" s="5"/>
      <c r="J1167" s="4" t="s">
        <v>281</v>
      </c>
      <c r="K1167" s="5"/>
      <c r="L1167" s="4" t="s">
        <v>368</v>
      </c>
      <c r="M1167" s="5"/>
      <c r="N1167" s="5"/>
      <c r="O1167" s="5" t="b">
        <v>1</v>
      </c>
      <c r="P1167" s="4" t="str">
        <f>IF(A1167="",IF(ISNUMBER(SEARCH("NOT NULL",UPPER(A$3))),"''","null"),SUBSTITUTE(VLOOKUP(A$2,convert!$A$1:$B$4,2,0),"@@@",A1167))</f>
        <v>'0971N01'</v>
      </c>
      <c r="Q1167" s="4" t="str">
        <f>IF(B1167="",IF(ISNUMBER(SEARCH("NOT NULL",UPPER(B$3))),"''","null"),SUBSTITUTE(VLOOKUP(B$2,convert!$A$1:$B$4,2,0),"@@@",B1167))</f>
        <v>'ボチ'</v>
      </c>
      <c r="R1167" s="4" t="str">
        <f>IF(C1167="",IF(ISNUMBER(SEARCH("NOT NULL",UPPER(C$3))),"''","null"),SUBSTITUTE(VLOOKUP(C$2,convert!$A$1:$B$4,2,0),"@@@",C1167))</f>
        <v>50</v>
      </c>
      <c r="S1167" s="4" t="str">
        <f>IF(D1167="",IF(ISNUMBER(SEARCH("NOT NULL",UPPER(D$3))),"''","null"),SUBSTITUTE(VLOOKUP(D$2,convert!$A$1:$B$4,2,0),"@@@",D1167))</f>
        <v>61</v>
      </c>
      <c r="T1167" s="4" t="str">
        <f>IF(E1167="",IF(ISNUMBER(SEARCH("NOT NULL",UPPER(E$3))),"''","null"),SUBSTITUTE(VLOOKUP(E$2,convert!$A$1:$B$4,2,0),"@@@",E1167))</f>
        <v>60</v>
      </c>
      <c r="U1167" s="4" t="str">
        <f>IF(F1167="",IF(ISNUMBER(SEARCH("NOT NULL",UPPER(F$3))),"''","null"),SUBSTITUTE(VLOOKUP(F$2,convert!$A$1:$B$4,2,0),"@@@",F1167))</f>
        <v>30</v>
      </c>
      <c r="V1167" s="4" t="str">
        <f>IF(G1167="",IF(ISNUMBER(SEARCH("NOT NULL",UPPER(G$3))),"''","null"),SUBSTITUTE(VLOOKUP(G$2,convert!$A$1:$B$4,2,0),"@@@",G1167))</f>
        <v>55</v>
      </c>
      <c r="W1167" s="4" t="str">
        <f>IF(H1167="",IF(ISNUMBER(SEARCH("NOT NULL",UPPER(H$3))),"''","null"),SUBSTITUTE(VLOOKUP(H$2,convert!$A$1:$B$4,2,0),"@@@",H1167))</f>
        <v>34</v>
      </c>
      <c r="X1167" s="4" t="str">
        <f>IF(I1167="",IF(ISNUMBER(SEARCH("NOT NULL",UPPER(I$3))),"''","null"),SUBSTITUTE(VLOOKUP(I$2,convert!$A$1:$B$4,2,0),"@@@",I1167))</f>
        <v>''</v>
      </c>
      <c r="Y1167" s="4" t="str">
        <f>IF(J1167="",IF(ISNUMBER(SEARCH("NOT NULL",UPPER(J$3))),"''","null"),SUBSTITUTE(VLOOKUP(J$2,convert!$A$1:$B$4,2,0),"@@@",J1167))</f>
        <v>'ghost'</v>
      </c>
      <c r="Z1167" s="4" t="str">
        <f>IF(K1167="",IF(ISNUMBER(SEARCH("NOT NULL",UPPER(K$3))),"''","null"),SUBSTITUTE(VLOOKUP(K$2,convert!$A$1:$B$4,2,0),"@@@",K1167))</f>
        <v>null</v>
      </c>
      <c r="AA1167" s="4" t="str">
        <f>IF(L1167="",IF(ISNUMBER(SEARCH("NOT NULL",UPPER(L$3))),"''","null"),SUBSTITUTE(VLOOKUP(L$2,convert!$A$1:$B$4,2,0),"@@@",L1167))</f>
        <v>'g9'</v>
      </c>
      <c r="AB1167" s="4" t="str">
        <f>IF(M1167="",IF(ISNUMBER(SEARCH("NOT NULL",UPPER(M$3))),"''","null"),SUBSTITUTE(VLOOKUP(M$2,convert!$A$1:$B$4,2,0),"@@@",M1167))</f>
        <v>null</v>
      </c>
      <c r="AC1167" s="4" t="str">
        <f>IF(N1167="",IF(ISNUMBER(SEARCH("NOT NULL",UPPER(N$3))),"''","null"),SUBSTITUTE(VLOOKUP(N$2,convert!$A$1:$B$4,2,0),"@@@",N1167))</f>
        <v>null</v>
      </c>
      <c r="AD1167" s="4" t="str">
        <f>IF(O1167="",IF(ISNUMBER(SEARCH("NOT NULL",UPPER(O$3))),"''","null"),SUBSTITUTE(VLOOKUP(O$2,convert!$A$1:$B$4,2,0),"@@@",O1167))</f>
        <v>TRUE</v>
      </c>
      <c r="AE1167" s="4" t="str">
        <f t="shared" si="18"/>
        <v>    ('0971N01', 'ボチ', 50, 61, 60, 30, 55, 34, '', 'ghost', null, 'g9', null, null, TRUE),</v>
      </c>
    </row>
    <row r="1168" spans="1:31">
      <c r="A1168" s="4" t="s">
        <v>2346</v>
      </c>
      <c r="B1168" s="4" t="s">
        <v>2347</v>
      </c>
      <c r="C1168" s="5">
        <v>72</v>
      </c>
      <c r="D1168" s="5">
        <v>101</v>
      </c>
      <c r="E1168" s="5">
        <v>100</v>
      </c>
      <c r="F1168" s="5">
        <v>50</v>
      </c>
      <c r="G1168" s="5">
        <v>97</v>
      </c>
      <c r="H1168" s="5">
        <v>68</v>
      </c>
      <c r="I1168" s="5"/>
      <c r="J1168" s="4" t="s">
        <v>281</v>
      </c>
      <c r="K1168" s="5"/>
      <c r="L1168" s="4" t="s">
        <v>368</v>
      </c>
      <c r="M1168" s="5"/>
      <c r="N1168" s="5"/>
      <c r="O1168" s="5" t="b">
        <v>1</v>
      </c>
      <c r="P1168" s="4" t="str">
        <f>IF(A1168="",IF(ISNUMBER(SEARCH("NOT NULL",UPPER(A$3))),"''","null"),SUBSTITUTE(VLOOKUP(A$2,convert!$A$1:$B$4,2,0),"@@@",A1168))</f>
        <v>'0972N01'</v>
      </c>
      <c r="Q1168" s="4" t="str">
        <f>IF(B1168="",IF(ISNUMBER(SEARCH("NOT NULL",UPPER(B$3))),"''","null"),SUBSTITUTE(VLOOKUP(B$2,convert!$A$1:$B$4,2,0),"@@@",B1168))</f>
        <v>'ハカドッグ'</v>
      </c>
      <c r="R1168" s="4" t="str">
        <f>IF(C1168="",IF(ISNUMBER(SEARCH("NOT NULL",UPPER(C$3))),"''","null"),SUBSTITUTE(VLOOKUP(C$2,convert!$A$1:$B$4,2,0),"@@@",C1168))</f>
        <v>72</v>
      </c>
      <c r="S1168" s="4" t="str">
        <f>IF(D1168="",IF(ISNUMBER(SEARCH("NOT NULL",UPPER(D$3))),"''","null"),SUBSTITUTE(VLOOKUP(D$2,convert!$A$1:$B$4,2,0),"@@@",D1168))</f>
        <v>101</v>
      </c>
      <c r="T1168" s="4" t="str">
        <f>IF(E1168="",IF(ISNUMBER(SEARCH("NOT NULL",UPPER(E$3))),"''","null"),SUBSTITUTE(VLOOKUP(E$2,convert!$A$1:$B$4,2,0),"@@@",E1168))</f>
        <v>100</v>
      </c>
      <c r="U1168" s="4" t="str">
        <f>IF(F1168="",IF(ISNUMBER(SEARCH("NOT NULL",UPPER(F$3))),"''","null"),SUBSTITUTE(VLOOKUP(F$2,convert!$A$1:$B$4,2,0),"@@@",F1168))</f>
        <v>50</v>
      </c>
      <c r="V1168" s="4" t="str">
        <f>IF(G1168="",IF(ISNUMBER(SEARCH("NOT NULL",UPPER(G$3))),"''","null"),SUBSTITUTE(VLOOKUP(G$2,convert!$A$1:$B$4,2,0),"@@@",G1168))</f>
        <v>97</v>
      </c>
      <c r="W1168" s="4" t="str">
        <f>IF(H1168="",IF(ISNUMBER(SEARCH("NOT NULL",UPPER(H$3))),"''","null"),SUBSTITUTE(VLOOKUP(H$2,convert!$A$1:$B$4,2,0),"@@@",H1168))</f>
        <v>68</v>
      </c>
      <c r="X1168" s="4" t="str">
        <f>IF(I1168="",IF(ISNUMBER(SEARCH("NOT NULL",UPPER(I$3))),"''","null"),SUBSTITUTE(VLOOKUP(I$2,convert!$A$1:$B$4,2,0),"@@@",I1168))</f>
        <v>''</v>
      </c>
      <c r="Y1168" s="4" t="str">
        <f>IF(J1168="",IF(ISNUMBER(SEARCH("NOT NULL",UPPER(J$3))),"''","null"),SUBSTITUTE(VLOOKUP(J$2,convert!$A$1:$B$4,2,0),"@@@",J1168))</f>
        <v>'ghost'</v>
      </c>
      <c r="Z1168" s="4" t="str">
        <f>IF(K1168="",IF(ISNUMBER(SEARCH("NOT NULL",UPPER(K$3))),"''","null"),SUBSTITUTE(VLOOKUP(K$2,convert!$A$1:$B$4,2,0),"@@@",K1168))</f>
        <v>null</v>
      </c>
      <c r="AA1168" s="4" t="str">
        <f>IF(L1168="",IF(ISNUMBER(SEARCH("NOT NULL",UPPER(L$3))),"''","null"),SUBSTITUTE(VLOOKUP(L$2,convert!$A$1:$B$4,2,0),"@@@",L1168))</f>
        <v>'g9'</v>
      </c>
      <c r="AB1168" s="4" t="str">
        <f>IF(M1168="",IF(ISNUMBER(SEARCH("NOT NULL",UPPER(M$3))),"''","null"),SUBSTITUTE(VLOOKUP(M$2,convert!$A$1:$B$4,2,0),"@@@",M1168))</f>
        <v>null</v>
      </c>
      <c r="AC1168" s="4" t="str">
        <f>IF(N1168="",IF(ISNUMBER(SEARCH("NOT NULL",UPPER(N$3))),"''","null"),SUBSTITUTE(VLOOKUP(N$2,convert!$A$1:$B$4,2,0),"@@@",N1168))</f>
        <v>null</v>
      </c>
      <c r="AD1168" s="4" t="str">
        <f>IF(O1168="",IF(ISNUMBER(SEARCH("NOT NULL",UPPER(O$3))),"''","null"),SUBSTITUTE(VLOOKUP(O$2,convert!$A$1:$B$4,2,0),"@@@",O1168))</f>
        <v>TRUE</v>
      </c>
      <c r="AE1168" s="4" t="str">
        <f t="shared" si="18"/>
        <v>    ('0972N01', 'ハカドッグ', 72, 101, 100, 50, 97, 68, '', 'ghost', null, 'g9', null, null, TRUE),</v>
      </c>
    </row>
    <row r="1169" spans="1:31">
      <c r="A1169" s="4" t="s">
        <v>2348</v>
      </c>
      <c r="B1169" s="4" t="s">
        <v>2349</v>
      </c>
      <c r="C1169" s="5">
        <v>82</v>
      </c>
      <c r="D1169" s="5">
        <v>115</v>
      </c>
      <c r="E1169" s="5">
        <v>74</v>
      </c>
      <c r="F1169" s="5">
        <v>75</v>
      </c>
      <c r="G1169" s="5">
        <v>64</v>
      </c>
      <c r="H1169" s="5">
        <v>90</v>
      </c>
      <c r="I1169" s="5"/>
      <c r="J1169" s="4" t="s">
        <v>47</v>
      </c>
      <c r="K1169" s="4" t="s">
        <v>189</v>
      </c>
      <c r="L1169" s="4" t="s">
        <v>368</v>
      </c>
      <c r="M1169" s="5"/>
      <c r="N1169" s="5"/>
      <c r="O1169" s="5" t="b">
        <v>0</v>
      </c>
      <c r="P1169" s="4" t="str">
        <f>IF(A1169="",IF(ISNUMBER(SEARCH("NOT NULL",UPPER(A$3))),"''","null"),SUBSTITUTE(VLOOKUP(A$2,convert!$A$1:$B$4,2,0),"@@@",A1169))</f>
        <v>'0973N01'</v>
      </c>
      <c r="Q1169" s="4" t="str">
        <f>IF(B1169="",IF(ISNUMBER(SEARCH("NOT NULL",UPPER(B$3))),"''","null"),SUBSTITUTE(VLOOKUP(B$2,convert!$A$1:$B$4,2,0),"@@@",B1169))</f>
        <v>'カラミンゴ'</v>
      </c>
      <c r="R1169" s="4" t="str">
        <f>IF(C1169="",IF(ISNUMBER(SEARCH("NOT NULL",UPPER(C$3))),"''","null"),SUBSTITUTE(VLOOKUP(C$2,convert!$A$1:$B$4,2,0),"@@@",C1169))</f>
        <v>82</v>
      </c>
      <c r="S1169" s="4" t="str">
        <f>IF(D1169="",IF(ISNUMBER(SEARCH("NOT NULL",UPPER(D$3))),"''","null"),SUBSTITUTE(VLOOKUP(D$2,convert!$A$1:$B$4,2,0),"@@@",D1169))</f>
        <v>115</v>
      </c>
      <c r="T1169" s="4" t="str">
        <f>IF(E1169="",IF(ISNUMBER(SEARCH("NOT NULL",UPPER(E$3))),"''","null"),SUBSTITUTE(VLOOKUP(E$2,convert!$A$1:$B$4,2,0),"@@@",E1169))</f>
        <v>74</v>
      </c>
      <c r="U1169" s="4" t="str">
        <f>IF(F1169="",IF(ISNUMBER(SEARCH("NOT NULL",UPPER(F$3))),"''","null"),SUBSTITUTE(VLOOKUP(F$2,convert!$A$1:$B$4,2,0),"@@@",F1169))</f>
        <v>75</v>
      </c>
      <c r="V1169" s="4" t="str">
        <f>IF(G1169="",IF(ISNUMBER(SEARCH("NOT NULL",UPPER(G$3))),"''","null"),SUBSTITUTE(VLOOKUP(G$2,convert!$A$1:$B$4,2,0),"@@@",G1169))</f>
        <v>64</v>
      </c>
      <c r="W1169" s="4" t="str">
        <f>IF(H1169="",IF(ISNUMBER(SEARCH("NOT NULL",UPPER(H$3))),"''","null"),SUBSTITUTE(VLOOKUP(H$2,convert!$A$1:$B$4,2,0),"@@@",H1169))</f>
        <v>90</v>
      </c>
      <c r="X1169" s="4" t="str">
        <f>IF(I1169="",IF(ISNUMBER(SEARCH("NOT NULL",UPPER(I$3))),"''","null"),SUBSTITUTE(VLOOKUP(I$2,convert!$A$1:$B$4,2,0),"@@@",I1169))</f>
        <v>''</v>
      </c>
      <c r="Y1169" s="4" t="str">
        <f>IF(J1169="",IF(ISNUMBER(SEARCH("NOT NULL",UPPER(J$3))),"''","null"),SUBSTITUTE(VLOOKUP(J$2,convert!$A$1:$B$4,2,0),"@@@",J1169))</f>
        <v>'flying'</v>
      </c>
      <c r="Z1169" s="4" t="str">
        <f>IF(K1169="",IF(ISNUMBER(SEARCH("NOT NULL",UPPER(K$3))),"''","null"),SUBSTITUTE(VLOOKUP(K$2,convert!$A$1:$B$4,2,0),"@@@",K1169))</f>
        <v>'fighting'</v>
      </c>
      <c r="AA1169" s="4" t="str">
        <f>IF(L1169="",IF(ISNUMBER(SEARCH("NOT NULL",UPPER(L$3))),"''","null"),SUBSTITUTE(VLOOKUP(L$2,convert!$A$1:$B$4,2,0),"@@@",L1169))</f>
        <v>'g9'</v>
      </c>
      <c r="AB1169" s="4" t="str">
        <f>IF(M1169="",IF(ISNUMBER(SEARCH("NOT NULL",UPPER(M$3))),"''","null"),SUBSTITUTE(VLOOKUP(M$2,convert!$A$1:$B$4,2,0),"@@@",M1169))</f>
        <v>null</v>
      </c>
      <c r="AC1169" s="4" t="str">
        <f>IF(N1169="",IF(ISNUMBER(SEARCH("NOT NULL",UPPER(N$3))),"''","null"),SUBSTITUTE(VLOOKUP(N$2,convert!$A$1:$B$4,2,0),"@@@",N1169))</f>
        <v>null</v>
      </c>
      <c r="AD1169" s="4" t="str">
        <f>IF(O1169="",IF(ISNUMBER(SEARCH("NOT NULL",UPPER(O$3))),"''","null"),SUBSTITUTE(VLOOKUP(O$2,convert!$A$1:$B$4,2,0),"@@@",O1169))</f>
        <v>FALSE</v>
      </c>
      <c r="AE1169" s="4" t="str">
        <f t="shared" si="18"/>
        <v>    ('0973N01', 'カラミンゴ', 82, 115, 74, 75, 64, 90, '', 'flying', 'fighting', 'g9', null, null, FALSE),</v>
      </c>
    </row>
    <row r="1170" spans="1:31">
      <c r="A1170" s="4" t="s">
        <v>2350</v>
      </c>
      <c r="B1170" s="4" t="s">
        <v>2351</v>
      </c>
      <c r="C1170" s="5">
        <v>108</v>
      </c>
      <c r="D1170" s="5">
        <v>68</v>
      </c>
      <c r="E1170" s="5">
        <v>45</v>
      </c>
      <c r="F1170" s="5">
        <v>30</v>
      </c>
      <c r="G1170" s="5">
        <v>40</v>
      </c>
      <c r="H1170" s="5">
        <v>43</v>
      </c>
      <c r="I1170" s="5"/>
      <c r="J1170" s="4" t="s">
        <v>118</v>
      </c>
      <c r="K1170" s="5"/>
      <c r="L1170" s="4" t="s">
        <v>368</v>
      </c>
      <c r="M1170" s="5"/>
      <c r="N1170" s="5"/>
      <c r="O1170" s="5" t="b">
        <v>1</v>
      </c>
      <c r="P1170" s="4" t="str">
        <f>IF(A1170="",IF(ISNUMBER(SEARCH("NOT NULL",UPPER(A$3))),"''","null"),SUBSTITUTE(VLOOKUP(A$2,convert!$A$1:$B$4,2,0),"@@@",A1170))</f>
        <v>'0974N01'</v>
      </c>
      <c r="Q1170" s="4" t="str">
        <f>IF(B1170="",IF(ISNUMBER(SEARCH("NOT NULL",UPPER(B$3))),"''","null"),SUBSTITUTE(VLOOKUP(B$2,convert!$A$1:$B$4,2,0),"@@@",B1170))</f>
        <v>'アルクジラ'</v>
      </c>
      <c r="R1170" s="4" t="str">
        <f>IF(C1170="",IF(ISNUMBER(SEARCH("NOT NULL",UPPER(C$3))),"''","null"),SUBSTITUTE(VLOOKUP(C$2,convert!$A$1:$B$4,2,0),"@@@",C1170))</f>
        <v>108</v>
      </c>
      <c r="S1170" s="4" t="str">
        <f>IF(D1170="",IF(ISNUMBER(SEARCH("NOT NULL",UPPER(D$3))),"''","null"),SUBSTITUTE(VLOOKUP(D$2,convert!$A$1:$B$4,2,0),"@@@",D1170))</f>
        <v>68</v>
      </c>
      <c r="T1170" s="4" t="str">
        <f>IF(E1170="",IF(ISNUMBER(SEARCH("NOT NULL",UPPER(E$3))),"''","null"),SUBSTITUTE(VLOOKUP(E$2,convert!$A$1:$B$4,2,0),"@@@",E1170))</f>
        <v>45</v>
      </c>
      <c r="U1170" s="4" t="str">
        <f>IF(F1170="",IF(ISNUMBER(SEARCH("NOT NULL",UPPER(F$3))),"''","null"),SUBSTITUTE(VLOOKUP(F$2,convert!$A$1:$B$4,2,0),"@@@",F1170))</f>
        <v>30</v>
      </c>
      <c r="V1170" s="4" t="str">
        <f>IF(G1170="",IF(ISNUMBER(SEARCH("NOT NULL",UPPER(G$3))),"''","null"),SUBSTITUTE(VLOOKUP(G$2,convert!$A$1:$B$4,2,0),"@@@",G1170))</f>
        <v>40</v>
      </c>
      <c r="W1170" s="4" t="str">
        <f>IF(H1170="",IF(ISNUMBER(SEARCH("NOT NULL",UPPER(H$3))),"''","null"),SUBSTITUTE(VLOOKUP(H$2,convert!$A$1:$B$4,2,0),"@@@",H1170))</f>
        <v>43</v>
      </c>
      <c r="X1170" s="4" t="str">
        <f>IF(I1170="",IF(ISNUMBER(SEARCH("NOT NULL",UPPER(I$3))),"''","null"),SUBSTITUTE(VLOOKUP(I$2,convert!$A$1:$B$4,2,0),"@@@",I1170))</f>
        <v>''</v>
      </c>
      <c r="Y1170" s="4" t="str">
        <f>IF(J1170="",IF(ISNUMBER(SEARCH("NOT NULL",UPPER(J$3))),"''","null"),SUBSTITUTE(VLOOKUP(J$2,convert!$A$1:$B$4,2,0),"@@@",J1170))</f>
        <v>'ice'</v>
      </c>
      <c r="Z1170" s="4" t="str">
        <f>IF(K1170="",IF(ISNUMBER(SEARCH("NOT NULL",UPPER(K$3))),"''","null"),SUBSTITUTE(VLOOKUP(K$2,convert!$A$1:$B$4,2,0),"@@@",K1170))</f>
        <v>null</v>
      </c>
      <c r="AA1170" s="4" t="str">
        <f>IF(L1170="",IF(ISNUMBER(SEARCH("NOT NULL",UPPER(L$3))),"''","null"),SUBSTITUTE(VLOOKUP(L$2,convert!$A$1:$B$4,2,0),"@@@",L1170))</f>
        <v>'g9'</v>
      </c>
      <c r="AB1170" s="4" t="str">
        <f>IF(M1170="",IF(ISNUMBER(SEARCH("NOT NULL",UPPER(M$3))),"''","null"),SUBSTITUTE(VLOOKUP(M$2,convert!$A$1:$B$4,2,0),"@@@",M1170))</f>
        <v>null</v>
      </c>
      <c r="AC1170" s="4" t="str">
        <f>IF(N1170="",IF(ISNUMBER(SEARCH("NOT NULL",UPPER(N$3))),"''","null"),SUBSTITUTE(VLOOKUP(N$2,convert!$A$1:$B$4,2,0),"@@@",N1170))</f>
        <v>null</v>
      </c>
      <c r="AD1170" s="4" t="str">
        <f>IF(O1170="",IF(ISNUMBER(SEARCH("NOT NULL",UPPER(O$3))),"''","null"),SUBSTITUTE(VLOOKUP(O$2,convert!$A$1:$B$4,2,0),"@@@",O1170))</f>
        <v>TRUE</v>
      </c>
      <c r="AE1170" s="4" t="str">
        <f t="shared" si="18"/>
        <v>    ('0974N01', 'アルクジラ', 108, 68, 45, 30, 40, 43, '', 'ice', null, 'g9', null, null, TRUE),</v>
      </c>
    </row>
    <row r="1171" spans="1:31">
      <c r="A1171" s="4" t="s">
        <v>2352</v>
      </c>
      <c r="B1171" s="4" t="s">
        <v>2353</v>
      </c>
      <c r="C1171" s="5">
        <v>170</v>
      </c>
      <c r="D1171" s="5">
        <v>113</v>
      </c>
      <c r="E1171" s="5">
        <v>65</v>
      </c>
      <c r="F1171" s="5">
        <v>45</v>
      </c>
      <c r="G1171" s="5">
        <v>55</v>
      </c>
      <c r="H1171" s="5">
        <v>73</v>
      </c>
      <c r="I1171" s="5"/>
      <c r="J1171" s="4" t="s">
        <v>118</v>
      </c>
      <c r="K1171" s="5"/>
      <c r="L1171" s="4" t="s">
        <v>368</v>
      </c>
      <c r="M1171" s="5"/>
      <c r="N1171" s="5"/>
      <c r="O1171" s="5" t="b">
        <v>1</v>
      </c>
      <c r="P1171" s="4" t="str">
        <f>IF(A1171="",IF(ISNUMBER(SEARCH("NOT NULL",UPPER(A$3))),"''","null"),SUBSTITUTE(VLOOKUP(A$2,convert!$A$1:$B$4,2,0),"@@@",A1171))</f>
        <v>'0975N01'</v>
      </c>
      <c r="Q1171" s="4" t="str">
        <f>IF(B1171="",IF(ISNUMBER(SEARCH("NOT NULL",UPPER(B$3))),"''","null"),SUBSTITUTE(VLOOKUP(B$2,convert!$A$1:$B$4,2,0),"@@@",B1171))</f>
        <v>'ハルクジラ'</v>
      </c>
      <c r="R1171" s="4" t="str">
        <f>IF(C1171="",IF(ISNUMBER(SEARCH("NOT NULL",UPPER(C$3))),"''","null"),SUBSTITUTE(VLOOKUP(C$2,convert!$A$1:$B$4,2,0),"@@@",C1171))</f>
        <v>170</v>
      </c>
      <c r="S1171" s="4" t="str">
        <f>IF(D1171="",IF(ISNUMBER(SEARCH("NOT NULL",UPPER(D$3))),"''","null"),SUBSTITUTE(VLOOKUP(D$2,convert!$A$1:$B$4,2,0),"@@@",D1171))</f>
        <v>113</v>
      </c>
      <c r="T1171" s="4" t="str">
        <f>IF(E1171="",IF(ISNUMBER(SEARCH("NOT NULL",UPPER(E$3))),"''","null"),SUBSTITUTE(VLOOKUP(E$2,convert!$A$1:$B$4,2,0),"@@@",E1171))</f>
        <v>65</v>
      </c>
      <c r="U1171" s="4" t="str">
        <f>IF(F1171="",IF(ISNUMBER(SEARCH("NOT NULL",UPPER(F$3))),"''","null"),SUBSTITUTE(VLOOKUP(F$2,convert!$A$1:$B$4,2,0),"@@@",F1171))</f>
        <v>45</v>
      </c>
      <c r="V1171" s="4" t="str">
        <f>IF(G1171="",IF(ISNUMBER(SEARCH("NOT NULL",UPPER(G$3))),"''","null"),SUBSTITUTE(VLOOKUP(G$2,convert!$A$1:$B$4,2,0),"@@@",G1171))</f>
        <v>55</v>
      </c>
      <c r="W1171" s="4" t="str">
        <f>IF(H1171="",IF(ISNUMBER(SEARCH("NOT NULL",UPPER(H$3))),"''","null"),SUBSTITUTE(VLOOKUP(H$2,convert!$A$1:$B$4,2,0),"@@@",H1171))</f>
        <v>73</v>
      </c>
      <c r="X1171" s="4" t="str">
        <f>IF(I1171="",IF(ISNUMBER(SEARCH("NOT NULL",UPPER(I$3))),"''","null"),SUBSTITUTE(VLOOKUP(I$2,convert!$A$1:$B$4,2,0),"@@@",I1171))</f>
        <v>''</v>
      </c>
      <c r="Y1171" s="4" t="str">
        <f>IF(J1171="",IF(ISNUMBER(SEARCH("NOT NULL",UPPER(J$3))),"''","null"),SUBSTITUTE(VLOOKUP(J$2,convert!$A$1:$B$4,2,0),"@@@",J1171))</f>
        <v>'ice'</v>
      </c>
      <c r="Z1171" s="4" t="str">
        <f>IF(K1171="",IF(ISNUMBER(SEARCH("NOT NULL",UPPER(K$3))),"''","null"),SUBSTITUTE(VLOOKUP(K$2,convert!$A$1:$B$4,2,0),"@@@",K1171))</f>
        <v>null</v>
      </c>
      <c r="AA1171" s="4" t="str">
        <f>IF(L1171="",IF(ISNUMBER(SEARCH("NOT NULL",UPPER(L$3))),"''","null"),SUBSTITUTE(VLOOKUP(L$2,convert!$A$1:$B$4,2,0),"@@@",L1171))</f>
        <v>'g9'</v>
      </c>
      <c r="AB1171" s="4" t="str">
        <f>IF(M1171="",IF(ISNUMBER(SEARCH("NOT NULL",UPPER(M$3))),"''","null"),SUBSTITUTE(VLOOKUP(M$2,convert!$A$1:$B$4,2,0),"@@@",M1171))</f>
        <v>null</v>
      </c>
      <c r="AC1171" s="4" t="str">
        <f>IF(N1171="",IF(ISNUMBER(SEARCH("NOT NULL",UPPER(N$3))),"''","null"),SUBSTITUTE(VLOOKUP(N$2,convert!$A$1:$B$4,2,0),"@@@",N1171))</f>
        <v>null</v>
      </c>
      <c r="AD1171" s="4" t="str">
        <f>IF(O1171="",IF(ISNUMBER(SEARCH("NOT NULL",UPPER(O$3))),"''","null"),SUBSTITUTE(VLOOKUP(O$2,convert!$A$1:$B$4,2,0),"@@@",O1171))</f>
        <v>TRUE</v>
      </c>
      <c r="AE1171" s="4" t="str">
        <f t="shared" si="18"/>
        <v>    ('0975N01', 'ハルクジラ', 170, 113, 65, 45, 55, 73, '', 'ice', null, 'g9', null, null, TRUE),</v>
      </c>
    </row>
    <row r="1172" spans="1:31">
      <c r="A1172" s="4" t="s">
        <v>2354</v>
      </c>
      <c r="B1172" s="4" t="s">
        <v>2355</v>
      </c>
      <c r="C1172" s="5">
        <v>90</v>
      </c>
      <c r="D1172" s="5">
        <v>102</v>
      </c>
      <c r="E1172" s="5">
        <v>73</v>
      </c>
      <c r="F1172" s="5">
        <v>78</v>
      </c>
      <c r="G1172" s="5">
        <v>65</v>
      </c>
      <c r="H1172" s="5">
        <v>70</v>
      </c>
      <c r="I1172" s="5"/>
      <c r="J1172" s="4" t="s">
        <v>55</v>
      </c>
      <c r="K1172" s="4" t="s">
        <v>113</v>
      </c>
      <c r="L1172" s="4" t="s">
        <v>368</v>
      </c>
      <c r="M1172" s="5"/>
      <c r="N1172" s="5"/>
      <c r="O1172" s="5" t="b">
        <v>0</v>
      </c>
      <c r="P1172" s="4" t="str">
        <f>IF(A1172="",IF(ISNUMBER(SEARCH("NOT NULL",UPPER(A$3))),"''","null"),SUBSTITUTE(VLOOKUP(A$2,convert!$A$1:$B$4,2,0),"@@@",A1172))</f>
        <v>'0976N01'</v>
      </c>
      <c r="Q1172" s="4" t="str">
        <f>IF(B1172="",IF(ISNUMBER(SEARCH("NOT NULL",UPPER(B$3))),"''","null"),SUBSTITUTE(VLOOKUP(B$2,convert!$A$1:$B$4,2,0),"@@@",B1172))</f>
        <v>'ミガルーサ'</v>
      </c>
      <c r="R1172" s="4" t="str">
        <f>IF(C1172="",IF(ISNUMBER(SEARCH("NOT NULL",UPPER(C$3))),"''","null"),SUBSTITUTE(VLOOKUP(C$2,convert!$A$1:$B$4,2,0),"@@@",C1172))</f>
        <v>90</v>
      </c>
      <c r="S1172" s="4" t="str">
        <f>IF(D1172="",IF(ISNUMBER(SEARCH("NOT NULL",UPPER(D$3))),"''","null"),SUBSTITUTE(VLOOKUP(D$2,convert!$A$1:$B$4,2,0),"@@@",D1172))</f>
        <v>102</v>
      </c>
      <c r="T1172" s="4" t="str">
        <f>IF(E1172="",IF(ISNUMBER(SEARCH("NOT NULL",UPPER(E$3))),"''","null"),SUBSTITUTE(VLOOKUP(E$2,convert!$A$1:$B$4,2,0),"@@@",E1172))</f>
        <v>73</v>
      </c>
      <c r="U1172" s="4" t="str">
        <f>IF(F1172="",IF(ISNUMBER(SEARCH("NOT NULL",UPPER(F$3))),"''","null"),SUBSTITUTE(VLOOKUP(F$2,convert!$A$1:$B$4,2,0),"@@@",F1172))</f>
        <v>78</v>
      </c>
      <c r="V1172" s="4" t="str">
        <f>IF(G1172="",IF(ISNUMBER(SEARCH("NOT NULL",UPPER(G$3))),"''","null"),SUBSTITUTE(VLOOKUP(G$2,convert!$A$1:$B$4,2,0),"@@@",G1172))</f>
        <v>65</v>
      </c>
      <c r="W1172" s="4" t="str">
        <f>IF(H1172="",IF(ISNUMBER(SEARCH("NOT NULL",UPPER(H$3))),"''","null"),SUBSTITUTE(VLOOKUP(H$2,convert!$A$1:$B$4,2,0),"@@@",H1172))</f>
        <v>70</v>
      </c>
      <c r="X1172" s="4" t="str">
        <f>IF(I1172="",IF(ISNUMBER(SEARCH("NOT NULL",UPPER(I$3))),"''","null"),SUBSTITUTE(VLOOKUP(I$2,convert!$A$1:$B$4,2,0),"@@@",I1172))</f>
        <v>''</v>
      </c>
      <c r="Y1172" s="4" t="str">
        <f>IF(J1172="",IF(ISNUMBER(SEARCH("NOT NULL",UPPER(J$3))),"''","null"),SUBSTITUTE(VLOOKUP(J$2,convert!$A$1:$B$4,2,0),"@@@",J1172))</f>
        <v>'water'</v>
      </c>
      <c r="Z1172" s="4" t="str">
        <f>IF(K1172="",IF(ISNUMBER(SEARCH("NOT NULL",UPPER(K$3))),"''","null"),SUBSTITUTE(VLOOKUP(K$2,convert!$A$1:$B$4,2,0),"@@@",K1172))</f>
        <v>'psychic'</v>
      </c>
      <c r="AA1172" s="4" t="str">
        <f>IF(L1172="",IF(ISNUMBER(SEARCH("NOT NULL",UPPER(L$3))),"''","null"),SUBSTITUTE(VLOOKUP(L$2,convert!$A$1:$B$4,2,0),"@@@",L1172))</f>
        <v>'g9'</v>
      </c>
      <c r="AB1172" s="4" t="str">
        <f>IF(M1172="",IF(ISNUMBER(SEARCH("NOT NULL",UPPER(M$3))),"''","null"),SUBSTITUTE(VLOOKUP(M$2,convert!$A$1:$B$4,2,0),"@@@",M1172))</f>
        <v>null</v>
      </c>
      <c r="AC1172" s="4" t="str">
        <f>IF(N1172="",IF(ISNUMBER(SEARCH("NOT NULL",UPPER(N$3))),"''","null"),SUBSTITUTE(VLOOKUP(N$2,convert!$A$1:$B$4,2,0),"@@@",N1172))</f>
        <v>null</v>
      </c>
      <c r="AD1172" s="4" t="str">
        <f>IF(O1172="",IF(ISNUMBER(SEARCH("NOT NULL",UPPER(O$3))),"''","null"),SUBSTITUTE(VLOOKUP(O$2,convert!$A$1:$B$4,2,0),"@@@",O1172))</f>
        <v>FALSE</v>
      </c>
      <c r="AE1172" s="4" t="str">
        <f t="shared" si="18"/>
        <v>    ('0976N01', 'ミガルーサ', 90, 102, 73, 78, 65, 70, '', 'water', 'psychic', 'g9', null, null, FALSE),</v>
      </c>
    </row>
    <row r="1173" spans="1:31">
      <c r="A1173" s="4" t="s">
        <v>2356</v>
      </c>
      <c r="B1173" s="4" t="s">
        <v>2357</v>
      </c>
      <c r="C1173" s="5">
        <v>150</v>
      </c>
      <c r="D1173" s="5">
        <v>100</v>
      </c>
      <c r="E1173" s="5">
        <v>115</v>
      </c>
      <c r="F1173" s="5">
        <v>65</v>
      </c>
      <c r="G1173" s="5">
        <v>65</v>
      </c>
      <c r="H1173" s="5">
        <v>35</v>
      </c>
      <c r="I1173" s="5"/>
      <c r="J1173" s="4" t="s">
        <v>55</v>
      </c>
      <c r="K1173" s="5"/>
      <c r="L1173" s="4" t="s">
        <v>368</v>
      </c>
      <c r="M1173" s="5"/>
      <c r="N1173" s="5"/>
      <c r="O1173" s="5" t="b">
        <v>0</v>
      </c>
      <c r="P1173" s="4" t="str">
        <f>IF(A1173="",IF(ISNUMBER(SEARCH("NOT NULL",UPPER(A$3))),"''","null"),SUBSTITUTE(VLOOKUP(A$2,convert!$A$1:$B$4,2,0),"@@@",A1173))</f>
        <v>'0977N01'</v>
      </c>
      <c r="Q1173" s="4" t="str">
        <f>IF(B1173="",IF(ISNUMBER(SEARCH("NOT NULL",UPPER(B$3))),"''","null"),SUBSTITUTE(VLOOKUP(B$2,convert!$A$1:$B$4,2,0),"@@@",B1173))</f>
        <v>'ヘイラッシャ'</v>
      </c>
      <c r="R1173" s="4" t="str">
        <f>IF(C1173="",IF(ISNUMBER(SEARCH("NOT NULL",UPPER(C$3))),"''","null"),SUBSTITUTE(VLOOKUP(C$2,convert!$A$1:$B$4,2,0),"@@@",C1173))</f>
        <v>150</v>
      </c>
      <c r="S1173" s="4" t="str">
        <f>IF(D1173="",IF(ISNUMBER(SEARCH("NOT NULL",UPPER(D$3))),"''","null"),SUBSTITUTE(VLOOKUP(D$2,convert!$A$1:$B$4,2,0),"@@@",D1173))</f>
        <v>100</v>
      </c>
      <c r="T1173" s="4" t="str">
        <f>IF(E1173="",IF(ISNUMBER(SEARCH("NOT NULL",UPPER(E$3))),"''","null"),SUBSTITUTE(VLOOKUP(E$2,convert!$A$1:$B$4,2,0),"@@@",E1173))</f>
        <v>115</v>
      </c>
      <c r="U1173" s="4" t="str">
        <f>IF(F1173="",IF(ISNUMBER(SEARCH("NOT NULL",UPPER(F$3))),"''","null"),SUBSTITUTE(VLOOKUP(F$2,convert!$A$1:$B$4,2,0),"@@@",F1173))</f>
        <v>65</v>
      </c>
      <c r="V1173" s="4" t="str">
        <f>IF(G1173="",IF(ISNUMBER(SEARCH("NOT NULL",UPPER(G$3))),"''","null"),SUBSTITUTE(VLOOKUP(G$2,convert!$A$1:$B$4,2,0),"@@@",G1173))</f>
        <v>65</v>
      </c>
      <c r="W1173" s="4" t="str">
        <f>IF(H1173="",IF(ISNUMBER(SEARCH("NOT NULL",UPPER(H$3))),"''","null"),SUBSTITUTE(VLOOKUP(H$2,convert!$A$1:$B$4,2,0),"@@@",H1173))</f>
        <v>35</v>
      </c>
      <c r="X1173" s="4" t="str">
        <f>IF(I1173="",IF(ISNUMBER(SEARCH("NOT NULL",UPPER(I$3))),"''","null"),SUBSTITUTE(VLOOKUP(I$2,convert!$A$1:$B$4,2,0),"@@@",I1173))</f>
        <v>''</v>
      </c>
      <c r="Y1173" s="4" t="str">
        <f>IF(J1173="",IF(ISNUMBER(SEARCH("NOT NULL",UPPER(J$3))),"''","null"),SUBSTITUTE(VLOOKUP(J$2,convert!$A$1:$B$4,2,0),"@@@",J1173))</f>
        <v>'water'</v>
      </c>
      <c r="Z1173" s="4" t="str">
        <f>IF(K1173="",IF(ISNUMBER(SEARCH("NOT NULL",UPPER(K$3))),"''","null"),SUBSTITUTE(VLOOKUP(K$2,convert!$A$1:$B$4,2,0),"@@@",K1173))</f>
        <v>null</v>
      </c>
      <c r="AA1173" s="4" t="str">
        <f>IF(L1173="",IF(ISNUMBER(SEARCH("NOT NULL",UPPER(L$3))),"''","null"),SUBSTITUTE(VLOOKUP(L$2,convert!$A$1:$B$4,2,0),"@@@",L1173))</f>
        <v>'g9'</v>
      </c>
      <c r="AB1173" s="4" t="str">
        <f>IF(M1173="",IF(ISNUMBER(SEARCH("NOT NULL",UPPER(M$3))),"''","null"),SUBSTITUTE(VLOOKUP(M$2,convert!$A$1:$B$4,2,0),"@@@",M1173))</f>
        <v>null</v>
      </c>
      <c r="AC1173" s="4" t="str">
        <f>IF(N1173="",IF(ISNUMBER(SEARCH("NOT NULL",UPPER(N$3))),"''","null"),SUBSTITUTE(VLOOKUP(N$2,convert!$A$1:$B$4,2,0),"@@@",N1173))</f>
        <v>null</v>
      </c>
      <c r="AD1173" s="4" t="str">
        <f>IF(O1173="",IF(ISNUMBER(SEARCH("NOT NULL",UPPER(O$3))),"''","null"),SUBSTITUTE(VLOOKUP(O$2,convert!$A$1:$B$4,2,0),"@@@",O1173))</f>
        <v>FALSE</v>
      </c>
      <c r="AE1173" s="4" t="str">
        <f t="shared" si="18"/>
        <v>    ('0977N01', 'ヘイラッシャ', 150, 100, 115, 65, 65, 35, '', 'water', null, 'g9', null, null, FALSE),</v>
      </c>
    </row>
    <row r="1174" spans="1:31">
      <c r="A1174" s="4" t="s">
        <v>2358</v>
      </c>
      <c r="B1174" s="4" t="s">
        <v>2359</v>
      </c>
      <c r="C1174" s="5">
        <v>68</v>
      </c>
      <c r="D1174" s="5">
        <v>50</v>
      </c>
      <c r="E1174" s="5">
        <v>60</v>
      </c>
      <c r="F1174" s="5">
        <v>120</v>
      </c>
      <c r="G1174" s="5">
        <v>95</v>
      </c>
      <c r="H1174" s="5">
        <v>82</v>
      </c>
      <c r="I1174" s="4" t="s">
        <v>2360</v>
      </c>
      <c r="J1174" s="4" t="s">
        <v>50</v>
      </c>
      <c r="K1174" s="4" t="s">
        <v>55</v>
      </c>
      <c r="L1174" s="4" t="s">
        <v>368</v>
      </c>
      <c r="M1174" s="5"/>
      <c r="N1174" s="5"/>
      <c r="O1174" s="5" t="b">
        <v>0</v>
      </c>
      <c r="P1174" s="4" t="str">
        <f>IF(A1174="",IF(ISNUMBER(SEARCH("NOT NULL",UPPER(A$3))),"''","null"),SUBSTITUTE(VLOOKUP(A$2,convert!$A$1:$B$4,2,0),"@@@",A1174))</f>
        <v>'0978N01'</v>
      </c>
      <c r="Q1174" s="4" t="str">
        <f>IF(B1174="",IF(ISNUMBER(SEARCH("NOT NULL",UPPER(B$3))),"''","null"),SUBSTITUTE(VLOOKUP(B$2,convert!$A$1:$B$4,2,0),"@@@",B1174))</f>
        <v>'シャリタツ'</v>
      </c>
      <c r="R1174" s="4" t="str">
        <f>IF(C1174="",IF(ISNUMBER(SEARCH("NOT NULL",UPPER(C$3))),"''","null"),SUBSTITUTE(VLOOKUP(C$2,convert!$A$1:$B$4,2,0),"@@@",C1174))</f>
        <v>68</v>
      </c>
      <c r="S1174" s="4" t="str">
        <f>IF(D1174="",IF(ISNUMBER(SEARCH("NOT NULL",UPPER(D$3))),"''","null"),SUBSTITUTE(VLOOKUP(D$2,convert!$A$1:$B$4,2,0),"@@@",D1174))</f>
        <v>50</v>
      </c>
      <c r="T1174" s="4" t="str">
        <f>IF(E1174="",IF(ISNUMBER(SEARCH("NOT NULL",UPPER(E$3))),"''","null"),SUBSTITUTE(VLOOKUP(E$2,convert!$A$1:$B$4,2,0),"@@@",E1174))</f>
        <v>60</v>
      </c>
      <c r="U1174" s="4" t="str">
        <f>IF(F1174="",IF(ISNUMBER(SEARCH("NOT NULL",UPPER(F$3))),"''","null"),SUBSTITUTE(VLOOKUP(F$2,convert!$A$1:$B$4,2,0),"@@@",F1174))</f>
        <v>120</v>
      </c>
      <c r="V1174" s="4" t="str">
        <f>IF(G1174="",IF(ISNUMBER(SEARCH("NOT NULL",UPPER(G$3))),"''","null"),SUBSTITUTE(VLOOKUP(G$2,convert!$A$1:$B$4,2,0),"@@@",G1174))</f>
        <v>95</v>
      </c>
      <c r="W1174" s="4" t="str">
        <f>IF(H1174="",IF(ISNUMBER(SEARCH("NOT NULL",UPPER(H$3))),"''","null"),SUBSTITUTE(VLOOKUP(H$2,convert!$A$1:$B$4,2,0),"@@@",H1174))</f>
        <v>82</v>
      </c>
      <c r="X1174" s="4" t="str">
        <f>IF(I1174="",IF(ISNUMBER(SEARCH("NOT NULL",UPPER(I$3))),"''","null"),SUBSTITUTE(VLOOKUP(I$2,convert!$A$1:$B$4,2,0),"@@@",I1174))</f>
        <v>'そった'</v>
      </c>
      <c r="Y1174" s="4" t="str">
        <f>IF(J1174="",IF(ISNUMBER(SEARCH("NOT NULL",UPPER(J$3))),"''","null"),SUBSTITUTE(VLOOKUP(J$2,convert!$A$1:$B$4,2,0),"@@@",J1174))</f>
        <v>'dragon'</v>
      </c>
      <c r="Z1174" s="4" t="str">
        <f>IF(K1174="",IF(ISNUMBER(SEARCH("NOT NULL",UPPER(K$3))),"''","null"),SUBSTITUTE(VLOOKUP(K$2,convert!$A$1:$B$4,2,0),"@@@",K1174))</f>
        <v>'water'</v>
      </c>
      <c r="AA1174" s="4" t="str">
        <f>IF(L1174="",IF(ISNUMBER(SEARCH("NOT NULL",UPPER(L$3))),"''","null"),SUBSTITUTE(VLOOKUP(L$2,convert!$A$1:$B$4,2,0),"@@@",L1174))</f>
        <v>'g9'</v>
      </c>
      <c r="AB1174" s="4" t="str">
        <f>IF(M1174="",IF(ISNUMBER(SEARCH("NOT NULL",UPPER(M$3))),"''","null"),SUBSTITUTE(VLOOKUP(M$2,convert!$A$1:$B$4,2,0),"@@@",M1174))</f>
        <v>null</v>
      </c>
      <c r="AC1174" s="4" t="str">
        <f>IF(N1174="",IF(ISNUMBER(SEARCH("NOT NULL",UPPER(N$3))),"''","null"),SUBSTITUTE(VLOOKUP(N$2,convert!$A$1:$B$4,2,0),"@@@",N1174))</f>
        <v>null</v>
      </c>
      <c r="AD1174" s="4" t="str">
        <f>IF(O1174="",IF(ISNUMBER(SEARCH("NOT NULL",UPPER(O$3))),"''","null"),SUBSTITUTE(VLOOKUP(O$2,convert!$A$1:$B$4,2,0),"@@@",O1174))</f>
        <v>FALSE</v>
      </c>
      <c r="AE1174" s="4" t="str">
        <f t="shared" si="18"/>
        <v>    ('0978N01', 'シャリタツ', 68, 50, 60, 120, 95, 82, 'そった', 'dragon', 'water', 'g9', null, null, FALSE),</v>
      </c>
    </row>
    <row r="1175" spans="1:31">
      <c r="A1175" s="4" t="s">
        <v>2361</v>
      </c>
      <c r="B1175" s="4" t="s">
        <v>2359</v>
      </c>
      <c r="C1175" s="5">
        <v>68</v>
      </c>
      <c r="D1175" s="5">
        <v>50</v>
      </c>
      <c r="E1175" s="5">
        <v>60</v>
      </c>
      <c r="F1175" s="5">
        <v>120</v>
      </c>
      <c r="G1175" s="5">
        <v>95</v>
      </c>
      <c r="H1175" s="5">
        <v>82</v>
      </c>
      <c r="I1175" s="4" t="s">
        <v>2362</v>
      </c>
      <c r="J1175" s="4" t="s">
        <v>50</v>
      </c>
      <c r="K1175" s="4" t="s">
        <v>55</v>
      </c>
      <c r="L1175" s="4" t="s">
        <v>368</v>
      </c>
      <c r="M1175" s="5"/>
      <c r="N1175" s="5"/>
      <c r="O1175" s="5" t="b">
        <v>0</v>
      </c>
      <c r="P1175" s="4" t="str">
        <f>IF(A1175="",IF(ISNUMBER(SEARCH("NOT NULL",UPPER(A$3))),"''","null"),SUBSTITUTE(VLOOKUP(A$2,convert!$A$1:$B$4,2,0),"@@@",A1175))</f>
        <v>'0978N02'</v>
      </c>
      <c r="Q1175" s="4" t="str">
        <f>IF(B1175="",IF(ISNUMBER(SEARCH("NOT NULL",UPPER(B$3))),"''","null"),SUBSTITUTE(VLOOKUP(B$2,convert!$A$1:$B$4,2,0),"@@@",B1175))</f>
        <v>'シャリタツ'</v>
      </c>
      <c r="R1175" s="4" t="str">
        <f>IF(C1175="",IF(ISNUMBER(SEARCH("NOT NULL",UPPER(C$3))),"''","null"),SUBSTITUTE(VLOOKUP(C$2,convert!$A$1:$B$4,2,0),"@@@",C1175))</f>
        <v>68</v>
      </c>
      <c r="S1175" s="4" t="str">
        <f>IF(D1175="",IF(ISNUMBER(SEARCH("NOT NULL",UPPER(D$3))),"''","null"),SUBSTITUTE(VLOOKUP(D$2,convert!$A$1:$B$4,2,0),"@@@",D1175))</f>
        <v>50</v>
      </c>
      <c r="T1175" s="4" t="str">
        <f>IF(E1175="",IF(ISNUMBER(SEARCH("NOT NULL",UPPER(E$3))),"''","null"),SUBSTITUTE(VLOOKUP(E$2,convert!$A$1:$B$4,2,0),"@@@",E1175))</f>
        <v>60</v>
      </c>
      <c r="U1175" s="4" t="str">
        <f>IF(F1175="",IF(ISNUMBER(SEARCH("NOT NULL",UPPER(F$3))),"''","null"),SUBSTITUTE(VLOOKUP(F$2,convert!$A$1:$B$4,2,0),"@@@",F1175))</f>
        <v>120</v>
      </c>
      <c r="V1175" s="4" t="str">
        <f>IF(G1175="",IF(ISNUMBER(SEARCH("NOT NULL",UPPER(G$3))),"''","null"),SUBSTITUTE(VLOOKUP(G$2,convert!$A$1:$B$4,2,0),"@@@",G1175))</f>
        <v>95</v>
      </c>
      <c r="W1175" s="4" t="str">
        <f>IF(H1175="",IF(ISNUMBER(SEARCH("NOT NULL",UPPER(H$3))),"''","null"),SUBSTITUTE(VLOOKUP(H$2,convert!$A$1:$B$4,2,0),"@@@",H1175))</f>
        <v>82</v>
      </c>
      <c r="X1175" s="4" t="str">
        <f>IF(I1175="",IF(ISNUMBER(SEARCH("NOT NULL",UPPER(I$3))),"''","null"),SUBSTITUTE(VLOOKUP(I$2,convert!$A$1:$B$4,2,0),"@@@",I1175))</f>
        <v>'たれた'</v>
      </c>
      <c r="Y1175" s="4" t="str">
        <f>IF(J1175="",IF(ISNUMBER(SEARCH("NOT NULL",UPPER(J$3))),"''","null"),SUBSTITUTE(VLOOKUP(J$2,convert!$A$1:$B$4,2,0),"@@@",J1175))</f>
        <v>'dragon'</v>
      </c>
      <c r="Z1175" s="4" t="str">
        <f>IF(K1175="",IF(ISNUMBER(SEARCH("NOT NULL",UPPER(K$3))),"''","null"),SUBSTITUTE(VLOOKUP(K$2,convert!$A$1:$B$4,2,0),"@@@",K1175))</f>
        <v>'water'</v>
      </c>
      <c r="AA1175" s="4" t="str">
        <f>IF(L1175="",IF(ISNUMBER(SEARCH("NOT NULL",UPPER(L$3))),"''","null"),SUBSTITUTE(VLOOKUP(L$2,convert!$A$1:$B$4,2,0),"@@@",L1175))</f>
        <v>'g9'</v>
      </c>
      <c r="AB1175" s="4" t="str">
        <f>IF(M1175="",IF(ISNUMBER(SEARCH("NOT NULL",UPPER(M$3))),"''","null"),SUBSTITUTE(VLOOKUP(M$2,convert!$A$1:$B$4,2,0),"@@@",M1175))</f>
        <v>null</v>
      </c>
      <c r="AC1175" s="4" t="str">
        <f>IF(N1175="",IF(ISNUMBER(SEARCH("NOT NULL",UPPER(N$3))),"''","null"),SUBSTITUTE(VLOOKUP(N$2,convert!$A$1:$B$4,2,0),"@@@",N1175))</f>
        <v>null</v>
      </c>
      <c r="AD1175" s="4" t="str">
        <f>IF(O1175="",IF(ISNUMBER(SEARCH("NOT NULL",UPPER(O$3))),"''","null"),SUBSTITUTE(VLOOKUP(O$2,convert!$A$1:$B$4,2,0),"@@@",O1175))</f>
        <v>FALSE</v>
      </c>
      <c r="AE1175" s="4" t="str">
        <f t="shared" si="18"/>
        <v>    ('0978N02', 'シャリタツ', 68, 50, 60, 120, 95, 82, 'たれた', 'dragon', 'water', 'g9', null, null, FALSE),</v>
      </c>
    </row>
    <row r="1176" spans="1:31">
      <c r="A1176" s="4" t="s">
        <v>2363</v>
      </c>
      <c r="B1176" s="4" t="s">
        <v>2359</v>
      </c>
      <c r="C1176" s="5">
        <v>68</v>
      </c>
      <c r="D1176" s="5">
        <v>50</v>
      </c>
      <c r="E1176" s="5">
        <v>60</v>
      </c>
      <c r="F1176" s="5">
        <v>120</v>
      </c>
      <c r="G1176" s="5">
        <v>95</v>
      </c>
      <c r="H1176" s="5">
        <v>82</v>
      </c>
      <c r="I1176" s="4" t="s">
        <v>2364</v>
      </c>
      <c r="J1176" s="4" t="s">
        <v>50</v>
      </c>
      <c r="K1176" s="4" t="s">
        <v>55</v>
      </c>
      <c r="L1176" s="4" t="s">
        <v>368</v>
      </c>
      <c r="M1176" s="5"/>
      <c r="N1176" s="5"/>
      <c r="O1176" s="5" t="b">
        <v>0</v>
      </c>
      <c r="P1176" s="4" t="str">
        <f>IF(A1176="",IF(ISNUMBER(SEARCH("NOT NULL",UPPER(A$3))),"''","null"),SUBSTITUTE(VLOOKUP(A$2,convert!$A$1:$B$4,2,0),"@@@",A1176))</f>
        <v>'0978N03'</v>
      </c>
      <c r="Q1176" s="4" t="str">
        <f>IF(B1176="",IF(ISNUMBER(SEARCH("NOT NULL",UPPER(B$3))),"''","null"),SUBSTITUTE(VLOOKUP(B$2,convert!$A$1:$B$4,2,0),"@@@",B1176))</f>
        <v>'シャリタツ'</v>
      </c>
      <c r="R1176" s="4" t="str">
        <f>IF(C1176="",IF(ISNUMBER(SEARCH("NOT NULL",UPPER(C$3))),"''","null"),SUBSTITUTE(VLOOKUP(C$2,convert!$A$1:$B$4,2,0),"@@@",C1176))</f>
        <v>68</v>
      </c>
      <c r="S1176" s="4" t="str">
        <f>IF(D1176="",IF(ISNUMBER(SEARCH("NOT NULL",UPPER(D$3))),"''","null"),SUBSTITUTE(VLOOKUP(D$2,convert!$A$1:$B$4,2,0),"@@@",D1176))</f>
        <v>50</v>
      </c>
      <c r="T1176" s="4" t="str">
        <f>IF(E1176="",IF(ISNUMBER(SEARCH("NOT NULL",UPPER(E$3))),"''","null"),SUBSTITUTE(VLOOKUP(E$2,convert!$A$1:$B$4,2,0),"@@@",E1176))</f>
        <v>60</v>
      </c>
      <c r="U1176" s="4" t="str">
        <f>IF(F1176="",IF(ISNUMBER(SEARCH("NOT NULL",UPPER(F$3))),"''","null"),SUBSTITUTE(VLOOKUP(F$2,convert!$A$1:$B$4,2,0),"@@@",F1176))</f>
        <v>120</v>
      </c>
      <c r="V1176" s="4" t="str">
        <f>IF(G1176="",IF(ISNUMBER(SEARCH("NOT NULL",UPPER(G$3))),"''","null"),SUBSTITUTE(VLOOKUP(G$2,convert!$A$1:$B$4,2,0),"@@@",G1176))</f>
        <v>95</v>
      </c>
      <c r="W1176" s="4" t="str">
        <f>IF(H1176="",IF(ISNUMBER(SEARCH("NOT NULL",UPPER(H$3))),"''","null"),SUBSTITUTE(VLOOKUP(H$2,convert!$A$1:$B$4,2,0),"@@@",H1176))</f>
        <v>82</v>
      </c>
      <c r="X1176" s="4" t="str">
        <f>IF(I1176="",IF(ISNUMBER(SEARCH("NOT NULL",UPPER(I$3))),"''","null"),SUBSTITUTE(VLOOKUP(I$2,convert!$A$1:$B$4,2,0),"@@@",I1176))</f>
        <v>'のびた'</v>
      </c>
      <c r="Y1176" s="4" t="str">
        <f>IF(J1176="",IF(ISNUMBER(SEARCH("NOT NULL",UPPER(J$3))),"''","null"),SUBSTITUTE(VLOOKUP(J$2,convert!$A$1:$B$4,2,0),"@@@",J1176))</f>
        <v>'dragon'</v>
      </c>
      <c r="Z1176" s="4" t="str">
        <f>IF(K1176="",IF(ISNUMBER(SEARCH("NOT NULL",UPPER(K$3))),"''","null"),SUBSTITUTE(VLOOKUP(K$2,convert!$A$1:$B$4,2,0),"@@@",K1176))</f>
        <v>'water'</v>
      </c>
      <c r="AA1176" s="4" t="str">
        <f>IF(L1176="",IF(ISNUMBER(SEARCH("NOT NULL",UPPER(L$3))),"''","null"),SUBSTITUTE(VLOOKUP(L$2,convert!$A$1:$B$4,2,0),"@@@",L1176))</f>
        <v>'g9'</v>
      </c>
      <c r="AB1176" s="4" t="str">
        <f>IF(M1176="",IF(ISNUMBER(SEARCH("NOT NULL",UPPER(M$3))),"''","null"),SUBSTITUTE(VLOOKUP(M$2,convert!$A$1:$B$4,2,0),"@@@",M1176))</f>
        <v>null</v>
      </c>
      <c r="AC1176" s="4" t="str">
        <f>IF(N1176="",IF(ISNUMBER(SEARCH("NOT NULL",UPPER(N$3))),"''","null"),SUBSTITUTE(VLOOKUP(N$2,convert!$A$1:$B$4,2,0),"@@@",N1176))</f>
        <v>null</v>
      </c>
      <c r="AD1176" s="4" t="str">
        <f>IF(O1176="",IF(ISNUMBER(SEARCH("NOT NULL",UPPER(O$3))),"''","null"),SUBSTITUTE(VLOOKUP(O$2,convert!$A$1:$B$4,2,0),"@@@",O1176))</f>
        <v>FALSE</v>
      </c>
      <c r="AE1176" s="4" t="str">
        <f t="shared" si="18"/>
        <v>    ('0978N03', 'シャリタツ', 68, 50, 60, 120, 95, 82, 'のびた', 'dragon', 'water', 'g9', null, null, FALSE),</v>
      </c>
    </row>
    <row r="1177" spans="1:31">
      <c r="A1177" s="4" t="s">
        <v>2365</v>
      </c>
      <c r="B1177" s="4" t="s">
        <v>2366</v>
      </c>
      <c r="C1177" s="5">
        <v>110</v>
      </c>
      <c r="D1177" s="5">
        <v>115</v>
      </c>
      <c r="E1177" s="5">
        <v>80</v>
      </c>
      <c r="F1177" s="5">
        <v>50</v>
      </c>
      <c r="G1177" s="5">
        <v>90</v>
      </c>
      <c r="H1177" s="5">
        <v>90</v>
      </c>
      <c r="I1177" s="5"/>
      <c r="J1177" s="4" t="s">
        <v>189</v>
      </c>
      <c r="K1177" s="4" t="s">
        <v>281</v>
      </c>
      <c r="L1177" s="4" t="s">
        <v>368</v>
      </c>
      <c r="M1177" s="5"/>
      <c r="N1177" s="5"/>
      <c r="O1177" s="5" t="b">
        <v>1</v>
      </c>
      <c r="P1177" s="4" t="str">
        <f>IF(A1177="",IF(ISNUMBER(SEARCH("NOT NULL",UPPER(A$3))),"''","null"),SUBSTITUTE(VLOOKUP(A$2,convert!$A$1:$B$4,2,0),"@@@",A1177))</f>
        <v>'0979N01'</v>
      </c>
      <c r="Q1177" s="4" t="str">
        <f>IF(B1177="",IF(ISNUMBER(SEARCH("NOT NULL",UPPER(B$3))),"''","null"),SUBSTITUTE(VLOOKUP(B$2,convert!$A$1:$B$4,2,0),"@@@",B1177))</f>
        <v>'コノヨザル'</v>
      </c>
      <c r="R1177" s="4" t="str">
        <f>IF(C1177="",IF(ISNUMBER(SEARCH("NOT NULL",UPPER(C$3))),"''","null"),SUBSTITUTE(VLOOKUP(C$2,convert!$A$1:$B$4,2,0),"@@@",C1177))</f>
        <v>110</v>
      </c>
      <c r="S1177" s="4" t="str">
        <f>IF(D1177="",IF(ISNUMBER(SEARCH("NOT NULL",UPPER(D$3))),"''","null"),SUBSTITUTE(VLOOKUP(D$2,convert!$A$1:$B$4,2,0),"@@@",D1177))</f>
        <v>115</v>
      </c>
      <c r="T1177" s="4" t="str">
        <f>IF(E1177="",IF(ISNUMBER(SEARCH("NOT NULL",UPPER(E$3))),"''","null"),SUBSTITUTE(VLOOKUP(E$2,convert!$A$1:$B$4,2,0),"@@@",E1177))</f>
        <v>80</v>
      </c>
      <c r="U1177" s="4" t="str">
        <f>IF(F1177="",IF(ISNUMBER(SEARCH("NOT NULL",UPPER(F$3))),"''","null"),SUBSTITUTE(VLOOKUP(F$2,convert!$A$1:$B$4,2,0),"@@@",F1177))</f>
        <v>50</v>
      </c>
      <c r="V1177" s="4" t="str">
        <f>IF(G1177="",IF(ISNUMBER(SEARCH("NOT NULL",UPPER(G$3))),"''","null"),SUBSTITUTE(VLOOKUP(G$2,convert!$A$1:$B$4,2,0),"@@@",G1177))</f>
        <v>90</v>
      </c>
      <c r="W1177" s="4" t="str">
        <f>IF(H1177="",IF(ISNUMBER(SEARCH("NOT NULL",UPPER(H$3))),"''","null"),SUBSTITUTE(VLOOKUP(H$2,convert!$A$1:$B$4,2,0),"@@@",H1177))</f>
        <v>90</v>
      </c>
      <c r="X1177" s="4" t="str">
        <f>IF(I1177="",IF(ISNUMBER(SEARCH("NOT NULL",UPPER(I$3))),"''","null"),SUBSTITUTE(VLOOKUP(I$2,convert!$A$1:$B$4,2,0),"@@@",I1177))</f>
        <v>''</v>
      </c>
      <c r="Y1177" s="4" t="str">
        <f>IF(J1177="",IF(ISNUMBER(SEARCH("NOT NULL",UPPER(J$3))),"''","null"),SUBSTITUTE(VLOOKUP(J$2,convert!$A$1:$B$4,2,0),"@@@",J1177))</f>
        <v>'fighting'</v>
      </c>
      <c r="Z1177" s="4" t="str">
        <f>IF(K1177="",IF(ISNUMBER(SEARCH("NOT NULL",UPPER(K$3))),"''","null"),SUBSTITUTE(VLOOKUP(K$2,convert!$A$1:$B$4,2,0),"@@@",K1177))</f>
        <v>'ghost'</v>
      </c>
      <c r="AA1177" s="4" t="str">
        <f>IF(L1177="",IF(ISNUMBER(SEARCH("NOT NULL",UPPER(L$3))),"''","null"),SUBSTITUTE(VLOOKUP(L$2,convert!$A$1:$B$4,2,0),"@@@",L1177))</f>
        <v>'g9'</v>
      </c>
      <c r="AB1177" s="4" t="str">
        <f>IF(M1177="",IF(ISNUMBER(SEARCH("NOT NULL",UPPER(M$3))),"''","null"),SUBSTITUTE(VLOOKUP(M$2,convert!$A$1:$B$4,2,0),"@@@",M1177))</f>
        <v>null</v>
      </c>
      <c r="AC1177" s="4" t="str">
        <f>IF(N1177="",IF(ISNUMBER(SEARCH("NOT NULL",UPPER(N$3))),"''","null"),SUBSTITUTE(VLOOKUP(N$2,convert!$A$1:$B$4,2,0),"@@@",N1177))</f>
        <v>null</v>
      </c>
      <c r="AD1177" s="4" t="str">
        <f>IF(O1177="",IF(ISNUMBER(SEARCH("NOT NULL",UPPER(O$3))),"''","null"),SUBSTITUTE(VLOOKUP(O$2,convert!$A$1:$B$4,2,0),"@@@",O1177))</f>
        <v>TRUE</v>
      </c>
      <c r="AE1177" s="4" t="str">
        <f t="shared" si="18"/>
        <v>    ('0979N01', 'コノヨザル', 110, 115, 80, 50, 90, 90, '', 'fighting', 'ghost', 'g9', null, null, TRUE),</v>
      </c>
    </row>
    <row r="1178" spans="1:31">
      <c r="A1178" s="4" t="s">
        <v>2367</v>
      </c>
      <c r="B1178" s="4" t="s">
        <v>2368</v>
      </c>
      <c r="C1178" s="5">
        <v>130</v>
      </c>
      <c r="D1178" s="5">
        <v>75</v>
      </c>
      <c r="E1178" s="5">
        <v>60</v>
      </c>
      <c r="F1178" s="5">
        <v>45</v>
      </c>
      <c r="G1178" s="5">
        <v>100</v>
      </c>
      <c r="H1178" s="5">
        <v>20</v>
      </c>
      <c r="I1178" s="5"/>
      <c r="J1178" s="4" t="s">
        <v>31</v>
      </c>
      <c r="K1178" s="4" t="s">
        <v>116</v>
      </c>
      <c r="L1178" s="4" t="s">
        <v>368</v>
      </c>
      <c r="M1178" s="5"/>
      <c r="N1178" s="5"/>
      <c r="O1178" s="5" t="b">
        <v>1</v>
      </c>
      <c r="P1178" s="4" t="str">
        <f>IF(A1178="",IF(ISNUMBER(SEARCH("NOT NULL",UPPER(A$3))),"''","null"),SUBSTITUTE(VLOOKUP(A$2,convert!$A$1:$B$4,2,0),"@@@",A1178))</f>
        <v>'0980N01'</v>
      </c>
      <c r="Q1178" s="4" t="str">
        <f>IF(B1178="",IF(ISNUMBER(SEARCH("NOT NULL",UPPER(B$3))),"''","null"),SUBSTITUTE(VLOOKUP(B$2,convert!$A$1:$B$4,2,0),"@@@",B1178))</f>
        <v>'ドオー'</v>
      </c>
      <c r="R1178" s="4" t="str">
        <f>IF(C1178="",IF(ISNUMBER(SEARCH("NOT NULL",UPPER(C$3))),"''","null"),SUBSTITUTE(VLOOKUP(C$2,convert!$A$1:$B$4,2,0),"@@@",C1178))</f>
        <v>130</v>
      </c>
      <c r="S1178" s="4" t="str">
        <f>IF(D1178="",IF(ISNUMBER(SEARCH("NOT NULL",UPPER(D$3))),"''","null"),SUBSTITUTE(VLOOKUP(D$2,convert!$A$1:$B$4,2,0),"@@@",D1178))</f>
        <v>75</v>
      </c>
      <c r="T1178" s="4" t="str">
        <f>IF(E1178="",IF(ISNUMBER(SEARCH("NOT NULL",UPPER(E$3))),"''","null"),SUBSTITUTE(VLOOKUP(E$2,convert!$A$1:$B$4,2,0),"@@@",E1178))</f>
        <v>60</v>
      </c>
      <c r="U1178" s="4" t="str">
        <f>IF(F1178="",IF(ISNUMBER(SEARCH("NOT NULL",UPPER(F$3))),"''","null"),SUBSTITUTE(VLOOKUP(F$2,convert!$A$1:$B$4,2,0),"@@@",F1178))</f>
        <v>45</v>
      </c>
      <c r="V1178" s="4" t="str">
        <f>IF(G1178="",IF(ISNUMBER(SEARCH("NOT NULL",UPPER(G$3))),"''","null"),SUBSTITUTE(VLOOKUP(G$2,convert!$A$1:$B$4,2,0),"@@@",G1178))</f>
        <v>100</v>
      </c>
      <c r="W1178" s="4" t="str">
        <f>IF(H1178="",IF(ISNUMBER(SEARCH("NOT NULL",UPPER(H$3))),"''","null"),SUBSTITUTE(VLOOKUP(H$2,convert!$A$1:$B$4,2,0),"@@@",H1178))</f>
        <v>20</v>
      </c>
      <c r="X1178" s="4" t="str">
        <f>IF(I1178="",IF(ISNUMBER(SEARCH("NOT NULL",UPPER(I$3))),"''","null"),SUBSTITUTE(VLOOKUP(I$2,convert!$A$1:$B$4,2,0),"@@@",I1178))</f>
        <v>''</v>
      </c>
      <c r="Y1178" s="4" t="str">
        <f>IF(J1178="",IF(ISNUMBER(SEARCH("NOT NULL",UPPER(J$3))),"''","null"),SUBSTITUTE(VLOOKUP(J$2,convert!$A$1:$B$4,2,0),"@@@",J1178))</f>
        <v>'poison'</v>
      </c>
      <c r="Z1178" s="4" t="str">
        <f>IF(K1178="",IF(ISNUMBER(SEARCH("NOT NULL",UPPER(K$3))),"''","null"),SUBSTITUTE(VLOOKUP(K$2,convert!$A$1:$B$4,2,0),"@@@",K1178))</f>
        <v>'ground'</v>
      </c>
      <c r="AA1178" s="4" t="str">
        <f>IF(L1178="",IF(ISNUMBER(SEARCH("NOT NULL",UPPER(L$3))),"''","null"),SUBSTITUTE(VLOOKUP(L$2,convert!$A$1:$B$4,2,0),"@@@",L1178))</f>
        <v>'g9'</v>
      </c>
      <c r="AB1178" s="4" t="str">
        <f>IF(M1178="",IF(ISNUMBER(SEARCH("NOT NULL",UPPER(M$3))),"''","null"),SUBSTITUTE(VLOOKUP(M$2,convert!$A$1:$B$4,2,0),"@@@",M1178))</f>
        <v>null</v>
      </c>
      <c r="AC1178" s="4" t="str">
        <f>IF(N1178="",IF(ISNUMBER(SEARCH("NOT NULL",UPPER(N$3))),"''","null"),SUBSTITUTE(VLOOKUP(N$2,convert!$A$1:$B$4,2,0),"@@@",N1178))</f>
        <v>null</v>
      </c>
      <c r="AD1178" s="4" t="str">
        <f>IF(O1178="",IF(ISNUMBER(SEARCH("NOT NULL",UPPER(O$3))),"''","null"),SUBSTITUTE(VLOOKUP(O$2,convert!$A$1:$B$4,2,0),"@@@",O1178))</f>
        <v>TRUE</v>
      </c>
      <c r="AE1178" s="4" t="str">
        <f t="shared" si="18"/>
        <v>    ('0980N01', 'ドオー', 130, 75, 60, 45, 100, 20, '', 'poison', 'ground', 'g9', null, null, TRUE),</v>
      </c>
    </row>
    <row r="1179" spans="1:31">
      <c r="A1179" s="4" t="s">
        <v>2369</v>
      </c>
      <c r="B1179" s="4" t="s">
        <v>2370</v>
      </c>
      <c r="C1179" s="5">
        <v>120</v>
      </c>
      <c r="D1179" s="5">
        <v>90</v>
      </c>
      <c r="E1179" s="5">
        <v>70</v>
      </c>
      <c r="F1179" s="5">
        <v>110</v>
      </c>
      <c r="G1179" s="5">
        <v>70</v>
      </c>
      <c r="H1179" s="5">
        <v>60</v>
      </c>
      <c r="I1179" s="5"/>
      <c r="J1179" s="4" t="s">
        <v>80</v>
      </c>
      <c r="K1179" s="4" t="s">
        <v>113</v>
      </c>
      <c r="L1179" s="4" t="s">
        <v>368</v>
      </c>
      <c r="M1179" s="5"/>
      <c r="N1179" s="5"/>
      <c r="O1179" s="5" t="b">
        <v>0</v>
      </c>
      <c r="P1179" s="4" t="str">
        <f>IF(A1179="",IF(ISNUMBER(SEARCH("NOT NULL",UPPER(A$3))),"''","null"),SUBSTITUTE(VLOOKUP(A$2,convert!$A$1:$B$4,2,0),"@@@",A1179))</f>
        <v>'0981N01'</v>
      </c>
      <c r="Q1179" s="4" t="str">
        <f>IF(B1179="",IF(ISNUMBER(SEARCH("NOT NULL",UPPER(B$3))),"''","null"),SUBSTITUTE(VLOOKUP(B$2,convert!$A$1:$B$4,2,0),"@@@",B1179))</f>
        <v>'リキキリン'</v>
      </c>
      <c r="R1179" s="4" t="str">
        <f>IF(C1179="",IF(ISNUMBER(SEARCH("NOT NULL",UPPER(C$3))),"''","null"),SUBSTITUTE(VLOOKUP(C$2,convert!$A$1:$B$4,2,0),"@@@",C1179))</f>
        <v>120</v>
      </c>
      <c r="S1179" s="4" t="str">
        <f>IF(D1179="",IF(ISNUMBER(SEARCH("NOT NULL",UPPER(D$3))),"''","null"),SUBSTITUTE(VLOOKUP(D$2,convert!$A$1:$B$4,2,0),"@@@",D1179))</f>
        <v>90</v>
      </c>
      <c r="T1179" s="4" t="str">
        <f>IF(E1179="",IF(ISNUMBER(SEARCH("NOT NULL",UPPER(E$3))),"''","null"),SUBSTITUTE(VLOOKUP(E$2,convert!$A$1:$B$4,2,0),"@@@",E1179))</f>
        <v>70</v>
      </c>
      <c r="U1179" s="4" t="str">
        <f>IF(F1179="",IF(ISNUMBER(SEARCH("NOT NULL",UPPER(F$3))),"''","null"),SUBSTITUTE(VLOOKUP(F$2,convert!$A$1:$B$4,2,0),"@@@",F1179))</f>
        <v>110</v>
      </c>
      <c r="V1179" s="4" t="str">
        <f>IF(G1179="",IF(ISNUMBER(SEARCH("NOT NULL",UPPER(G$3))),"''","null"),SUBSTITUTE(VLOOKUP(G$2,convert!$A$1:$B$4,2,0),"@@@",G1179))</f>
        <v>70</v>
      </c>
      <c r="W1179" s="4" t="str">
        <f>IF(H1179="",IF(ISNUMBER(SEARCH("NOT NULL",UPPER(H$3))),"''","null"),SUBSTITUTE(VLOOKUP(H$2,convert!$A$1:$B$4,2,0),"@@@",H1179))</f>
        <v>60</v>
      </c>
      <c r="X1179" s="4" t="str">
        <f>IF(I1179="",IF(ISNUMBER(SEARCH("NOT NULL",UPPER(I$3))),"''","null"),SUBSTITUTE(VLOOKUP(I$2,convert!$A$1:$B$4,2,0),"@@@",I1179))</f>
        <v>''</v>
      </c>
      <c r="Y1179" s="4" t="str">
        <f>IF(J1179="",IF(ISNUMBER(SEARCH("NOT NULL",UPPER(J$3))),"''","null"),SUBSTITUTE(VLOOKUP(J$2,convert!$A$1:$B$4,2,0),"@@@",J1179))</f>
        <v>'normal'</v>
      </c>
      <c r="Z1179" s="4" t="str">
        <f>IF(K1179="",IF(ISNUMBER(SEARCH("NOT NULL",UPPER(K$3))),"''","null"),SUBSTITUTE(VLOOKUP(K$2,convert!$A$1:$B$4,2,0),"@@@",K1179))</f>
        <v>'psychic'</v>
      </c>
      <c r="AA1179" s="4" t="str">
        <f>IF(L1179="",IF(ISNUMBER(SEARCH("NOT NULL",UPPER(L$3))),"''","null"),SUBSTITUTE(VLOOKUP(L$2,convert!$A$1:$B$4,2,0),"@@@",L1179))</f>
        <v>'g9'</v>
      </c>
      <c r="AB1179" s="4" t="str">
        <f>IF(M1179="",IF(ISNUMBER(SEARCH("NOT NULL",UPPER(M$3))),"''","null"),SUBSTITUTE(VLOOKUP(M$2,convert!$A$1:$B$4,2,0),"@@@",M1179))</f>
        <v>null</v>
      </c>
      <c r="AC1179" s="4" t="str">
        <f>IF(N1179="",IF(ISNUMBER(SEARCH("NOT NULL",UPPER(N$3))),"''","null"),SUBSTITUTE(VLOOKUP(N$2,convert!$A$1:$B$4,2,0),"@@@",N1179))</f>
        <v>null</v>
      </c>
      <c r="AD1179" s="4" t="str">
        <f>IF(O1179="",IF(ISNUMBER(SEARCH("NOT NULL",UPPER(O$3))),"''","null"),SUBSTITUTE(VLOOKUP(O$2,convert!$A$1:$B$4,2,0),"@@@",O1179))</f>
        <v>FALSE</v>
      </c>
      <c r="AE1179" s="4" t="str">
        <f t="shared" si="18"/>
        <v>    ('0981N01', 'リキキリン', 120, 90, 70, 110, 70, 60, '', 'normal', 'psychic', 'g9', null, null, FALSE),</v>
      </c>
    </row>
    <row r="1180" spans="1:31">
      <c r="A1180" s="4" t="s">
        <v>2371</v>
      </c>
      <c r="B1180" s="4" t="s">
        <v>2372</v>
      </c>
      <c r="C1180" s="5">
        <v>125</v>
      </c>
      <c r="D1180" s="5">
        <v>100</v>
      </c>
      <c r="E1180" s="5">
        <v>80</v>
      </c>
      <c r="F1180" s="5">
        <v>85</v>
      </c>
      <c r="G1180" s="5">
        <v>75</v>
      </c>
      <c r="H1180" s="5">
        <v>55</v>
      </c>
      <c r="I1180" s="4" t="s">
        <v>2373</v>
      </c>
      <c r="J1180" s="4" t="s">
        <v>80</v>
      </c>
      <c r="K1180" s="5"/>
      <c r="L1180" s="4" t="s">
        <v>368</v>
      </c>
      <c r="M1180" s="5"/>
      <c r="N1180" s="5"/>
      <c r="O1180" s="5" t="b">
        <v>0</v>
      </c>
      <c r="P1180" s="4" t="str">
        <f>IF(A1180="",IF(ISNUMBER(SEARCH("NOT NULL",UPPER(A$3))),"''","null"),SUBSTITUTE(VLOOKUP(A$2,convert!$A$1:$B$4,2,0),"@@@",A1180))</f>
        <v>'0982N01'</v>
      </c>
      <c r="Q1180" s="4" t="str">
        <f>IF(B1180="",IF(ISNUMBER(SEARCH("NOT NULL",UPPER(B$3))),"''","null"),SUBSTITUTE(VLOOKUP(B$2,convert!$A$1:$B$4,2,0),"@@@",B1180))</f>
        <v>'ノココッチ'</v>
      </c>
      <c r="R1180" s="4" t="str">
        <f>IF(C1180="",IF(ISNUMBER(SEARCH("NOT NULL",UPPER(C$3))),"''","null"),SUBSTITUTE(VLOOKUP(C$2,convert!$A$1:$B$4,2,0),"@@@",C1180))</f>
        <v>125</v>
      </c>
      <c r="S1180" s="4" t="str">
        <f>IF(D1180="",IF(ISNUMBER(SEARCH("NOT NULL",UPPER(D$3))),"''","null"),SUBSTITUTE(VLOOKUP(D$2,convert!$A$1:$B$4,2,0),"@@@",D1180))</f>
        <v>100</v>
      </c>
      <c r="T1180" s="4" t="str">
        <f>IF(E1180="",IF(ISNUMBER(SEARCH("NOT NULL",UPPER(E$3))),"''","null"),SUBSTITUTE(VLOOKUP(E$2,convert!$A$1:$B$4,2,0),"@@@",E1180))</f>
        <v>80</v>
      </c>
      <c r="U1180" s="4" t="str">
        <f>IF(F1180="",IF(ISNUMBER(SEARCH("NOT NULL",UPPER(F$3))),"''","null"),SUBSTITUTE(VLOOKUP(F$2,convert!$A$1:$B$4,2,0),"@@@",F1180))</f>
        <v>85</v>
      </c>
      <c r="V1180" s="4" t="str">
        <f>IF(G1180="",IF(ISNUMBER(SEARCH("NOT NULL",UPPER(G$3))),"''","null"),SUBSTITUTE(VLOOKUP(G$2,convert!$A$1:$B$4,2,0),"@@@",G1180))</f>
        <v>75</v>
      </c>
      <c r="W1180" s="4" t="str">
        <f>IF(H1180="",IF(ISNUMBER(SEARCH("NOT NULL",UPPER(H$3))),"''","null"),SUBSTITUTE(VLOOKUP(H$2,convert!$A$1:$B$4,2,0),"@@@",H1180))</f>
        <v>55</v>
      </c>
      <c r="X1180" s="4" t="str">
        <f>IF(I1180="",IF(ISNUMBER(SEARCH("NOT NULL",UPPER(I$3))),"''","null"),SUBSTITUTE(VLOOKUP(I$2,convert!$A$1:$B$4,2,0),"@@@",I1180))</f>
        <v>'ふたふしフォルム'</v>
      </c>
      <c r="Y1180" s="4" t="str">
        <f>IF(J1180="",IF(ISNUMBER(SEARCH("NOT NULL",UPPER(J$3))),"''","null"),SUBSTITUTE(VLOOKUP(J$2,convert!$A$1:$B$4,2,0),"@@@",J1180))</f>
        <v>'normal'</v>
      </c>
      <c r="Z1180" s="4" t="str">
        <f>IF(K1180="",IF(ISNUMBER(SEARCH("NOT NULL",UPPER(K$3))),"''","null"),SUBSTITUTE(VLOOKUP(K$2,convert!$A$1:$B$4,2,0),"@@@",K1180))</f>
        <v>null</v>
      </c>
      <c r="AA1180" s="4" t="str">
        <f>IF(L1180="",IF(ISNUMBER(SEARCH("NOT NULL",UPPER(L$3))),"''","null"),SUBSTITUTE(VLOOKUP(L$2,convert!$A$1:$B$4,2,0),"@@@",L1180))</f>
        <v>'g9'</v>
      </c>
      <c r="AB1180" s="4" t="str">
        <f>IF(M1180="",IF(ISNUMBER(SEARCH("NOT NULL",UPPER(M$3))),"''","null"),SUBSTITUTE(VLOOKUP(M$2,convert!$A$1:$B$4,2,0),"@@@",M1180))</f>
        <v>null</v>
      </c>
      <c r="AC1180" s="4" t="str">
        <f>IF(N1180="",IF(ISNUMBER(SEARCH("NOT NULL",UPPER(N$3))),"''","null"),SUBSTITUTE(VLOOKUP(N$2,convert!$A$1:$B$4,2,0),"@@@",N1180))</f>
        <v>null</v>
      </c>
      <c r="AD1180" s="4" t="str">
        <f>IF(O1180="",IF(ISNUMBER(SEARCH("NOT NULL",UPPER(O$3))),"''","null"),SUBSTITUTE(VLOOKUP(O$2,convert!$A$1:$B$4,2,0),"@@@",O1180))</f>
        <v>FALSE</v>
      </c>
      <c r="AE1180" s="4" t="str">
        <f t="shared" si="18"/>
        <v>    ('0982N01', 'ノココッチ', 125, 100, 80, 85, 75, 55, 'ふたふしフォルム', 'normal', null, 'g9', null, null, FALSE),</v>
      </c>
    </row>
    <row r="1181" spans="1:31">
      <c r="A1181" s="4" t="s">
        <v>2374</v>
      </c>
      <c r="B1181" s="4" t="s">
        <v>2372</v>
      </c>
      <c r="C1181" s="5">
        <v>125</v>
      </c>
      <c r="D1181" s="5">
        <v>100</v>
      </c>
      <c r="E1181" s="5">
        <v>80</v>
      </c>
      <c r="F1181" s="5">
        <v>85</v>
      </c>
      <c r="G1181" s="5">
        <v>75</v>
      </c>
      <c r="H1181" s="5">
        <v>55</v>
      </c>
      <c r="I1181" s="4" t="s">
        <v>2375</v>
      </c>
      <c r="J1181" s="4" t="s">
        <v>80</v>
      </c>
      <c r="K1181" s="5"/>
      <c r="L1181" s="4" t="s">
        <v>368</v>
      </c>
      <c r="M1181" s="5"/>
      <c r="N1181" s="5"/>
      <c r="O1181" s="5" t="b">
        <v>0</v>
      </c>
      <c r="P1181" s="4" t="str">
        <f>IF(A1181="",IF(ISNUMBER(SEARCH("NOT NULL",UPPER(A$3))),"''","null"),SUBSTITUTE(VLOOKUP(A$2,convert!$A$1:$B$4,2,0),"@@@",A1181))</f>
        <v>'0982N02'</v>
      </c>
      <c r="Q1181" s="4" t="str">
        <f>IF(B1181="",IF(ISNUMBER(SEARCH("NOT NULL",UPPER(B$3))),"''","null"),SUBSTITUTE(VLOOKUP(B$2,convert!$A$1:$B$4,2,0),"@@@",B1181))</f>
        <v>'ノココッチ'</v>
      </c>
      <c r="R1181" s="4" t="str">
        <f>IF(C1181="",IF(ISNUMBER(SEARCH("NOT NULL",UPPER(C$3))),"''","null"),SUBSTITUTE(VLOOKUP(C$2,convert!$A$1:$B$4,2,0),"@@@",C1181))</f>
        <v>125</v>
      </c>
      <c r="S1181" s="4" t="str">
        <f>IF(D1181="",IF(ISNUMBER(SEARCH("NOT NULL",UPPER(D$3))),"''","null"),SUBSTITUTE(VLOOKUP(D$2,convert!$A$1:$B$4,2,0),"@@@",D1181))</f>
        <v>100</v>
      </c>
      <c r="T1181" s="4" t="str">
        <f>IF(E1181="",IF(ISNUMBER(SEARCH("NOT NULL",UPPER(E$3))),"''","null"),SUBSTITUTE(VLOOKUP(E$2,convert!$A$1:$B$4,2,0),"@@@",E1181))</f>
        <v>80</v>
      </c>
      <c r="U1181" s="4" t="str">
        <f>IF(F1181="",IF(ISNUMBER(SEARCH("NOT NULL",UPPER(F$3))),"''","null"),SUBSTITUTE(VLOOKUP(F$2,convert!$A$1:$B$4,2,0),"@@@",F1181))</f>
        <v>85</v>
      </c>
      <c r="V1181" s="4" t="str">
        <f>IF(G1181="",IF(ISNUMBER(SEARCH("NOT NULL",UPPER(G$3))),"''","null"),SUBSTITUTE(VLOOKUP(G$2,convert!$A$1:$B$4,2,0),"@@@",G1181))</f>
        <v>75</v>
      </c>
      <c r="W1181" s="4" t="str">
        <f>IF(H1181="",IF(ISNUMBER(SEARCH("NOT NULL",UPPER(H$3))),"''","null"),SUBSTITUTE(VLOOKUP(H$2,convert!$A$1:$B$4,2,0),"@@@",H1181))</f>
        <v>55</v>
      </c>
      <c r="X1181" s="4" t="str">
        <f>IF(I1181="",IF(ISNUMBER(SEARCH("NOT NULL",UPPER(I$3))),"''","null"),SUBSTITUTE(VLOOKUP(I$2,convert!$A$1:$B$4,2,0),"@@@",I1181))</f>
        <v>'みつふしフォルム'</v>
      </c>
      <c r="Y1181" s="4" t="str">
        <f>IF(J1181="",IF(ISNUMBER(SEARCH("NOT NULL",UPPER(J$3))),"''","null"),SUBSTITUTE(VLOOKUP(J$2,convert!$A$1:$B$4,2,0),"@@@",J1181))</f>
        <v>'normal'</v>
      </c>
      <c r="Z1181" s="4" t="str">
        <f>IF(K1181="",IF(ISNUMBER(SEARCH("NOT NULL",UPPER(K$3))),"''","null"),SUBSTITUTE(VLOOKUP(K$2,convert!$A$1:$B$4,2,0),"@@@",K1181))</f>
        <v>null</v>
      </c>
      <c r="AA1181" s="4" t="str">
        <f>IF(L1181="",IF(ISNUMBER(SEARCH("NOT NULL",UPPER(L$3))),"''","null"),SUBSTITUTE(VLOOKUP(L$2,convert!$A$1:$B$4,2,0),"@@@",L1181))</f>
        <v>'g9'</v>
      </c>
      <c r="AB1181" s="4" t="str">
        <f>IF(M1181="",IF(ISNUMBER(SEARCH("NOT NULL",UPPER(M$3))),"''","null"),SUBSTITUTE(VLOOKUP(M$2,convert!$A$1:$B$4,2,0),"@@@",M1181))</f>
        <v>null</v>
      </c>
      <c r="AC1181" s="4" t="str">
        <f>IF(N1181="",IF(ISNUMBER(SEARCH("NOT NULL",UPPER(N$3))),"''","null"),SUBSTITUTE(VLOOKUP(N$2,convert!$A$1:$B$4,2,0),"@@@",N1181))</f>
        <v>null</v>
      </c>
      <c r="AD1181" s="4" t="str">
        <f>IF(O1181="",IF(ISNUMBER(SEARCH("NOT NULL",UPPER(O$3))),"''","null"),SUBSTITUTE(VLOOKUP(O$2,convert!$A$1:$B$4,2,0),"@@@",O1181))</f>
        <v>FALSE</v>
      </c>
      <c r="AE1181" s="4" t="str">
        <f t="shared" si="18"/>
        <v>    ('0982N02', 'ノココッチ', 125, 100, 80, 85, 75, 55, 'みつふしフォルム', 'normal', null, 'g9', null, null, FALSE),</v>
      </c>
    </row>
    <row r="1182" spans="1:31">
      <c r="A1182" s="4" t="s">
        <v>2376</v>
      </c>
      <c r="B1182" s="4" t="s">
        <v>2377</v>
      </c>
      <c r="C1182" s="5">
        <v>100</v>
      </c>
      <c r="D1182" s="5">
        <v>135</v>
      </c>
      <c r="E1182" s="5">
        <v>120</v>
      </c>
      <c r="F1182" s="5">
        <v>60</v>
      </c>
      <c r="G1182" s="5">
        <v>85</v>
      </c>
      <c r="H1182" s="5">
        <v>50</v>
      </c>
      <c r="I1182" s="5"/>
      <c r="J1182" s="4" t="s">
        <v>91</v>
      </c>
      <c r="K1182" s="4" t="s">
        <v>119</v>
      </c>
      <c r="L1182" s="4" t="s">
        <v>368</v>
      </c>
      <c r="M1182" s="5"/>
      <c r="N1182" s="5"/>
      <c r="O1182" s="5" t="b">
        <v>0</v>
      </c>
      <c r="P1182" s="4" t="str">
        <f>IF(A1182="",IF(ISNUMBER(SEARCH("NOT NULL",UPPER(A$3))),"''","null"),SUBSTITUTE(VLOOKUP(A$2,convert!$A$1:$B$4,2,0),"@@@",A1182))</f>
        <v>'0983N01'</v>
      </c>
      <c r="Q1182" s="4" t="str">
        <f>IF(B1182="",IF(ISNUMBER(SEARCH("NOT NULL",UPPER(B$3))),"''","null"),SUBSTITUTE(VLOOKUP(B$2,convert!$A$1:$B$4,2,0),"@@@",B1182))</f>
        <v>'ドドゲザン'</v>
      </c>
      <c r="R1182" s="4" t="str">
        <f>IF(C1182="",IF(ISNUMBER(SEARCH("NOT NULL",UPPER(C$3))),"''","null"),SUBSTITUTE(VLOOKUP(C$2,convert!$A$1:$B$4,2,0),"@@@",C1182))</f>
        <v>100</v>
      </c>
      <c r="S1182" s="4" t="str">
        <f>IF(D1182="",IF(ISNUMBER(SEARCH("NOT NULL",UPPER(D$3))),"''","null"),SUBSTITUTE(VLOOKUP(D$2,convert!$A$1:$B$4,2,0),"@@@",D1182))</f>
        <v>135</v>
      </c>
      <c r="T1182" s="4" t="str">
        <f>IF(E1182="",IF(ISNUMBER(SEARCH("NOT NULL",UPPER(E$3))),"''","null"),SUBSTITUTE(VLOOKUP(E$2,convert!$A$1:$B$4,2,0),"@@@",E1182))</f>
        <v>120</v>
      </c>
      <c r="U1182" s="4" t="str">
        <f>IF(F1182="",IF(ISNUMBER(SEARCH("NOT NULL",UPPER(F$3))),"''","null"),SUBSTITUTE(VLOOKUP(F$2,convert!$A$1:$B$4,2,0),"@@@",F1182))</f>
        <v>60</v>
      </c>
      <c r="V1182" s="4" t="str">
        <f>IF(G1182="",IF(ISNUMBER(SEARCH("NOT NULL",UPPER(G$3))),"''","null"),SUBSTITUTE(VLOOKUP(G$2,convert!$A$1:$B$4,2,0),"@@@",G1182))</f>
        <v>85</v>
      </c>
      <c r="W1182" s="4" t="str">
        <f>IF(H1182="",IF(ISNUMBER(SEARCH("NOT NULL",UPPER(H$3))),"''","null"),SUBSTITUTE(VLOOKUP(H$2,convert!$A$1:$B$4,2,0),"@@@",H1182))</f>
        <v>50</v>
      </c>
      <c r="X1182" s="4" t="str">
        <f>IF(I1182="",IF(ISNUMBER(SEARCH("NOT NULL",UPPER(I$3))),"''","null"),SUBSTITUTE(VLOOKUP(I$2,convert!$A$1:$B$4,2,0),"@@@",I1182))</f>
        <v>''</v>
      </c>
      <c r="Y1182" s="4" t="str">
        <f>IF(J1182="",IF(ISNUMBER(SEARCH("NOT NULL",UPPER(J$3))),"''","null"),SUBSTITUTE(VLOOKUP(J$2,convert!$A$1:$B$4,2,0),"@@@",J1182))</f>
        <v>'dark'</v>
      </c>
      <c r="Z1182" s="4" t="str">
        <f>IF(K1182="",IF(ISNUMBER(SEARCH("NOT NULL",UPPER(K$3))),"''","null"),SUBSTITUTE(VLOOKUP(K$2,convert!$A$1:$B$4,2,0),"@@@",K1182))</f>
        <v>'steel'</v>
      </c>
      <c r="AA1182" s="4" t="str">
        <f>IF(L1182="",IF(ISNUMBER(SEARCH("NOT NULL",UPPER(L$3))),"''","null"),SUBSTITUTE(VLOOKUP(L$2,convert!$A$1:$B$4,2,0),"@@@",L1182))</f>
        <v>'g9'</v>
      </c>
      <c r="AB1182" s="4" t="str">
        <f>IF(M1182="",IF(ISNUMBER(SEARCH("NOT NULL",UPPER(M$3))),"''","null"),SUBSTITUTE(VLOOKUP(M$2,convert!$A$1:$B$4,2,0),"@@@",M1182))</f>
        <v>null</v>
      </c>
      <c r="AC1182" s="4" t="str">
        <f>IF(N1182="",IF(ISNUMBER(SEARCH("NOT NULL",UPPER(N$3))),"''","null"),SUBSTITUTE(VLOOKUP(N$2,convert!$A$1:$B$4,2,0),"@@@",N1182))</f>
        <v>null</v>
      </c>
      <c r="AD1182" s="4" t="str">
        <f>IF(O1182="",IF(ISNUMBER(SEARCH("NOT NULL",UPPER(O$3))),"''","null"),SUBSTITUTE(VLOOKUP(O$2,convert!$A$1:$B$4,2,0),"@@@",O1182))</f>
        <v>FALSE</v>
      </c>
      <c r="AE1182" s="4" t="str">
        <f t="shared" si="18"/>
        <v>    ('0983N01', 'ドドゲザン', 100, 135, 120, 60, 85, 50, '', 'dark', 'steel', 'g9', null, null, FALSE),</v>
      </c>
    </row>
    <row r="1183" spans="1:31">
      <c r="A1183" s="4" t="s">
        <v>2378</v>
      </c>
      <c r="B1183" s="4" t="s">
        <v>2379</v>
      </c>
      <c r="C1183" s="5">
        <v>115</v>
      </c>
      <c r="D1183" s="5">
        <v>131</v>
      </c>
      <c r="E1183" s="5">
        <v>131</v>
      </c>
      <c r="F1183" s="5">
        <v>53</v>
      </c>
      <c r="G1183" s="5">
        <v>53</v>
      </c>
      <c r="H1183" s="5">
        <v>87</v>
      </c>
      <c r="I1183" s="5"/>
      <c r="J1183" s="4" t="s">
        <v>116</v>
      </c>
      <c r="K1183" s="4" t="s">
        <v>189</v>
      </c>
      <c r="L1183" s="4" t="s">
        <v>368</v>
      </c>
      <c r="M1183" s="5"/>
      <c r="N1183" s="5"/>
      <c r="O1183" s="5" t="b">
        <v>0</v>
      </c>
      <c r="P1183" s="4" t="str">
        <f>IF(A1183="",IF(ISNUMBER(SEARCH("NOT NULL",UPPER(A$3))),"''","null"),SUBSTITUTE(VLOOKUP(A$2,convert!$A$1:$B$4,2,0),"@@@",A1183))</f>
        <v>'0984N01'</v>
      </c>
      <c r="Q1183" s="4" t="str">
        <f>IF(B1183="",IF(ISNUMBER(SEARCH("NOT NULL",UPPER(B$3))),"''","null"),SUBSTITUTE(VLOOKUP(B$2,convert!$A$1:$B$4,2,0),"@@@",B1183))</f>
        <v>'イダイナキバ'</v>
      </c>
      <c r="R1183" s="4" t="str">
        <f>IF(C1183="",IF(ISNUMBER(SEARCH("NOT NULL",UPPER(C$3))),"''","null"),SUBSTITUTE(VLOOKUP(C$2,convert!$A$1:$B$4,2,0),"@@@",C1183))</f>
        <v>115</v>
      </c>
      <c r="S1183" s="4" t="str">
        <f>IF(D1183="",IF(ISNUMBER(SEARCH("NOT NULL",UPPER(D$3))),"''","null"),SUBSTITUTE(VLOOKUP(D$2,convert!$A$1:$B$4,2,0),"@@@",D1183))</f>
        <v>131</v>
      </c>
      <c r="T1183" s="4" t="str">
        <f>IF(E1183="",IF(ISNUMBER(SEARCH("NOT NULL",UPPER(E$3))),"''","null"),SUBSTITUTE(VLOOKUP(E$2,convert!$A$1:$B$4,2,0),"@@@",E1183))</f>
        <v>131</v>
      </c>
      <c r="U1183" s="4" t="str">
        <f>IF(F1183="",IF(ISNUMBER(SEARCH("NOT NULL",UPPER(F$3))),"''","null"),SUBSTITUTE(VLOOKUP(F$2,convert!$A$1:$B$4,2,0),"@@@",F1183))</f>
        <v>53</v>
      </c>
      <c r="V1183" s="4" t="str">
        <f>IF(G1183="",IF(ISNUMBER(SEARCH("NOT NULL",UPPER(G$3))),"''","null"),SUBSTITUTE(VLOOKUP(G$2,convert!$A$1:$B$4,2,0),"@@@",G1183))</f>
        <v>53</v>
      </c>
      <c r="W1183" s="4" t="str">
        <f>IF(H1183="",IF(ISNUMBER(SEARCH("NOT NULL",UPPER(H$3))),"''","null"),SUBSTITUTE(VLOOKUP(H$2,convert!$A$1:$B$4,2,0),"@@@",H1183))</f>
        <v>87</v>
      </c>
      <c r="X1183" s="4" t="str">
        <f>IF(I1183="",IF(ISNUMBER(SEARCH("NOT NULL",UPPER(I$3))),"''","null"),SUBSTITUTE(VLOOKUP(I$2,convert!$A$1:$B$4,2,0),"@@@",I1183))</f>
        <v>''</v>
      </c>
      <c r="Y1183" s="4" t="str">
        <f>IF(J1183="",IF(ISNUMBER(SEARCH("NOT NULL",UPPER(J$3))),"''","null"),SUBSTITUTE(VLOOKUP(J$2,convert!$A$1:$B$4,2,0),"@@@",J1183))</f>
        <v>'ground'</v>
      </c>
      <c r="Z1183" s="4" t="str">
        <f>IF(K1183="",IF(ISNUMBER(SEARCH("NOT NULL",UPPER(K$3))),"''","null"),SUBSTITUTE(VLOOKUP(K$2,convert!$A$1:$B$4,2,0),"@@@",K1183))</f>
        <v>'fighting'</v>
      </c>
      <c r="AA1183" s="4" t="str">
        <f>IF(L1183="",IF(ISNUMBER(SEARCH("NOT NULL",UPPER(L$3))),"''","null"),SUBSTITUTE(VLOOKUP(L$2,convert!$A$1:$B$4,2,0),"@@@",L1183))</f>
        <v>'g9'</v>
      </c>
      <c r="AB1183" s="4" t="str">
        <f>IF(M1183="",IF(ISNUMBER(SEARCH("NOT NULL",UPPER(M$3))),"''","null"),SUBSTITUTE(VLOOKUP(M$2,convert!$A$1:$B$4,2,0),"@@@",M1183))</f>
        <v>null</v>
      </c>
      <c r="AC1183" s="4" t="str">
        <f>IF(N1183="",IF(ISNUMBER(SEARCH("NOT NULL",UPPER(N$3))),"''","null"),SUBSTITUTE(VLOOKUP(N$2,convert!$A$1:$B$4,2,0),"@@@",N1183))</f>
        <v>null</v>
      </c>
      <c r="AD1183" s="4" t="str">
        <f>IF(O1183="",IF(ISNUMBER(SEARCH("NOT NULL",UPPER(O$3))),"''","null"),SUBSTITUTE(VLOOKUP(O$2,convert!$A$1:$B$4,2,0),"@@@",O1183))</f>
        <v>FALSE</v>
      </c>
      <c r="AE1183" s="4" t="str">
        <f t="shared" si="18"/>
        <v>    ('0984N01', 'イダイナキバ', 115, 131, 131, 53, 53, 87, '', 'ground', 'fighting', 'g9', null, null, FALSE),</v>
      </c>
    </row>
    <row r="1184" spans="1:31">
      <c r="A1184" s="4" t="s">
        <v>2380</v>
      </c>
      <c r="B1184" s="4" t="s">
        <v>2381</v>
      </c>
      <c r="C1184" s="5">
        <v>115</v>
      </c>
      <c r="D1184" s="5">
        <v>65</v>
      </c>
      <c r="E1184" s="5">
        <v>99</v>
      </c>
      <c r="F1184" s="5">
        <v>65</v>
      </c>
      <c r="G1184" s="5">
        <v>115</v>
      </c>
      <c r="H1184" s="5">
        <v>111</v>
      </c>
      <c r="I1184" s="5"/>
      <c r="J1184" s="4" t="s">
        <v>137</v>
      </c>
      <c r="K1184" s="4" t="s">
        <v>113</v>
      </c>
      <c r="L1184" s="4" t="s">
        <v>368</v>
      </c>
      <c r="M1184" s="5"/>
      <c r="N1184" s="5"/>
      <c r="O1184" s="5" t="b">
        <v>0</v>
      </c>
      <c r="P1184" s="4" t="str">
        <f>IF(A1184="",IF(ISNUMBER(SEARCH("NOT NULL",UPPER(A$3))),"''","null"),SUBSTITUTE(VLOOKUP(A$2,convert!$A$1:$B$4,2,0),"@@@",A1184))</f>
        <v>'0985N01'</v>
      </c>
      <c r="Q1184" s="4" t="str">
        <f>IF(B1184="",IF(ISNUMBER(SEARCH("NOT NULL",UPPER(B$3))),"''","null"),SUBSTITUTE(VLOOKUP(B$2,convert!$A$1:$B$4,2,0),"@@@",B1184))</f>
        <v>'サケブシッポ'</v>
      </c>
      <c r="R1184" s="4" t="str">
        <f>IF(C1184="",IF(ISNUMBER(SEARCH("NOT NULL",UPPER(C$3))),"''","null"),SUBSTITUTE(VLOOKUP(C$2,convert!$A$1:$B$4,2,0),"@@@",C1184))</f>
        <v>115</v>
      </c>
      <c r="S1184" s="4" t="str">
        <f>IF(D1184="",IF(ISNUMBER(SEARCH("NOT NULL",UPPER(D$3))),"''","null"),SUBSTITUTE(VLOOKUP(D$2,convert!$A$1:$B$4,2,0),"@@@",D1184))</f>
        <v>65</v>
      </c>
      <c r="T1184" s="4" t="str">
        <f>IF(E1184="",IF(ISNUMBER(SEARCH("NOT NULL",UPPER(E$3))),"''","null"),SUBSTITUTE(VLOOKUP(E$2,convert!$A$1:$B$4,2,0),"@@@",E1184))</f>
        <v>99</v>
      </c>
      <c r="U1184" s="4" t="str">
        <f>IF(F1184="",IF(ISNUMBER(SEARCH("NOT NULL",UPPER(F$3))),"''","null"),SUBSTITUTE(VLOOKUP(F$2,convert!$A$1:$B$4,2,0),"@@@",F1184))</f>
        <v>65</v>
      </c>
      <c r="V1184" s="4" t="str">
        <f>IF(G1184="",IF(ISNUMBER(SEARCH("NOT NULL",UPPER(G$3))),"''","null"),SUBSTITUTE(VLOOKUP(G$2,convert!$A$1:$B$4,2,0),"@@@",G1184))</f>
        <v>115</v>
      </c>
      <c r="W1184" s="4" t="str">
        <f>IF(H1184="",IF(ISNUMBER(SEARCH("NOT NULL",UPPER(H$3))),"''","null"),SUBSTITUTE(VLOOKUP(H$2,convert!$A$1:$B$4,2,0),"@@@",H1184))</f>
        <v>111</v>
      </c>
      <c r="X1184" s="4" t="str">
        <f>IF(I1184="",IF(ISNUMBER(SEARCH("NOT NULL",UPPER(I$3))),"''","null"),SUBSTITUTE(VLOOKUP(I$2,convert!$A$1:$B$4,2,0),"@@@",I1184))</f>
        <v>''</v>
      </c>
      <c r="Y1184" s="4" t="str">
        <f>IF(J1184="",IF(ISNUMBER(SEARCH("NOT NULL",UPPER(J$3))),"''","null"),SUBSTITUTE(VLOOKUP(J$2,convert!$A$1:$B$4,2,0),"@@@",J1184))</f>
        <v>'fairy'</v>
      </c>
      <c r="Z1184" s="4" t="str">
        <f>IF(K1184="",IF(ISNUMBER(SEARCH("NOT NULL",UPPER(K$3))),"''","null"),SUBSTITUTE(VLOOKUP(K$2,convert!$A$1:$B$4,2,0),"@@@",K1184))</f>
        <v>'psychic'</v>
      </c>
      <c r="AA1184" s="4" t="str">
        <f>IF(L1184="",IF(ISNUMBER(SEARCH("NOT NULL",UPPER(L$3))),"''","null"),SUBSTITUTE(VLOOKUP(L$2,convert!$A$1:$B$4,2,0),"@@@",L1184))</f>
        <v>'g9'</v>
      </c>
      <c r="AB1184" s="4" t="str">
        <f>IF(M1184="",IF(ISNUMBER(SEARCH("NOT NULL",UPPER(M$3))),"''","null"),SUBSTITUTE(VLOOKUP(M$2,convert!$A$1:$B$4,2,0),"@@@",M1184))</f>
        <v>null</v>
      </c>
      <c r="AC1184" s="4" t="str">
        <f>IF(N1184="",IF(ISNUMBER(SEARCH("NOT NULL",UPPER(N$3))),"''","null"),SUBSTITUTE(VLOOKUP(N$2,convert!$A$1:$B$4,2,0),"@@@",N1184))</f>
        <v>null</v>
      </c>
      <c r="AD1184" s="4" t="str">
        <f>IF(O1184="",IF(ISNUMBER(SEARCH("NOT NULL",UPPER(O$3))),"''","null"),SUBSTITUTE(VLOOKUP(O$2,convert!$A$1:$B$4,2,0),"@@@",O1184))</f>
        <v>FALSE</v>
      </c>
      <c r="AE1184" s="4" t="str">
        <f t="shared" si="18"/>
        <v>    ('0985N01', 'サケブシッポ', 115, 65, 99, 65, 115, 111, '', 'fairy', 'psychic', 'g9', null, null, FALSE),</v>
      </c>
    </row>
    <row r="1185" spans="1:31">
      <c r="A1185" s="4" t="s">
        <v>2382</v>
      </c>
      <c r="B1185" s="4" t="s">
        <v>2383</v>
      </c>
      <c r="C1185" s="5">
        <v>111</v>
      </c>
      <c r="D1185" s="5">
        <v>127</v>
      </c>
      <c r="E1185" s="5">
        <v>99</v>
      </c>
      <c r="F1185" s="5">
        <v>79</v>
      </c>
      <c r="G1185" s="5">
        <v>99</v>
      </c>
      <c r="H1185" s="5">
        <v>55</v>
      </c>
      <c r="I1185" s="5"/>
      <c r="J1185" s="4" t="s">
        <v>30</v>
      </c>
      <c r="K1185" s="4" t="s">
        <v>91</v>
      </c>
      <c r="L1185" s="4" t="s">
        <v>368</v>
      </c>
      <c r="M1185" s="5"/>
      <c r="N1185" s="5"/>
      <c r="O1185" s="5" t="b">
        <v>0</v>
      </c>
      <c r="P1185" s="4" t="str">
        <f>IF(A1185="",IF(ISNUMBER(SEARCH("NOT NULL",UPPER(A$3))),"''","null"),SUBSTITUTE(VLOOKUP(A$2,convert!$A$1:$B$4,2,0),"@@@",A1185))</f>
        <v>'0986N01'</v>
      </c>
      <c r="Q1185" s="4" t="str">
        <f>IF(B1185="",IF(ISNUMBER(SEARCH("NOT NULL",UPPER(B$3))),"''","null"),SUBSTITUTE(VLOOKUP(B$2,convert!$A$1:$B$4,2,0),"@@@",B1185))</f>
        <v>'アラブルタケ'</v>
      </c>
      <c r="R1185" s="4" t="str">
        <f>IF(C1185="",IF(ISNUMBER(SEARCH("NOT NULL",UPPER(C$3))),"''","null"),SUBSTITUTE(VLOOKUP(C$2,convert!$A$1:$B$4,2,0),"@@@",C1185))</f>
        <v>111</v>
      </c>
      <c r="S1185" s="4" t="str">
        <f>IF(D1185="",IF(ISNUMBER(SEARCH("NOT NULL",UPPER(D$3))),"''","null"),SUBSTITUTE(VLOOKUP(D$2,convert!$A$1:$B$4,2,0),"@@@",D1185))</f>
        <v>127</v>
      </c>
      <c r="T1185" s="4" t="str">
        <f>IF(E1185="",IF(ISNUMBER(SEARCH("NOT NULL",UPPER(E$3))),"''","null"),SUBSTITUTE(VLOOKUP(E$2,convert!$A$1:$B$4,2,0),"@@@",E1185))</f>
        <v>99</v>
      </c>
      <c r="U1185" s="4" t="str">
        <f>IF(F1185="",IF(ISNUMBER(SEARCH("NOT NULL",UPPER(F$3))),"''","null"),SUBSTITUTE(VLOOKUP(F$2,convert!$A$1:$B$4,2,0),"@@@",F1185))</f>
        <v>79</v>
      </c>
      <c r="V1185" s="4" t="str">
        <f>IF(G1185="",IF(ISNUMBER(SEARCH("NOT NULL",UPPER(G$3))),"''","null"),SUBSTITUTE(VLOOKUP(G$2,convert!$A$1:$B$4,2,0),"@@@",G1185))</f>
        <v>99</v>
      </c>
      <c r="W1185" s="4" t="str">
        <f>IF(H1185="",IF(ISNUMBER(SEARCH("NOT NULL",UPPER(H$3))),"''","null"),SUBSTITUTE(VLOOKUP(H$2,convert!$A$1:$B$4,2,0),"@@@",H1185))</f>
        <v>55</v>
      </c>
      <c r="X1185" s="4" t="str">
        <f>IF(I1185="",IF(ISNUMBER(SEARCH("NOT NULL",UPPER(I$3))),"''","null"),SUBSTITUTE(VLOOKUP(I$2,convert!$A$1:$B$4,2,0),"@@@",I1185))</f>
        <v>''</v>
      </c>
      <c r="Y1185" s="4" t="str">
        <f>IF(J1185="",IF(ISNUMBER(SEARCH("NOT NULL",UPPER(J$3))),"''","null"),SUBSTITUTE(VLOOKUP(J$2,convert!$A$1:$B$4,2,0),"@@@",J1185))</f>
        <v>'grass'</v>
      </c>
      <c r="Z1185" s="4" t="str">
        <f>IF(K1185="",IF(ISNUMBER(SEARCH("NOT NULL",UPPER(K$3))),"''","null"),SUBSTITUTE(VLOOKUP(K$2,convert!$A$1:$B$4,2,0),"@@@",K1185))</f>
        <v>'dark'</v>
      </c>
      <c r="AA1185" s="4" t="str">
        <f>IF(L1185="",IF(ISNUMBER(SEARCH("NOT NULL",UPPER(L$3))),"''","null"),SUBSTITUTE(VLOOKUP(L$2,convert!$A$1:$B$4,2,0),"@@@",L1185))</f>
        <v>'g9'</v>
      </c>
      <c r="AB1185" s="4" t="str">
        <f>IF(M1185="",IF(ISNUMBER(SEARCH("NOT NULL",UPPER(M$3))),"''","null"),SUBSTITUTE(VLOOKUP(M$2,convert!$A$1:$B$4,2,0),"@@@",M1185))</f>
        <v>null</v>
      </c>
      <c r="AC1185" s="4" t="str">
        <f>IF(N1185="",IF(ISNUMBER(SEARCH("NOT NULL",UPPER(N$3))),"''","null"),SUBSTITUTE(VLOOKUP(N$2,convert!$A$1:$B$4,2,0),"@@@",N1185))</f>
        <v>null</v>
      </c>
      <c r="AD1185" s="4" t="str">
        <f>IF(O1185="",IF(ISNUMBER(SEARCH("NOT NULL",UPPER(O$3))),"''","null"),SUBSTITUTE(VLOOKUP(O$2,convert!$A$1:$B$4,2,0),"@@@",O1185))</f>
        <v>FALSE</v>
      </c>
      <c r="AE1185" s="4" t="str">
        <f t="shared" si="18"/>
        <v>    ('0986N01', 'アラブルタケ', 111, 127, 99, 79, 99, 55, '', 'grass', 'dark', 'g9', null, null, FALSE),</v>
      </c>
    </row>
    <row r="1186" spans="1:31">
      <c r="A1186" s="4" t="s">
        <v>2384</v>
      </c>
      <c r="B1186" s="4" t="s">
        <v>2385</v>
      </c>
      <c r="C1186" s="5">
        <v>55</v>
      </c>
      <c r="D1186" s="5">
        <v>55</v>
      </c>
      <c r="E1186" s="5">
        <v>55</v>
      </c>
      <c r="F1186" s="5">
        <v>135</v>
      </c>
      <c r="G1186" s="5">
        <v>135</v>
      </c>
      <c r="H1186" s="5">
        <v>135</v>
      </c>
      <c r="I1186" s="5"/>
      <c r="J1186" s="4" t="s">
        <v>281</v>
      </c>
      <c r="K1186" s="4" t="s">
        <v>137</v>
      </c>
      <c r="L1186" s="4" t="s">
        <v>368</v>
      </c>
      <c r="M1186" s="5"/>
      <c r="N1186" s="5"/>
      <c r="O1186" s="5" t="b">
        <v>0</v>
      </c>
      <c r="P1186" s="4" t="str">
        <f>IF(A1186="",IF(ISNUMBER(SEARCH("NOT NULL",UPPER(A$3))),"''","null"),SUBSTITUTE(VLOOKUP(A$2,convert!$A$1:$B$4,2,0),"@@@",A1186))</f>
        <v>'0987N01'</v>
      </c>
      <c r="Q1186" s="4" t="str">
        <f>IF(B1186="",IF(ISNUMBER(SEARCH("NOT NULL",UPPER(B$3))),"''","null"),SUBSTITUTE(VLOOKUP(B$2,convert!$A$1:$B$4,2,0),"@@@",B1186))</f>
        <v>'ハバタクカミ'</v>
      </c>
      <c r="R1186" s="4" t="str">
        <f>IF(C1186="",IF(ISNUMBER(SEARCH("NOT NULL",UPPER(C$3))),"''","null"),SUBSTITUTE(VLOOKUP(C$2,convert!$A$1:$B$4,2,0),"@@@",C1186))</f>
        <v>55</v>
      </c>
      <c r="S1186" s="4" t="str">
        <f>IF(D1186="",IF(ISNUMBER(SEARCH("NOT NULL",UPPER(D$3))),"''","null"),SUBSTITUTE(VLOOKUP(D$2,convert!$A$1:$B$4,2,0),"@@@",D1186))</f>
        <v>55</v>
      </c>
      <c r="T1186" s="4" t="str">
        <f>IF(E1186="",IF(ISNUMBER(SEARCH("NOT NULL",UPPER(E$3))),"''","null"),SUBSTITUTE(VLOOKUP(E$2,convert!$A$1:$B$4,2,0),"@@@",E1186))</f>
        <v>55</v>
      </c>
      <c r="U1186" s="4" t="str">
        <f>IF(F1186="",IF(ISNUMBER(SEARCH("NOT NULL",UPPER(F$3))),"''","null"),SUBSTITUTE(VLOOKUP(F$2,convert!$A$1:$B$4,2,0),"@@@",F1186))</f>
        <v>135</v>
      </c>
      <c r="V1186" s="4" t="str">
        <f>IF(G1186="",IF(ISNUMBER(SEARCH("NOT NULL",UPPER(G$3))),"''","null"),SUBSTITUTE(VLOOKUP(G$2,convert!$A$1:$B$4,2,0),"@@@",G1186))</f>
        <v>135</v>
      </c>
      <c r="W1186" s="4" t="str">
        <f>IF(H1186="",IF(ISNUMBER(SEARCH("NOT NULL",UPPER(H$3))),"''","null"),SUBSTITUTE(VLOOKUP(H$2,convert!$A$1:$B$4,2,0),"@@@",H1186))</f>
        <v>135</v>
      </c>
      <c r="X1186" s="4" t="str">
        <f>IF(I1186="",IF(ISNUMBER(SEARCH("NOT NULL",UPPER(I$3))),"''","null"),SUBSTITUTE(VLOOKUP(I$2,convert!$A$1:$B$4,2,0),"@@@",I1186))</f>
        <v>''</v>
      </c>
      <c r="Y1186" s="4" t="str">
        <f>IF(J1186="",IF(ISNUMBER(SEARCH("NOT NULL",UPPER(J$3))),"''","null"),SUBSTITUTE(VLOOKUP(J$2,convert!$A$1:$B$4,2,0),"@@@",J1186))</f>
        <v>'ghost'</v>
      </c>
      <c r="Z1186" s="4" t="str">
        <f>IF(K1186="",IF(ISNUMBER(SEARCH("NOT NULL",UPPER(K$3))),"''","null"),SUBSTITUTE(VLOOKUP(K$2,convert!$A$1:$B$4,2,0),"@@@",K1186))</f>
        <v>'fairy'</v>
      </c>
      <c r="AA1186" s="4" t="str">
        <f>IF(L1186="",IF(ISNUMBER(SEARCH("NOT NULL",UPPER(L$3))),"''","null"),SUBSTITUTE(VLOOKUP(L$2,convert!$A$1:$B$4,2,0),"@@@",L1186))</f>
        <v>'g9'</v>
      </c>
      <c r="AB1186" s="4" t="str">
        <f>IF(M1186="",IF(ISNUMBER(SEARCH("NOT NULL",UPPER(M$3))),"''","null"),SUBSTITUTE(VLOOKUP(M$2,convert!$A$1:$B$4,2,0),"@@@",M1186))</f>
        <v>null</v>
      </c>
      <c r="AC1186" s="4" t="str">
        <f>IF(N1186="",IF(ISNUMBER(SEARCH("NOT NULL",UPPER(N$3))),"''","null"),SUBSTITUTE(VLOOKUP(N$2,convert!$A$1:$B$4,2,0),"@@@",N1186))</f>
        <v>null</v>
      </c>
      <c r="AD1186" s="4" t="str">
        <f>IF(O1186="",IF(ISNUMBER(SEARCH("NOT NULL",UPPER(O$3))),"''","null"),SUBSTITUTE(VLOOKUP(O$2,convert!$A$1:$B$4,2,0),"@@@",O1186))</f>
        <v>FALSE</v>
      </c>
      <c r="AE1186" s="4" t="str">
        <f t="shared" si="18"/>
        <v>    ('0987N01', 'ハバタクカミ', 55, 55, 55, 135, 135, 135, '', 'ghost', 'fairy', 'g9', null, null, FALSE),</v>
      </c>
    </row>
    <row r="1187" spans="1:31">
      <c r="A1187" s="4" t="s">
        <v>2386</v>
      </c>
      <c r="B1187" s="4" t="s">
        <v>2387</v>
      </c>
      <c r="C1187" s="5">
        <v>85</v>
      </c>
      <c r="D1187" s="5">
        <v>135</v>
      </c>
      <c r="E1187" s="5">
        <v>79</v>
      </c>
      <c r="F1187" s="5">
        <v>85</v>
      </c>
      <c r="G1187" s="5">
        <v>105</v>
      </c>
      <c r="H1187" s="5">
        <v>81</v>
      </c>
      <c r="I1187" s="5"/>
      <c r="J1187" s="4" t="s">
        <v>64</v>
      </c>
      <c r="K1187" s="4" t="s">
        <v>189</v>
      </c>
      <c r="L1187" s="4" t="s">
        <v>368</v>
      </c>
      <c r="M1187" s="5"/>
      <c r="N1187" s="5"/>
      <c r="O1187" s="5" t="b">
        <v>0</v>
      </c>
      <c r="P1187" s="4" t="str">
        <f>IF(A1187="",IF(ISNUMBER(SEARCH("NOT NULL",UPPER(A$3))),"''","null"),SUBSTITUTE(VLOOKUP(A$2,convert!$A$1:$B$4,2,0),"@@@",A1187))</f>
        <v>'0988N01'</v>
      </c>
      <c r="Q1187" s="4" t="str">
        <f>IF(B1187="",IF(ISNUMBER(SEARCH("NOT NULL",UPPER(B$3))),"''","null"),SUBSTITUTE(VLOOKUP(B$2,convert!$A$1:$B$4,2,0),"@@@",B1187))</f>
        <v>'チヲハウハネ'</v>
      </c>
      <c r="R1187" s="4" t="str">
        <f>IF(C1187="",IF(ISNUMBER(SEARCH("NOT NULL",UPPER(C$3))),"''","null"),SUBSTITUTE(VLOOKUP(C$2,convert!$A$1:$B$4,2,0),"@@@",C1187))</f>
        <v>85</v>
      </c>
      <c r="S1187" s="4" t="str">
        <f>IF(D1187="",IF(ISNUMBER(SEARCH("NOT NULL",UPPER(D$3))),"''","null"),SUBSTITUTE(VLOOKUP(D$2,convert!$A$1:$B$4,2,0),"@@@",D1187))</f>
        <v>135</v>
      </c>
      <c r="T1187" s="4" t="str">
        <f>IF(E1187="",IF(ISNUMBER(SEARCH("NOT NULL",UPPER(E$3))),"''","null"),SUBSTITUTE(VLOOKUP(E$2,convert!$A$1:$B$4,2,0),"@@@",E1187))</f>
        <v>79</v>
      </c>
      <c r="U1187" s="4" t="str">
        <f>IF(F1187="",IF(ISNUMBER(SEARCH("NOT NULL",UPPER(F$3))),"''","null"),SUBSTITUTE(VLOOKUP(F$2,convert!$A$1:$B$4,2,0),"@@@",F1187))</f>
        <v>85</v>
      </c>
      <c r="V1187" s="4" t="str">
        <f>IF(G1187="",IF(ISNUMBER(SEARCH("NOT NULL",UPPER(G$3))),"''","null"),SUBSTITUTE(VLOOKUP(G$2,convert!$A$1:$B$4,2,0),"@@@",G1187))</f>
        <v>105</v>
      </c>
      <c r="W1187" s="4" t="str">
        <f>IF(H1187="",IF(ISNUMBER(SEARCH("NOT NULL",UPPER(H$3))),"''","null"),SUBSTITUTE(VLOOKUP(H$2,convert!$A$1:$B$4,2,0),"@@@",H1187))</f>
        <v>81</v>
      </c>
      <c r="X1187" s="4" t="str">
        <f>IF(I1187="",IF(ISNUMBER(SEARCH("NOT NULL",UPPER(I$3))),"''","null"),SUBSTITUTE(VLOOKUP(I$2,convert!$A$1:$B$4,2,0),"@@@",I1187))</f>
        <v>''</v>
      </c>
      <c r="Y1187" s="4" t="str">
        <f>IF(J1187="",IF(ISNUMBER(SEARCH("NOT NULL",UPPER(J$3))),"''","null"),SUBSTITUTE(VLOOKUP(J$2,convert!$A$1:$B$4,2,0),"@@@",J1187))</f>
        <v>'bug'</v>
      </c>
      <c r="Z1187" s="4" t="str">
        <f>IF(K1187="",IF(ISNUMBER(SEARCH("NOT NULL",UPPER(K$3))),"''","null"),SUBSTITUTE(VLOOKUP(K$2,convert!$A$1:$B$4,2,0),"@@@",K1187))</f>
        <v>'fighting'</v>
      </c>
      <c r="AA1187" s="4" t="str">
        <f>IF(L1187="",IF(ISNUMBER(SEARCH("NOT NULL",UPPER(L$3))),"''","null"),SUBSTITUTE(VLOOKUP(L$2,convert!$A$1:$B$4,2,0),"@@@",L1187))</f>
        <v>'g9'</v>
      </c>
      <c r="AB1187" s="4" t="str">
        <f>IF(M1187="",IF(ISNUMBER(SEARCH("NOT NULL",UPPER(M$3))),"''","null"),SUBSTITUTE(VLOOKUP(M$2,convert!$A$1:$B$4,2,0),"@@@",M1187))</f>
        <v>null</v>
      </c>
      <c r="AC1187" s="4" t="str">
        <f>IF(N1187="",IF(ISNUMBER(SEARCH("NOT NULL",UPPER(N$3))),"''","null"),SUBSTITUTE(VLOOKUP(N$2,convert!$A$1:$B$4,2,0),"@@@",N1187))</f>
        <v>null</v>
      </c>
      <c r="AD1187" s="4" t="str">
        <f>IF(O1187="",IF(ISNUMBER(SEARCH("NOT NULL",UPPER(O$3))),"''","null"),SUBSTITUTE(VLOOKUP(O$2,convert!$A$1:$B$4,2,0),"@@@",O1187))</f>
        <v>FALSE</v>
      </c>
      <c r="AE1187" s="4" t="str">
        <f t="shared" si="18"/>
        <v>    ('0988N01', 'チヲハウハネ', 85, 135, 79, 85, 105, 81, '', 'bug', 'fighting', 'g9', null, null, FALSE),</v>
      </c>
    </row>
    <row r="1188" spans="1:31">
      <c r="A1188" s="4" t="s">
        <v>2388</v>
      </c>
      <c r="B1188" s="4" t="s">
        <v>2389</v>
      </c>
      <c r="C1188" s="5">
        <v>85</v>
      </c>
      <c r="D1188" s="5">
        <v>81</v>
      </c>
      <c r="E1188" s="5">
        <v>97</v>
      </c>
      <c r="F1188" s="5">
        <v>121</v>
      </c>
      <c r="G1188" s="5">
        <v>85</v>
      </c>
      <c r="H1188" s="5">
        <v>101</v>
      </c>
      <c r="I1188" s="5"/>
      <c r="J1188" s="4" t="s">
        <v>106</v>
      </c>
      <c r="K1188" s="4" t="s">
        <v>116</v>
      </c>
      <c r="L1188" s="4" t="s">
        <v>368</v>
      </c>
      <c r="M1188" s="5"/>
      <c r="N1188" s="5"/>
      <c r="O1188" s="5" t="b">
        <v>0</v>
      </c>
      <c r="P1188" s="4" t="str">
        <f>IF(A1188="",IF(ISNUMBER(SEARCH("NOT NULL",UPPER(A$3))),"''","null"),SUBSTITUTE(VLOOKUP(A$2,convert!$A$1:$B$4,2,0),"@@@",A1188))</f>
        <v>'0989N01'</v>
      </c>
      <c r="Q1188" s="4" t="str">
        <f>IF(B1188="",IF(ISNUMBER(SEARCH("NOT NULL",UPPER(B$3))),"''","null"),SUBSTITUTE(VLOOKUP(B$2,convert!$A$1:$B$4,2,0),"@@@",B1188))</f>
        <v>'スナノケガワ'</v>
      </c>
      <c r="R1188" s="4" t="str">
        <f>IF(C1188="",IF(ISNUMBER(SEARCH("NOT NULL",UPPER(C$3))),"''","null"),SUBSTITUTE(VLOOKUP(C$2,convert!$A$1:$B$4,2,0),"@@@",C1188))</f>
        <v>85</v>
      </c>
      <c r="S1188" s="4" t="str">
        <f>IF(D1188="",IF(ISNUMBER(SEARCH("NOT NULL",UPPER(D$3))),"''","null"),SUBSTITUTE(VLOOKUP(D$2,convert!$A$1:$B$4,2,0),"@@@",D1188))</f>
        <v>81</v>
      </c>
      <c r="T1188" s="4" t="str">
        <f>IF(E1188="",IF(ISNUMBER(SEARCH("NOT NULL",UPPER(E$3))),"''","null"),SUBSTITUTE(VLOOKUP(E$2,convert!$A$1:$B$4,2,0),"@@@",E1188))</f>
        <v>97</v>
      </c>
      <c r="U1188" s="4" t="str">
        <f>IF(F1188="",IF(ISNUMBER(SEARCH("NOT NULL",UPPER(F$3))),"''","null"),SUBSTITUTE(VLOOKUP(F$2,convert!$A$1:$B$4,2,0),"@@@",F1188))</f>
        <v>121</v>
      </c>
      <c r="V1188" s="4" t="str">
        <f>IF(G1188="",IF(ISNUMBER(SEARCH("NOT NULL",UPPER(G$3))),"''","null"),SUBSTITUTE(VLOOKUP(G$2,convert!$A$1:$B$4,2,0),"@@@",G1188))</f>
        <v>85</v>
      </c>
      <c r="W1188" s="4" t="str">
        <f>IF(H1188="",IF(ISNUMBER(SEARCH("NOT NULL",UPPER(H$3))),"''","null"),SUBSTITUTE(VLOOKUP(H$2,convert!$A$1:$B$4,2,0),"@@@",H1188))</f>
        <v>101</v>
      </c>
      <c r="X1188" s="4" t="str">
        <f>IF(I1188="",IF(ISNUMBER(SEARCH("NOT NULL",UPPER(I$3))),"''","null"),SUBSTITUTE(VLOOKUP(I$2,convert!$A$1:$B$4,2,0),"@@@",I1188))</f>
        <v>''</v>
      </c>
      <c r="Y1188" s="4" t="str">
        <f>IF(J1188="",IF(ISNUMBER(SEARCH("NOT NULL",UPPER(J$3))),"''","null"),SUBSTITUTE(VLOOKUP(J$2,convert!$A$1:$B$4,2,0),"@@@",J1188))</f>
        <v>'electric'</v>
      </c>
      <c r="Z1188" s="4" t="str">
        <f>IF(K1188="",IF(ISNUMBER(SEARCH("NOT NULL",UPPER(K$3))),"''","null"),SUBSTITUTE(VLOOKUP(K$2,convert!$A$1:$B$4,2,0),"@@@",K1188))</f>
        <v>'ground'</v>
      </c>
      <c r="AA1188" s="4" t="str">
        <f>IF(L1188="",IF(ISNUMBER(SEARCH("NOT NULL",UPPER(L$3))),"''","null"),SUBSTITUTE(VLOOKUP(L$2,convert!$A$1:$B$4,2,0),"@@@",L1188))</f>
        <v>'g9'</v>
      </c>
      <c r="AB1188" s="4" t="str">
        <f>IF(M1188="",IF(ISNUMBER(SEARCH("NOT NULL",UPPER(M$3))),"''","null"),SUBSTITUTE(VLOOKUP(M$2,convert!$A$1:$B$4,2,0),"@@@",M1188))</f>
        <v>null</v>
      </c>
      <c r="AC1188" s="4" t="str">
        <f>IF(N1188="",IF(ISNUMBER(SEARCH("NOT NULL",UPPER(N$3))),"''","null"),SUBSTITUTE(VLOOKUP(N$2,convert!$A$1:$B$4,2,0),"@@@",N1188))</f>
        <v>null</v>
      </c>
      <c r="AD1188" s="4" t="str">
        <f>IF(O1188="",IF(ISNUMBER(SEARCH("NOT NULL",UPPER(O$3))),"''","null"),SUBSTITUTE(VLOOKUP(O$2,convert!$A$1:$B$4,2,0),"@@@",O1188))</f>
        <v>FALSE</v>
      </c>
      <c r="AE1188" s="4" t="str">
        <f t="shared" si="18"/>
        <v>    ('0989N01', 'スナノケガワ', 85, 81, 97, 121, 85, 101, '', 'electric', 'ground', 'g9', null, null, FALSE),</v>
      </c>
    </row>
    <row r="1189" spans="1:31">
      <c r="A1189" s="4" t="s">
        <v>2390</v>
      </c>
      <c r="B1189" s="4" t="s">
        <v>2391</v>
      </c>
      <c r="C1189" s="5">
        <v>90</v>
      </c>
      <c r="D1189" s="5">
        <v>112</v>
      </c>
      <c r="E1189" s="5">
        <v>120</v>
      </c>
      <c r="F1189" s="5">
        <v>72</v>
      </c>
      <c r="G1189" s="5">
        <v>70</v>
      </c>
      <c r="H1189" s="5">
        <v>106</v>
      </c>
      <c r="I1189" s="5"/>
      <c r="J1189" s="4" t="s">
        <v>116</v>
      </c>
      <c r="K1189" s="4" t="s">
        <v>119</v>
      </c>
      <c r="L1189" s="4" t="s">
        <v>368</v>
      </c>
      <c r="M1189" s="5"/>
      <c r="N1189" s="5"/>
      <c r="O1189" s="5" t="b">
        <v>0</v>
      </c>
      <c r="P1189" s="4" t="str">
        <f>IF(A1189="",IF(ISNUMBER(SEARCH("NOT NULL",UPPER(A$3))),"''","null"),SUBSTITUTE(VLOOKUP(A$2,convert!$A$1:$B$4,2,0),"@@@",A1189))</f>
        <v>'0990N01'</v>
      </c>
      <c r="Q1189" s="4" t="str">
        <f>IF(B1189="",IF(ISNUMBER(SEARCH("NOT NULL",UPPER(B$3))),"''","null"),SUBSTITUTE(VLOOKUP(B$2,convert!$A$1:$B$4,2,0),"@@@",B1189))</f>
        <v>'テツノワダチ'</v>
      </c>
      <c r="R1189" s="4" t="str">
        <f>IF(C1189="",IF(ISNUMBER(SEARCH("NOT NULL",UPPER(C$3))),"''","null"),SUBSTITUTE(VLOOKUP(C$2,convert!$A$1:$B$4,2,0),"@@@",C1189))</f>
        <v>90</v>
      </c>
      <c r="S1189" s="4" t="str">
        <f>IF(D1189="",IF(ISNUMBER(SEARCH("NOT NULL",UPPER(D$3))),"''","null"),SUBSTITUTE(VLOOKUP(D$2,convert!$A$1:$B$4,2,0),"@@@",D1189))</f>
        <v>112</v>
      </c>
      <c r="T1189" s="4" t="str">
        <f>IF(E1189="",IF(ISNUMBER(SEARCH("NOT NULL",UPPER(E$3))),"''","null"),SUBSTITUTE(VLOOKUP(E$2,convert!$A$1:$B$4,2,0),"@@@",E1189))</f>
        <v>120</v>
      </c>
      <c r="U1189" s="4" t="str">
        <f>IF(F1189="",IF(ISNUMBER(SEARCH("NOT NULL",UPPER(F$3))),"''","null"),SUBSTITUTE(VLOOKUP(F$2,convert!$A$1:$B$4,2,0),"@@@",F1189))</f>
        <v>72</v>
      </c>
      <c r="V1189" s="4" t="str">
        <f>IF(G1189="",IF(ISNUMBER(SEARCH("NOT NULL",UPPER(G$3))),"''","null"),SUBSTITUTE(VLOOKUP(G$2,convert!$A$1:$B$4,2,0),"@@@",G1189))</f>
        <v>70</v>
      </c>
      <c r="W1189" s="4" t="str">
        <f>IF(H1189="",IF(ISNUMBER(SEARCH("NOT NULL",UPPER(H$3))),"''","null"),SUBSTITUTE(VLOOKUP(H$2,convert!$A$1:$B$4,2,0),"@@@",H1189))</f>
        <v>106</v>
      </c>
      <c r="X1189" s="4" t="str">
        <f>IF(I1189="",IF(ISNUMBER(SEARCH("NOT NULL",UPPER(I$3))),"''","null"),SUBSTITUTE(VLOOKUP(I$2,convert!$A$1:$B$4,2,0),"@@@",I1189))</f>
        <v>''</v>
      </c>
      <c r="Y1189" s="4" t="str">
        <f>IF(J1189="",IF(ISNUMBER(SEARCH("NOT NULL",UPPER(J$3))),"''","null"),SUBSTITUTE(VLOOKUP(J$2,convert!$A$1:$B$4,2,0),"@@@",J1189))</f>
        <v>'ground'</v>
      </c>
      <c r="Z1189" s="4" t="str">
        <f>IF(K1189="",IF(ISNUMBER(SEARCH("NOT NULL",UPPER(K$3))),"''","null"),SUBSTITUTE(VLOOKUP(K$2,convert!$A$1:$B$4,2,0),"@@@",K1189))</f>
        <v>'steel'</v>
      </c>
      <c r="AA1189" s="4" t="str">
        <f>IF(L1189="",IF(ISNUMBER(SEARCH("NOT NULL",UPPER(L$3))),"''","null"),SUBSTITUTE(VLOOKUP(L$2,convert!$A$1:$B$4,2,0),"@@@",L1189))</f>
        <v>'g9'</v>
      </c>
      <c r="AB1189" s="4" t="str">
        <f>IF(M1189="",IF(ISNUMBER(SEARCH("NOT NULL",UPPER(M$3))),"''","null"),SUBSTITUTE(VLOOKUP(M$2,convert!$A$1:$B$4,2,0),"@@@",M1189))</f>
        <v>null</v>
      </c>
      <c r="AC1189" s="4" t="str">
        <f>IF(N1189="",IF(ISNUMBER(SEARCH("NOT NULL",UPPER(N$3))),"''","null"),SUBSTITUTE(VLOOKUP(N$2,convert!$A$1:$B$4,2,0),"@@@",N1189))</f>
        <v>null</v>
      </c>
      <c r="AD1189" s="4" t="str">
        <f>IF(O1189="",IF(ISNUMBER(SEARCH("NOT NULL",UPPER(O$3))),"''","null"),SUBSTITUTE(VLOOKUP(O$2,convert!$A$1:$B$4,2,0),"@@@",O1189))</f>
        <v>FALSE</v>
      </c>
      <c r="AE1189" s="4" t="str">
        <f t="shared" si="18"/>
        <v>    ('0990N01', 'テツノワダチ', 90, 112, 120, 72, 70, 106, '', 'ground', 'steel', 'g9', null, null, FALSE),</v>
      </c>
    </row>
    <row r="1190" spans="1:31">
      <c r="A1190" s="4" t="s">
        <v>2392</v>
      </c>
      <c r="B1190" s="4" t="s">
        <v>2393</v>
      </c>
      <c r="C1190" s="5">
        <v>56</v>
      </c>
      <c r="D1190" s="5">
        <v>80</v>
      </c>
      <c r="E1190" s="5">
        <v>114</v>
      </c>
      <c r="F1190" s="5">
        <v>124</v>
      </c>
      <c r="G1190" s="5">
        <v>60</v>
      </c>
      <c r="H1190" s="5">
        <v>136</v>
      </c>
      <c r="I1190" s="5"/>
      <c r="J1190" s="4" t="s">
        <v>118</v>
      </c>
      <c r="K1190" s="4" t="s">
        <v>55</v>
      </c>
      <c r="L1190" s="4" t="s">
        <v>368</v>
      </c>
      <c r="M1190" s="5"/>
      <c r="N1190" s="5"/>
      <c r="O1190" s="5" t="b">
        <v>0</v>
      </c>
      <c r="P1190" s="4" t="str">
        <f>IF(A1190="",IF(ISNUMBER(SEARCH("NOT NULL",UPPER(A$3))),"''","null"),SUBSTITUTE(VLOOKUP(A$2,convert!$A$1:$B$4,2,0),"@@@",A1190))</f>
        <v>'0991N01'</v>
      </c>
      <c r="Q1190" s="4" t="str">
        <f>IF(B1190="",IF(ISNUMBER(SEARCH("NOT NULL",UPPER(B$3))),"''","null"),SUBSTITUTE(VLOOKUP(B$2,convert!$A$1:$B$4,2,0),"@@@",B1190))</f>
        <v>'テツノツツミ'</v>
      </c>
      <c r="R1190" s="4" t="str">
        <f>IF(C1190="",IF(ISNUMBER(SEARCH("NOT NULL",UPPER(C$3))),"''","null"),SUBSTITUTE(VLOOKUP(C$2,convert!$A$1:$B$4,2,0),"@@@",C1190))</f>
        <v>56</v>
      </c>
      <c r="S1190" s="4" t="str">
        <f>IF(D1190="",IF(ISNUMBER(SEARCH("NOT NULL",UPPER(D$3))),"''","null"),SUBSTITUTE(VLOOKUP(D$2,convert!$A$1:$B$4,2,0),"@@@",D1190))</f>
        <v>80</v>
      </c>
      <c r="T1190" s="4" t="str">
        <f>IF(E1190="",IF(ISNUMBER(SEARCH("NOT NULL",UPPER(E$3))),"''","null"),SUBSTITUTE(VLOOKUP(E$2,convert!$A$1:$B$4,2,0),"@@@",E1190))</f>
        <v>114</v>
      </c>
      <c r="U1190" s="4" t="str">
        <f>IF(F1190="",IF(ISNUMBER(SEARCH("NOT NULL",UPPER(F$3))),"''","null"),SUBSTITUTE(VLOOKUP(F$2,convert!$A$1:$B$4,2,0),"@@@",F1190))</f>
        <v>124</v>
      </c>
      <c r="V1190" s="4" t="str">
        <f>IF(G1190="",IF(ISNUMBER(SEARCH("NOT NULL",UPPER(G$3))),"''","null"),SUBSTITUTE(VLOOKUP(G$2,convert!$A$1:$B$4,2,0),"@@@",G1190))</f>
        <v>60</v>
      </c>
      <c r="W1190" s="4" t="str">
        <f>IF(H1190="",IF(ISNUMBER(SEARCH("NOT NULL",UPPER(H$3))),"''","null"),SUBSTITUTE(VLOOKUP(H$2,convert!$A$1:$B$4,2,0),"@@@",H1190))</f>
        <v>136</v>
      </c>
      <c r="X1190" s="4" t="str">
        <f>IF(I1190="",IF(ISNUMBER(SEARCH("NOT NULL",UPPER(I$3))),"''","null"),SUBSTITUTE(VLOOKUP(I$2,convert!$A$1:$B$4,2,0),"@@@",I1190))</f>
        <v>''</v>
      </c>
      <c r="Y1190" s="4" t="str">
        <f>IF(J1190="",IF(ISNUMBER(SEARCH("NOT NULL",UPPER(J$3))),"''","null"),SUBSTITUTE(VLOOKUP(J$2,convert!$A$1:$B$4,2,0),"@@@",J1190))</f>
        <v>'ice'</v>
      </c>
      <c r="Z1190" s="4" t="str">
        <f>IF(K1190="",IF(ISNUMBER(SEARCH("NOT NULL",UPPER(K$3))),"''","null"),SUBSTITUTE(VLOOKUP(K$2,convert!$A$1:$B$4,2,0),"@@@",K1190))</f>
        <v>'water'</v>
      </c>
      <c r="AA1190" s="4" t="str">
        <f>IF(L1190="",IF(ISNUMBER(SEARCH("NOT NULL",UPPER(L$3))),"''","null"),SUBSTITUTE(VLOOKUP(L$2,convert!$A$1:$B$4,2,0),"@@@",L1190))</f>
        <v>'g9'</v>
      </c>
      <c r="AB1190" s="4" t="str">
        <f>IF(M1190="",IF(ISNUMBER(SEARCH("NOT NULL",UPPER(M$3))),"''","null"),SUBSTITUTE(VLOOKUP(M$2,convert!$A$1:$B$4,2,0),"@@@",M1190))</f>
        <v>null</v>
      </c>
      <c r="AC1190" s="4" t="str">
        <f>IF(N1190="",IF(ISNUMBER(SEARCH("NOT NULL",UPPER(N$3))),"''","null"),SUBSTITUTE(VLOOKUP(N$2,convert!$A$1:$B$4,2,0),"@@@",N1190))</f>
        <v>null</v>
      </c>
      <c r="AD1190" s="4" t="str">
        <f>IF(O1190="",IF(ISNUMBER(SEARCH("NOT NULL",UPPER(O$3))),"''","null"),SUBSTITUTE(VLOOKUP(O$2,convert!$A$1:$B$4,2,0),"@@@",O1190))</f>
        <v>FALSE</v>
      </c>
      <c r="AE1190" s="4" t="str">
        <f t="shared" si="18"/>
        <v>    ('0991N01', 'テツノツツミ', 56, 80, 114, 124, 60, 136, '', 'ice', 'water', 'g9', null, null, FALSE),</v>
      </c>
    </row>
    <row r="1191" spans="1:31">
      <c r="A1191" s="4" t="s">
        <v>2394</v>
      </c>
      <c r="B1191" s="4" t="s">
        <v>2395</v>
      </c>
      <c r="C1191" s="5">
        <v>154</v>
      </c>
      <c r="D1191" s="5">
        <v>140</v>
      </c>
      <c r="E1191" s="5">
        <v>108</v>
      </c>
      <c r="F1191" s="5">
        <v>50</v>
      </c>
      <c r="G1191" s="5">
        <v>68</v>
      </c>
      <c r="H1191" s="5">
        <v>50</v>
      </c>
      <c r="I1191" s="5"/>
      <c r="J1191" s="4" t="s">
        <v>189</v>
      </c>
      <c r="K1191" s="4" t="s">
        <v>106</v>
      </c>
      <c r="L1191" s="4" t="s">
        <v>368</v>
      </c>
      <c r="M1191" s="5"/>
      <c r="N1191" s="5"/>
      <c r="O1191" s="5" t="b">
        <v>0</v>
      </c>
      <c r="P1191" s="4" t="str">
        <f>IF(A1191="",IF(ISNUMBER(SEARCH("NOT NULL",UPPER(A$3))),"''","null"),SUBSTITUTE(VLOOKUP(A$2,convert!$A$1:$B$4,2,0),"@@@",A1191))</f>
        <v>'0992N01'</v>
      </c>
      <c r="Q1191" s="4" t="str">
        <f>IF(B1191="",IF(ISNUMBER(SEARCH("NOT NULL",UPPER(B$3))),"''","null"),SUBSTITUTE(VLOOKUP(B$2,convert!$A$1:$B$4,2,0),"@@@",B1191))</f>
        <v>'テツノカイナ'</v>
      </c>
      <c r="R1191" s="4" t="str">
        <f>IF(C1191="",IF(ISNUMBER(SEARCH("NOT NULL",UPPER(C$3))),"''","null"),SUBSTITUTE(VLOOKUP(C$2,convert!$A$1:$B$4,2,0),"@@@",C1191))</f>
        <v>154</v>
      </c>
      <c r="S1191" s="4" t="str">
        <f>IF(D1191="",IF(ISNUMBER(SEARCH("NOT NULL",UPPER(D$3))),"''","null"),SUBSTITUTE(VLOOKUP(D$2,convert!$A$1:$B$4,2,0),"@@@",D1191))</f>
        <v>140</v>
      </c>
      <c r="T1191" s="4" t="str">
        <f>IF(E1191="",IF(ISNUMBER(SEARCH("NOT NULL",UPPER(E$3))),"''","null"),SUBSTITUTE(VLOOKUP(E$2,convert!$A$1:$B$4,2,0),"@@@",E1191))</f>
        <v>108</v>
      </c>
      <c r="U1191" s="4" t="str">
        <f>IF(F1191="",IF(ISNUMBER(SEARCH("NOT NULL",UPPER(F$3))),"''","null"),SUBSTITUTE(VLOOKUP(F$2,convert!$A$1:$B$4,2,0),"@@@",F1191))</f>
        <v>50</v>
      </c>
      <c r="V1191" s="4" t="str">
        <f>IF(G1191="",IF(ISNUMBER(SEARCH("NOT NULL",UPPER(G$3))),"''","null"),SUBSTITUTE(VLOOKUP(G$2,convert!$A$1:$B$4,2,0),"@@@",G1191))</f>
        <v>68</v>
      </c>
      <c r="W1191" s="4" t="str">
        <f>IF(H1191="",IF(ISNUMBER(SEARCH("NOT NULL",UPPER(H$3))),"''","null"),SUBSTITUTE(VLOOKUP(H$2,convert!$A$1:$B$4,2,0),"@@@",H1191))</f>
        <v>50</v>
      </c>
      <c r="X1191" s="4" t="str">
        <f>IF(I1191="",IF(ISNUMBER(SEARCH("NOT NULL",UPPER(I$3))),"''","null"),SUBSTITUTE(VLOOKUP(I$2,convert!$A$1:$B$4,2,0),"@@@",I1191))</f>
        <v>''</v>
      </c>
      <c r="Y1191" s="4" t="str">
        <f>IF(J1191="",IF(ISNUMBER(SEARCH("NOT NULL",UPPER(J$3))),"''","null"),SUBSTITUTE(VLOOKUP(J$2,convert!$A$1:$B$4,2,0),"@@@",J1191))</f>
        <v>'fighting'</v>
      </c>
      <c r="Z1191" s="4" t="str">
        <f>IF(K1191="",IF(ISNUMBER(SEARCH("NOT NULL",UPPER(K$3))),"''","null"),SUBSTITUTE(VLOOKUP(K$2,convert!$A$1:$B$4,2,0),"@@@",K1191))</f>
        <v>'electric'</v>
      </c>
      <c r="AA1191" s="4" t="str">
        <f>IF(L1191="",IF(ISNUMBER(SEARCH("NOT NULL",UPPER(L$3))),"''","null"),SUBSTITUTE(VLOOKUP(L$2,convert!$A$1:$B$4,2,0),"@@@",L1191))</f>
        <v>'g9'</v>
      </c>
      <c r="AB1191" s="4" t="str">
        <f>IF(M1191="",IF(ISNUMBER(SEARCH("NOT NULL",UPPER(M$3))),"''","null"),SUBSTITUTE(VLOOKUP(M$2,convert!$A$1:$B$4,2,0),"@@@",M1191))</f>
        <v>null</v>
      </c>
      <c r="AC1191" s="4" t="str">
        <f>IF(N1191="",IF(ISNUMBER(SEARCH("NOT NULL",UPPER(N$3))),"''","null"),SUBSTITUTE(VLOOKUP(N$2,convert!$A$1:$B$4,2,0),"@@@",N1191))</f>
        <v>null</v>
      </c>
      <c r="AD1191" s="4" t="str">
        <f>IF(O1191="",IF(ISNUMBER(SEARCH("NOT NULL",UPPER(O$3))),"''","null"),SUBSTITUTE(VLOOKUP(O$2,convert!$A$1:$B$4,2,0),"@@@",O1191))</f>
        <v>FALSE</v>
      </c>
      <c r="AE1191" s="4" t="str">
        <f t="shared" si="18"/>
        <v>    ('0992N01', 'テツノカイナ', 154, 140, 108, 50, 68, 50, '', 'fighting', 'electric', 'g9', null, null, FALSE),</v>
      </c>
    </row>
    <row r="1192" spans="1:31">
      <c r="A1192" s="4" t="s">
        <v>2396</v>
      </c>
      <c r="B1192" s="4" t="s">
        <v>2397</v>
      </c>
      <c r="C1192" s="5">
        <v>94</v>
      </c>
      <c r="D1192" s="5">
        <v>80</v>
      </c>
      <c r="E1192" s="5">
        <v>86</v>
      </c>
      <c r="F1192" s="5">
        <v>122</v>
      </c>
      <c r="G1192" s="5">
        <v>80</v>
      </c>
      <c r="H1192" s="5">
        <v>108</v>
      </c>
      <c r="I1192" s="5"/>
      <c r="J1192" s="4" t="s">
        <v>91</v>
      </c>
      <c r="K1192" s="4" t="s">
        <v>47</v>
      </c>
      <c r="L1192" s="4" t="s">
        <v>368</v>
      </c>
      <c r="M1192" s="5"/>
      <c r="N1192" s="5"/>
      <c r="O1192" s="5" t="b">
        <v>0</v>
      </c>
      <c r="P1192" s="4" t="str">
        <f>IF(A1192="",IF(ISNUMBER(SEARCH("NOT NULL",UPPER(A$3))),"''","null"),SUBSTITUTE(VLOOKUP(A$2,convert!$A$1:$B$4,2,0),"@@@",A1192))</f>
        <v>'0993N01'</v>
      </c>
      <c r="Q1192" s="4" t="str">
        <f>IF(B1192="",IF(ISNUMBER(SEARCH("NOT NULL",UPPER(B$3))),"''","null"),SUBSTITUTE(VLOOKUP(B$2,convert!$A$1:$B$4,2,0),"@@@",B1192))</f>
        <v>'テツノコウベ'</v>
      </c>
      <c r="R1192" s="4" t="str">
        <f>IF(C1192="",IF(ISNUMBER(SEARCH("NOT NULL",UPPER(C$3))),"''","null"),SUBSTITUTE(VLOOKUP(C$2,convert!$A$1:$B$4,2,0),"@@@",C1192))</f>
        <v>94</v>
      </c>
      <c r="S1192" s="4" t="str">
        <f>IF(D1192="",IF(ISNUMBER(SEARCH("NOT NULL",UPPER(D$3))),"''","null"),SUBSTITUTE(VLOOKUP(D$2,convert!$A$1:$B$4,2,0),"@@@",D1192))</f>
        <v>80</v>
      </c>
      <c r="T1192" s="4" t="str">
        <f>IF(E1192="",IF(ISNUMBER(SEARCH("NOT NULL",UPPER(E$3))),"''","null"),SUBSTITUTE(VLOOKUP(E$2,convert!$A$1:$B$4,2,0),"@@@",E1192))</f>
        <v>86</v>
      </c>
      <c r="U1192" s="4" t="str">
        <f>IF(F1192="",IF(ISNUMBER(SEARCH("NOT NULL",UPPER(F$3))),"''","null"),SUBSTITUTE(VLOOKUP(F$2,convert!$A$1:$B$4,2,0),"@@@",F1192))</f>
        <v>122</v>
      </c>
      <c r="V1192" s="4" t="str">
        <f>IF(G1192="",IF(ISNUMBER(SEARCH("NOT NULL",UPPER(G$3))),"''","null"),SUBSTITUTE(VLOOKUP(G$2,convert!$A$1:$B$4,2,0),"@@@",G1192))</f>
        <v>80</v>
      </c>
      <c r="W1192" s="4" t="str">
        <f>IF(H1192="",IF(ISNUMBER(SEARCH("NOT NULL",UPPER(H$3))),"''","null"),SUBSTITUTE(VLOOKUP(H$2,convert!$A$1:$B$4,2,0),"@@@",H1192))</f>
        <v>108</v>
      </c>
      <c r="X1192" s="4" t="str">
        <f>IF(I1192="",IF(ISNUMBER(SEARCH("NOT NULL",UPPER(I$3))),"''","null"),SUBSTITUTE(VLOOKUP(I$2,convert!$A$1:$B$4,2,0),"@@@",I1192))</f>
        <v>''</v>
      </c>
      <c r="Y1192" s="4" t="str">
        <f>IF(J1192="",IF(ISNUMBER(SEARCH("NOT NULL",UPPER(J$3))),"''","null"),SUBSTITUTE(VLOOKUP(J$2,convert!$A$1:$B$4,2,0),"@@@",J1192))</f>
        <v>'dark'</v>
      </c>
      <c r="Z1192" s="4" t="str">
        <f>IF(K1192="",IF(ISNUMBER(SEARCH("NOT NULL",UPPER(K$3))),"''","null"),SUBSTITUTE(VLOOKUP(K$2,convert!$A$1:$B$4,2,0),"@@@",K1192))</f>
        <v>'flying'</v>
      </c>
      <c r="AA1192" s="4" t="str">
        <f>IF(L1192="",IF(ISNUMBER(SEARCH("NOT NULL",UPPER(L$3))),"''","null"),SUBSTITUTE(VLOOKUP(L$2,convert!$A$1:$B$4,2,0),"@@@",L1192))</f>
        <v>'g9'</v>
      </c>
      <c r="AB1192" s="4" t="str">
        <f>IF(M1192="",IF(ISNUMBER(SEARCH("NOT NULL",UPPER(M$3))),"''","null"),SUBSTITUTE(VLOOKUP(M$2,convert!$A$1:$B$4,2,0),"@@@",M1192))</f>
        <v>null</v>
      </c>
      <c r="AC1192" s="4" t="str">
        <f>IF(N1192="",IF(ISNUMBER(SEARCH("NOT NULL",UPPER(N$3))),"''","null"),SUBSTITUTE(VLOOKUP(N$2,convert!$A$1:$B$4,2,0),"@@@",N1192))</f>
        <v>null</v>
      </c>
      <c r="AD1192" s="4" t="str">
        <f>IF(O1192="",IF(ISNUMBER(SEARCH("NOT NULL",UPPER(O$3))),"''","null"),SUBSTITUTE(VLOOKUP(O$2,convert!$A$1:$B$4,2,0),"@@@",O1192))</f>
        <v>FALSE</v>
      </c>
      <c r="AE1192" s="4" t="str">
        <f t="shared" si="18"/>
        <v>    ('0993N01', 'テツノコウベ', 94, 80, 86, 122, 80, 108, '', 'dark', 'flying', 'g9', null, null, FALSE),</v>
      </c>
    </row>
    <row r="1193" spans="1:31">
      <c r="A1193" s="4" t="s">
        <v>2398</v>
      </c>
      <c r="B1193" s="4" t="s">
        <v>2399</v>
      </c>
      <c r="C1193" s="5">
        <v>80</v>
      </c>
      <c r="D1193" s="5">
        <v>70</v>
      </c>
      <c r="E1193" s="5">
        <v>60</v>
      </c>
      <c r="F1193" s="5">
        <v>140</v>
      </c>
      <c r="G1193" s="5">
        <v>110</v>
      </c>
      <c r="H1193" s="5">
        <v>110</v>
      </c>
      <c r="I1193" s="5"/>
      <c r="J1193" s="4" t="s">
        <v>42</v>
      </c>
      <c r="K1193" s="4" t="s">
        <v>31</v>
      </c>
      <c r="L1193" s="4" t="s">
        <v>368</v>
      </c>
      <c r="M1193" s="5"/>
      <c r="N1193" s="5"/>
      <c r="O1193" s="5" t="b">
        <v>0</v>
      </c>
      <c r="P1193" s="4" t="str">
        <f>IF(A1193="",IF(ISNUMBER(SEARCH("NOT NULL",UPPER(A$3))),"''","null"),SUBSTITUTE(VLOOKUP(A$2,convert!$A$1:$B$4,2,0),"@@@",A1193))</f>
        <v>'0994N01'</v>
      </c>
      <c r="Q1193" s="4" t="str">
        <f>IF(B1193="",IF(ISNUMBER(SEARCH("NOT NULL",UPPER(B$3))),"''","null"),SUBSTITUTE(VLOOKUP(B$2,convert!$A$1:$B$4,2,0),"@@@",B1193))</f>
        <v>'テツノドクガ'</v>
      </c>
      <c r="R1193" s="4" t="str">
        <f>IF(C1193="",IF(ISNUMBER(SEARCH("NOT NULL",UPPER(C$3))),"''","null"),SUBSTITUTE(VLOOKUP(C$2,convert!$A$1:$B$4,2,0),"@@@",C1193))</f>
        <v>80</v>
      </c>
      <c r="S1193" s="4" t="str">
        <f>IF(D1193="",IF(ISNUMBER(SEARCH("NOT NULL",UPPER(D$3))),"''","null"),SUBSTITUTE(VLOOKUP(D$2,convert!$A$1:$B$4,2,0),"@@@",D1193))</f>
        <v>70</v>
      </c>
      <c r="T1193" s="4" t="str">
        <f>IF(E1193="",IF(ISNUMBER(SEARCH("NOT NULL",UPPER(E$3))),"''","null"),SUBSTITUTE(VLOOKUP(E$2,convert!$A$1:$B$4,2,0),"@@@",E1193))</f>
        <v>60</v>
      </c>
      <c r="U1193" s="4" t="str">
        <f>IF(F1193="",IF(ISNUMBER(SEARCH("NOT NULL",UPPER(F$3))),"''","null"),SUBSTITUTE(VLOOKUP(F$2,convert!$A$1:$B$4,2,0),"@@@",F1193))</f>
        <v>140</v>
      </c>
      <c r="V1193" s="4" t="str">
        <f>IF(G1193="",IF(ISNUMBER(SEARCH("NOT NULL",UPPER(G$3))),"''","null"),SUBSTITUTE(VLOOKUP(G$2,convert!$A$1:$B$4,2,0),"@@@",G1193))</f>
        <v>110</v>
      </c>
      <c r="W1193" s="4" t="str">
        <f>IF(H1193="",IF(ISNUMBER(SEARCH("NOT NULL",UPPER(H$3))),"''","null"),SUBSTITUTE(VLOOKUP(H$2,convert!$A$1:$B$4,2,0),"@@@",H1193))</f>
        <v>110</v>
      </c>
      <c r="X1193" s="4" t="str">
        <f>IF(I1193="",IF(ISNUMBER(SEARCH("NOT NULL",UPPER(I$3))),"''","null"),SUBSTITUTE(VLOOKUP(I$2,convert!$A$1:$B$4,2,0),"@@@",I1193))</f>
        <v>''</v>
      </c>
      <c r="Y1193" s="4" t="str">
        <f>IF(J1193="",IF(ISNUMBER(SEARCH("NOT NULL",UPPER(J$3))),"''","null"),SUBSTITUTE(VLOOKUP(J$2,convert!$A$1:$B$4,2,0),"@@@",J1193))</f>
        <v>'fire'</v>
      </c>
      <c r="Z1193" s="4" t="str">
        <f>IF(K1193="",IF(ISNUMBER(SEARCH("NOT NULL",UPPER(K$3))),"''","null"),SUBSTITUTE(VLOOKUP(K$2,convert!$A$1:$B$4,2,0),"@@@",K1193))</f>
        <v>'poison'</v>
      </c>
      <c r="AA1193" s="4" t="str">
        <f>IF(L1193="",IF(ISNUMBER(SEARCH("NOT NULL",UPPER(L$3))),"''","null"),SUBSTITUTE(VLOOKUP(L$2,convert!$A$1:$B$4,2,0),"@@@",L1193))</f>
        <v>'g9'</v>
      </c>
      <c r="AB1193" s="4" t="str">
        <f>IF(M1193="",IF(ISNUMBER(SEARCH("NOT NULL",UPPER(M$3))),"''","null"),SUBSTITUTE(VLOOKUP(M$2,convert!$A$1:$B$4,2,0),"@@@",M1193))</f>
        <v>null</v>
      </c>
      <c r="AC1193" s="4" t="str">
        <f>IF(N1193="",IF(ISNUMBER(SEARCH("NOT NULL",UPPER(N$3))),"''","null"),SUBSTITUTE(VLOOKUP(N$2,convert!$A$1:$B$4,2,0),"@@@",N1193))</f>
        <v>null</v>
      </c>
      <c r="AD1193" s="4" t="str">
        <f>IF(O1193="",IF(ISNUMBER(SEARCH("NOT NULL",UPPER(O$3))),"''","null"),SUBSTITUTE(VLOOKUP(O$2,convert!$A$1:$B$4,2,0),"@@@",O1193))</f>
        <v>FALSE</v>
      </c>
      <c r="AE1193" s="4" t="str">
        <f t="shared" si="18"/>
        <v>    ('0994N01', 'テツノドクガ', 80, 70, 60, 140, 110, 110, '', 'fire', 'poison', 'g9', null, null, FALSE),</v>
      </c>
    </row>
    <row r="1194" spans="1:31">
      <c r="A1194" s="4" t="s">
        <v>2400</v>
      </c>
      <c r="B1194" s="4" t="s">
        <v>2401</v>
      </c>
      <c r="C1194" s="5">
        <v>100</v>
      </c>
      <c r="D1194" s="5">
        <v>134</v>
      </c>
      <c r="E1194" s="5">
        <v>110</v>
      </c>
      <c r="F1194" s="5">
        <v>70</v>
      </c>
      <c r="G1194" s="5">
        <v>84</v>
      </c>
      <c r="H1194" s="5">
        <v>72</v>
      </c>
      <c r="I1194" s="5"/>
      <c r="J1194" s="4" t="s">
        <v>196</v>
      </c>
      <c r="K1194" s="4" t="s">
        <v>106</v>
      </c>
      <c r="L1194" s="4" t="s">
        <v>368</v>
      </c>
      <c r="M1194" s="5"/>
      <c r="N1194" s="5"/>
      <c r="O1194" s="5" t="b">
        <v>0</v>
      </c>
      <c r="P1194" s="4" t="str">
        <f>IF(A1194="",IF(ISNUMBER(SEARCH("NOT NULL",UPPER(A$3))),"''","null"),SUBSTITUTE(VLOOKUP(A$2,convert!$A$1:$B$4,2,0),"@@@",A1194))</f>
        <v>'0995N01'</v>
      </c>
      <c r="Q1194" s="4" t="str">
        <f>IF(B1194="",IF(ISNUMBER(SEARCH("NOT NULL",UPPER(B$3))),"''","null"),SUBSTITUTE(VLOOKUP(B$2,convert!$A$1:$B$4,2,0),"@@@",B1194))</f>
        <v>'テツノイバラ'</v>
      </c>
      <c r="R1194" s="4" t="str">
        <f>IF(C1194="",IF(ISNUMBER(SEARCH("NOT NULL",UPPER(C$3))),"''","null"),SUBSTITUTE(VLOOKUP(C$2,convert!$A$1:$B$4,2,0),"@@@",C1194))</f>
        <v>100</v>
      </c>
      <c r="S1194" s="4" t="str">
        <f>IF(D1194="",IF(ISNUMBER(SEARCH("NOT NULL",UPPER(D$3))),"''","null"),SUBSTITUTE(VLOOKUP(D$2,convert!$A$1:$B$4,2,0),"@@@",D1194))</f>
        <v>134</v>
      </c>
      <c r="T1194" s="4" t="str">
        <f>IF(E1194="",IF(ISNUMBER(SEARCH("NOT NULL",UPPER(E$3))),"''","null"),SUBSTITUTE(VLOOKUP(E$2,convert!$A$1:$B$4,2,0),"@@@",E1194))</f>
        <v>110</v>
      </c>
      <c r="U1194" s="4" t="str">
        <f>IF(F1194="",IF(ISNUMBER(SEARCH("NOT NULL",UPPER(F$3))),"''","null"),SUBSTITUTE(VLOOKUP(F$2,convert!$A$1:$B$4,2,0),"@@@",F1194))</f>
        <v>70</v>
      </c>
      <c r="V1194" s="4" t="str">
        <f>IF(G1194="",IF(ISNUMBER(SEARCH("NOT NULL",UPPER(G$3))),"''","null"),SUBSTITUTE(VLOOKUP(G$2,convert!$A$1:$B$4,2,0),"@@@",G1194))</f>
        <v>84</v>
      </c>
      <c r="W1194" s="4" t="str">
        <f>IF(H1194="",IF(ISNUMBER(SEARCH("NOT NULL",UPPER(H$3))),"''","null"),SUBSTITUTE(VLOOKUP(H$2,convert!$A$1:$B$4,2,0),"@@@",H1194))</f>
        <v>72</v>
      </c>
      <c r="X1194" s="4" t="str">
        <f>IF(I1194="",IF(ISNUMBER(SEARCH("NOT NULL",UPPER(I$3))),"''","null"),SUBSTITUTE(VLOOKUP(I$2,convert!$A$1:$B$4,2,0),"@@@",I1194))</f>
        <v>''</v>
      </c>
      <c r="Y1194" s="4" t="str">
        <f>IF(J1194="",IF(ISNUMBER(SEARCH("NOT NULL",UPPER(J$3))),"''","null"),SUBSTITUTE(VLOOKUP(J$2,convert!$A$1:$B$4,2,0),"@@@",J1194))</f>
        <v>'rock'</v>
      </c>
      <c r="Z1194" s="4" t="str">
        <f>IF(K1194="",IF(ISNUMBER(SEARCH("NOT NULL",UPPER(K$3))),"''","null"),SUBSTITUTE(VLOOKUP(K$2,convert!$A$1:$B$4,2,0),"@@@",K1194))</f>
        <v>'electric'</v>
      </c>
      <c r="AA1194" s="4" t="str">
        <f>IF(L1194="",IF(ISNUMBER(SEARCH("NOT NULL",UPPER(L$3))),"''","null"),SUBSTITUTE(VLOOKUP(L$2,convert!$A$1:$B$4,2,0),"@@@",L1194))</f>
        <v>'g9'</v>
      </c>
      <c r="AB1194" s="4" t="str">
        <f>IF(M1194="",IF(ISNUMBER(SEARCH("NOT NULL",UPPER(M$3))),"''","null"),SUBSTITUTE(VLOOKUP(M$2,convert!$A$1:$B$4,2,0),"@@@",M1194))</f>
        <v>null</v>
      </c>
      <c r="AC1194" s="4" t="str">
        <f>IF(N1194="",IF(ISNUMBER(SEARCH("NOT NULL",UPPER(N$3))),"''","null"),SUBSTITUTE(VLOOKUP(N$2,convert!$A$1:$B$4,2,0),"@@@",N1194))</f>
        <v>null</v>
      </c>
      <c r="AD1194" s="4" t="str">
        <f>IF(O1194="",IF(ISNUMBER(SEARCH("NOT NULL",UPPER(O$3))),"''","null"),SUBSTITUTE(VLOOKUP(O$2,convert!$A$1:$B$4,2,0),"@@@",O1194))</f>
        <v>FALSE</v>
      </c>
      <c r="AE1194" s="4" t="str">
        <f t="shared" si="18"/>
        <v>    ('0995N01', 'テツノイバラ', 100, 134, 110, 70, 84, 72, '', 'rock', 'electric', 'g9', null, null, FALSE),</v>
      </c>
    </row>
    <row r="1195" spans="1:31">
      <c r="A1195" s="4" t="s">
        <v>2402</v>
      </c>
      <c r="B1195" s="4" t="s">
        <v>2403</v>
      </c>
      <c r="C1195" s="5">
        <v>65</v>
      </c>
      <c r="D1195" s="5">
        <v>75</v>
      </c>
      <c r="E1195" s="5">
        <v>45</v>
      </c>
      <c r="F1195" s="5">
        <v>35</v>
      </c>
      <c r="G1195" s="5">
        <v>45</v>
      </c>
      <c r="H1195" s="5">
        <v>55</v>
      </c>
      <c r="I1195" s="5"/>
      <c r="J1195" s="4" t="s">
        <v>50</v>
      </c>
      <c r="K1195" s="4" t="s">
        <v>118</v>
      </c>
      <c r="L1195" s="4" t="s">
        <v>368</v>
      </c>
      <c r="M1195" s="5"/>
      <c r="N1195" s="5"/>
      <c r="O1195" s="5" t="b">
        <v>1</v>
      </c>
      <c r="P1195" s="4" t="str">
        <f>IF(A1195="",IF(ISNUMBER(SEARCH("NOT NULL",UPPER(A$3))),"''","null"),SUBSTITUTE(VLOOKUP(A$2,convert!$A$1:$B$4,2,0),"@@@",A1195))</f>
        <v>'0996N01'</v>
      </c>
      <c r="Q1195" s="4" t="str">
        <f>IF(B1195="",IF(ISNUMBER(SEARCH("NOT NULL",UPPER(B$3))),"''","null"),SUBSTITUTE(VLOOKUP(B$2,convert!$A$1:$B$4,2,0),"@@@",B1195))</f>
        <v>'セビエ'</v>
      </c>
      <c r="R1195" s="4" t="str">
        <f>IF(C1195="",IF(ISNUMBER(SEARCH("NOT NULL",UPPER(C$3))),"''","null"),SUBSTITUTE(VLOOKUP(C$2,convert!$A$1:$B$4,2,0),"@@@",C1195))</f>
        <v>65</v>
      </c>
      <c r="S1195" s="4" t="str">
        <f>IF(D1195="",IF(ISNUMBER(SEARCH("NOT NULL",UPPER(D$3))),"''","null"),SUBSTITUTE(VLOOKUP(D$2,convert!$A$1:$B$4,2,0),"@@@",D1195))</f>
        <v>75</v>
      </c>
      <c r="T1195" s="4" t="str">
        <f>IF(E1195="",IF(ISNUMBER(SEARCH("NOT NULL",UPPER(E$3))),"''","null"),SUBSTITUTE(VLOOKUP(E$2,convert!$A$1:$B$4,2,0),"@@@",E1195))</f>
        <v>45</v>
      </c>
      <c r="U1195" s="4" t="str">
        <f>IF(F1195="",IF(ISNUMBER(SEARCH("NOT NULL",UPPER(F$3))),"''","null"),SUBSTITUTE(VLOOKUP(F$2,convert!$A$1:$B$4,2,0),"@@@",F1195))</f>
        <v>35</v>
      </c>
      <c r="V1195" s="4" t="str">
        <f>IF(G1195="",IF(ISNUMBER(SEARCH("NOT NULL",UPPER(G$3))),"''","null"),SUBSTITUTE(VLOOKUP(G$2,convert!$A$1:$B$4,2,0),"@@@",G1195))</f>
        <v>45</v>
      </c>
      <c r="W1195" s="4" t="str">
        <f>IF(H1195="",IF(ISNUMBER(SEARCH("NOT NULL",UPPER(H$3))),"''","null"),SUBSTITUTE(VLOOKUP(H$2,convert!$A$1:$B$4,2,0),"@@@",H1195))</f>
        <v>55</v>
      </c>
      <c r="X1195" s="4" t="str">
        <f>IF(I1195="",IF(ISNUMBER(SEARCH("NOT NULL",UPPER(I$3))),"''","null"),SUBSTITUTE(VLOOKUP(I$2,convert!$A$1:$B$4,2,0),"@@@",I1195))</f>
        <v>''</v>
      </c>
      <c r="Y1195" s="4" t="str">
        <f>IF(J1195="",IF(ISNUMBER(SEARCH("NOT NULL",UPPER(J$3))),"''","null"),SUBSTITUTE(VLOOKUP(J$2,convert!$A$1:$B$4,2,0),"@@@",J1195))</f>
        <v>'dragon'</v>
      </c>
      <c r="Z1195" s="4" t="str">
        <f>IF(K1195="",IF(ISNUMBER(SEARCH("NOT NULL",UPPER(K$3))),"''","null"),SUBSTITUTE(VLOOKUP(K$2,convert!$A$1:$B$4,2,0),"@@@",K1195))</f>
        <v>'ice'</v>
      </c>
      <c r="AA1195" s="4" t="str">
        <f>IF(L1195="",IF(ISNUMBER(SEARCH("NOT NULL",UPPER(L$3))),"''","null"),SUBSTITUTE(VLOOKUP(L$2,convert!$A$1:$B$4,2,0),"@@@",L1195))</f>
        <v>'g9'</v>
      </c>
      <c r="AB1195" s="4" t="str">
        <f>IF(M1195="",IF(ISNUMBER(SEARCH("NOT NULL",UPPER(M$3))),"''","null"),SUBSTITUTE(VLOOKUP(M$2,convert!$A$1:$B$4,2,0),"@@@",M1195))</f>
        <v>null</v>
      </c>
      <c r="AC1195" s="4" t="str">
        <f>IF(N1195="",IF(ISNUMBER(SEARCH("NOT NULL",UPPER(N$3))),"''","null"),SUBSTITUTE(VLOOKUP(N$2,convert!$A$1:$B$4,2,0),"@@@",N1195))</f>
        <v>null</v>
      </c>
      <c r="AD1195" s="4" t="str">
        <f>IF(O1195="",IF(ISNUMBER(SEARCH("NOT NULL",UPPER(O$3))),"''","null"),SUBSTITUTE(VLOOKUP(O$2,convert!$A$1:$B$4,2,0),"@@@",O1195))</f>
        <v>TRUE</v>
      </c>
      <c r="AE1195" s="4" t="str">
        <f t="shared" si="18"/>
        <v>    ('0996N01', 'セビエ', 65, 75, 45, 35, 45, 55, '', 'dragon', 'ice', 'g9', null, null, TRUE),</v>
      </c>
    </row>
    <row r="1196" spans="1:31">
      <c r="A1196" s="4" t="s">
        <v>2404</v>
      </c>
      <c r="B1196" s="4" t="s">
        <v>2405</v>
      </c>
      <c r="C1196" s="5">
        <v>90</v>
      </c>
      <c r="D1196" s="5">
        <v>95</v>
      </c>
      <c r="E1196" s="5">
        <v>66</v>
      </c>
      <c r="F1196" s="5">
        <v>45</v>
      </c>
      <c r="G1196" s="5">
        <v>65</v>
      </c>
      <c r="H1196" s="5">
        <v>62</v>
      </c>
      <c r="I1196" s="5"/>
      <c r="J1196" s="4" t="s">
        <v>50</v>
      </c>
      <c r="K1196" s="4" t="s">
        <v>118</v>
      </c>
      <c r="L1196" s="4" t="s">
        <v>368</v>
      </c>
      <c r="M1196" s="5"/>
      <c r="N1196" s="5"/>
      <c r="O1196" s="5" t="b">
        <v>1</v>
      </c>
      <c r="P1196" s="4" t="str">
        <f>IF(A1196="",IF(ISNUMBER(SEARCH("NOT NULL",UPPER(A$3))),"''","null"),SUBSTITUTE(VLOOKUP(A$2,convert!$A$1:$B$4,2,0),"@@@",A1196))</f>
        <v>'0997N01'</v>
      </c>
      <c r="Q1196" s="4" t="str">
        <f>IF(B1196="",IF(ISNUMBER(SEARCH("NOT NULL",UPPER(B$3))),"''","null"),SUBSTITUTE(VLOOKUP(B$2,convert!$A$1:$B$4,2,0),"@@@",B1196))</f>
        <v>'セゴール'</v>
      </c>
      <c r="R1196" s="4" t="str">
        <f>IF(C1196="",IF(ISNUMBER(SEARCH("NOT NULL",UPPER(C$3))),"''","null"),SUBSTITUTE(VLOOKUP(C$2,convert!$A$1:$B$4,2,0),"@@@",C1196))</f>
        <v>90</v>
      </c>
      <c r="S1196" s="4" t="str">
        <f>IF(D1196="",IF(ISNUMBER(SEARCH("NOT NULL",UPPER(D$3))),"''","null"),SUBSTITUTE(VLOOKUP(D$2,convert!$A$1:$B$4,2,0),"@@@",D1196))</f>
        <v>95</v>
      </c>
      <c r="T1196" s="4" t="str">
        <f>IF(E1196="",IF(ISNUMBER(SEARCH("NOT NULL",UPPER(E$3))),"''","null"),SUBSTITUTE(VLOOKUP(E$2,convert!$A$1:$B$4,2,0),"@@@",E1196))</f>
        <v>66</v>
      </c>
      <c r="U1196" s="4" t="str">
        <f>IF(F1196="",IF(ISNUMBER(SEARCH("NOT NULL",UPPER(F$3))),"''","null"),SUBSTITUTE(VLOOKUP(F$2,convert!$A$1:$B$4,2,0),"@@@",F1196))</f>
        <v>45</v>
      </c>
      <c r="V1196" s="4" t="str">
        <f>IF(G1196="",IF(ISNUMBER(SEARCH("NOT NULL",UPPER(G$3))),"''","null"),SUBSTITUTE(VLOOKUP(G$2,convert!$A$1:$B$4,2,0),"@@@",G1196))</f>
        <v>65</v>
      </c>
      <c r="W1196" s="4" t="str">
        <f>IF(H1196="",IF(ISNUMBER(SEARCH("NOT NULL",UPPER(H$3))),"''","null"),SUBSTITUTE(VLOOKUP(H$2,convert!$A$1:$B$4,2,0),"@@@",H1196))</f>
        <v>62</v>
      </c>
      <c r="X1196" s="4" t="str">
        <f>IF(I1196="",IF(ISNUMBER(SEARCH("NOT NULL",UPPER(I$3))),"''","null"),SUBSTITUTE(VLOOKUP(I$2,convert!$A$1:$B$4,2,0),"@@@",I1196))</f>
        <v>''</v>
      </c>
      <c r="Y1196" s="4" t="str">
        <f>IF(J1196="",IF(ISNUMBER(SEARCH("NOT NULL",UPPER(J$3))),"''","null"),SUBSTITUTE(VLOOKUP(J$2,convert!$A$1:$B$4,2,0),"@@@",J1196))</f>
        <v>'dragon'</v>
      </c>
      <c r="Z1196" s="4" t="str">
        <f>IF(K1196="",IF(ISNUMBER(SEARCH("NOT NULL",UPPER(K$3))),"''","null"),SUBSTITUTE(VLOOKUP(K$2,convert!$A$1:$B$4,2,0),"@@@",K1196))</f>
        <v>'ice'</v>
      </c>
      <c r="AA1196" s="4" t="str">
        <f>IF(L1196="",IF(ISNUMBER(SEARCH("NOT NULL",UPPER(L$3))),"''","null"),SUBSTITUTE(VLOOKUP(L$2,convert!$A$1:$B$4,2,0),"@@@",L1196))</f>
        <v>'g9'</v>
      </c>
      <c r="AB1196" s="4" t="str">
        <f>IF(M1196="",IF(ISNUMBER(SEARCH("NOT NULL",UPPER(M$3))),"''","null"),SUBSTITUTE(VLOOKUP(M$2,convert!$A$1:$B$4,2,0),"@@@",M1196))</f>
        <v>null</v>
      </c>
      <c r="AC1196" s="4" t="str">
        <f>IF(N1196="",IF(ISNUMBER(SEARCH("NOT NULL",UPPER(N$3))),"''","null"),SUBSTITUTE(VLOOKUP(N$2,convert!$A$1:$B$4,2,0),"@@@",N1196))</f>
        <v>null</v>
      </c>
      <c r="AD1196" s="4" t="str">
        <f>IF(O1196="",IF(ISNUMBER(SEARCH("NOT NULL",UPPER(O$3))),"''","null"),SUBSTITUTE(VLOOKUP(O$2,convert!$A$1:$B$4,2,0),"@@@",O1196))</f>
        <v>TRUE</v>
      </c>
      <c r="AE1196" s="4" t="str">
        <f t="shared" si="18"/>
        <v>    ('0997N01', 'セゴール', 90, 95, 66, 45, 65, 62, '', 'dragon', 'ice', 'g9', null, null, TRUE),</v>
      </c>
    </row>
    <row r="1197" spans="1:31">
      <c r="A1197" s="4" t="s">
        <v>2406</v>
      </c>
      <c r="B1197" s="4" t="s">
        <v>2407</v>
      </c>
      <c r="C1197" s="5">
        <v>115</v>
      </c>
      <c r="D1197" s="5">
        <v>145</v>
      </c>
      <c r="E1197" s="5">
        <v>92</v>
      </c>
      <c r="F1197" s="5">
        <v>75</v>
      </c>
      <c r="G1197" s="5">
        <v>86</v>
      </c>
      <c r="H1197" s="5">
        <v>87</v>
      </c>
      <c r="I1197" s="5"/>
      <c r="J1197" s="4" t="s">
        <v>50</v>
      </c>
      <c r="K1197" s="4" t="s">
        <v>118</v>
      </c>
      <c r="L1197" s="4" t="s">
        <v>368</v>
      </c>
      <c r="M1197" s="5"/>
      <c r="N1197" s="5"/>
      <c r="O1197" s="5" t="b">
        <v>1</v>
      </c>
      <c r="P1197" s="4" t="str">
        <f>IF(A1197="",IF(ISNUMBER(SEARCH("NOT NULL",UPPER(A$3))),"''","null"),SUBSTITUTE(VLOOKUP(A$2,convert!$A$1:$B$4,2,0),"@@@",A1197))</f>
        <v>'0998N01'</v>
      </c>
      <c r="Q1197" s="4" t="str">
        <f>IF(B1197="",IF(ISNUMBER(SEARCH("NOT NULL",UPPER(B$3))),"''","null"),SUBSTITUTE(VLOOKUP(B$2,convert!$A$1:$B$4,2,0),"@@@",B1197))</f>
        <v>'セグレイブ'</v>
      </c>
      <c r="R1197" s="4" t="str">
        <f>IF(C1197="",IF(ISNUMBER(SEARCH("NOT NULL",UPPER(C$3))),"''","null"),SUBSTITUTE(VLOOKUP(C$2,convert!$A$1:$B$4,2,0),"@@@",C1197))</f>
        <v>115</v>
      </c>
      <c r="S1197" s="4" t="str">
        <f>IF(D1197="",IF(ISNUMBER(SEARCH("NOT NULL",UPPER(D$3))),"''","null"),SUBSTITUTE(VLOOKUP(D$2,convert!$A$1:$B$4,2,0),"@@@",D1197))</f>
        <v>145</v>
      </c>
      <c r="T1197" s="4" t="str">
        <f>IF(E1197="",IF(ISNUMBER(SEARCH("NOT NULL",UPPER(E$3))),"''","null"),SUBSTITUTE(VLOOKUP(E$2,convert!$A$1:$B$4,2,0),"@@@",E1197))</f>
        <v>92</v>
      </c>
      <c r="U1197" s="4" t="str">
        <f>IF(F1197="",IF(ISNUMBER(SEARCH("NOT NULL",UPPER(F$3))),"''","null"),SUBSTITUTE(VLOOKUP(F$2,convert!$A$1:$B$4,2,0),"@@@",F1197))</f>
        <v>75</v>
      </c>
      <c r="V1197" s="4" t="str">
        <f>IF(G1197="",IF(ISNUMBER(SEARCH("NOT NULL",UPPER(G$3))),"''","null"),SUBSTITUTE(VLOOKUP(G$2,convert!$A$1:$B$4,2,0),"@@@",G1197))</f>
        <v>86</v>
      </c>
      <c r="W1197" s="4" t="str">
        <f>IF(H1197="",IF(ISNUMBER(SEARCH("NOT NULL",UPPER(H$3))),"''","null"),SUBSTITUTE(VLOOKUP(H$2,convert!$A$1:$B$4,2,0),"@@@",H1197))</f>
        <v>87</v>
      </c>
      <c r="X1197" s="4" t="str">
        <f>IF(I1197="",IF(ISNUMBER(SEARCH("NOT NULL",UPPER(I$3))),"''","null"),SUBSTITUTE(VLOOKUP(I$2,convert!$A$1:$B$4,2,0),"@@@",I1197))</f>
        <v>''</v>
      </c>
      <c r="Y1197" s="4" t="str">
        <f>IF(J1197="",IF(ISNUMBER(SEARCH("NOT NULL",UPPER(J$3))),"''","null"),SUBSTITUTE(VLOOKUP(J$2,convert!$A$1:$B$4,2,0),"@@@",J1197))</f>
        <v>'dragon'</v>
      </c>
      <c r="Z1197" s="4" t="str">
        <f>IF(K1197="",IF(ISNUMBER(SEARCH("NOT NULL",UPPER(K$3))),"''","null"),SUBSTITUTE(VLOOKUP(K$2,convert!$A$1:$B$4,2,0),"@@@",K1197))</f>
        <v>'ice'</v>
      </c>
      <c r="AA1197" s="4" t="str">
        <f>IF(L1197="",IF(ISNUMBER(SEARCH("NOT NULL",UPPER(L$3))),"''","null"),SUBSTITUTE(VLOOKUP(L$2,convert!$A$1:$B$4,2,0),"@@@",L1197))</f>
        <v>'g9'</v>
      </c>
      <c r="AB1197" s="4" t="str">
        <f>IF(M1197="",IF(ISNUMBER(SEARCH("NOT NULL",UPPER(M$3))),"''","null"),SUBSTITUTE(VLOOKUP(M$2,convert!$A$1:$B$4,2,0),"@@@",M1197))</f>
        <v>null</v>
      </c>
      <c r="AC1197" s="4" t="str">
        <f>IF(N1197="",IF(ISNUMBER(SEARCH("NOT NULL",UPPER(N$3))),"''","null"),SUBSTITUTE(VLOOKUP(N$2,convert!$A$1:$B$4,2,0),"@@@",N1197))</f>
        <v>null</v>
      </c>
      <c r="AD1197" s="4" t="str">
        <f>IF(O1197="",IF(ISNUMBER(SEARCH("NOT NULL",UPPER(O$3))),"''","null"),SUBSTITUTE(VLOOKUP(O$2,convert!$A$1:$B$4,2,0),"@@@",O1197))</f>
        <v>TRUE</v>
      </c>
      <c r="AE1197" s="4" t="str">
        <f t="shared" si="18"/>
        <v>    ('0998N01', 'セグレイブ', 115, 145, 92, 75, 86, 87, '', 'dragon', 'ice', 'g9', null, null, TRUE),</v>
      </c>
    </row>
    <row r="1198" spans="1:31">
      <c r="A1198" s="4" t="s">
        <v>2408</v>
      </c>
      <c r="B1198" s="4" t="s">
        <v>2409</v>
      </c>
      <c r="C1198" s="5">
        <v>45</v>
      </c>
      <c r="D1198" s="5">
        <v>30</v>
      </c>
      <c r="E1198" s="5">
        <v>70</v>
      </c>
      <c r="F1198" s="5">
        <v>75</v>
      </c>
      <c r="G1198" s="5">
        <v>70</v>
      </c>
      <c r="H1198" s="5">
        <v>10</v>
      </c>
      <c r="I1198" s="4" t="s">
        <v>2410</v>
      </c>
      <c r="J1198" s="4" t="s">
        <v>281</v>
      </c>
      <c r="K1198" s="5"/>
      <c r="L1198" s="4" t="s">
        <v>368</v>
      </c>
      <c r="M1198" s="5"/>
      <c r="N1198" s="5"/>
      <c r="O1198" s="5" t="b">
        <v>1</v>
      </c>
      <c r="P1198" s="4" t="str">
        <f>IF(A1198="",IF(ISNUMBER(SEARCH("NOT NULL",UPPER(A$3))),"''","null"),SUBSTITUTE(VLOOKUP(A$2,convert!$A$1:$B$4,2,0),"@@@",A1198))</f>
        <v>'0999N01'</v>
      </c>
      <c r="Q1198" s="4" t="str">
        <f>IF(B1198="",IF(ISNUMBER(SEARCH("NOT NULL",UPPER(B$3))),"''","null"),SUBSTITUTE(VLOOKUP(B$2,convert!$A$1:$B$4,2,0),"@@@",B1198))</f>
        <v>'コレクレー'</v>
      </c>
      <c r="R1198" s="4" t="str">
        <f>IF(C1198="",IF(ISNUMBER(SEARCH("NOT NULL",UPPER(C$3))),"''","null"),SUBSTITUTE(VLOOKUP(C$2,convert!$A$1:$B$4,2,0),"@@@",C1198))</f>
        <v>45</v>
      </c>
      <c r="S1198" s="4" t="str">
        <f>IF(D1198="",IF(ISNUMBER(SEARCH("NOT NULL",UPPER(D$3))),"''","null"),SUBSTITUTE(VLOOKUP(D$2,convert!$A$1:$B$4,2,0),"@@@",D1198))</f>
        <v>30</v>
      </c>
      <c r="T1198" s="4" t="str">
        <f>IF(E1198="",IF(ISNUMBER(SEARCH("NOT NULL",UPPER(E$3))),"''","null"),SUBSTITUTE(VLOOKUP(E$2,convert!$A$1:$B$4,2,0),"@@@",E1198))</f>
        <v>70</v>
      </c>
      <c r="U1198" s="4" t="str">
        <f>IF(F1198="",IF(ISNUMBER(SEARCH("NOT NULL",UPPER(F$3))),"''","null"),SUBSTITUTE(VLOOKUP(F$2,convert!$A$1:$B$4,2,0),"@@@",F1198))</f>
        <v>75</v>
      </c>
      <c r="V1198" s="4" t="str">
        <f>IF(G1198="",IF(ISNUMBER(SEARCH("NOT NULL",UPPER(G$3))),"''","null"),SUBSTITUTE(VLOOKUP(G$2,convert!$A$1:$B$4,2,0),"@@@",G1198))</f>
        <v>70</v>
      </c>
      <c r="W1198" s="4" t="str">
        <f>IF(H1198="",IF(ISNUMBER(SEARCH("NOT NULL",UPPER(H$3))),"''","null"),SUBSTITUTE(VLOOKUP(H$2,convert!$A$1:$B$4,2,0),"@@@",H1198))</f>
        <v>10</v>
      </c>
      <c r="X1198" s="4" t="str">
        <f>IF(I1198="",IF(ISNUMBER(SEARCH("NOT NULL",UPPER(I$3))),"''","null"),SUBSTITUTE(VLOOKUP(I$2,convert!$A$1:$B$4,2,0),"@@@",I1198))</f>
        <v>'はこ'</v>
      </c>
      <c r="Y1198" s="4" t="str">
        <f>IF(J1198="",IF(ISNUMBER(SEARCH("NOT NULL",UPPER(J$3))),"''","null"),SUBSTITUTE(VLOOKUP(J$2,convert!$A$1:$B$4,2,0),"@@@",J1198))</f>
        <v>'ghost'</v>
      </c>
      <c r="Z1198" s="4" t="str">
        <f>IF(K1198="",IF(ISNUMBER(SEARCH("NOT NULL",UPPER(K$3))),"''","null"),SUBSTITUTE(VLOOKUP(K$2,convert!$A$1:$B$4,2,0),"@@@",K1198))</f>
        <v>null</v>
      </c>
      <c r="AA1198" s="4" t="str">
        <f>IF(L1198="",IF(ISNUMBER(SEARCH("NOT NULL",UPPER(L$3))),"''","null"),SUBSTITUTE(VLOOKUP(L$2,convert!$A$1:$B$4,2,0),"@@@",L1198))</f>
        <v>'g9'</v>
      </c>
      <c r="AB1198" s="4" t="str">
        <f>IF(M1198="",IF(ISNUMBER(SEARCH("NOT NULL",UPPER(M$3))),"''","null"),SUBSTITUTE(VLOOKUP(M$2,convert!$A$1:$B$4,2,0),"@@@",M1198))</f>
        <v>null</v>
      </c>
      <c r="AC1198" s="4" t="str">
        <f>IF(N1198="",IF(ISNUMBER(SEARCH("NOT NULL",UPPER(N$3))),"''","null"),SUBSTITUTE(VLOOKUP(N$2,convert!$A$1:$B$4,2,0),"@@@",N1198))</f>
        <v>null</v>
      </c>
      <c r="AD1198" s="4" t="str">
        <f>IF(O1198="",IF(ISNUMBER(SEARCH("NOT NULL",UPPER(O$3))),"''","null"),SUBSTITUTE(VLOOKUP(O$2,convert!$A$1:$B$4,2,0),"@@@",O1198))</f>
        <v>TRUE</v>
      </c>
      <c r="AE1198" s="4" t="str">
        <f t="shared" si="18"/>
        <v>    ('0999N01', 'コレクレー', 45, 30, 70, 75, 70, 10, 'はこ', 'ghost', null, 'g9', null, null, TRUE),</v>
      </c>
    </row>
    <row r="1199" spans="1:31">
      <c r="A1199" s="4" t="s">
        <v>2411</v>
      </c>
      <c r="B1199" s="4" t="s">
        <v>2409</v>
      </c>
      <c r="C1199" s="5">
        <v>45</v>
      </c>
      <c r="D1199" s="5">
        <v>30</v>
      </c>
      <c r="E1199" s="5">
        <v>25</v>
      </c>
      <c r="F1199" s="5">
        <v>75</v>
      </c>
      <c r="G1199" s="5">
        <v>45</v>
      </c>
      <c r="H1199" s="5">
        <v>80</v>
      </c>
      <c r="I1199" s="4" t="s">
        <v>2412</v>
      </c>
      <c r="J1199" s="4" t="s">
        <v>281</v>
      </c>
      <c r="K1199" s="5"/>
      <c r="L1199" s="4" t="s">
        <v>368</v>
      </c>
      <c r="M1199" s="5"/>
      <c r="N1199" s="5"/>
      <c r="O1199" s="5" t="b">
        <v>1</v>
      </c>
      <c r="P1199" s="4" t="str">
        <f>IF(A1199="",IF(ISNUMBER(SEARCH("NOT NULL",UPPER(A$3))),"''","null"),SUBSTITUTE(VLOOKUP(A$2,convert!$A$1:$B$4,2,0),"@@@",A1199))</f>
        <v>'0999N02'</v>
      </c>
      <c r="Q1199" s="4" t="str">
        <f>IF(B1199="",IF(ISNUMBER(SEARCH("NOT NULL",UPPER(B$3))),"''","null"),SUBSTITUTE(VLOOKUP(B$2,convert!$A$1:$B$4,2,0),"@@@",B1199))</f>
        <v>'コレクレー'</v>
      </c>
      <c r="R1199" s="4" t="str">
        <f>IF(C1199="",IF(ISNUMBER(SEARCH("NOT NULL",UPPER(C$3))),"''","null"),SUBSTITUTE(VLOOKUP(C$2,convert!$A$1:$B$4,2,0),"@@@",C1199))</f>
        <v>45</v>
      </c>
      <c r="S1199" s="4" t="str">
        <f>IF(D1199="",IF(ISNUMBER(SEARCH("NOT NULL",UPPER(D$3))),"''","null"),SUBSTITUTE(VLOOKUP(D$2,convert!$A$1:$B$4,2,0),"@@@",D1199))</f>
        <v>30</v>
      </c>
      <c r="T1199" s="4" t="str">
        <f>IF(E1199="",IF(ISNUMBER(SEARCH("NOT NULL",UPPER(E$3))),"''","null"),SUBSTITUTE(VLOOKUP(E$2,convert!$A$1:$B$4,2,0),"@@@",E1199))</f>
        <v>25</v>
      </c>
      <c r="U1199" s="4" t="str">
        <f>IF(F1199="",IF(ISNUMBER(SEARCH("NOT NULL",UPPER(F$3))),"''","null"),SUBSTITUTE(VLOOKUP(F$2,convert!$A$1:$B$4,2,0),"@@@",F1199))</f>
        <v>75</v>
      </c>
      <c r="V1199" s="4" t="str">
        <f>IF(G1199="",IF(ISNUMBER(SEARCH("NOT NULL",UPPER(G$3))),"''","null"),SUBSTITUTE(VLOOKUP(G$2,convert!$A$1:$B$4,2,0),"@@@",G1199))</f>
        <v>45</v>
      </c>
      <c r="W1199" s="4" t="str">
        <f>IF(H1199="",IF(ISNUMBER(SEARCH("NOT NULL",UPPER(H$3))),"''","null"),SUBSTITUTE(VLOOKUP(H$2,convert!$A$1:$B$4,2,0),"@@@",H1199))</f>
        <v>80</v>
      </c>
      <c r="X1199" s="4" t="str">
        <f>IF(I1199="",IF(ISNUMBER(SEARCH("NOT NULL",UPPER(I$3))),"''","null"),SUBSTITUTE(VLOOKUP(I$2,convert!$A$1:$B$4,2,0),"@@@",I1199))</f>
        <v>'とほ'</v>
      </c>
      <c r="Y1199" s="4" t="str">
        <f>IF(J1199="",IF(ISNUMBER(SEARCH("NOT NULL",UPPER(J$3))),"''","null"),SUBSTITUTE(VLOOKUP(J$2,convert!$A$1:$B$4,2,0),"@@@",J1199))</f>
        <v>'ghost'</v>
      </c>
      <c r="Z1199" s="4" t="str">
        <f>IF(K1199="",IF(ISNUMBER(SEARCH("NOT NULL",UPPER(K$3))),"''","null"),SUBSTITUTE(VLOOKUP(K$2,convert!$A$1:$B$4,2,0),"@@@",K1199))</f>
        <v>null</v>
      </c>
      <c r="AA1199" s="4" t="str">
        <f>IF(L1199="",IF(ISNUMBER(SEARCH("NOT NULL",UPPER(L$3))),"''","null"),SUBSTITUTE(VLOOKUP(L$2,convert!$A$1:$B$4,2,0),"@@@",L1199))</f>
        <v>'g9'</v>
      </c>
      <c r="AB1199" s="4" t="str">
        <f>IF(M1199="",IF(ISNUMBER(SEARCH("NOT NULL",UPPER(M$3))),"''","null"),SUBSTITUTE(VLOOKUP(M$2,convert!$A$1:$B$4,2,0),"@@@",M1199))</f>
        <v>null</v>
      </c>
      <c r="AC1199" s="4" t="str">
        <f>IF(N1199="",IF(ISNUMBER(SEARCH("NOT NULL",UPPER(N$3))),"''","null"),SUBSTITUTE(VLOOKUP(N$2,convert!$A$1:$B$4,2,0),"@@@",N1199))</f>
        <v>null</v>
      </c>
      <c r="AD1199" s="4" t="str">
        <f>IF(O1199="",IF(ISNUMBER(SEARCH("NOT NULL",UPPER(O$3))),"''","null"),SUBSTITUTE(VLOOKUP(O$2,convert!$A$1:$B$4,2,0),"@@@",O1199))</f>
        <v>TRUE</v>
      </c>
      <c r="AE1199" s="4" t="str">
        <f t="shared" si="18"/>
        <v>    ('0999N02', 'コレクレー', 45, 30, 25, 75, 45, 80, 'とほ', 'ghost', null, 'g9', null, null, TRUE),</v>
      </c>
    </row>
    <row r="1200" spans="1:31">
      <c r="A1200" s="4" t="s">
        <v>2413</v>
      </c>
      <c r="B1200" s="4" t="s">
        <v>2414</v>
      </c>
      <c r="C1200" s="5">
        <v>87</v>
      </c>
      <c r="D1200" s="5">
        <v>60</v>
      </c>
      <c r="E1200" s="5">
        <v>95</v>
      </c>
      <c r="F1200" s="5">
        <v>133</v>
      </c>
      <c r="G1200" s="5">
        <v>91</v>
      </c>
      <c r="H1200" s="5">
        <v>84</v>
      </c>
      <c r="I1200" s="5"/>
      <c r="J1200" s="4" t="s">
        <v>119</v>
      </c>
      <c r="K1200" s="4" t="s">
        <v>281</v>
      </c>
      <c r="L1200" s="4" t="s">
        <v>368</v>
      </c>
      <c r="M1200" s="5"/>
      <c r="N1200" s="5"/>
      <c r="O1200" s="5" t="b">
        <v>1</v>
      </c>
      <c r="P1200" s="4" t="str">
        <f>IF(A1200="",IF(ISNUMBER(SEARCH("NOT NULL",UPPER(A$3))),"''","null"),SUBSTITUTE(VLOOKUP(A$2,convert!$A$1:$B$4,2,0),"@@@",A1200))</f>
        <v>'1000N01'</v>
      </c>
      <c r="Q1200" s="4" t="str">
        <f>IF(B1200="",IF(ISNUMBER(SEARCH("NOT NULL",UPPER(B$3))),"''","null"),SUBSTITUTE(VLOOKUP(B$2,convert!$A$1:$B$4,2,0),"@@@",B1200))</f>
        <v>'サーフゴー'</v>
      </c>
      <c r="R1200" s="4" t="str">
        <f>IF(C1200="",IF(ISNUMBER(SEARCH("NOT NULL",UPPER(C$3))),"''","null"),SUBSTITUTE(VLOOKUP(C$2,convert!$A$1:$B$4,2,0),"@@@",C1200))</f>
        <v>87</v>
      </c>
      <c r="S1200" s="4" t="str">
        <f>IF(D1200="",IF(ISNUMBER(SEARCH("NOT NULL",UPPER(D$3))),"''","null"),SUBSTITUTE(VLOOKUP(D$2,convert!$A$1:$B$4,2,0),"@@@",D1200))</f>
        <v>60</v>
      </c>
      <c r="T1200" s="4" t="str">
        <f>IF(E1200="",IF(ISNUMBER(SEARCH("NOT NULL",UPPER(E$3))),"''","null"),SUBSTITUTE(VLOOKUP(E$2,convert!$A$1:$B$4,2,0),"@@@",E1200))</f>
        <v>95</v>
      </c>
      <c r="U1200" s="4" t="str">
        <f>IF(F1200="",IF(ISNUMBER(SEARCH("NOT NULL",UPPER(F$3))),"''","null"),SUBSTITUTE(VLOOKUP(F$2,convert!$A$1:$B$4,2,0),"@@@",F1200))</f>
        <v>133</v>
      </c>
      <c r="V1200" s="4" t="str">
        <f>IF(G1200="",IF(ISNUMBER(SEARCH("NOT NULL",UPPER(G$3))),"''","null"),SUBSTITUTE(VLOOKUP(G$2,convert!$A$1:$B$4,2,0),"@@@",G1200))</f>
        <v>91</v>
      </c>
      <c r="W1200" s="4" t="str">
        <f>IF(H1200="",IF(ISNUMBER(SEARCH("NOT NULL",UPPER(H$3))),"''","null"),SUBSTITUTE(VLOOKUP(H$2,convert!$A$1:$B$4,2,0),"@@@",H1200))</f>
        <v>84</v>
      </c>
      <c r="X1200" s="4" t="str">
        <f>IF(I1200="",IF(ISNUMBER(SEARCH("NOT NULL",UPPER(I$3))),"''","null"),SUBSTITUTE(VLOOKUP(I$2,convert!$A$1:$B$4,2,0),"@@@",I1200))</f>
        <v>''</v>
      </c>
      <c r="Y1200" s="4" t="str">
        <f>IF(J1200="",IF(ISNUMBER(SEARCH("NOT NULL",UPPER(J$3))),"''","null"),SUBSTITUTE(VLOOKUP(J$2,convert!$A$1:$B$4,2,0),"@@@",J1200))</f>
        <v>'steel'</v>
      </c>
      <c r="Z1200" s="4" t="str">
        <f>IF(K1200="",IF(ISNUMBER(SEARCH("NOT NULL",UPPER(K$3))),"''","null"),SUBSTITUTE(VLOOKUP(K$2,convert!$A$1:$B$4,2,0),"@@@",K1200))</f>
        <v>'ghost'</v>
      </c>
      <c r="AA1200" s="4" t="str">
        <f>IF(L1200="",IF(ISNUMBER(SEARCH("NOT NULL",UPPER(L$3))),"''","null"),SUBSTITUTE(VLOOKUP(L$2,convert!$A$1:$B$4,2,0),"@@@",L1200))</f>
        <v>'g9'</v>
      </c>
      <c r="AB1200" s="4" t="str">
        <f>IF(M1200="",IF(ISNUMBER(SEARCH("NOT NULL",UPPER(M$3))),"''","null"),SUBSTITUTE(VLOOKUP(M$2,convert!$A$1:$B$4,2,0),"@@@",M1200))</f>
        <v>null</v>
      </c>
      <c r="AC1200" s="4" t="str">
        <f>IF(N1200="",IF(ISNUMBER(SEARCH("NOT NULL",UPPER(N$3))),"''","null"),SUBSTITUTE(VLOOKUP(N$2,convert!$A$1:$B$4,2,0),"@@@",N1200))</f>
        <v>null</v>
      </c>
      <c r="AD1200" s="4" t="str">
        <f>IF(O1200="",IF(ISNUMBER(SEARCH("NOT NULL",UPPER(O$3))),"''","null"),SUBSTITUTE(VLOOKUP(O$2,convert!$A$1:$B$4,2,0),"@@@",O1200))</f>
        <v>TRUE</v>
      </c>
      <c r="AE1200" s="4" t="str">
        <f t="shared" si="18"/>
        <v>    ('1000N01', 'サーフゴー', 87, 60, 95, 133, 91, 84, '', 'steel', 'ghost', 'g9', null, null, TRUE),</v>
      </c>
    </row>
    <row r="1201" spans="1:31">
      <c r="A1201" s="4" t="s">
        <v>2415</v>
      </c>
      <c r="B1201" s="4" t="s">
        <v>2416</v>
      </c>
      <c r="C1201" s="5">
        <v>85</v>
      </c>
      <c r="D1201" s="5">
        <v>85</v>
      </c>
      <c r="E1201" s="5">
        <v>100</v>
      </c>
      <c r="F1201" s="5">
        <v>95</v>
      </c>
      <c r="G1201" s="5">
        <v>135</v>
      </c>
      <c r="H1201" s="5">
        <v>70</v>
      </c>
      <c r="I1201" s="5"/>
      <c r="J1201" s="4" t="s">
        <v>91</v>
      </c>
      <c r="K1201" s="4" t="s">
        <v>30</v>
      </c>
      <c r="L1201" s="4" t="s">
        <v>368</v>
      </c>
      <c r="M1201" s="5"/>
      <c r="N1201" s="5"/>
      <c r="O1201" s="5" t="b">
        <v>0</v>
      </c>
      <c r="P1201" s="4" t="str">
        <f>IF(A1201="",IF(ISNUMBER(SEARCH("NOT NULL",UPPER(A$3))),"''","null"),SUBSTITUTE(VLOOKUP(A$2,convert!$A$1:$B$4,2,0),"@@@",A1201))</f>
        <v>'1001N01'</v>
      </c>
      <c r="Q1201" s="4" t="str">
        <f>IF(B1201="",IF(ISNUMBER(SEARCH("NOT NULL",UPPER(B$3))),"''","null"),SUBSTITUTE(VLOOKUP(B$2,convert!$A$1:$B$4,2,0),"@@@",B1201))</f>
        <v>'チオンジェン'</v>
      </c>
      <c r="R1201" s="4" t="str">
        <f>IF(C1201="",IF(ISNUMBER(SEARCH("NOT NULL",UPPER(C$3))),"''","null"),SUBSTITUTE(VLOOKUP(C$2,convert!$A$1:$B$4,2,0),"@@@",C1201))</f>
        <v>85</v>
      </c>
      <c r="S1201" s="4" t="str">
        <f>IF(D1201="",IF(ISNUMBER(SEARCH("NOT NULL",UPPER(D$3))),"''","null"),SUBSTITUTE(VLOOKUP(D$2,convert!$A$1:$B$4,2,0),"@@@",D1201))</f>
        <v>85</v>
      </c>
      <c r="T1201" s="4" t="str">
        <f>IF(E1201="",IF(ISNUMBER(SEARCH("NOT NULL",UPPER(E$3))),"''","null"),SUBSTITUTE(VLOOKUP(E$2,convert!$A$1:$B$4,2,0),"@@@",E1201))</f>
        <v>100</v>
      </c>
      <c r="U1201" s="4" t="str">
        <f>IF(F1201="",IF(ISNUMBER(SEARCH("NOT NULL",UPPER(F$3))),"''","null"),SUBSTITUTE(VLOOKUP(F$2,convert!$A$1:$B$4,2,0),"@@@",F1201))</f>
        <v>95</v>
      </c>
      <c r="V1201" s="4" t="str">
        <f>IF(G1201="",IF(ISNUMBER(SEARCH("NOT NULL",UPPER(G$3))),"''","null"),SUBSTITUTE(VLOOKUP(G$2,convert!$A$1:$B$4,2,0),"@@@",G1201))</f>
        <v>135</v>
      </c>
      <c r="W1201" s="4" t="str">
        <f>IF(H1201="",IF(ISNUMBER(SEARCH("NOT NULL",UPPER(H$3))),"''","null"),SUBSTITUTE(VLOOKUP(H$2,convert!$A$1:$B$4,2,0),"@@@",H1201))</f>
        <v>70</v>
      </c>
      <c r="X1201" s="4" t="str">
        <f>IF(I1201="",IF(ISNUMBER(SEARCH("NOT NULL",UPPER(I$3))),"''","null"),SUBSTITUTE(VLOOKUP(I$2,convert!$A$1:$B$4,2,0),"@@@",I1201))</f>
        <v>''</v>
      </c>
      <c r="Y1201" s="4" t="str">
        <f>IF(J1201="",IF(ISNUMBER(SEARCH("NOT NULL",UPPER(J$3))),"''","null"),SUBSTITUTE(VLOOKUP(J$2,convert!$A$1:$B$4,2,0),"@@@",J1201))</f>
        <v>'dark'</v>
      </c>
      <c r="Z1201" s="4" t="str">
        <f>IF(K1201="",IF(ISNUMBER(SEARCH("NOT NULL",UPPER(K$3))),"''","null"),SUBSTITUTE(VLOOKUP(K$2,convert!$A$1:$B$4,2,0),"@@@",K1201))</f>
        <v>'grass'</v>
      </c>
      <c r="AA1201" s="4" t="str">
        <f>IF(L1201="",IF(ISNUMBER(SEARCH("NOT NULL",UPPER(L$3))),"''","null"),SUBSTITUTE(VLOOKUP(L$2,convert!$A$1:$B$4,2,0),"@@@",L1201))</f>
        <v>'g9'</v>
      </c>
      <c r="AB1201" s="4" t="str">
        <f>IF(M1201="",IF(ISNUMBER(SEARCH("NOT NULL",UPPER(M$3))),"''","null"),SUBSTITUTE(VLOOKUP(M$2,convert!$A$1:$B$4,2,0),"@@@",M1201))</f>
        <v>null</v>
      </c>
      <c r="AC1201" s="4" t="str">
        <f>IF(N1201="",IF(ISNUMBER(SEARCH("NOT NULL",UPPER(N$3))),"''","null"),SUBSTITUTE(VLOOKUP(N$2,convert!$A$1:$B$4,2,0),"@@@",N1201))</f>
        <v>null</v>
      </c>
      <c r="AD1201" s="4" t="str">
        <f>IF(O1201="",IF(ISNUMBER(SEARCH("NOT NULL",UPPER(O$3))),"''","null"),SUBSTITUTE(VLOOKUP(O$2,convert!$A$1:$B$4,2,0),"@@@",O1201))</f>
        <v>FALSE</v>
      </c>
      <c r="AE1201" s="4" t="str">
        <f t="shared" si="18"/>
        <v>    ('1001N01', 'チオンジェン', 85, 85, 100, 95, 135, 70, '', 'dark', 'grass', 'g9', null, null, FALSE),</v>
      </c>
    </row>
    <row r="1202" spans="1:31">
      <c r="A1202" s="4" t="s">
        <v>2417</v>
      </c>
      <c r="B1202" s="4" t="s">
        <v>2418</v>
      </c>
      <c r="C1202" s="5">
        <v>80</v>
      </c>
      <c r="D1202" s="5">
        <v>120</v>
      </c>
      <c r="E1202" s="5">
        <v>80</v>
      </c>
      <c r="F1202" s="5">
        <v>90</v>
      </c>
      <c r="G1202" s="5">
        <v>65</v>
      </c>
      <c r="H1202" s="5">
        <v>135</v>
      </c>
      <c r="I1202" s="5"/>
      <c r="J1202" s="4" t="s">
        <v>91</v>
      </c>
      <c r="K1202" s="4" t="s">
        <v>118</v>
      </c>
      <c r="L1202" s="4" t="s">
        <v>368</v>
      </c>
      <c r="M1202" s="5"/>
      <c r="N1202" s="5"/>
      <c r="O1202" s="5" t="b">
        <v>0</v>
      </c>
      <c r="P1202" s="4" t="str">
        <f>IF(A1202="",IF(ISNUMBER(SEARCH("NOT NULL",UPPER(A$3))),"''","null"),SUBSTITUTE(VLOOKUP(A$2,convert!$A$1:$B$4,2,0),"@@@",A1202))</f>
        <v>'1002N01'</v>
      </c>
      <c r="Q1202" s="4" t="str">
        <f>IF(B1202="",IF(ISNUMBER(SEARCH("NOT NULL",UPPER(B$3))),"''","null"),SUBSTITUTE(VLOOKUP(B$2,convert!$A$1:$B$4,2,0),"@@@",B1202))</f>
        <v>'パオジアン'</v>
      </c>
      <c r="R1202" s="4" t="str">
        <f>IF(C1202="",IF(ISNUMBER(SEARCH("NOT NULL",UPPER(C$3))),"''","null"),SUBSTITUTE(VLOOKUP(C$2,convert!$A$1:$B$4,2,0),"@@@",C1202))</f>
        <v>80</v>
      </c>
      <c r="S1202" s="4" t="str">
        <f>IF(D1202="",IF(ISNUMBER(SEARCH("NOT NULL",UPPER(D$3))),"''","null"),SUBSTITUTE(VLOOKUP(D$2,convert!$A$1:$B$4,2,0),"@@@",D1202))</f>
        <v>120</v>
      </c>
      <c r="T1202" s="4" t="str">
        <f>IF(E1202="",IF(ISNUMBER(SEARCH("NOT NULL",UPPER(E$3))),"''","null"),SUBSTITUTE(VLOOKUP(E$2,convert!$A$1:$B$4,2,0),"@@@",E1202))</f>
        <v>80</v>
      </c>
      <c r="U1202" s="4" t="str">
        <f>IF(F1202="",IF(ISNUMBER(SEARCH("NOT NULL",UPPER(F$3))),"''","null"),SUBSTITUTE(VLOOKUP(F$2,convert!$A$1:$B$4,2,0),"@@@",F1202))</f>
        <v>90</v>
      </c>
      <c r="V1202" s="4" t="str">
        <f>IF(G1202="",IF(ISNUMBER(SEARCH("NOT NULL",UPPER(G$3))),"''","null"),SUBSTITUTE(VLOOKUP(G$2,convert!$A$1:$B$4,2,0),"@@@",G1202))</f>
        <v>65</v>
      </c>
      <c r="W1202" s="4" t="str">
        <f>IF(H1202="",IF(ISNUMBER(SEARCH("NOT NULL",UPPER(H$3))),"''","null"),SUBSTITUTE(VLOOKUP(H$2,convert!$A$1:$B$4,2,0),"@@@",H1202))</f>
        <v>135</v>
      </c>
      <c r="X1202" s="4" t="str">
        <f>IF(I1202="",IF(ISNUMBER(SEARCH("NOT NULL",UPPER(I$3))),"''","null"),SUBSTITUTE(VLOOKUP(I$2,convert!$A$1:$B$4,2,0),"@@@",I1202))</f>
        <v>''</v>
      </c>
      <c r="Y1202" s="4" t="str">
        <f>IF(J1202="",IF(ISNUMBER(SEARCH("NOT NULL",UPPER(J$3))),"''","null"),SUBSTITUTE(VLOOKUP(J$2,convert!$A$1:$B$4,2,0),"@@@",J1202))</f>
        <v>'dark'</v>
      </c>
      <c r="Z1202" s="4" t="str">
        <f>IF(K1202="",IF(ISNUMBER(SEARCH("NOT NULL",UPPER(K$3))),"''","null"),SUBSTITUTE(VLOOKUP(K$2,convert!$A$1:$B$4,2,0),"@@@",K1202))</f>
        <v>'ice'</v>
      </c>
      <c r="AA1202" s="4" t="str">
        <f>IF(L1202="",IF(ISNUMBER(SEARCH("NOT NULL",UPPER(L$3))),"''","null"),SUBSTITUTE(VLOOKUP(L$2,convert!$A$1:$B$4,2,0),"@@@",L1202))</f>
        <v>'g9'</v>
      </c>
      <c r="AB1202" s="4" t="str">
        <f>IF(M1202="",IF(ISNUMBER(SEARCH("NOT NULL",UPPER(M$3))),"''","null"),SUBSTITUTE(VLOOKUP(M$2,convert!$A$1:$B$4,2,0),"@@@",M1202))</f>
        <v>null</v>
      </c>
      <c r="AC1202" s="4" t="str">
        <f>IF(N1202="",IF(ISNUMBER(SEARCH("NOT NULL",UPPER(N$3))),"''","null"),SUBSTITUTE(VLOOKUP(N$2,convert!$A$1:$B$4,2,0),"@@@",N1202))</f>
        <v>null</v>
      </c>
      <c r="AD1202" s="4" t="str">
        <f>IF(O1202="",IF(ISNUMBER(SEARCH("NOT NULL",UPPER(O$3))),"''","null"),SUBSTITUTE(VLOOKUP(O$2,convert!$A$1:$B$4,2,0),"@@@",O1202))</f>
        <v>FALSE</v>
      </c>
      <c r="AE1202" s="4" t="str">
        <f t="shared" si="18"/>
        <v>    ('1002N01', 'パオジアン', 80, 120, 80, 90, 65, 135, '', 'dark', 'ice', 'g9', null, null, FALSE),</v>
      </c>
    </row>
    <row r="1203" spans="1:31">
      <c r="A1203" s="4" t="s">
        <v>2419</v>
      </c>
      <c r="B1203" s="4" t="s">
        <v>2420</v>
      </c>
      <c r="C1203" s="5">
        <v>155</v>
      </c>
      <c r="D1203" s="5">
        <v>110</v>
      </c>
      <c r="E1203" s="5">
        <v>125</v>
      </c>
      <c r="F1203" s="5">
        <v>55</v>
      </c>
      <c r="G1203" s="5">
        <v>80</v>
      </c>
      <c r="H1203" s="5">
        <v>45</v>
      </c>
      <c r="I1203" s="5"/>
      <c r="J1203" s="4" t="s">
        <v>91</v>
      </c>
      <c r="K1203" s="4" t="s">
        <v>116</v>
      </c>
      <c r="L1203" s="4" t="s">
        <v>368</v>
      </c>
      <c r="M1203" s="5"/>
      <c r="N1203" s="5"/>
      <c r="O1203" s="5" t="b">
        <v>0</v>
      </c>
      <c r="P1203" s="4" t="str">
        <f>IF(A1203="",IF(ISNUMBER(SEARCH("NOT NULL",UPPER(A$3))),"''","null"),SUBSTITUTE(VLOOKUP(A$2,convert!$A$1:$B$4,2,0),"@@@",A1203))</f>
        <v>'1003N01'</v>
      </c>
      <c r="Q1203" s="4" t="str">
        <f>IF(B1203="",IF(ISNUMBER(SEARCH("NOT NULL",UPPER(B$3))),"''","null"),SUBSTITUTE(VLOOKUP(B$2,convert!$A$1:$B$4,2,0),"@@@",B1203))</f>
        <v>'ディンルー'</v>
      </c>
      <c r="R1203" s="4" t="str">
        <f>IF(C1203="",IF(ISNUMBER(SEARCH("NOT NULL",UPPER(C$3))),"''","null"),SUBSTITUTE(VLOOKUP(C$2,convert!$A$1:$B$4,2,0),"@@@",C1203))</f>
        <v>155</v>
      </c>
      <c r="S1203" s="4" t="str">
        <f>IF(D1203="",IF(ISNUMBER(SEARCH("NOT NULL",UPPER(D$3))),"''","null"),SUBSTITUTE(VLOOKUP(D$2,convert!$A$1:$B$4,2,0),"@@@",D1203))</f>
        <v>110</v>
      </c>
      <c r="T1203" s="4" t="str">
        <f>IF(E1203="",IF(ISNUMBER(SEARCH("NOT NULL",UPPER(E$3))),"''","null"),SUBSTITUTE(VLOOKUP(E$2,convert!$A$1:$B$4,2,0),"@@@",E1203))</f>
        <v>125</v>
      </c>
      <c r="U1203" s="4" t="str">
        <f>IF(F1203="",IF(ISNUMBER(SEARCH("NOT NULL",UPPER(F$3))),"''","null"),SUBSTITUTE(VLOOKUP(F$2,convert!$A$1:$B$4,2,0),"@@@",F1203))</f>
        <v>55</v>
      </c>
      <c r="V1203" s="4" t="str">
        <f>IF(G1203="",IF(ISNUMBER(SEARCH("NOT NULL",UPPER(G$3))),"''","null"),SUBSTITUTE(VLOOKUP(G$2,convert!$A$1:$B$4,2,0),"@@@",G1203))</f>
        <v>80</v>
      </c>
      <c r="W1203" s="4" t="str">
        <f>IF(H1203="",IF(ISNUMBER(SEARCH("NOT NULL",UPPER(H$3))),"''","null"),SUBSTITUTE(VLOOKUP(H$2,convert!$A$1:$B$4,2,0),"@@@",H1203))</f>
        <v>45</v>
      </c>
      <c r="X1203" s="4" t="str">
        <f>IF(I1203="",IF(ISNUMBER(SEARCH("NOT NULL",UPPER(I$3))),"''","null"),SUBSTITUTE(VLOOKUP(I$2,convert!$A$1:$B$4,2,0),"@@@",I1203))</f>
        <v>''</v>
      </c>
      <c r="Y1203" s="4" t="str">
        <f>IF(J1203="",IF(ISNUMBER(SEARCH("NOT NULL",UPPER(J$3))),"''","null"),SUBSTITUTE(VLOOKUP(J$2,convert!$A$1:$B$4,2,0),"@@@",J1203))</f>
        <v>'dark'</v>
      </c>
      <c r="Z1203" s="4" t="str">
        <f>IF(K1203="",IF(ISNUMBER(SEARCH("NOT NULL",UPPER(K$3))),"''","null"),SUBSTITUTE(VLOOKUP(K$2,convert!$A$1:$B$4,2,0),"@@@",K1203))</f>
        <v>'ground'</v>
      </c>
      <c r="AA1203" s="4" t="str">
        <f>IF(L1203="",IF(ISNUMBER(SEARCH("NOT NULL",UPPER(L$3))),"''","null"),SUBSTITUTE(VLOOKUP(L$2,convert!$A$1:$B$4,2,0),"@@@",L1203))</f>
        <v>'g9'</v>
      </c>
      <c r="AB1203" s="4" t="str">
        <f>IF(M1203="",IF(ISNUMBER(SEARCH("NOT NULL",UPPER(M$3))),"''","null"),SUBSTITUTE(VLOOKUP(M$2,convert!$A$1:$B$4,2,0),"@@@",M1203))</f>
        <v>null</v>
      </c>
      <c r="AC1203" s="4" t="str">
        <f>IF(N1203="",IF(ISNUMBER(SEARCH("NOT NULL",UPPER(N$3))),"''","null"),SUBSTITUTE(VLOOKUP(N$2,convert!$A$1:$B$4,2,0),"@@@",N1203))</f>
        <v>null</v>
      </c>
      <c r="AD1203" s="4" t="str">
        <f>IF(O1203="",IF(ISNUMBER(SEARCH("NOT NULL",UPPER(O$3))),"''","null"),SUBSTITUTE(VLOOKUP(O$2,convert!$A$1:$B$4,2,0),"@@@",O1203))</f>
        <v>FALSE</v>
      </c>
      <c r="AE1203" s="4" t="str">
        <f t="shared" si="18"/>
        <v>    ('1003N01', 'ディンルー', 155, 110, 125, 55, 80, 45, '', 'dark', 'ground', 'g9', null, null, FALSE),</v>
      </c>
    </row>
    <row r="1204" spans="1:31">
      <c r="A1204" s="4" t="s">
        <v>2421</v>
      </c>
      <c r="B1204" s="4" t="s">
        <v>2422</v>
      </c>
      <c r="C1204" s="5">
        <v>55</v>
      </c>
      <c r="D1204" s="5">
        <v>80</v>
      </c>
      <c r="E1204" s="5">
        <v>80</v>
      </c>
      <c r="F1204" s="5">
        <v>135</v>
      </c>
      <c r="G1204" s="5">
        <v>120</v>
      </c>
      <c r="H1204" s="5">
        <v>100</v>
      </c>
      <c r="I1204" s="5"/>
      <c r="J1204" s="4" t="s">
        <v>91</v>
      </c>
      <c r="K1204" s="4" t="s">
        <v>42</v>
      </c>
      <c r="L1204" s="4" t="s">
        <v>368</v>
      </c>
      <c r="M1204" s="5"/>
      <c r="N1204" s="5"/>
      <c r="O1204" s="5" t="b">
        <v>0</v>
      </c>
      <c r="P1204" s="4" t="str">
        <f>IF(A1204="",IF(ISNUMBER(SEARCH("NOT NULL",UPPER(A$3))),"''","null"),SUBSTITUTE(VLOOKUP(A$2,convert!$A$1:$B$4,2,0),"@@@",A1204))</f>
        <v>'1004N01'</v>
      </c>
      <c r="Q1204" s="4" t="str">
        <f>IF(B1204="",IF(ISNUMBER(SEARCH("NOT NULL",UPPER(B$3))),"''","null"),SUBSTITUTE(VLOOKUP(B$2,convert!$A$1:$B$4,2,0),"@@@",B1204))</f>
        <v>'イーユイ'</v>
      </c>
      <c r="R1204" s="4" t="str">
        <f>IF(C1204="",IF(ISNUMBER(SEARCH("NOT NULL",UPPER(C$3))),"''","null"),SUBSTITUTE(VLOOKUP(C$2,convert!$A$1:$B$4,2,0),"@@@",C1204))</f>
        <v>55</v>
      </c>
      <c r="S1204" s="4" t="str">
        <f>IF(D1204="",IF(ISNUMBER(SEARCH("NOT NULL",UPPER(D$3))),"''","null"),SUBSTITUTE(VLOOKUP(D$2,convert!$A$1:$B$4,2,0),"@@@",D1204))</f>
        <v>80</v>
      </c>
      <c r="T1204" s="4" t="str">
        <f>IF(E1204="",IF(ISNUMBER(SEARCH("NOT NULL",UPPER(E$3))),"''","null"),SUBSTITUTE(VLOOKUP(E$2,convert!$A$1:$B$4,2,0),"@@@",E1204))</f>
        <v>80</v>
      </c>
      <c r="U1204" s="4" t="str">
        <f>IF(F1204="",IF(ISNUMBER(SEARCH("NOT NULL",UPPER(F$3))),"''","null"),SUBSTITUTE(VLOOKUP(F$2,convert!$A$1:$B$4,2,0),"@@@",F1204))</f>
        <v>135</v>
      </c>
      <c r="V1204" s="4" t="str">
        <f>IF(G1204="",IF(ISNUMBER(SEARCH("NOT NULL",UPPER(G$3))),"''","null"),SUBSTITUTE(VLOOKUP(G$2,convert!$A$1:$B$4,2,0),"@@@",G1204))</f>
        <v>120</v>
      </c>
      <c r="W1204" s="4" t="str">
        <f>IF(H1204="",IF(ISNUMBER(SEARCH("NOT NULL",UPPER(H$3))),"''","null"),SUBSTITUTE(VLOOKUP(H$2,convert!$A$1:$B$4,2,0),"@@@",H1204))</f>
        <v>100</v>
      </c>
      <c r="X1204" s="4" t="str">
        <f>IF(I1204="",IF(ISNUMBER(SEARCH("NOT NULL",UPPER(I$3))),"''","null"),SUBSTITUTE(VLOOKUP(I$2,convert!$A$1:$B$4,2,0),"@@@",I1204))</f>
        <v>''</v>
      </c>
      <c r="Y1204" s="4" t="str">
        <f>IF(J1204="",IF(ISNUMBER(SEARCH("NOT NULL",UPPER(J$3))),"''","null"),SUBSTITUTE(VLOOKUP(J$2,convert!$A$1:$B$4,2,0),"@@@",J1204))</f>
        <v>'dark'</v>
      </c>
      <c r="Z1204" s="4" t="str">
        <f>IF(K1204="",IF(ISNUMBER(SEARCH("NOT NULL",UPPER(K$3))),"''","null"),SUBSTITUTE(VLOOKUP(K$2,convert!$A$1:$B$4,2,0),"@@@",K1204))</f>
        <v>'fire'</v>
      </c>
      <c r="AA1204" s="4" t="str">
        <f>IF(L1204="",IF(ISNUMBER(SEARCH("NOT NULL",UPPER(L$3))),"''","null"),SUBSTITUTE(VLOOKUP(L$2,convert!$A$1:$B$4,2,0),"@@@",L1204))</f>
        <v>'g9'</v>
      </c>
      <c r="AB1204" s="4" t="str">
        <f>IF(M1204="",IF(ISNUMBER(SEARCH("NOT NULL",UPPER(M$3))),"''","null"),SUBSTITUTE(VLOOKUP(M$2,convert!$A$1:$B$4,2,0),"@@@",M1204))</f>
        <v>null</v>
      </c>
      <c r="AC1204" s="4" t="str">
        <f>IF(N1204="",IF(ISNUMBER(SEARCH("NOT NULL",UPPER(N$3))),"''","null"),SUBSTITUTE(VLOOKUP(N$2,convert!$A$1:$B$4,2,0),"@@@",N1204))</f>
        <v>null</v>
      </c>
      <c r="AD1204" s="4" t="str">
        <f>IF(O1204="",IF(ISNUMBER(SEARCH("NOT NULL",UPPER(O$3))),"''","null"),SUBSTITUTE(VLOOKUP(O$2,convert!$A$1:$B$4,2,0),"@@@",O1204))</f>
        <v>FALSE</v>
      </c>
      <c r="AE1204" s="4" t="str">
        <f t="shared" si="18"/>
        <v>    ('1004N01', 'イーユイ', 55, 80, 80, 135, 120, 100, '', 'dark', 'fire', 'g9', null, null, FALSE),</v>
      </c>
    </row>
    <row r="1205" spans="1:31">
      <c r="A1205" s="4" t="s">
        <v>2423</v>
      </c>
      <c r="B1205" s="4" t="s">
        <v>2424</v>
      </c>
      <c r="C1205" s="5">
        <v>105</v>
      </c>
      <c r="D1205" s="5">
        <v>139</v>
      </c>
      <c r="E1205" s="5">
        <v>71</v>
      </c>
      <c r="F1205" s="5">
        <v>55</v>
      </c>
      <c r="G1205" s="5">
        <v>101</v>
      </c>
      <c r="H1205" s="5">
        <v>119</v>
      </c>
      <c r="I1205" s="5"/>
      <c r="J1205" s="4" t="s">
        <v>50</v>
      </c>
      <c r="K1205" s="4" t="s">
        <v>91</v>
      </c>
      <c r="L1205" s="4" t="s">
        <v>368</v>
      </c>
      <c r="M1205" s="5"/>
      <c r="N1205" s="5"/>
      <c r="O1205" s="5" t="b">
        <v>0</v>
      </c>
      <c r="P1205" s="4" t="str">
        <f>IF(A1205="",IF(ISNUMBER(SEARCH("NOT NULL",UPPER(A$3))),"''","null"),SUBSTITUTE(VLOOKUP(A$2,convert!$A$1:$B$4,2,0),"@@@",A1205))</f>
        <v>'1005N01'</v>
      </c>
      <c r="Q1205" s="4" t="str">
        <f>IF(B1205="",IF(ISNUMBER(SEARCH("NOT NULL",UPPER(B$3))),"''","null"),SUBSTITUTE(VLOOKUP(B$2,convert!$A$1:$B$4,2,0),"@@@",B1205))</f>
        <v>'トドロクツキ'</v>
      </c>
      <c r="R1205" s="4" t="str">
        <f>IF(C1205="",IF(ISNUMBER(SEARCH("NOT NULL",UPPER(C$3))),"''","null"),SUBSTITUTE(VLOOKUP(C$2,convert!$A$1:$B$4,2,0),"@@@",C1205))</f>
        <v>105</v>
      </c>
      <c r="S1205" s="4" t="str">
        <f>IF(D1205="",IF(ISNUMBER(SEARCH("NOT NULL",UPPER(D$3))),"''","null"),SUBSTITUTE(VLOOKUP(D$2,convert!$A$1:$B$4,2,0),"@@@",D1205))</f>
        <v>139</v>
      </c>
      <c r="T1205" s="4" t="str">
        <f>IF(E1205="",IF(ISNUMBER(SEARCH("NOT NULL",UPPER(E$3))),"''","null"),SUBSTITUTE(VLOOKUP(E$2,convert!$A$1:$B$4,2,0),"@@@",E1205))</f>
        <v>71</v>
      </c>
      <c r="U1205" s="4" t="str">
        <f>IF(F1205="",IF(ISNUMBER(SEARCH("NOT NULL",UPPER(F$3))),"''","null"),SUBSTITUTE(VLOOKUP(F$2,convert!$A$1:$B$4,2,0),"@@@",F1205))</f>
        <v>55</v>
      </c>
      <c r="V1205" s="4" t="str">
        <f>IF(G1205="",IF(ISNUMBER(SEARCH("NOT NULL",UPPER(G$3))),"''","null"),SUBSTITUTE(VLOOKUP(G$2,convert!$A$1:$B$4,2,0),"@@@",G1205))</f>
        <v>101</v>
      </c>
      <c r="W1205" s="4" t="str">
        <f>IF(H1205="",IF(ISNUMBER(SEARCH("NOT NULL",UPPER(H$3))),"''","null"),SUBSTITUTE(VLOOKUP(H$2,convert!$A$1:$B$4,2,0),"@@@",H1205))</f>
        <v>119</v>
      </c>
      <c r="X1205" s="4" t="str">
        <f>IF(I1205="",IF(ISNUMBER(SEARCH("NOT NULL",UPPER(I$3))),"''","null"),SUBSTITUTE(VLOOKUP(I$2,convert!$A$1:$B$4,2,0),"@@@",I1205))</f>
        <v>''</v>
      </c>
      <c r="Y1205" s="4" t="str">
        <f>IF(J1205="",IF(ISNUMBER(SEARCH("NOT NULL",UPPER(J$3))),"''","null"),SUBSTITUTE(VLOOKUP(J$2,convert!$A$1:$B$4,2,0),"@@@",J1205))</f>
        <v>'dragon'</v>
      </c>
      <c r="Z1205" s="4" t="str">
        <f>IF(K1205="",IF(ISNUMBER(SEARCH("NOT NULL",UPPER(K$3))),"''","null"),SUBSTITUTE(VLOOKUP(K$2,convert!$A$1:$B$4,2,0),"@@@",K1205))</f>
        <v>'dark'</v>
      </c>
      <c r="AA1205" s="4" t="str">
        <f>IF(L1205="",IF(ISNUMBER(SEARCH("NOT NULL",UPPER(L$3))),"''","null"),SUBSTITUTE(VLOOKUP(L$2,convert!$A$1:$B$4,2,0),"@@@",L1205))</f>
        <v>'g9'</v>
      </c>
      <c r="AB1205" s="4" t="str">
        <f>IF(M1205="",IF(ISNUMBER(SEARCH("NOT NULL",UPPER(M$3))),"''","null"),SUBSTITUTE(VLOOKUP(M$2,convert!$A$1:$B$4,2,0),"@@@",M1205))</f>
        <v>null</v>
      </c>
      <c r="AC1205" s="4" t="str">
        <f>IF(N1205="",IF(ISNUMBER(SEARCH("NOT NULL",UPPER(N$3))),"''","null"),SUBSTITUTE(VLOOKUP(N$2,convert!$A$1:$B$4,2,0),"@@@",N1205))</f>
        <v>null</v>
      </c>
      <c r="AD1205" s="4" t="str">
        <f>IF(O1205="",IF(ISNUMBER(SEARCH("NOT NULL",UPPER(O$3))),"''","null"),SUBSTITUTE(VLOOKUP(O$2,convert!$A$1:$B$4,2,0),"@@@",O1205))</f>
        <v>FALSE</v>
      </c>
      <c r="AE1205" s="4" t="str">
        <f t="shared" si="18"/>
        <v>    ('1005N01', 'トドロクツキ', 105, 139, 71, 55, 101, 119, '', 'dragon', 'dark', 'g9', null, null, FALSE),</v>
      </c>
    </row>
    <row r="1206" spans="1:31">
      <c r="A1206" s="4" t="s">
        <v>2425</v>
      </c>
      <c r="B1206" s="4" t="s">
        <v>2426</v>
      </c>
      <c r="C1206" s="5">
        <v>74</v>
      </c>
      <c r="D1206" s="5">
        <v>130</v>
      </c>
      <c r="E1206" s="5">
        <v>90</v>
      </c>
      <c r="F1206" s="5">
        <v>120</v>
      </c>
      <c r="G1206" s="5">
        <v>60</v>
      </c>
      <c r="H1206" s="5">
        <v>116</v>
      </c>
      <c r="I1206" s="5"/>
      <c r="J1206" s="4" t="s">
        <v>137</v>
      </c>
      <c r="K1206" s="4" t="s">
        <v>189</v>
      </c>
      <c r="L1206" s="4" t="s">
        <v>368</v>
      </c>
      <c r="M1206" s="5"/>
      <c r="N1206" s="5"/>
      <c r="O1206" s="5" t="b">
        <v>0</v>
      </c>
      <c r="P1206" s="4" t="str">
        <f>IF(A1206="",IF(ISNUMBER(SEARCH("NOT NULL",UPPER(A$3))),"''","null"),SUBSTITUTE(VLOOKUP(A$2,convert!$A$1:$B$4,2,0),"@@@",A1206))</f>
        <v>'1006N01'</v>
      </c>
      <c r="Q1206" s="4" t="str">
        <f>IF(B1206="",IF(ISNUMBER(SEARCH("NOT NULL",UPPER(B$3))),"''","null"),SUBSTITUTE(VLOOKUP(B$2,convert!$A$1:$B$4,2,0),"@@@",B1206))</f>
        <v>'テツノブジン'</v>
      </c>
      <c r="R1206" s="4" t="str">
        <f>IF(C1206="",IF(ISNUMBER(SEARCH("NOT NULL",UPPER(C$3))),"''","null"),SUBSTITUTE(VLOOKUP(C$2,convert!$A$1:$B$4,2,0),"@@@",C1206))</f>
        <v>74</v>
      </c>
      <c r="S1206" s="4" t="str">
        <f>IF(D1206="",IF(ISNUMBER(SEARCH("NOT NULL",UPPER(D$3))),"''","null"),SUBSTITUTE(VLOOKUP(D$2,convert!$A$1:$B$4,2,0),"@@@",D1206))</f>
        <v>130</v>
      </c>
      <c r="T1206" s="4" t="str">
        <f>IF(E1206="",IF(ISNUMBER(SEARCH("NOT NULL",UPPER(E$3))),"''","null"),SUBSTITUTE(VLOOKUP(E$2,convert!$A$1:$B$4,2,0),"@@@",E1206))</f>
        <v>90</v>
      </c>
      <c r="U1206" s="4" t="str">
        <f>IF(F1206="",IF(ISNUMBER(SEARCH("NOT NULL",UPPER(F$3))),"''","null"),SUBSTITUTE(VLOOKUP(F$2,convert!$A$1:$B$4,2,0),"@@@",F1206))</f>
        <v>120</v>
      </c>
      <c r="V1206" s="4" t="str">
        <f>IF(G1206="",IF(ISNUMBER(SEARCH("NOT NULL",UPPER(G$3))),"''","null"),SUBSTITUTE(VLOOKUP(G$2,convert!$A$1:$B$4,2,0),"@@@",G1206))</f>
        <v>60</v>
      </c>
      <c r="W1206" s="4" t="str">
        <f>IF(H1206="",IF(ISNUMBER(SEARCH("NOT NULL",UPPER(H$3))),"''","null"),SUBSTITUTE(VLOOKUP(H$2,convert!$A$1:$B$4,2,0),"@@@",H1206))</f>
        <v>116</v>
      </c>
      <c r="X1206" s="4" t="str">
        <f>IF(I1206="",IF(ISNUMBER(SEARCH("NOT NULL",UPPER(I$3))),"''","null"),SUBSTITUTE(VLOOKUP(I$2,convert!$A$1:$B$4,2,0),"@@@",I1206))</f>
        <v>''</v>
      </c>
      <c r="Y1206" s="4" t="str">
        <f>IF(J1206="",IF(ISNUMBER(SEARCH("NOT NULL",UPPER(J$3))),"''","null"),SUBSTITUTE(VLOOKUP(J$2,convert!$A$1:$B$4,2,0),"@@@",J1206))</f>
        <v>'fairy'</v>
      </c>
      <c r="Z1206" s="4" t="str">
        <f>IF(K1206="",IF(ISNUMBER(SEARCH("NOT NULL",UPPER(K$3))),"''","null"),SUBSTITUTE(VLOOKUP(K$2,convert!$A$1:$B$4,2,0),"@@@",K1206))</f>
        <v>'fighting'</v>
      </c>
      <c r="AA1206" s="4" t="str">
        <f>IF(L1206="",IF(ISNUMBER(SEARCH("NOT NULL",UPPER(L$3))),"''","null"),SUBSTITUTE(VLOOKUP(L$2,convert!$A$1:$B$4,2,0),"@@@",L1206))</f>
        <v>'g9'</v>
      </c>
      <c r="AB1206" s="4" t="str">
        <f>IF(M1206="",IF(ISNUMBER(SEARCH("NOT NULL",UPPER(M$3))),"''","null"),SUBSTITUTE(VLOOKUP(M$2,convert!$A$1:$B$4,2,0),"@@@",M1206))</f>
        <v>null</v>
      </c>
      <c r="AC1206" s="4" t="str">
        <f>IF(N1206="",IF(ISNUMBER(SEARCH("NOT NULL",UPPER(N$3))),"''","null"),SUBSTITUTE(VLOOKUP(N$2,convert!$A$1:$B$4,2,0),"@@@",N1206))</f>
        <v>null</v>
      </c>
      <c r="AD1206" s="4" t="str">
        <f>IF(O1206="",IF(ISNUMBER(SEARCH("NOT NULL",UPPER(O$3))),"''","null"),SUBSTITUTE(VLOOKUP(O$2,convert!$A$1:$B$4,2,0),"@@@",O1206))</f>
        <v>FALSE</v>
      </c>
      <c r="AE1206" s="4" t="str">
        <f t="shared" si="18"/>
        <v>    ('1006N01', 'テツノブジン', 74, 130, 90, 120, 60, 116, '', 'fairy', 'fighting', 'g9', null, null, FALSE),</v>
      </c>
    </row>
    <row r="1207" spans="1:31">
      <c r="A1207" s="4" t="s">
        <v>2427</v>
      </c>
      <c r="B1207" s="4" t="s">
        <v>2428</v>
      </c>
      <c r="C1207" s="5">
        <v>100</v>
      </c>
      <c r="D1207" s="5">
        <v>135</v>
      </c>
      <c r="E1207" s="5">
        <v>115</v>
      </c>
      <c r="F1207" s="5">
        <v>85</v>
      </c>
      <c r="G1207" s="5">
        <v>100</v>
      </c>
      <c r="H1207" s="5">
        <v>135</v>
      </c>
      <c r="I1207" s="5"/>
      <c r="J1207" s="4" t="s">
        <v>189</v>
      </c>
      <c r="K1207" s="4" t="s">
        <v>50</v>
      </c>
      <c r="L1207" s="4" t="s">
        <v>368</v>
      </c>
      <c r="M1207" s="5"/>
      <c r="N1207" s="5"/>
      <c r="O1207" s="5" t="b">
        <v>0</v>
      </c>
      <c r="P1207" s="4" t="str">
        <f>IF(A1207="",IF(ISNUMBER(SEARCH("NOT NULL",UPPER(A$3))),"''","null"),SUBSTITUTE(VLOOKUP(A$2,convert!$A$1:$B$4,2,0),"@@@",A1207))</f>
        <v>'1007N01'</v>
      </c>
      <c r="Q1207" s="4" t="str">
        <f>IF(B1207="",IF(ISNUMBER(SEARCH("NOT NULL",UPPER(B$3))),"''","null"),SUBSTITUTE(VLOOKUP(B$2,convert!$A$1:$B$4,2,0),"@@@",B1207))</f>
        <v>'コライドン'</v>
      </c>
      <c r="R1207" s="4" t="str">
        <f>IF(C1207="",IF(ISNUMBER(SEARCH("NOT NULL",UPPER(C$3))),"''","null"),SUBSTITUTE(VLOOKUP(C$2,convert!$A$1:$B$4,2,0),"@@@",C1207))</f>
        <v>100</v>
      </c>
      <c r="S1207" s="4" t="str">
        <f>IF(D1207="",IF(ISNUMBER(SEARCH("NOT NULL",UPPER(D$3))),"''","null"),SUBSTITUTE(VLOOKUP(D$2,convert!$A$1:$B$4,2,0),"@@@",D1207))</f>
        <v>135</v>
      </c>
      <c r="T1207" s="4" t="str">
        <f>IF(E1207="",IF(ISNUMBER(SEARCH("NOT NULL",UPPER(E$3))),"''","null"),SUBSTITUTE(VLOOKUP(E$2,convert!$A$1:$B$4,2,0),"@@@",E1207))</f>
        <v>115</v>
      </c>
      <c r="U1207" s="4" t="str">
        <f>IF(F1207="",IF(ISNUMBER(SEARCH("NOT NULL",UPPER(F$3))),"''","null"),SUBSTITUTE(VLOOKUP(F$2,convert!$A$1:$B$4,2,0),"@@@",F1207))</f>
        <v>85</v>
      </c>
      <c r="V1207" s="4" t="str">
        <f>IF(G1207="",IF(ISNUMBER(SEARCH("NOT NULL",UPPER(G$3))),"''","null"),SUBSTITUTE(VLOOKUP(G$2,convert!$A$1:$B$4,2,0),"@@@",G1207))</f>
        <v>100</v>
      </c>
      <c r="W1207" s="4" t="str">
        <f>IF(H1207="",IF(ISNUMBER(SEARCH("NOT NULL",UPPER(H$3))),"''","null"),SUBSTITUTE(VLOOKUP(H$2,convert!$A$1:$B$4,2,0),"@@@",H1207))</f>
        <v>135</v>
      </c>
      <c r="X1207" s="4" t="str">
        <f>IF(I1207="",IF(ISNUMBER(SEARCH("NOT NULL",UPPER(I$3))),"''","null"),SUBSTITUTE(VLOOKUP(I$2,convert!$A$1:$B$4,2,0),"@@@",I1207))</f>
        <v>''</v>
      </c>
      <c r="Y1207" s="4" t="str">
        <f>IF(J1207="",IF(ISNUMBER(SEARCH("NOT NULL",UPPER(J$3))),"''","null"),SUBSTITUTE(VLOOKUP(J$2,convert!$A$1:$B$4,2,0),"@@@",J1207))</f>
        <v>'fighting'</v>
      </c>
      <c r="Z1207" s="4" t="str">
        <f>IF(K1207="",IF(ISNUMBER(SEARCH("NOT NULL",UPPER(K$3))),"''","null"),SUBSTITUTE(VLOOKUP(K$2,convert!$A$1:$B$4,2,0),"@@@",K1207))</f>
        <v>'dragon'</v>
      </c>
      <c r="AA1207" s="4" t="str">
        <f>IF(L1207="",IF(ISNUMBER(SEARCH("NOT NULL",UPPER(L$3))),"''","null"),SUBSTITUTE(VLOOKUP(L$2,convert!$A$1:$B$4,2,0),"@@@",L1207))</f>
        <v>'g9'</v>
      </c>
      <c r="AB1207" s="4" t="str">
        <f>IF(M1207="",IF(ISNUMBER(SEARCH("NOT NULL",UPPER(M$3))),"''","null"),SUBSTITUTE(VLOOKUP(M$2,convert!$A$1:$B$4,2,0),"@@@",M1207))</f>
        <v>null</v>
      </c>
      <c r="AC1207" s="4" t="str">
        <f>IF(N1207="",IF(ISNUMBER(SEARCH("NOT NULL",UPPER(N$3))),"''","null"),SUBSTITUTE(VLOOKUP(N$2,convert!$A$1:$B$4,2,0),"@@@",N1207))</f>
        <v>null</v>
      </c>
      <c r="AD1207" s="4" t="str">
        <f>IF(O1207="",IF(ISNUMBER(SEARCH("NOT NULL",UPPER(O$3))),"''","null"),SUBSTITUTE(VLOOKUP(O$2,convert!$A$1:$B$4,2,0),"@@@",O1207))</f>
        <v>FALSE</v>
      </c>
      <c r="AE1207" s="4" t="str">
        <f t="shared" si="18"/>
        <v>    ('1007N01', 'コライドン', 100, 135, 115, 85, 100, 135, '', 'fighting', 'dragon', 'g9', null, null, FALSE),</v>
      </c>
    </row>
    <row r="1208" spans="1:31">
      <c r="A1208" s="4" t="s">
        <v>2429</v>
      </c>
      <c r="B1208" s="4" t="s">
        <v>2430</v>
      </c>
      <c r="C1208" s="5">
        <v>100</v>
      </c>
      <c r="D1208" s="5">
        <v>85</v>
      </c>
      <c r="E1208" s="5">
        <v>100</v>
      </c>
      <c r="F1208" s="5">
        <v>135</v>
      </c>
      <c r="G1208" s="5">
        <v>115</v>
      </c>
      <c r="H1208" s="5">
        <v>135</v>
      </c>
      <c r="I1208" s="5"/>
      <c r="J1208" s="4" t="s">
        <v>106</v>
      </c>
      <c r="K1208" s="4" t="s">
        <v>50</v>
      </c>
      <c r="L1208" s="4" t="s">
        <v>368</v>
      </c>
      <c r="M1208" s="5"/>
      <c r="N1208" s="5"/>
      <c r="O1208" s="5" t="b">
        <v>0</v>
      </c>
      <c r="P1208" s="4" t="str">
        <f>IF(A1208="",IF(ISNUMBER(SEARCH("NOT NULL",UPPER(A$3))),"''","null"),SUBSTITUTE(VLOOKUP(A$2,convert!$A$1:$B$4,2,0),"@@@",A1208))</f>
        <v>'1008N01'</v>
      </c>
      <c r="Q1208" s="4" t="str">
        <f>IF(B1208="",IF(ISNUMBER(SEARCH("NOT NULL",UPPER(B$3))),"''","null"),SUBSTITUTE(VLOOKUP(B$2,convert!$A$1:$B$4,2,0),"@@@",B1208))</f>
        <v>'ミライドン'</v>
      </c>
      <c r="R1208" s="4" t="str">
        <f>IF(C1208="",IF(ISNUMBER(SEARCH("NOT NULL",UPPER(C$3))),"''","null"),SUBSTITUTE(VLOOKUP(C$2,convert!$A$1:$B$4,2,0),"@@@",C1208))</f>
        <v>100</v>
      </c>
      <c r="S1208" s="4" t="str">
        <f>IF(D1208="",IF(ISNUMBER(SEARCH("NOT NULL",UPPER(D$3))),"''","null"),SUBSTITUTE(VLOOKUP(D$2,convert!$A$1:$B$4,2,0),"@@@",D1208))</f>
        <v>85</v>
      </c>
      <c r="T1208" s="4" t="str">
        <f>IF(E1208="",IF(ISNUMBER(SEARCH("NOT NULL",UPPER(E$3))),"''","null"),SUBSTITUTE(VLOOKUP(E$2,convert!$A$1:$B$4,2,0),"@@@",E1208))</f>
        <v>100</v>
      </c>
      <c r="U1208" s="4" t="str">
        <f>IF(F1208="",IF(ISNUMBER(SEARCH("NOT NULL",UPPER(F$3))),"''","null"),SUBSTITUTE(VLOOKUP(F$2,convert!$A$1:$B$4,2,0),"@@@",F1208))</f>
        <v>135</v>
      </c>
      <c r="V1208" s="4" t="str">
        <f>IF(G1208="",IF(ISNUMBER(SEARCH("NOT NULL",UPPER(G$3))),"''","null"),SUBSTITUTE(VLOOKUP(G$2,convert!$A$1:$B$4,2,0),"@@@",G1208))</f>
        <v>115</v>
      </c>
      <c r="W1208" s="4" t="str">
        <f>IF(H1208="",IF(ISNUMBER(SEARCH("NOT NULL",UPPER(H$3))),"''","null"),SUBSTITUTE(VLOOKUP(H$2,convert!$A$1:$B$4,2,0),"@@@",H1208))</f>
        <v>135</v>
      </c>
      <c r="X1208" s="4" t="str">
        <f>IF(I1208="",IF(ISNUMBER(SEARCH("NOT NULL",UPPER(I$3))),"''","null"),SUBSTITUTE(VLOOKUP(I$2,convert!$A$1:$B$4,2,0),"@@@",I1208))</f>
        <v>''</v>
      </c>
      <c r="Y1208" s="4" t="str">
        <f>IF(J1208="",IF(ISNUMBER(SEARCH("NOT NULL",UPPER(J$3))),"''","null"),SUBSTITUTE(VLOOKUP(J$2,convert!$A$1:$B$4,2,0),"@@@",J1208))</f>
        <v>'electric'</v>
      </c>
      <c r="Z1208" s="4" t="str">
        <f>IF(K1208="",IF(ISNUMBER(SEARCH("NOT NULL",UPPER(K$3))),"''","null"),SUBSTITUTE(VLOOKUP(K$2,convert!$A$1:$B$4,2,0),"@@@",K1208))</f>
        <v>'dragon'</v>
      </c>
      <c r="AA1208" s="4" t="str">
        <f>IF(L1208="",IF(ISNUMBER(SEARCH("NOT NULL",UPPER(L$3))),"''","null"),SUBSTITUTE(VLOOKUP(L$2,convert!$A$1:$B$4,2,0),"@@@",L1208))</f>
        <v>'g9'</v>
      </c>
      <c r="AB1208" s="4" t="str">
        <f>IF(M1208="",IF(ISNUMBER(SEARCH("NOT NULL",UPPER(M$3))),"''","null"),SUBSTITUTE(VLOOKUP(M$2,convert!$A$1:$B$4,2,0),"@@@",M1208))</f>
        <v>null</v>
      </c>
      <c r="AC1208" s="4" t="str">
        <f>IF(N1208="",IF(ISNUMBER(SEARCH("NOT NULL",UPPER(N$3))),"''","null"),SUBSTITUTE(VLOOKUP(N$2,convert!$A$1:$B$4,2,0),"@@@",N1208))</f>
        <v>null</v>
      </c>
      <c r="AD1208" s="4" t="str">
        <f>IF(O1208="",IF(ISNUMBER(SEARCH("NOT NULL",UPPER(O$3))),"''","null"),SUBSTITUTE(VLOOKUP(O$2,convert!$A$1:$B$4,2,0),"@@@",O1208))</f>
        <v>FALSE</v>
      </c>
      <c r="AE1208" s="4" t="str">
        <f t="shared" si="18"/>
        <v>    ('1008N01', 'ミライドン', 100, 85, 100, 135, 115, 135, '', 'electric', 'dragon', 'g9', null, null, FALSE),</v>
      </c>
    </row>
    <row r="1209" spans="1:31">
      <c r="A1209" s="4" t="s">
        <v>2431</v>
      </c>
      <c r="B1209" s="4" t="s">
        <v>2432</v>
      </c>
      <c r="C1209" s="5">
        <v>99</v>
      </c>
      <c r="D1209" s="5">
        <v>83</v>
      </c>
      <c r="E1209" s="5">
        <v>91</v>
      </c>
      <c r="F1209" s="5">
        <v>125</v>
      </c>
      <c r="G1209" s="5">
        <v>83</v>
      </c>
      <c r="H1209" s="5">
        <v>109</v>
      </c>
      <c r="I1209" s="5"/>
      <c r="J1209" s="4" t="s">
        <v>55</v>
      </c>
      <c r="K1209" s="4" t="s">
        <v>50</v>
      </c>
      <c r="L1209" s="4" t="s">
        <v>368</v>
      </c>
      <c r="M1209" s="5"/>
      <c r="N1209" s="5"/>
      <c r="O1209" s="5" t="b">
        <v>0</v>
      </c>
      <c r="P1209" s="4" t="str">
        <f>IF(A1209="",IF(ISNUMBER(SEARCH("NOT NULL",UPPER(A$3))),"''","null"),SUBSTITUTE(VLOOKUP(A$2,convert!$A$1:$B$4,2,0),"@@@",A1209))</f>
        <v>'1009N01'</v>
      </c>
      <c r="Q1209" s="4" t="str">
        <f>IF(B1209="",IF(ISNUMBER(SEARCH("NOT NULL",UPPER(B$3))),"''","null"),SUBSTITUTE(VLOOKUP(B$2,convert!$A$1:$B$4,2,0),"@@@",B1209))</f>
        <v>'ウネルミナモ'</v>
      </c>
      <c r="R1209" s="4" t="str">
        <f>IF(C1209="",IF(ISNUMBER(SEARCH("NOT NULL",UPPER(C$3))),"''","null"),SUBSTITUTE(VLOOKUP(C$2,convert!$A$1:$B$4,2,0),"@@@",C1209))</f>
        <v>99</v>
      </c>
      <c r="S1209" s="4" t="str">
        <f>IF(D1209="",IF(ISNUMBER(SEARCH("NOT NULL",UPPER(D$3))),"''","null"),SUBSTITUTE(VLOOKUP(D$2,convert!$A$1:$B$4,2,0),"@@@",D1209))</f>
        <v>83</v>
      </c>
      <c r="T1209" s="4" t="str">
        <f>IF(E1209="",IF(ISNUMBER(SEARCH("NOT NULL",UPPER(E$3))),"''","null"),SUBSTITUTE(VLOOKUP(E$2,convert!$A$1:$B$4,2,0),"@@@",E1209))</f>
        <v>91</v>
      </c>
      <c r="U1209" s="4" t="str">
        <f>IF(F1209="",IF(ISNUMBER(SEARCH("NOT NULL",UPPER(F$3))),"''","null"),SUBSTITUTE(VLOOKUP(F$2,convert!$A$1:$B$4,2,0),"@@@",F1209))</f>
        <v>125</v>
      </c>
      <c r="V1209" s="4" t="str">
        <f>IF(G1209="",IF(ISNUMBER(SEARCH("NOT NULL",UPPER(G$3))),"''","null"),SUBSTITUTE(VLOOKUP(G$2,convert!$A$1:$B$4,2,0),"@@@",G1209))</f>
        <v>83</v>
      </c>
      <c r="W1209" s="4" t="str">
        <f>IF(H1209="",IF(ISNUMBER(SEARCH("NOT NULL",UPPER(H$3))),"''","null"),SUBSTITUTE(VLOOKUP(H$2,convert!$A$1:$B$4,2,0),"@@@",H1209))</f>
        <v>109</v>
      </c>
      <c r="X1209" s="4" t="str">
        <f>IF(I1209="",IF(ISNUMBER(SEARCH("NOT NULL",UPPER(I$3))),"''","null"),SUBSTITUTE(VLOOKUP(I$2,convert!$A$1:$B$4,2,0),"@@@",I1209))</f>
        <v>''</v>
      </c>
      <c r="Y1209" s="4" t="str">
        <f>IF(J1209="",IF(ISNUMBER(SEARCH("NOT NULL",UPPER(J$3))),"''","null"),SUBSTITUTE(VLOOKUP(J$2,convert!$A$1:$B$4,2,0),"@@@",J1209))</f>
        <v>'water'</v>
      </c>
      <c r="Z1209" s="4" t="str">
        <f>IF(K1209="",IF(ISNUMBER(SEARCH("NOT NULL",UPPER(K$3))),"''","null"),SUBSTITUTE(VLOOKUP(K$2,convert!$A$1:$B$4,2,0),"@@@",K1209))</f>
        <v>'dragon'</v>
      </c>
      <c r="AA1209" s="4" t="str">
        <f>IF(L1209="",IF(ISNUMBER(SEARCH("NOT NULL",UPPER(L$3))),"''","null"),SUBSTITUTE(VLOOKUP(L$2,convert!$A$1:$B$4,2,0),"@@@",L1209))</f>
        <v>'g9'</v>
      </c>
      <c r="AB1209" s="4" t="str">
        <f>IF(M1209="",IF(ISNUMBER(SEARCH("NOT NULL",UPPER(M$3))),"''","null"),SUBSTITUTE(VLOOKUP(M$2,convert!$A$1:$B$4,2,0),"@@@",M1209))</f>
        <v>null</v>
      </c>
      <c r="AC1209" s="4" t="str">
        <f>IF(N1209="",IF(ISNUMBER(SEARCH("NOT NULL",UPPER(N$3))),"''","null"),SUBSTITUTE(VLOOKUP(N$2,convert!$A$1:$B$4,2,0),"@@@",N1209))</f>
        <v>null</v>
      </c>
      <c r="AD1209" s="4" t="str">
        <f>IF(O1209="",IF(ISNUMBER(SEARCH("NOT NULL",UPPER(O$3))),"''","null"),SUBSTITUTE(VLOOKUP(O$2,convert!$A$1:$B$4,2,0),"@@@",O1209))</f>
        <v>FALSE</v>
      </c>
      <c r="AE1209" s="4" t="str">
        <f t="shared" si="18"/>
        <v>    ('1009N01', 'ウネルミナモ', 99, 83, 91, 125, 83, 109, '', 'water', 'dragon', 'g9', null, null, FALSE),</v>
      </c>
    </row>
    <row r="1210" spans="1:31">
      <c r="A1210" s="4" t="s">
        <v>2433</v>
      </c>
      <c r="B1210" s="4" t="s">
        <v>2434</v>
      </c>
      <c r="C1210" s="5">
        <v>90</v>
      </c>
      <c r="D1210" s="5">
        <v>130</v>
      </c>
      <c r="E1210" s="5">
        <v>88</v>
      </c>
      <c r="F1210" s="5">
        <v>70</v>
      </c>
      <c r="G1210" s="5">
        <v>108</v>
      </c>
      <c r="H1210" s="5">
        <v>104</v>
      </c>
      <c r="I1210" s="5"/>
      <c r="J1210" s="4" t="s">
        <v>30</v>
      </c>
      <c r="K1210" s="4" t="s">
        <v>113</v>
      </c>
      <c r="L1210" s="4" t="s">
        <v>368</v>
      </c>
      <c r="M1210" s="5"/>
      <c r="N1210" s="5"/>
      <c r="O1210" s="5" t="b">
        <v>0</v>
      </c>
      <c r="P1210" s="4" t="str">
        <f>IF(A1210="",IF(ISNUMBER(SEARCH("NOT NULL",UPPER(A$3))),"''","null"),SUBSTITUTE(VLOOKUP(A$2,convert!$A$1:$B$4,2,0),"@@@",A1210))</f>
        <v>'1010N01'</v>
      </c>
      <c r="Q1210" s="4" t="str">
        <f>IF(B1210="",IF(ISNUMBER(SEARCH("NOT NULL",UPPER(B$3))),"''","null"),SUBSTITUTE(VLOOKUP(B$2,convert!$A$1:$B$4,2,0),"@@@",B1210))</f>
        <v>'テツノイサハ'</v>
      </c>
      <c r="R1210" s="4" t="str">
        <f>IF(C1210="",IF(ISNUMBER(SEARCH("NOT NULL",UPPER(C$3))),"''","null"),SUBSTITUTE(VLOOKUP(C$2,convert!$A$1:$B$4,2,0),"@@@",C1210))</f>
        <v>90</v>
      </c>
      <c r="S1210" s="4" t="str">
        <f>IF(D1210="",IF(ISNUMBER(SEARCH("NOT NULL",UPPER(D$3))),"''","null"),SUBSTITUTE(VLOOKUP(D$2,convert!$A$1:$B$4,2,0),"@@@",D1210))</f>
        <v>130</v>
      </c>
      <c r="T1210" s="4" t="str">
        <f>IF(E1210="",IF(ISNUMBER(SEARCH("NOT NULL",UPPER(E$3))),"''","null"),SUBSTITUTE(VLOOKUP(E$2,convert!$A$1:$B$4,2,0),"@@@",E1210))</f>
        <v>88</v>
      </c>
      <c r="U1210" s="4" t="str">
        <f>IF(F1210="",IF(ISNUMBER(SEARCH("NOT NULL",UPPER(F$3))),"''","null"),SUBSTITUTE(VLOOKUP(F$2,convert!$A$1:$B$4,2,0),"@@@",F1210))</f>
        <v>70</v>
      </c>
      <c r="V1210" s="4" t="str">
        <f>IF(G1210="",IF(ISNUMBER(SEARCH("NOT NULL",UPPER(G$3))),"''","null"),SUBSTITUTE(VLOOKUP(G$2,convert!$A$1:$B$4,2,0),"@@@",G1210))</f>
        <v>108</v>
      </c>
      <c r="W1210" s="4" t="str">
        <f>IF(H1210="",IF(ISNUMBER(SEARCH("NOT NULL",UPPER(H$3))),"''","null"),SUBSTITUTE(VLOOKUP(H$2,convert!$A$1:$B$4,2,0),"@@@",H1210))</f>
        <v>104</v>
      </c>
      <c r="X1210" s="4" t="str">
        <f>IF(I1210="",IF(ISNUMBER(SEARCH("NOT NULL",UPPER(I$3))),"''","null"),SUBSTITUTE(VLOOKUP(I$2,convert!$A$1:$B$4,2,0),"@@@",I1210))</f>
        <v>''</v>
      </c>
      <c r="Y1210" s="4" t="str">
        <f>IF(J1210="",IF(ISNUMBER(SEARCH("NOT NULL",UPPER(J$3))),"''","null"),SUBSTITUTE(VLOOKUP(J$2,convert!$A$1:$B$4,2,0),"@@@",J1210))</f>
        <v>'grass'</v>
      </c>
      <c r="Z1210" s="4" t="str">
        <f>IF(K1210="",IF(ISNUMBER(SEARCH("NOT NULL",UPPER(K$3))),"''","null"),SUBSTITUTE(VLOOKUP(K$2,convert!$A$1:$B$4,2,0),"@@@",K1210))</f>
        <v>'psychic'</v>
      </c>
      <c r="AA1210" s="4" t="str">
        <f>IF(L1210="",IF(ISNUMBER(SEARCH("NOT NULL",UPPER(L$3))),"''","null"),SUBSTITUTE(VLOOKUP(L$2,convert!$A$1:$B$4,2,0),"@@@",L1210))</f>
        <v>'g9'</v>
      </c>
      <c r="AB1210" s="4" t="str">
        <f>IF(M1210="",IF(ISNUMBER(SEARCH("NOT NULL",UPPER(M$3))),"''","null"),SUBSTITUTE(VLOOKUP(M$2,convert!$A$1:$B$4,2,0),"@@@",M1210))</f>
        <v>null</v>
      </c>
      <c r="AC1210" s="4" t="str">
        <f>IF(N1210="",IF(ISNUMBER(SEARCH("NOT NULL",UPPER(N$3))),"''","null"),SUBSTITUTE(VLOOKUP(N$2,convert!$A$1:$B$4,2,0),"@@@",N1210))</f>
        <v>null</v>
      </c>
      <c r="AD1210" s="4" t="str">
        <f>IF(O1210="",IF(ISNUMBER(SEARCH("NOT NULL",UPPER(O$3))),"''","null"),SUBSTITUTE(VLOOKUP(O$2,convert!$A$1:$B$4,2,0),"@@@",O1210))</f>
        <v>FALSE</v>
      </c>
      <c r="AE1210" s="4" t="str">
        <f t="shared" si="18"/>
        <v>    ('1010N01', 'テツノイサハ', 90, 130, 88, 70, 108, 104, '', 'grass', 'psychic', 'g9', null, null, FALSE),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2" sqref="B2"/>
    </sheetView>
  </sheetViews>
  <sheetFormatPr defaultColWidth="8.72727272727273" defaultRowHeight="13" outlineLevelRow="3" outlineLevelCol="1"/>
  <sheetData>
    <row r="1" spans="1:2">
      <c r="A1" t="s">
        <v>15</v>
      </c>
      <c r="B1" s="8" t="s">
        <v>2435</v>
      </c>
    </row>
    <row r="2" spans="1:2">
      <c r="A2" t="s">
        <v>16</v>
      </c>
      <c r="B2" s="8" t="s">
        <v>2435</v>
      </c>
    </row>
    <row r="3" spans="1:2">
      <c r="A3" t="s">
        <v>17</v>
      </c>
      <c r="B3" s="1" t="s">
        <v>2436</v>
      </c>
    </row>
    <row r="4" spans="1:2">
      <c r="A4" t="s">
        <v>18</v>
      </c>
      <c r="B4" s="1" t="s">
        <v>2436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pokemon</vt:lpstr>
      <vt:lpstr>convert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amuka</cp:lastModifiedBy>
  <dcterms:created xsi:type="dcterms:W3CDTF">2024-09-23T01:03:58Z</dcterms:created>
  <dcterms:modified xsi:type="dcterms:W3CDTF">2024-09-23T18:13:02Z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1041-11.8.2.10339</vt:lpwstr>
  </property>
</Properties>
</file>